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1 OCT\NOCHE\"/>
    </mc:Choice>
  </mc:AlternateContent>
  <xr:revisionPtr revIDLastSave="0" documentId="13_ncr:1_{E0B7ECB4-D79A-4676-AF65-64A95CAA34DA}" xr6:coauthVersionLast="47" xr6:coauthVersionMax="47" xr10:uidLastSave="{00000000-0000-0000-0000-000000000000}"/>
  <bookViews>
    <workbookView xWindow="16020" yWindow="1431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1" l="1"/>
  <c r="D34" i="1"/>
  <c r="D48" i="5"/>
  <c r="C48" i="5"/>
  <c r="D40" i="5"/>
  <c r="C40" i="5"/>
  <c r="D33" i="5"/>
  <c r="C33" i="5"/>
  <c r="C42" i="1"/>
  <c r="D42" i="1"/>
  <c r="D26" i="1"/>
  <c r="C26" i="1"/>
  <c r="C18" i="1"/>
  <c r="D18" i="5"/>
  <c r="C18" i="5"/>
  <c r="D10" i="5"/>
  <c r="D24" i="5"/>
  <c r="C24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<sst xmlns="http://schemas.openxmlformats.org/spreadsheetml/2006/main" count="139" uniqueCount="37">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</sst>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4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6750</v>
      </c>
      <c r="D5" s="28">
        <v>143555.93</v>
      </c>
    </row>
    <row r="6" spans="2:8" x14ac:dyDescent="0.25">
      <c r="B6" s="1" t="s">
        <v>5</v>
      </c>
      <c r="C6" s="6">
        <v>3977</v>
      </c>
      <c r="D6" s="28">
        <v>112614.69</v>
      </c>
    </row>
    <row r="7" spans="2:8" x14ac:dyDescent="0.25">
      <c r="B7" s="1" t="s">
        <v>6</v>
      </c>
      <c r="C7" s="6">
        <v>8582</v>
      </c>
      <c r="D7" s="28">
        <v>78816.569999999992</v>
      </c>
    </row>
    <row r="8" spans="2:8" x14ac:dyDescent="0.25">
      <c r="B8" s="5" t="s">
        <v>11</v>
      </c>
      <c r="C8" s="7">
        <v>1039</v>
      </c>
      <c r="D8" s="29">
        <v>0</v>
      </c>
    </row>
    <row r="9" spans="2:8" x14ac:dyDescent="0.25">
      <c r="B9" s="1" t="s">
        <v>7</v>
      </c>
      <c r="C9" s="6">
        <v>37972</v>
      </c>
      <c r="D9" s="28">
        <v>164124.64000000001</v>
      </c>
      <c r="E9" s="14"/>
      <c r="F9" s="7"/>
    </row>
    <row r="10" spans="2:8" x14ac:dyDescent="0.25">
      <c r="B10" s="3" t="s">
        <v>8</v>
      </c>
      <c r="C10" s="8">
        <f>SUM(C5:C9)</f>
        <v>58320</v>
      </c>
      <c r="D10" s="4">
        <f>SUM(D5:D9)</f>
        <v>499111.83</v>
      </c>
      <c r="E10" s="11" t="s">
        <v>13</v>
      </c>
    </row>
    <row r="12" spans="2:8" x14ac:dyDescent="0.25">
      <c r="B12" s="32" t="s">
        <v>9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565</v>
      </c>
      <c r="D14" s="28">
        <v>10060.16</v>
      </c>
    </row>
    <row r="15" spans="2:8" x14ac:dyDescent="0.25">
      <c r="B15" s="9" t="s">
        <v>5</v>
      </c>
      <c r="C15" s="6">
        <v>1671</v>
      </c>
      <c r="D15" s="28">
        <v>12770</v>
      </c>
    </row>
    <row r="16" spans="2:8" x14ac:dyDescent="0.25">
      <c r="B16" s="9" t="s">
        <v>6</v>
      </c>
      <c r="C16" s="6">
        <v>1038</v>
      </c>
      <c r="D16" s="28">
        <v>10055.07</v>
      </c>
    </row>
    <row r="17" spans="2:4" x14ac:dyDescent="0.25">
      <c r="B17" s="9" t="s">
        <v>7</v>
      </c>
      <c r="C17" s="6">
        <v>1635</v>
      </c>
      <c r="D17" s="28">
        <v>18485</v>
      </c>
    </row>
    <row r="18" spans="2:4" x14ac:dyDescent="0.25">
      <c r="B18" s="10" t="s">
        <v>8</v>
      </c>
      <c r="C18" s="8">
        <f>SUM(C14:C17)</f>
        <v>4909</v>
      </c>
      <c r="D18" s="4">
        <f>SUM(D14:D17)</f>
        <v>51370.229999999996</v>
      </c>
    </row>
    <row r="20" spans="2:4" x14ac:dyDescent="0.25">
      <c r="B20" s="31" t="s">
        <v>34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104</v>
      </c>
      <c r="D22" s="28">
        <v>11168</v>
      </c>
    </row>
    <row r="23" spans="2:4" x14ac:dyDescent="0.25">
      <c r="B23" s="1" t="s">
        <v>5</v>
      </c>
      <c r="C23" s="6">
        <v>283</v>
      </c>
      <c r="D23" s="28">
        <v>9696</v>
      </c>
    </row>
    <row r="24" spans="2:4" x14ac:dyDescent="0.25">
      <c r="B24" s="1" t="s">
        <v>6</v>
      </c>
      <c r="C24" s="6">
        <v>383</v>
      </c>
      <c r="D24" s="28">
        <v>10433</v>
      </c>
    </row>
    <row r="25" spans="2:4" x14ac:dyDescent="0.25">
      <c r="B25" s="1" t="s">
        <v>7</v>
      </c>
      <c r="C25" s="7">
        <v>15134</v>
      </c>
      <c r="D25" s="28">
        <v>15428.3</v>
      </c>
    </row>
    <row r="26" spans="2:4" x14ac:dyDescent="0.25">
      <c r="B26" s="3" t="s">
        <v>8</v>
      </c>
      <c r="C26" s="8">
        <f>SUM(C22:C25)</f>
        <v>15904</v>
      </c>
      <c r="D26" s="4">
        <f>SUM(D22:D25)</f>
        <v>46725.3</v>
      </c>
    </row>
    <row r="28" spans="2:4" x14ac:dyDescent="0.25">
      <c r="B28" s="32" t="s">
        <v>10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4982</v>
      </c>
      <c r="D30" s="28">
        <v>31493.05</v>
      </c>
    </row>
    <row r="31" spans="2:4" x14ac:dyDescent="0.25">
      <c r="B31" s="1" t="s">
        <v>5</v>
      </c>
      <c r="C31" s="6">
        <v>1335</v>
      </c>
      <c r="D31" s="28">
        <v>6872</v>
      </c>
    </row>
    <row r="32" spans="2:4" x14ac:dyDescent="0.25">
      <c r="B32" s="1" t="s">
        <v>6</v>
      </c>
      <c r="C32" s="6">
        <v>3784</v>
      </c>
      <c r="D32" s="28">
        <v>5148</v>
      </c>
    </row>
    <row r="33" spans="2:4" x14ac:dyDescent="0.25">
      <c r="B33" s="1" t="s">
        <v>7</v>
      </c>
      <c r="C33" s="6">
        <v>1029</v>
      </c>
      <c r="D33" s="28">
        <v>300</v>
      </c>
    </row>
    <row r="34" spans="2:4" x14ac:dyDescent="0.25">
      <c r="B34" s="10" t="s">
        <v>8</v>
      </c>
      <c r="C34" s="8">
        <f>SUM(C30:C33)</f>
        <v>11130</v>
      </c>
      <c r="D34" s="4">
        <f>SUM(D30:D33)</f>
        <v>43813.05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20</v>
      </c>
      <c r="D38" s="28">
        <v>15636</v>
      </c>
    </row>
    <row r="39" spans="2:4" x14ac:dyDescent="0.25">
      <c r="B39" s="1" t="s">
        <v>5</v>
      </c>
      <c r="C39" s="6">
        <v>38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740</v>
      </c>
      <c r="D41" s="28">
        <v>3046</v>
      </c>
    </row>
    <row r="42" spans="2:4" x14ac:dyDescent="0.25">
      <c r="B42" s="3" t="s">
        <v>8</v>
      </c>
      <c r="C42" s="8">
        <f>SUM(C38:C41)</f>
        <v>802</v>
      </c>
      <c r="D42" s="4">
        <f>SUM(D38:D41)</f>
        <v>18682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91065</v>
      </c>
      <c r="D50" s="13">
        <f>SUMIF(B:B, "Total general", D:D)</f>
        <v>659702.41000000015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8670</v>
      </c>
      <c r="D5" s="28">
        <v>40287.5</v>
      </c>
      <c r="E5" s="11"/>
    </row>
    <row r="6" spans="2:8" x14ac:dyDescent="0.25">
      <c r="B6" s="1" t="s">
        <v>5</v>
      </c>
      <c r="C6" s="27">
        <v>5579</v>
      </c>
      <c r="D6" s="28">
        <v>18852.88</v>
      </c>
    </row>
    <row r="7" spans="2:8" x14ac:dyDescent="0.25">
      <c r="B7" s="1" t="s">
        <v>6</v>
      </c>
      <c r="C7" s="27">
        <v>5494</v>
      </c>
      <c r="D7" s="28">
        <v>19757</v>
      </c>
    </row>
    <row r="8" spans="2:8" x14ac:dyDescent="0.25">
      <c r="B8" s="5" t="s">
        <v>11</v>
      </c>
      <c r="C8" s="27">
        <v>2739</v>
      </c>
      <c r="D8" s="28">
        <v>500</v>
      </c>
    </row>
    <row r="9" spans="2:8" x14ac:dyDescent="0.25">
      <c r="B9" s="1" t="s">
        <v>7</v>
      </c>
      <c r="C9" s="27">
        <v>2913</v>
      </c>
      <c r="D9" s="28">
        <v>1809</v>
      </c>
      <c r="E9" s="14"/>
      <c r="F9" s="7"/>
    </row>
    <row r="10" spans="2:8" x14ac:dyDescent="0.25">
      <c r="B10" s="3" t="s">
        <v>8</v>
      </c>
      <c r="C10" s="8">
        <f>SUM(C5:C9)</f>
        <v>25395</v>
      </c>
      <c r="D10" s="4">
        <f>SUM(D5:D9)</f>
        <v>81206.38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4869</v>
      </c>
      <c r="D14" s="28">
        <v>31493.05</v>
      </c>
    </row>
    <row r="15" spans="2:8" x14ac:dyDescent="0.25">
      <c r="B15" s="1" t="s">
        <v>5</v>
      </c>
      <c r="C15" s="26">
        <v>766</v>
      </c>
      <c r="D15" s="28">
        <v>5693</v>
      </c>
    </row>
    <row r="16" spans="2:8" x14ac:dyDescent="0.25">
      <c r="B16" s="1" t="s">
        <v>6</v>
      </c>
      <c r="C16" s="26">
        <v>3465</v>
      </c>
      <c r="D16" s="28">
        <v>5148</v>
      </c>
    </row>
    <row r="17" spans="2:4" x14ac:dyDescent="0.25">
      <c r="B17" s="9" t="s">
        <v>7</v>
      </c>
      <c r="C17" s="26">
        <v>26</v>
      </c>
      <c r="D17" s="28">
        <v>300</v>
      </c>
    </row>
    <row r="18" spans="2:4" x14ac:dyDescent="0.25">
      <c r="B18" s="10" t="s">
        <v>8</v>
      </c>
      <c r="C18" s="8">
        <f>SUM(C14:C17)</f>
        <v>9126</v>
      </c>
      <c r="D18" s="4">
        <f>SUM(D14:D17)</f>
        <v>42634.05</v>
      </c>
    </row>
    <row r="20" spans="2:4" x14ac:dyDescent="0.25">
      <c r="B20" s="31" t="s">
        <v>29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2</v>
      </c>
      <c r="D22" s="28">
        <v>15011</v>
      </c>
    </row>
    <row r="23" spans="2:4" x14ac:dyDescent="0.25">
      <c r="B23" s="1" t="s">
        <v>7</v>
      </c>
      <c r="C23">
        <v>64</v>
      </c>
      <c r="D23" s="29">
        <v>0</v>
      </c>
    </row>
    <row r="24" spans="2:4" x14ac:dyDescent="0.25">
      <c r="B24" s="3" t="s">
        <v>8</v>
      </c>
      <c r="C24" s="8">
        <f>SUM(C22:C23)</f>
        <v>66</v>
      </c>
      <c r="D24" s="4">
        <f>SUM(D22:D23)</f>
        <v>15011</v>
      </c>
    </row>
    <row r="26" spans="2:4" x14ac:dyDescent="0.25">
      <c r="B26" s="31" t="s">
        <v>0</v>
      </c>
      <c r="C26" s="31"/>
      <c r="D26" s="31"/>
    </row>
    <row r="27" spans="2:4" x14ac:dyDescent="0.25">
      <c r="B27" s="2" t="s">
        <v>1</v>
      </c>
      <c r="C27" s="2" t="s">
        <v>2</v>
      </c>
      <c r="D27" s="2" t="s">
        <v>3</v>
      </c>
    </row>
    <row r="28" spans="2:4" x14ac:dyDescent="0.25">
      <c r="B28" s="9" t="s">
        <v>4</v>
      </c>
      <c r="C28">
        <v>356</v>
      </c>
      <c r="D28" s="28">
        <v>3747</v>
      </c>
    </row>
    <row r="29" spans="2:4" x14ac:dyDescent="0.25">
      <c r="B29" s="1" t="s">
        <v>5</v>
      </c>
      <c r="C29">
        <v>549</v>
      </c>
      <c r="D29" s="28">
        <v>2270</v>
      </c>
    </row>
    <row r="30" spans="2:4" x14ac:dyDescent="0.25">
      <c r="B30" s="1" t="s">
        <v>6</v>
      </c>
      <c r="C30">
        <v>355</v>
      </c>
      <c r="D30" s="28">
        <v>221</v>
      </c>
    </row>
    <row r="31" spans="2:4" x14ac:dyDescent="0.25">
      <c r="B31" s="5" t="s">
        <v>11</v>
      </c>
      <c r="C31" s="11">
        <v>0</v>
      </c>
      <c r="D31" s="30">
        <v>0</v>
      </c>
    </row>
    <row r="32" spans="2:4" x14ac:dyDescent="0.25">
      <c r="B32" s="1" t="s">
        <v>7</v>
      </c>
      <c r="C32">
        <v>303</v>
      </c>
      <c r="D32" s="28">
        <v>2919</v>
      </c>
    </row>
    <row r="33" spans="2:4" x14ac:dyDescent="0.25">
      <c r="B33" s="3" t="s">
        <v>8</v>
      </c>
      <c r="C33" s="8">
        <f>SUM(C28:C32)</f>
        <v>1563</v>
      </c>
      <c r="D33" s="4">
        <f>SUM(D28:D32)</f>
        <v>9157</v>
      </c>
    </row>
    <row r="35" spans="2:4" x14ac:dyDescent="0.25">
      <c r="B35" s="32" t="s">
        <v>9</v>
      </c>
      <c r="C35" s="32"/>
      <c r="D35" s="32"/>
    </row>
    <row r="36" spans="2:4" x14ac:dyDescent="0.25">
      <c r="B36" s="4" t="s">
        <v>1</v>
      </c>
      <c r="C36" s="4" t="s">
        <v>2</v>
      </c>
      <c r="D36" s="4" t="s">
        <v>3</v>
      </c>
    </row>
    <row r="37" spans="2:4" x14ac:dyDescent="0.25">
      <c r="B37" s="9" t="s">
        <v>4</v>
      </c>
      <c r="C37">
        <v>2</v>
      </c>
      <c r="D37" s="25">
        <v>0</v>
      </c>
    </row>
    <row r="38" spans="2:4" x14ac:dyDescent="0.25">
      <c r="B38" s="9" t="s">
        <v>5</v>
      </c>
      <c r="C38">
        <v>1</v>
      </c>
      <c r="D38" s="25">
        <v>0</v>
      </c>
    </row>
    <row r="39" spans="2:4" x14ac:dyDescent="0.25">
      <c r="B39" s="9" t="s">
        <v>7</v>
      </c>
      <c r="C39">
        <v>176</v>
      </c>
      <c r="D39" s="28">
        <v>1200</v>
      </c>
    </row>
    <row r="40" spans="2:4" x14ac:dyDescent="0.25">
      <c r="B40" s="10" t="s">
        <v>8</v>
      </c>
      <c r="C40" s="8">
        <f>SUM(C37:C39)</f>
        <v>179</v>
      </c>
      <c r="D40" s="4">
        <f>SUM(D37:D39)</f>
        <v>1200</v>
      </c>
    </row>
    <row r="42" spans="2:4" x14ac:dyDescent="0.25">
      <c r="B42" s="31" t="s">
        <v>34</v>
      </c>
      <c r="C42" s="31"/>
      <c r="D42" s="31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>
        <v>3</v>
      </c>
      <c r="D44" s="25">
        <v>0</v>
      </c>
    </row>
    <row r="45" spans="2:4" x14ac:dyDescent="0.25">
      <c r="B45" s="1" t="s">
        <v>5</v>
      </c>
      <c r="C45">
        <v>1</v>
      </c>
      <c r="D45" s="25">
        <v>0</v>
      </c>
    </row>
    <row r="46" spans="2:4" x14ac:dyDescent="0.25">
      <c r="B46" s="1" t="s">
        <v>6</v>
      </c>
      <c r="C46" s="11">
        <v>0</v>
      </c>
      <c r="D46" s="25">
        <v>0</v>
      </c>
    </row>
    <row r="47" spans="2:4" x14ac:dyDescent="0.25">
      <c r="B47" s="1" t="s">
        <v>7</v>
      </c>
      <c r="C47">
        <v>331</v>
      </c>
      <c r="D47" s="28">
        <v>388</v>
      </c>
    </row>
    <row r="48" spans="2:4" x14ac:dyDescent="0.25">
      <c r="B48" s="3" t="s">
        <v>8</v>
      </c>
      <c r="C48" s="8">
        <f>SUM(C44:C47)</f>
        <v>335</v>
      </c>
      <c r="D48" s="4">
        <f>SUM(D44:D47)</f>
        <v>388</v>
      </c>
    </row>
    <row r="50" spans="2:4" x14ac:dyDescent="0.25">
      <c r="B50" s="12" t="s">
        <v>12</v>
      </c>
      <c r="C50" s="13">
        <f>SUMIF(B:B, "Total general", C:C)</f>
        <v>36664</v>
      </c>
      <c r="D50" s="13">
        <f>SUMIF(B:B, "Total general", D:D)</f>
        <v>149596.43</v>
      </c>
    </row>
  </sheetData>
  <mergeCells count="7">
    <mergeCell ref="B35:D35"/>
    <mergeCell ref="B20:D20"/>
    <mergeCell ref="B12:D12"/>
    <mergeCell ref="B42:D42"/>
    <mergeCell ref="B1:D1"/>
    <mergeCell ref="B3:D3"/>
    <mergeCell ref="B26:D2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13902</v>
      </c>
      <c r="D3" s="14">
        <f>SUMIF('CDC-OLGUIN'!B:B, "Extrajudicial - 0 a 28 semanas de atraso", 'CDC-OLGUIN'!D:D)</f>
        <v>90538.55</v>
      </c>
    </row>
    <row r="4" spans="2:6" x14ac:dyDescent="0.25">
      <c r="B4" s="1" t="s">
        <v>5</v>
      </c>
      <c r="C4" s="6">
        <f>SUMIF('CDC-OLGUIN'!B:B, "Extrajudicial - 29 a 39 semanas de atraso", 'CDC-OLGUIN'!C:C)</f>
        <v>6896</v>
      </c>
      <c r="D4" s="14">
        <f>SUMIF('CDC-OLGUIN'!B:B, "Extrajudicial - 29 a 39 semanas de atraso", 'CDC-OLGUIN'!D:D)</f>
        <v>26815.88</v>
      </c>
    </row>
    <row r="5" spans="2:6" x14ac:dyDescent="0.25">
      <c r="B5" s="1" t="s">
        <v>6</v>
      </c>
      <c r="C5" s="6">
        <f>SUMIF('CDC-OLGUIN'!B:B, "Extrajudicial - 40 a 55 semanas de atraso", 'CDC-OLGUIN'!C:C)</f>
        <v>9314</v>
      </c>
      <c r="D5" s="14">
        <f>SUMIF('CDC-OLGUIN'!B:B, "Extrajudicial - 40 a 55 semanas de atraso", 'CDC-OLGUIN'!D:D)</f>
        <v>25126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500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6616</v>
      </c>
      <c r="E7" s="14"/>
      <c r="F7" s="7"/>
    </row>
    <row r="8" spans="2:6" x14ac:dyDescent="0.25">
      <c r="B8" s="3" t="s">
        <v>8</v>
      </c>
      <c r="C8" s="8">
        <f>SUM(C3:C7)</f>
        <v>36664</v>
      </c>
      <c r="D8" s="4">
        <f>SUM(D3:D7)</f>
        <v>149596.43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12421</v>
      </c>
      <c r="E6" s="16">
        <f>SUMIF('REPORTE DIARIO'!B:B,'EPR 26 JUN'!C6, 'REPORTE DIARIO'!D:D)</f>
        <v>211913.13999999998</v>
      </c>
      <c r="F6" s="16">
        <f>J6*D6</f>
        <v>780748.57142857136</v>
      </c>
      <c r="G6" s="16">
        <f>+E6-F6</f>
        <v>-568835.43142857135</v>
      </c>
      <c r="H6" s="15">
        <f>ABS(G6/F6)</f>
        <v>0.72857697374680708</v>
      </c>
      <c r="I6" s="16">
        <f>E6/D6</f>
        <v>17.060875935914982</v>
      </c>
      <c r="J6" s="16">
        <f>(220/7)*2</f>
        <v>62.857142857142854</v>
      </c>
      <c r="K6" s="16">
        <f>+I6-J6</f>
        <v>-45.796266921227868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7304</v>
      </c>
      <c r="E7" s="16">
        <f>SUMIF('REPORTE DIARIO'!B:B,'EPR 26 JUN'!C7, 'REPORTE DIARIO'!D:D)</f>
        <v>141952.69</v>
      </c>
      <c r="F7" s="16">
        <f>J7*D7</f>
        <v>229554.28571428571</v>
      </c>
      <c r="G7" s="16">
        <f>+E7-F7</f>
        <v>-87601.595714285708</v>
      </c>
      <c r="H7" s="15">
        <f>ABS(G7/F7)</f>
        <v>0.38161603231106239</v>
      </c>
      <c r="I7" s="16">
        <f>E7/D7</f>
        <v>19.434924698795182</v>
      </c>
      <c r="J7" s="16">
        <f>(110/7)*2</f>
        <v>31.428571428571427</v>
      </c>
      <c r="K7" s="16">
        <f t="shared" ref="K7:K9" si="0">+I7-J7</f>
        <v>-11.993646729776245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13791</v>
      </c>
      <c r="E8" s="16">
        <f>SUMIF('REPORTE DIARIO'!B:B,'EPR 26 JUN'!C8, 'REPORTE DIARIO'!D:D)</f>
        <v>104452.63999999998</v>
      </c>
      <c r="F8" s="16">
        <f>J8*D8</f>
        <v>177312.85714285716</v>
      </c>
      <c r="G8" s="16">
        <f>+E8-F8</f>
        <v>-72860.217142857175</v>
      </c>
      <c r="H8" s="15">
        <f>ABS(G8/F8)</f>
        <v>0.4109133331721978</v>
      </c>
      <c r="I8" s="16">
        <f>E8/D8</f>
        <v>7.573971430643172</v>
      </c>
      <c r="J8" s="16">
        <f>(45/7)*2</f>
        <v>12.857142857142858</v>
      </c>
      <c r="K8" s="16">
        <f t="shared" si="0"/>
        <v>-5.2831714264996856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56510</v>
      </c>
      <c r="E9" s="16">
        <f>SUMIF('REPORTE DIARIO'!B:B,'EPR 26 JUN'!C9, 'REPORTE DIARIO'!D:D)</f>
        <v>201383.94</v>
      </c>
      <c r="F9" s="16">
        <f>J9*D9</f>
        <v>242185.71428571429</v>
      </c>
      <c r="G9" s="16">
        <f>+E9-F9</f>
        <v>-40801.774285714288</v>
      </c>
      <c r="H9" s="15">
        <f>ABS(G9/F9)</f>
        <v>0.16847308440983896</v>
      </c>
      <c r="I9" s="16">
        <f>E9/D9</f>
        <v>3.56368678110069</v>
      </c>
      <c r="J9" s="16">
        <f>(15/7)*2</f>
        <v>4.2857142857142856</v>
      </c>
      <c r="K9" s="16">
        <f t="shared" si="0"/>
        <v>-0.72202750461359555</v>
      </c>
    </row>
    <row r="10" spans="2:12" x14ac:dyDescent="0.25">
      <c r="B10" s="16"/>
      <c r="C10" s="19" t="s">
        <v>16</v>
      </c>
      <c r="D10" s="24">
        <f>SUM(D6:D9)</f>
        <v>90026</v>
      </c>
      <c r="E10" s="20">
        <f>SUM(E6:E9)</f>
        <v>659702.40999999992</v>
      </c>
      <c r="F10" s="20">
        <f>SUM(F6:F9)</f>
        <v>1429801.4285714284</v>
      </c>
      <c r="G10" s="20">
        <f>+E10-F10</f>
        <v>-770099.01857142849</v>
      </c>
      <c r="H10" s="21">
        <f>ABS(G10/F10)</f>
        <v>0.53860557360112948</v>
      </c>
      <c r="I10" s="20">
        <f>E10/D10</f>
        <v>7.3279098260502513</v>
      </c>
      <c r="J10" s="20">
        <f>F10/D10</f>
        <v>15.882094379084135</v>
      </c>
      <c r="K10" s="20">
        <f>I10-J10</f>
        <v>-8.5541845530338847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2025-10-22T02:06:13Z</dcterms:modified>
</cp:coreProperties>
</file>