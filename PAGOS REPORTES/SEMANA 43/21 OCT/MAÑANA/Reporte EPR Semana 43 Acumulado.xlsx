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1 OCT\MAÑANA\"/>
    </mc:Choice>
  </mc:AlternateContent>
  <xr:revisionPtr revIDLastSave="0" documentId="13_ncr:1_{396A211B-5B29-4DE3-BE2B-C146B9C63C7D}" xr6:coauthVersionLast="47" xr6:coauthVersionMax="47" xr10:uidLastSave="{00000000-0000-0000-0000-000000000000}"/>
  <bookViews>
    <workbookView xWindow="12570" yWindow="1257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D34" i="1"/>
  <c r="D35" i="5"/>
  <c r="C35" i="5"/>
  <c r="D42" i="5"/>
  <c r="C42" i="5"/>
  <c r="D27" i="5"/>
  <c r="C27" i="5"/>
  <c r="C42" i="1"/>
  <c r="D42" i="1"/>
  <c r="D26" i="1"/>
  <c r="C26" i="1"/>
  <c r="C18" i="1"/>
  <c r="D18" i="5"/>
  <c r="C18" i="5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<sst xmlns="http://schemas.openxmlformats.org/spreadsheetml/2006/main" count="139" uniqueCount="37">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</sst>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0" xfId="0" applyNumberFormat="1" applyFill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O7" sqref="O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6506</v>
      </c>
      <c r="D5" s="28">
        <v>67126.929999999993</v>
      </c>
    </row>
    <row r="6" spans="2:8" x14ac:dyDescent="0.25">
      <c r="B6" s="1" t="s">
        <v>5</v>
      </c>
      <c r="C6" s="6">
        <v>3936</v>
      </c>
      <c r="D6" s="28">
        <v>53369.69</v>
      </c>
    </row>
    <row r="7" spans="2:8" x14ac:dyDescent="0.25">
      <c r="B7" s="1" t="s">
        <v>6</v>
      </c>
      <c r="C7" s="6">
        <v>8400</v>
      </c>
      <c r="D7" s="28">
        <v>64574.74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38008</v>
      </c>
      <c r="D9" s="28">
        <v>90807.639999999985</v>
      </c>
      <c r="E9" s="14"/>
      <c r="F9" s="7"/>
    </row>
    <row r="10" spans="2:8" x14ac:dyDescent="0.25">
      <c r="B10" s="3" t="s">
        <v>8</v>
      </c>
      <c r="C10" s="8">
        <f>SUM(C5:C9)</f>
        <v>57889</v>
      </c>
      <c r="D10" s="4">
        <f>SUM(D5:D9)</f>
        <v>275879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496</v>
      </c>
      <c r="D14" s="28">
        <v>7120.16</v>
      </c>
    </row>
    <row r="15" spans="2:8" x14ac:dyDescent="0.25">
      <c r="B15" s="9" t="s">
        <v>5</v>
      </c>
      <c r="C15" s="6">
        <v>1658</v>
      </c>
      <c r="D15" s="28">
        <v>10224</v>
      </c>
    </row>
    <row r="16" spans="2:8" x14ac:dyDescent="0.25">
      <c r="B16" s="9" t="s">
        <v>6</v>
      </c>
      <c r="C16" s="6">
        <v>806</v>
      </c>
      <c r="D16" s="28">
        <v>8243.07</v>
      </c>
    </row>
    <row r="17" spans="2:4" x14ac:dyDescent="0.25">
      <c r="B17" s="9" t="s">
        <v>7</v>
      </c>
      <c r="C17" s="6">
        <v>1632</v>
      </c>
      <c r="D17" s="28">
        <v>14268</v>
      </c>
    </row>
    <row r="18" spans="2:4" x14ac:dyDescent="0.25">
      <c r="B18" s="10" t="s">
        <v>8</v>
      </c>
      <c r="C18" s="8">
        <f>SUM(C14:C17)</f>
        <v>4592</v>
      </c>
      <c r="D18" s="4">
        <f>SUM(D14:D17)</f>
        <v>39855.229999999996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104</v>
      </c>
      <c r="D22" s="28">
        <v>9977</v>
      </c>
    </row>
    <row r="23" spans="2:4" x14ac:dyDescent="0.25">
      <c r="B23" s="1" t="s">
        <v>5</v>
      </c>
      <c r="C23" s="6">
        <v>286</v>
      </c>
      <c r="D23" s="28">
        <v>7366</v>
      </c>
    </row>
    <row r="24" spans="2:4" x14ac:dyDescent="0.25">
      <c r="B24" s="1" t="s">
        <v>6</v>
      </c>
      <c r="C24" s="6">
        <v>389</v>
      </c>
      <c r="D24" s="28">
        <v>9172</v>
      </c>
    </row>
    <row r="25" spans="2:4" x14ac:dyDescent="0.25">
      <c r="B25" s="1" t="s">
        <v>7</v>
      </c>
      <c r="C25" s="7">
        <v>15151</v>
      </c>
      <c r="D25" s="28">
        <v>9619.2999999999993</v>
      </c>
    </row>
    <row r="26" spans="2:4" x14ac:dyDescent="0.25">
      <c r="B26" s="3" t="s">
        <v>8</v>
      </c>
      <c r="C26" s="8">
        <f>SUM(C22:C25)</f>
        <v>15930</v>
      </c>
      <c r="D26" s="4">
        <f>SUM(D22:D25)</f>
        <v>36134.300000000003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4982</v>
      </c>
      <c r="D30" s="28">
        <v>19596.05</v>
      </c>
    </row>
    <row r="31" spans="2:4" x14ac:dyDescent="0.25">
      <c r="B31" s="1" t="s">
        <v>5</v>
      </c>
      <c r="C31" s="6">
        <v>1334</v>
      </c>
      <c r="D31" s="28">
        <v>2786</v>
      </c>
    </row>
    <row r="32" spans="2:4" x14ac:dyDescent="0.25">
      <c r="B32" s="1" t="s">
        <v>6</v>
      </c>
      <c r="C32" s="6">
        <v>3784</v>
      </c>
      <c r="D32" s="28">
        <v>4623</v>
      </c>
    </row>
    <row r="33" spans="2:4" x14ac:dyDescent="0.25">
      <c r="B33" s="1" t="s">
        <v>7</v>
      </c>
      <c r="C33" s="6">
        <v>1029</v>
      </c>
      <c r="D33" s="29">
        <v>0</v>
      </c>
    </row>
    <row r="34" spans="2:4" x14ac:dyDescent="0.25">
      <c r="B34" s="10" t="s">
        <v>8</v>
      </c>
      <c r="C34" s="8">
        <f>SUM(C30:C33)</f>
        <v>11129</v>
      </c>
      <c r="D34" s="4">
        <f>SUM(D30:D33)</f>
        <v>27005.05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20</v>
      </c>
      <c r="D38" s="28">
        <v>625</v>
      </c>
    </row>
    <row r="39" spans="2:4" x14ac:dyDescent="0.25">
      <c r="B39" s="1" t="s">
        <v>5</v>
      </c>
      <c r="C39" s="6">
        <v>42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743</v>
      </c>
      <c r="D41" s="28">
        <v>2739</v>
      </c>
    </row>
    <row r="42" spans="2:4" x14ac:dyDescent="0.25">
      <c r="B42" s="3" t="s">
        <v>8</v>
      </c>
      <c r="C42" s="8">
        <f>SUM(C38:C41)</f>
        <v>809</v>
      </c>
      <c r="D42" s="4">
        <f>SUM(D38:D41)</f>
        <v>3364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90349</v>
      </c>
      <c r="D50" s="13">
        <f>SUMIF(B:B, "Total general", D:D)</f>
        <v>382237.57999999996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7" zoomScaleNormal="100" workbookViewId="0">
      <selection activeCell="C46" sqref="C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8670</v>
      </c>
      <c r="D5" s="28">
        <v>21055.5</v>
      </c>
      <c r="E5" s="11"/>
    </row>
    <row r="6" spans="2:8" x14ac:dyDescent="0.25">
      <c r="B6" s="1" t="s">
        <v>5</v>
      </c>
      <c r="C6" s="27">
        <v>5579</v>
      </c>
      <c r="D6" s="28">
        <v>14293.880000000001</v>
      </c>
    </row>
    <row r="7" spans="2:8" x14ac:dyDescent="0.25">
      <c r="B7" s="1" t="s">
        <v>6</v>
      </c>
      <c r="C7" s="27">
        <v>5494</v>
      </c>
      <c r="D7" s="28">
        <v>14411</v>
      </c>
    </row>
    <row r="8" spans="2:8" x14ac:dyDescent="0.25">
      <c r="B8" s="5" t="s">
        <v>11</v>
      </c>
      <c r="C8" s="27">
        <v>2739</v>
      </c>
      <c r="D8" s="28">
        <v>500</v>
      </c>
    </row>
    <row r="9" spans="2:8" x14ac:dyDescent="0.25">
      <c r="B9" s="1" t="s">
        <v>7</v>
      </c>
      <c r="C9" s="27">
        <v>2913</v>
      </c>
      <c r="D9" s="28">
        <v>310</v>
      </c>
      <c r="E9" s="14"/>
      <c r="F9" s="7"/>
    </row>
    <row r="10" spans="2:8" x14ac:dyDescent="0.25">
      <c r="B10" s="3" t="s">
        <v>8</v>
      </c>
      <c r="C10" s="8">
        <f>SUM(C5:C9)</f>
        <v>25395</v>
      </c>
      <c r="D10" s="4">
        <f>SUM(D5:D9)</f>
        <v>50570.380000000005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4869</v>
      </c>
      <c r="D14" s="28">
        <v>19596.05</v>
      </c>
    </row>
    <row r="15" spans="2:8" x14ac:dyDescent="0.25">
      <c r="B15" s="1" t="s">
        <v>5</v>
      </c>
      <c r="C15" s="26">
        <v>766</v>
      </c>
      <c r="D15" s="28">
        <v>1607</v>
      </c>
    </row>
    <row r="16" spans="2:8" x14ac:dyDescent="0.25">
      <c r="B16" s="1" t="s">
        <v>6</v>
      </c>
      <c r="C16" s="26">
        <v>3465</v>
      </c>
      <c r="D16" s="28">
        <v>4623</v>
      </c>
    </row>
    <row r="17" spans="2:4" x14ac:dyDescent="0.25">
      <c r="B17" s="9" t="s">
        <v>7</v>
      </c>
      <c r="C17" s="26">
        <v>26</v>
      </c>
      <c r="D17" s="29">
        <v>0</v>
      </c>
    </row>
    <row r="18" spans="2:4" x14ac:dyDescent="0.25">
      <c r="B18" s="10" t="s">
        <v>8</v>
      </c>
      <c r="C18" s="8">
        <f>SUM(C14:C17)</f>
        <v>9126</v>
      </c>
      <c r="D18" s="4">
        <f>SUM(D14:D17)</f>
        <v>25826.05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356</v>
      </c>
      <c r="D22" s="28">
        <v>1742</v>
      </c>
    </row>
    <row r="23" spans="2:4" x14ac:dyDescent="0.25">
      <c r="B23" s="1" t="s">
        <v>5</v>
      </c>
      <c r="C23">
        <v>549</v>
      </c>
      <c r="D23" s="28">
        <v>210</v>
      </c>
    </row>
    <row r="24" spans="2:4" x14ac:dyDescent="0.25">
      <c r="B24" s="1" t="s">
        <v>6</v>
      </c>
      <c r="C24">
        <v>355</v>
      </c>
      <c r="D24" s="29">
        <v>0</v>
      </c>
    </row>
    <row r="25" spans="2:4" x14ac:dyDescent="0.25">
      <c r="B25" s="5" t="s">
        <v>11</v>
      </c>
      <c r="C25" s="11">
        <v>0</v>
      </c>
      <c r="D25" s="32">
        <v>0</v>
      </c>
    </row>
    <row r="26" spans="2:4" x14ac:dyDescent="0.25">
      <c r="B26" s="1" t="s">
        <v>7</v>
      </c>
      <c r="C26">
        <v>303</v>
      </c>
      <c r="D26" s="28">
        <v>2919</v>
      </c>
    </row>
    <row r="27" spans="2:4" x14ac:dyDescent="0.25">
      <c r="B27" s="3" t="s">
        <v>8</v>
      </c>
      <c r="C27" s="8">
        <f>SUM(C22:C26)</f>
        <v>1563</v>
      </c>
      <c r="D27" s="4">
        <f>SUM(D22:D26)</f>
        <v>4871</v>
      </c>
    </row>
    <row r="29" spans="2:4" x14ac:dyDescent="0.25">
      <c r="B29" s="30" t="s">
        <v>34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5">
        <v>0</v>
      </c>
    </row>
    <row r="32" spans="2:4" x14ac:dyDescent="0.25">
      <c r="B32" s="1" t="s">
        <v>5</v>
      </c>
      <c r="C32">
        <v>1</v>
      </c>
      <c r="D32" s="25">
        <v>0</v>
      </c>
    </row>
    <row r="33" spans="2:4" x14ac:dyDescent="0.25">
      <c r="B33" s="1" t="s">
        <v>6</v>
      </c>
      <c r="C33" s="11">
        <v>0</v>
      </c>
      <c r="D33" s="25">
        <v>0</v>
      </c>
    </row>
    <row r="34" spans="2:4" x14ac:dyDescent="0.25">
      <c r="B34" s="1" t="s">
        <v>7</v>
      </c>
      <c r="C34">
        <v>331</v>
      </c>
      <c r="D34" s="25">
        <v>0</v>
      </c>
    </row>
    <row r="35" spans="2:4" x14ac:dyDescent="0.25">
      <c r="B35" s="3" t="s">
        <v>8</v>
      </c>
      <c r="C35" s="8">
        <f>SUM(C31:C34)</f>
        <v>335</v>
      </c>
      <c r="D35" s="4">
        <f>SUM(D31:D34)</f>
        <v>0</v>
      </c>
    </row>
    <row r="37" spans="2:4" x14ac:dyDescent="0.25">
      <c r="B37" s="31" t="s">
        <v>9</v>
      </c>
      <c r="C37" s="31"/>
      <c r="D37" s="31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>
        <v>2</v>
      </c>
      <c r="D39" s="25">
        <v>0</v>
      </c>
    </row>
    <row r="40" spans="2:4" x14ac:dyDescent="0.25">
      <c r="B40" s="9" t="s">
        <v>5</v>
      </c>
      <c r="C40">
        <v>1</v>
      </c>
      <c r="D40" s="25">
        <v>0</v>
      </c>
    </row>
    <row r="41" spans="2:4" x14ac:dyDescent="0.25">
      <c r="B41" s="9" t="s">
        <v>7</v>
      </c>
      <c r="C41">
        <v>176</v>
      </c>
      <c r="D41" s="25">
        <v>0</v>
      </c>
    </row>
    <row r="42" spans="2:4" x14ac:dyDescent="0.25">
      <c r="B42" s="10" t="s">
        <v>8</v>
      </c>
      <c r="C42" s="8">
        <f>SUM(C39:C41)</f>
        <v>179</v>
      </c>
      <c r="D42" s="4">
        <f>SUM(D39:D41)</f>
        <v>0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2</v>
      </c>
      <c r="D46" s="29">
        <v>0</v>
      </c>
    </row>
    <row r="47" spans="2:4" x14ac:dyDescent="0.25">
      <c r="B47" s="1" t="s">
        <v>7</v>
      </c>
      <c r="C47">
        <v>64</v>
      </c>
      <c r="D47" s="29">
        <v>0</v>
      </c>
    </row>
    <row r="48" spans="2:4" x14ac:dyDescent="0.25">
      <c r="B48" s="3" t="s">
        <v>8</v>
      </c>
      <c r="C48" s="8">
        <f>SUM(C46:C47)</f>
        <v>66</v>
      </c>
      <c r="D48" s="4">
        <f>SUM(D46:D47)</f>
        <v>0</v>
      </c>
    </row>
    <row r="50" spans="2:4" x14ac:dyDescent="0.25">
      <c r="B50" s="12" t="s">
        <v>12</v>
      </c>
      <c r="C50" s="13">
        <f>SUMIF(B:B, "Total general", C:C)</f>
        <v>36664</v>
      </c>
      <c r="D50" s="13">
        <f>SUMIF(B:B, "Total general", D:D)</f>
        <v>81267.430000000008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13902</v>
      </c>
      <c r="D3" s="14">
        <f>SUMIF('CDC-OLGUIN'!B:B, "Extrajudicial - 0 a 28 semanas de atraso", 'CDC-OLGUIN'!D:D)</f>
        <v>42393.55</v>
      </c>
    </row>
    <row r="4" spans="2:6" x14ac:dyDescent="0.25">
      <c r="B4" s="1" t="s">
        <v>5</v>
      </c>
      <c r="C4" s="6">
        <f>SUMIF('CDC-OLGUIN'!B:B, "Extrajudicial - 29 a 39 semanas de atraso", 'CDC-OLGUIN'!C:C)</f>
        <v>6896</v>
      </c>
      <c r="D4" s="14">
        <f>SUMIF('CDC-OLGUIN'!B:B, "Extrajudicial - 29 a 39 semanas de atraso", 'CDC-OLGUIN'!D:D)</f>
        <v>16110.880000000001</v>
      </c>
    </row>
    <row r="5" spans="2:6" x14ac:dyDescent="0.25">
      <c r="B5" s="1" t="s">
        <v>6</v>
      </c>
      <c r="C5" s="6">
        <f>SUMIF('CDC-OLGUIN'!B:B, "Extrajudicial - 40 a 55 semanas de atraso", 'CDC-OLGUIN'!C:C)</f>
        <v>9314</v>
      </c>
      <c r="D5" s="14">
        <f>SUMIF('CDC-OLGUIN'!B:B, "Extrajudicial - 40 a 55 semanas de atraso", 'CDC-OLGUIN'!D:D)</f>
        <v>19034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500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3229</v>
      </c>
      <c r="E7" s="14"/>
      <c r="F7" s="7"/>
    </row>
    <row r="8" spans="2:6" x14ac:dyDescent="0.25">
      <c r="B8" s="3" t="s">
        <v>8</v>
      </c>
      <c r="C8" s="8">
        <f>SUM(C3:C7)</f>
        <v>36664</v>
      </c>
      <c r="D8" s="4">
        <f>SUM(D3:D7)</f>
        <v>81267.430000000008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12108</v>
      </c>
      <c r="E6" s="16">
        <f>SUMIF('REPORTE DIARIO'!B:B,'EPR 26 JUN'!C6, 'REPORTE DIARIO'!D:D)</f>
        <v>104445.14</v>
      </c>
      <c r="F6" s="16">
        <f>J6*D6</f>
        <v>761074.28571428568</v>
      </c>
      <c r="G6" s="16">
        <f>+E6-F6</f>
        <v>-656629.14571428567</v>
      </c>
      <c r="H6" s="15">
        <f>ABS(G6/F6)</f>
        <v>0.86276616887407276</v>
      </c>
      <c r="I6" s="16">
        <f>E6/D6</f>
        <v>8.626126527915428</v>
      </c>
      <c r="J6" s="16">
        <f>(220/7)*2</f>
        <v>62.857142857142854</v>
      </c>
      <c r="K6" s="16">
        <f>+I6-J6</f>
        <v>-54.23101632922743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7256</v>
      </c>
      <c r="E7" s="16">
        <f>SUMIF('REPORTE DIARIO'!B:B,'EPR 26 JUN'!C7, 'REPORTE DIARIO'!D:D)</f>
        <v>73745.69</v>
      </c>
      <c r="F7" s="16">
        <f>J7*D7</f>
        <v>228045.71428571426</v>
      </c>
      <c r="G7" s="16">
        <f>+E7-F7</f>
        <v>-154300.02428571426</v>
      </c>
      <c r="H7" s="15">
        <f>ABS(G7/F7)</f>
        <v>0.67661882955798336</v>
      </c>
      <c r="I7" s="16">
        <f>E7/D7</f>
        <v>10.163408213891952</v>
      </c>
      <c r="J7" s="16">
        <f>(110/7)*2</f>
        <v>31.428571428571427</v>
      </c>
      <c r="K7" s="16">
        <f t="shared" ref="K7:K9" si="0">+I7-J7</f>
        <v>-21.265163214679475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13383</v>
      </c>
      <c r="E8" s="16">
        <f>SUMIF('REPORTE DIARIO'!B:B,'EPR 26 JUN'!C8, 'REPORTE DIARIO'!D:D)</f>
        <v>86612.81</v>
      </c>
      <c r="F8" s="16">
        <f>J8*D8</f>
        <v>172067.14285714287</v>
      </c>
      <c r="G8" s="16">
        <f>+E8-F8</f>
        <v>-85454.332857142872</v>
      </c>
      <c r="H8" s="15">
        <f>ABS(G8/F8)</f>
        <v>0.49663364799455367</v>
      </c>
      <c r="I8" s="16">
        <f>E8/D8</f>
        <v>6.4718530972128816</v>
      </c>
      <c r="J8" s="16">
        <f>(45/7)*2</f>
        <v>12.857142857142858</v>
      </c>
      <c r="K8" s="16">
        <f t="shared" si="0"/>
        <v>-6.3852897599299761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56563</v>
      </c>
      <c r="E9" s="16">
        <f>SUMIF('REPORTE DIARIO'!B:B,'EPR 26 JUN'!C9, 'REPORTE DIARIO'!D:D)</f>
        <v>117433.93999999999</v>
      </c>
      <c r="F9" s="16">
        <f>J9*D9</f>
        <v>242412.85714285713</v>
      </c>
      <c r="G9" s="16">
        <f>+E9-F9</f>
        <v>-124978.91714285714</v>
      </c>
      <c r="H9" s="15">
        <f>ABS(G9/F9)</f>
        <v>0.51556224622692104</v>
      </c>
      <c r="I9" s="16">
        <f>E9/D9</f>
        <v>2.076161801884624</v>
      </c>
      <c r="J9" s="16">
        <f>(15/7)*2</f>
        <v>4.2857142857142856</v>
      </c>
      <c r="K9" s="16">
        <f t="shared" si="0"/>
        <v>-2.2095524838296616</v>
      </c>
    </row>
    <row r="10" spans="2:12" x14ac:dyDescent="0.25">
      <c r="B10" s="16"/>
      <c r="C10" s="19" t="s">
        <v>16</v>
      </c>
      <c r="D10" s="24">
        <f>SUM(D6:D9)</f>
        <v>89310</v>
      </c>
      <c r="E10" s="20">
        <f>SUM(E6:E9)</f>
        <v>382237.58</v>
      </c>
      <c r="F10" s="20">
        <f>SUM(F6:F9)</f>
        <v>1403600</v>
      </c>
      <c r="G10" s="20">
        <f>+E10-F10</f>
        <v>-1021362.4199999999</v>
      </c>
      <c r="H10" s="21">
        <f>ABS(G10/F10)</f>
        <v>0.72767342547734393</v>
      </c>
      <c r="I10" s="20">
        <f>E10/D10</f>
        <v>4.2798967640801706</v>
      </c>
      <c r="J10" s="20">
        <f>F10/D10</f>
        <v>15.716045235695891</v>
      </c>
      <c r="K10" s="20">
        <f>I10-J10</f>
        <v>-11.43614847161572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2025-10-21T15:59:19Z</dcterms:modified>
</cp:coreProperties>
</file>