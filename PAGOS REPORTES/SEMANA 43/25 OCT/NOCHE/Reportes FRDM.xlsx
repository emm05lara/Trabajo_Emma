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5 OCT\NOCHE\"/>
    </mc:Choice>
  </mc:AlternateContent>
  <xr:revisionPtr revIDLastSave="0" documentId="13_ncr:1_{B63C6833-D665-4215-BA0D-116D74B2F29B}" xr6:coauthVersionLast="47" xr6:coauthVersionMax="47" xr10:uidLastSave="{00000000-0000-0000-0000-000000000000}"/>
  <bookViews>
    <workbookView xWindow="-120" yWindow="-120" windowWidth="51840" windowHeight="21120" xr2:uid="{103C4352-07D9-4E14-99D3-7E712DCF3AE4}"/>
  </bookViews>
  <sheets>
    <sheet name="FRMD Campo" sheetId="1" r:id="rId1"/>
    <sheet name="FRMD Cal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1" l="1"/>
  <c r="E10" i="3"/>
  <c r="D10" i="3"/>
  <c r="E8" i="3"/>
  <c r="E6" i="3"/>
  <c r="E7" i="3"/>
  <c r="G6" i="1"/>
  <c r="J6" i="1" s="1"/>
  <c r="G7" i="1"/>
  <c r="H7" i="1" s="1"/>
  <c r="G8" i="1"/>
  <c r="G9" i="1"/>
  <c r="G10" i="1"/>
  <c r="H10" i="1" s="1"/>
  <c r="J9" i="1" l="1"/>
  <c r="H9" i="1"/>
  <c r="J8" i="1"/>
  <c r="H8" i="1"/>
  <c r="J7" i="1"/>
  <c r="H6" i="1"/>
  <c r="J10" i="1"/>
  <c r="E10" i="1"/>
  <c r="D10" i="1"/>
</calcChain>
</file>

<file path=xl/sharedStrings.xml><?xml version="1.0" encoding="utf-8"?>
<sst xmlns="http://schemas.openxmlformats.org/spreadsheetml/2006/main" count="41" uniqueCount="27">
  <si>
    <t>EPR IDEAL</t>
  </si>
  <si>
    <t>TOTAL</t>
  </si>
  <si>
    <t>MOTOR</t>
  </si>
  <si>
    <t># DE DEUDORES</t>
  </si>
  <si>
    <t>ALCANCE A CUOTA</t>
  </si>
  <si>
    <t>ITALIKAS RMD</t>
  </si>
  <si>
    <t>CONSUMOS RMD</t>
  </si>
  <si>
    <t>MULTIPLEX</t>
  </si>
  <si>
    <t>CREDIMAX</t>
  </si>
  <si>
    <t>RECURRENCIAS</t>
  </si>
  <si>
    <t>ESTADO DE FUERZA</t>
  </si>
  <si>
    <t>CUOTA IDEAL</t>
  </si>
  <si>
    <t>CUOTA REAL</t>
  </si>
  <si>
    <t>% CUOTA REAL</t>
  </si>
  <si>
    <t>Responsable</t>
  </si>
  <si>
    <t>Armando</t>
  </si>
  <si>
    <t>Fernando</t>
  </si>
  <si>
    <t>Esteban</t>
  </si>
  <si>
    <t>COBRANZA SEMANA 42</t>
  </si>
  <si>
    <t>TOR</t>
  </si>
  <si>
    <t>RMD ITK - CONSUMO</t>
  </si>
  <si>
    <t>Diana Garcia</t>
  </si>
  <si>
    <t>Por definir</t>
  </si>
  <si>
    <t>REPORTE ALCANCE A CUOTA (CAMPO) ACUMULADO</t>
  </si>
  <si>
    <t>REPORTE ALCANCE A CUOTA (CALL) ACUMULADO</t>
  </si>
  <si>
    <t>COBRANZA SEMANA 43</t>
  </si>
  <si>
    <t>Dominic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</si>
</sst>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&quot;$&quot;* #,##0.0_-;\-&quot;$&quot;* #,##0.0_-;_-&quot;$&quot;* &quot;-&quot;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42" fontId="0" fillId="0" borderId="0" xfId="0" applyNumberFormat="1" applyAlignment="1">
      <alignment horizontal="center"/>
    </xf>
    <xf numFmtId="42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4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17"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  <dxf>
      <numFmt numFmtId="14" formatCode="0.00%"/>
    </dxf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DAF3E-00C4-44A8-A0A5-2DBA757FE807}" name="Tabla2" displayName="Tabla2" ref="B5:J10" totalsRowShown="0" headerRowDxfId="16">
  <tableColumns count="9">
    <tableColumn id="1" xr3:uid="{1DC3A174-C352-47CD-A34D-8DC1F034C9AD}" name="MOTOR" dataDxfId="15"/>
    <tableColumn id="2" xr3:uid="{E43FC2B1-D45E-4187-B64F-F463315F618A}" name="Responsable" dataDxfId="14"/>
    <tableColumn id="3" xr3:uid="{E1685A4F-2799-4055-AC16-644E1938D632}" name="ESTADO DE FUERZA" dataDxfId="13"/>
    <tableColumn id="5" xr3:uid="{BE513115-495B-4DF9-B2C1-55A2CD0CC809}" name="# DE DEUDORES" dataDxfId="12"/>
    <tableColumn id="6" xr3:uid="{DA94EED7-E7C2-4418-A980-C0C4BAD34302}" name="EPR IDEAL" dataDxfId="11"/>
    <tableColumn id="7" xr3:uid="{325D868D-D613-471F-B895-3881A00A5EE9}" name="CUOTA IDEAL" dataDxfId="10">
      <calculatedColumnFormula>Tabla2[[#This Row],['# DE DEUDORES]]*Tabla2[[#This Row],[EPR IDEAL]]</calculatedColumnFormula>
    </tableColumn>
    <tableColumn id="4" xr3:uid="{EE133C85-892E-4DC5-8967-18B3EF4687C9}" name="ALCANCE A CUOTA" dataDxfId="9">
      <calculatedColumnFormula>Tabla2[[#This Row],[CUOTA IDEAL]]*0.6</calculatedColumnFormula>
    </tableColumn>
    <tableColumn id="8" xr3:uid="{77ACC2A6-98F1-4822-94E3-CE94EDE4E6AB}" name="CUOTA REAL"/>
    <tableColumn id="9" xr3:uid="{6743BFDB-6195-40CB-872A-C0ED31A2A5B7}" name="% CUOTA REAL" dataDxfId="8">
      <calculatedColumnFormula>(Tabla2[[#This Row],[CUOTA REAL]])/Tabla2[[#This Row],[CUOTA IDEAL]]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F2790-9E94-4BC0-8635-4A0C7CB5F38A}" name="Tabla22" displayName="Tabla22" ref="B5:J10" totalsRowShown="0" headerRowDxfId="7">
  <tableColumns count="9">
    <tableColumn id="1" xr3:uid="{885AE5DF-5F4F-4431-A5BE-69D3742D5D7F}" name="MOTOR" dataDxfId="6"/>
    <tableColumn id="2" xr3:uid="{8088F7DD-0E32-4590-A233-EEA0D5174487}" name="Responsable" dataDxfId="5"/>
    <tableColumn id="3" xr3:uid="{BA071C61-63D0-4DFC-8796-2FAD6FC6B350}" name="ESTADO DE FUERZA" dataDxfId="4"/>
    <tableColumn id="5" xr3:uid="{72AC7DBA-FFDD-457B-97D2-998B7D6E463B}" name="# DE DEUDORES" dataDxfId="3"/>
    <tableColumn id="6" xr3:uid="{2C2DB4EE-B607-4F96-9DA0-A4647473B08D}" name="EPR IDEAL" dataDxfId="2"/>
    <tableColumn id="7" xr3:uid="{F91D9DCE-8D91-41A8-A3C5-EE21E8DDB815}" name="CUOTA IDEAL" dataDxfId="1">
      <calculatedColumnFormula>Tabla22[[#This Row],['# DE DEUDORES]]*Tabla22[[#This Row],[EPR IDEAL]]</calculatedColumnFormula>
    </tableColumn>
    <tableColumn id="4" xr3:uid="{5F4A2ABC-B255-4CE1-814E-E6A3E187A30C}" name="ALCANCE A CUOTA" dataDxfId="0">
      <calculatedColumnFormula>Tabla22[[#This Row],[CUOTA IDEAL]]*0.6</calculatedColumnFormula>
    </tableColumn>
    <tableColumn id="8" xr3:uid="{14DC365F-BBEC-4D11-9735-08AF2E3BC237}" name="CUOTA REAL"/>
    <tableColumn id="9" xr3:uid="{13F9DA16-94F3-4ACD-BF5C-32D087C3894B}" name="% CUOTA RE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26E2-4F19-44C1-9413-BDA4BF23B7DA}">
  <dimension ref="B2:J14"/>
  <sheetViews>
    <sheetView showGridLines="0" tabSelected="1" zoomScale="130" zoomScaleNormal="130" workbookViewId="0">
      <selection activeCell="B5" sqref="B5"/>
    </sheetView>
  </sheetViews>
  <sheetFormatPr baseColWidth="10" defaultRowHeight="15" x14ac:dyDescent="0.25"/>
  <cols>
    <col min="2" max="2" width="15.5703125" bestFit="1" customWidth="1"/>
    <col min="3" max="3" width="11.7109375" bestFit="1" customWidth="1"/>
    <col min="4" max="4" width="17.7109375" bestFit="1" customWidth="1"/>
    <col min="5" max="5" width="14.42578125" bestFit="1" customWidth="1"/>
    <col min="6" max="6" width="9.5703125" bestFit="1" customWidth="1"/>
    <col min="7" max="7" width="15" bestFit="1" customWidth="1"/>
    <col min="8" max="8" width="17.28515625" bestFit="1" customWidth="1"/>
    <col min="9" max="9" width="13.28515625" bestFit="1" customWidth="1"/>
    <col min="10" max="10" width="17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23</v>
      </c>
    </row>
    <row r="3" spans="2:10" x14ac:dyDescent="0.25">
      <c r="B3" s="2" t="s">
        <v>25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5</v>
      </c>
      <c r="C6" s="3" t="s">
        <v>26</v>
      </c>
      <c r="D6" s="5">
        <v>20</v>
      </c>
      <c r="E6" s="5">
        <v>2006</v>
      </c>
      <c r="F6" s="7">
        <v>100</v>
      </c>
      <c r="G6" s="7">
        <f>Tabla2[[#This Row],['# DE DEUDORES]]*Tabla2[[#This Row],[EPR IDEAL]]</f>
        <v>200600</v>
      </c>
      <c r="H6" s="9">
        <f>Tabla2[[#This Row],[CUOTA IDEAL]]*0.6</f>
        <v>120360</v>
      </c>
      <c r="I6" s="11">
        <v>11151.53</v>
      </c>
      <c r="J6" s="12">
        <f>(Tabla2[[#This Row],[CUOTA REAL]])/Tabla2[[#This Row],[CUOTA IDEAL]]</f>
        <v>5.5590877367896314E-2</v>
      </c>
    </row>
    <row r="7" spans="2:10" x14ac:dyDescent="0.25">
      <c r="B7" s="3" t="s">
        <v>6</v>
      </c>
      <c r="C7" s="3" t="s">
        <v>15</v>
      </c>
      <c r="D7" s="5">
        <v>18</v>
      </c>
      <c r="E7" s="5">
        <v>7796</v>
      </c>
      <c r="F7" s="7">
        <v>120</v>
      </c>
      <c r="G7" s="7">
        <f>Tabla2[[#This Row],['# DE DEUDORES]]*Tabla2[[#This Row],[EPR IDEAL]]</f>
        <v>935520</v>
      </c>
      <c r="H7" s="9">
        <f>Tabla2[[#This Row],[CUOTA IDEAL]]*0.6</f>
        <v>561312</v>
      </c>
      <c r="I7" s="11">
        <v>10165</v>
      </c>
      <c r="J7" s="12">
        <f>(Tabla2[[#This Row],[CUOTA REAL]])/Tabla2[[#This Row],[CUOTA IDEAL]]</f>
        <v>1.086561484521977E-2</v>
      </c>
    </row>
    <row r="8" spans="2:10" x14ac:dyDescent="0.25">
      <c r="B8" s="3" t="s">
        <v>7</v>
      </c>
      <c r="C8" s="3" t="s">
        <v>16</v>
      </c>
      <c r="D8" s="5">
        <v>16</v>
      </c>
      <c r="E8" s="5">
        <v>5887</v>
      </c>
      <c r="F8" s="7">
        <v>150</v>
      </c>
      <c r="G8" s="7">
        <f>Tabla2[[#This Row],['# DE DEUDORES]]*Tabla2[[#This Row],[EPR IDEAL]]</f>
        <v>883050</v>
      </c>
      <c r="H8" s="9">
        <f>Tabla2[[#This Row],[CUOTA IDEAL]]*0.6</f>
        <v>529830</v>
      </c>
      <c r="I8" s="11">
        <v>45022.400000000001</v>
      </c>
      <c r="J8" s="12">
        <f>(Tabla2[[#This Row],[CUOTA REAL]])/Tabla2[[#This Row],[CUOTA IDEAL]]</f>
        <v>5.0985108431006176E-2</v>
      </c>
    </row>
    <row r="9" spans="2:10" x14ac:dyDescent="0.25">
      <c r="B9" s="3" t="s">
        <v>8</v>
      </c>
      <c r="C9" s="3" t="s">
        <v>17</v>
      </c>
      <c r="D9" s="5">
        <v>16</v>
      </c>
      <c r="E9" s="5">
        <v>5915</v>
      </c>
      <c r="F9" s="7">
        <v>70</v>
      </c>
      <c r="G9" s="7">
        <f>Tabla2[[#This Row],['# DE DEUDORES]]*Tabla2[[#This Row],[EPR IDEAL]]</f>
        <v>414050</v>
      </c>
      <c r="H9" s="9">
        <f>Tabla2[[#This Row],[CUOTA IDEAL]]*0.6</f>
        <v>248430</v>
      </c>
      <c r="I9" s="11">
        <v>18720</v>
      </c>
      <c r="J9" s="12">
        <f>(Tabla2[[#This Row],[CUOTA REAL]])/Tabla2[[#This Row],[CUOTA IDEAL]]</f>
        <v>4.5211930926216642E-2</v>
      </c>
    </row>
    <row r="10" spans="2:10" x14ac:dyDescent="0.25">
      <c r="B10" s="4" t="s">
        <v>1</v>
      </c>
      <c r="C10" s="3"/>
      <c r="D10" s="6">
        <f>SUBTOTAL(109,D6:D9)</f>
        <v>70</v>
      </c>
      <c r="E10" s="6">
        <f>SUBTOTAL(109,E6:E9)</f>
        <v>21604</v>
      </c>
      <c r="F10" s="8"/>
      <c r="G10" s="8">
        <f>SUBTOTAL(109,G6:G9)</f>
        <v>2433220</v>
      </c>
      <c r="H10" s="8">
        <f>Tabla2[[#This Row],[CUOTA IDEAL]]*0.6</f>
        <v>1459932</v>
      </c>
      <c r="I10" s="8">
        <f>SUM(I6:I9)</f>
        <v>85058.93</v>
      </c>
      <c r="J10" s="12">
        <f>(Tabla2[[#This Row],[CUOTA REAL]])/Tabla2[[#This Row],[CUOTA IDEAL]]</f>
        <v>3.495735280821298E-2</v>
      </c>
    </row>
    <row r="14" spans="2:10" x14ac:dyDescent="0.25">
      <c r="G14" s="11"/>
    </row>
  </sheetData>
  <phoneticPr fontId="3" type="noConversion"/>
  <conditionalFormatting sqref="J6:J10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{234FC176-3E18-4C60-9650-B8571706214B}</x14:id>
        </ext>
      </extLst>
    </cfRule>
  </conditionalFormatting>
  <pageMargins left="0.7" right="0.7" top="0.75" bottom="0.75" header="0.3" footer="0.3"/>
  <pageSetup scale="65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4FC176-3E18-4C60-9650-B857170621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J6:J10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CE95-084F-44EA-A7EF-46FBB1DB1AAE}">
  <dimension ref="B2:J10"/>
  <sheetViews>
    <sheetView showGridLines="0" zoomScale="130" zoomScaleNormal="130" workbookViewId="0">
      <selection activeCell="F6" sqref="F6"/>
    </sheetView>
  </sheetViews>
  <sheetFormatPr baseColWidth="10" defaultRowHeight="15" x14ac:dyDescent="0.25"/>
  <cols>
    <col min="2" max="2" width="19.42578125" bestFit="1" customWidth="1"/>
    <col min="3" max="3" width="12.28515625" bestFit="1" customWidth="1"/>
    <col min="4" max="4" width="18.140625" bestFit="1" customWidth="1"/>
    <col min="5" max="5" width="14.7109375" bestFit="1" customWidth="1"/>
    <col min="6" max="6" width="9.85546875" bestFit="1" customWidth="1"/>
    <col min="7" max="7" width="12.7109375" bestFit="1" customWidth="1"/>
    <col min="8" max="8" width="17.7109375" bestFit="1" customWidth="1"/>
    <col min="9" max="9" width="12" bestFit="1" customWidth="1"/>
    <col min="10" max="10" width="14" bestFit="1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24</v>
      </c>
    </row>
    <row r="3" spans="2:10" x14ac:dyDescent="0.25">
      <c r="B3" s="2" t="s">
        <v>18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19</v>
      </c>
      <c r="C6" s="3" t="s">
        <v>21</v>
      </c>
      <c r="D6" s="5">
        <v>3</v>
      </c>
      <c r="E6" s="5">
        <f>526-217</f>
        <v>309</v>
      </c>
      <c r="F6" s="7"/>
      <c r="G6" s="7"/>
      <c r="H6" s="9"/>
    </row>
    <row r="7" spans="2:10" x14ac:dyDescent="0.25">
      <c r="B7" s="3" t="s">
        <v>20</v>
      </c>
      <c r="C7" s="3" t="s">
        <v>21</v>
      </c>
      <c r="D7" s="5">
        <v>5</v>
      </c>
      <c r="E7" s="5">
        <f>2193-196</f>
        <v>1997</v>
      </c>
      <c r="F7" s="7"/>
      <c r="G7" s="7"/>
      <c r="H7" s="9"/>
    </row>
    <row r="8" spans="2:10" x14ac:dyDescent="0.25">
      <c r="B8" s="3" t="s">
        <v>8</v>
      </c>
      <c r="C8" s="3" t="s">
        <v>21</v>
      </c>
      <c r="D8" s="5">
        <v>12</v>
      </c>
      <c r="E8" s="5">
        <f>1183-104</f>
        <v>1079</v>
      </c>
      <c r="F8" s="7"/>
      <c r="G8" s="7"/>
      <c r="H8" s="9"/>
    </row>
    <row r="9" spans="2:10" x14ac:dyDescent="0.25">
      <c r="B9" s="3" t="s">
        <v>9</v>
      </c>
      <c r="C9" s="3" t="s">
        <v>21</v>
      </c>
      <c r="D9" s="5" t="s">
        <v>22</v>
      </c>
      <c r="E9" s="5">
        <v>584</v>
      </c>
      <c r="F9" s="7"/>
      <c r="G9" s="7"/>
      <c r="H9" s="9"/>
    </row>
    <row r="10" spans="2:10" x14ac:dyDescent="0.25">
      <c r="B10" s="4" t="s">
        <v>1</v>
      </c>
      <c r="C10" s="3"/>
      <c r="D10" s="6">
        <f>SUBTOTAL(109,D6:D9)</f>
        <v>20</v>
      </c>
      <c r="E10" s="6">
        <f>SUBTOTAL(109,E6:E9)</f>
        <v>3969</v>
      </c>
      <c r="F10" s="8"/>
      <c r="G10" s="8"/>
      <c r="H10" s="10"/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FRMD Campo</vt:lpstr>
      <vt:lpstr>FRMD 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User</cp:lastModifiedBy>
  <dcterms:created xsi:type="dcterms:W3CDTF">2025-10-11T21:03:12Z</dcterms:created>
  <dcterms:modified xsi:type="dcterms:W3CDTF">2025-10-26T02:30:11Z</dcterms:modified>
</cp:coreProperties>
</file>