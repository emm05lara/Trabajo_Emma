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5 OCT\NOCHE\"/>
    </mc:Choice>
  </mc:AlternateContent>
  <xr:revisionPtr revIDLastSave="0" documentId="13_ncr:1_{A4460B82-E9E4-4187-9A94-52C906DDFABD}" xr6:coauthVersionLast="47" xr6:coauthVersionMax="47" xr10:uidLastSave="{00000000-0000-0000-0000-000000000000}"/>
  <bookViews>
    <workbookView xWindow="16650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18" i="1"/>
  <c r="C26" i="1"/>
  <c r="D26" i="1"/>
  <c r="D48" i="5"/>
  <c r="C48" i="5"/>
  <c r="D40" i="5"/>
  <c r="C40" i="5"/>
  <c r="D27" i="5"/>
  <c r="C27" i="5"/>
  <c r="C42" i="1"/>
  <c r="D42" i="1"/>
  <c r="C34" i="1"/>
  <c r="D18" i="5"/>
  <c r="C18" i="5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<sst xmlns="http://schemas.openxmlformats.org/spreadsheetml/2006/main" count="139" uniqueCount="37">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</sst>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7094</v>
      </c>
      <c r="D5" s="28">
        <v>497261.14</v>
      </c>
    </row>
    <row r="6" spans="2:8" x14ac:dyDescent="0.25">
      <c r="B6" s="1" t="s">
        <v>5</v>
      </c>
      <c r="C6" s="6">
        <v>4865</v>
      </c>
      <c r="D6" s="28">
        <v>383380.74</v>
      </c>
    </row>
    <row r="7" spans="2:8" x14ac:dyDescent="0.25">
      <c r="B7" s="1" t="s">
        <v>6</v>
      </c>
      <c r="C7" s="6">
        <v>8148</v>
      </c>
      <c r="D7" s="28">
        <v>250183.96000000002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38305</v>
      </c>
      <c r="D9" s="28">
        <v>534530.29</v>
      </c>
      <c r="E9" s="14"/>
      <c r="F9" s="7"/>
    </row>
    <row r="10" spans="2:8" x14ac:dyDescent="0.25">
      <c r="B10" s="3" t="s">
        <v>8</v>
      </c>
      <c r="C10" s="8">
        <f>SUM(C5:C9)</f>
        <v>58926</v>
      </c>
      <c r="D10" s="4">
        <f>SUM(D5:D9)</f>
        <v>1665356.1300000001</v>
      </c>
      <c r="E10" s="11" t="s">
        <v>13</v>
      </c>
    </row>
    <row r="12" spans="2:8" x14ac:dyDescent="0.25">
      <c r="B12" s="31" t="s">
        <v>34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96</v>
      </c>
      <c r="D14" s="28">
        <v>38559.130000000005</v>
      </c>
    </row>
    <row r="15" spans="2:8" x14ac:dyDescent="0.25">
      <c r="B15" s="1" t="s">
        <v>5</v>
      </c>
      <c r="C15" s="6">
        <v>278</v>
      </c>
      <c r="D15" s="28">
        <v>69381.399999999994</v>
      </c>
    </row>
    <row r="16" spans="2:8" x14ac:dyDescent="0.25">
      <c r="B16" s="1" t="s">
        <v>6</v>
      </c>
      <c r="C16" s="6">
        <v>356</v>
      </c>
      <c r="D16" s="28">
        <v>32523</v>
      </c>
    </row>
    <row r="17" spans="2:4" x14ac:dyDescent="0.25">
      <c r="B17" s="1" t="s">
        <v>7</v>
      </c>
      <c r="C17" s="7">
        <v>15071</v>
      </c>
      <c r="D17" s="28">
        <v>74823.320000000007</v>
      </c>
    </row>
    <row r="18" spans="2:4" x14ac:dyDescent="0.25">
      <c r="B18" s="3" t="s">
        <v>8</v>
      </c>
      <c r="C18" s="8">
        <f>SUM(C14:C17)</f>
        <v>15801</v>
      </c>
      <c r="D18" s="4">
        <f>SUM(D14:D17)</f>
        <v>215286.85</v>
      </c>
    </row>
    <row r="20" spans="2:4" x14ac:dyDescent="0.25">
      <c r="B20" s="32" t="s">
        <v>10</v>
      </c>
      <c r="C20" s="32"/>
      <c r="D20" s="32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4971</v>
      </c>
      <c r="D22" s="28">
        <v>138541.44</v>
      </c>
    </row>
    <row r="23" spans="2:4" x14ac:dyDescent="0.25">
      <c r="B23" s="1" t="s">
        <v>5</v>
      </c>
      <c r="C23" s="6">
        <v>1238</v>
      </c>
      <c r="D23" s="28">
        <v>24439.96</v>
      </c>
    </row>
    <row r="24" spans="2:4" x14ac:dyDescent="0.25">
      <c r="B24" s="1" t="s">
        <v>6</v>
      </c>
      <c r="C24" s="6">
        <v>3733</v>
      </c>
      <c r="D24" s="28">
        <v>42298.6</v>
      </c>
    </row>
    <row r="25" spans="2:4" x14ac:dyDescent="0.25">
      <c r="B25" s="1" t="s">
        <v>7</v>
      </c>
      <c r="C25" s="6">
        <v>1030</v>
      </c>
      <c r="D25" s="28">
        <v>399</v>
      </c>
    </row>
    <row r="26" spans="2:4" x14ac:dyDescent="0.25">
      <c r="B26" s="10" t="s">
        <v>8</v>
      </c>
      <c r="C26" s="8">
        <f>SUM(C22:C25)</f>
        <v>10972</v>
      </c>
      <c r="D26" s="4">
        <f>SUM(D22:D25)</f>
        <v>205679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609</v>
      </c>
      <c r="D30" s="28">
        <v>76238.53</v>
      </c>
    </row>
    <row r="31" spans="2:4" x14ac:dyDescent="0.25">
      <c r="B31" s="9" t="s">
        <v>5</v>
      </c>
      <c r="C31" s="6">
        <v>1799</v>
      </c>
      <c r="D31" s="28">
        <v>41475.35</v>
      </c>
    </row>
    <row r="32" spans="2:4" x14ac:dyDescent="0.25">
      <c r="B32" s="9" t="s">
        <v>6</v>
      </c>
      <c r="C32" s="6">
        <v>1436</v>
      </c>
      <c r="D32" s="28">
        <v>26992.82</v>
      </c>
    </row>
    <row r="33" spans="2:4" x14ac:dyDescent="0.25">
      <c r="B33" s="9" t="s">
        <v>7</v>
      </c>
      <c r="C33" s="6">
        <v>2557</v>
      </c>
      <c r="D33" s="28">
        <v>47020.66</v>
      </c>
    </row>
    <row r="34" spans="2:4" x14ac:dyDescent="0.25">
      <c r="B34" s="10" t="s">
        <v>8</v>
      </c>
      <c r="C34" s="8">
        <f>SUM(C30:C33)</f>
        <v>6401</v>
      </c>
      <c r="D34" s="4">
        <f>SUM(D30:D33)</f>
        <v>191727.36000000002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18</v>
      </c>
      <c r="D38" s="28">
        <v>18755</v>
      </c>
    </row>
    <row r="39" spans="2:4" x14ac:dyDescent="0.25">
      <c r="B39" s="1" t="s">
        <v>5</v>
      </c>
      <c r="C39" s="6">
        <v>36</v>
      </c>
      <c r="D39" s="28">
        <v>2048</v>
      </c>
    </row>
    <row r="40" spans="2:4" x14ac:dyDescent="0.25">
      <c r="B40" s="1" t="s">
        <v>6</v>
      </c>
      <c r="C40" s="6">
        <v>4</v>
      </c>
      <c r="D40" s="28">
        <v>3165</v>
      </c>
    </row>
    <row r="41" spans="2:4" x14ac:dyDescent="0.25">
      <c r="B41" s="1" t="s">
        <v>7</v>
      </c>
      <c r="C41" s="6">
        <v>732</v>
      </c>
      <c r="D41" s="28">
        <v>7208</v>
      </c>
    </row>
    <row r="42" spans="2:4" x14ac:dyDescent="0.25">
      <c r="B42" s="3" t="s">
        <v>8</v>
      </c>
      <c r="C42" s="8">
        <f>SUM(C38:C41)</f>
        <v>790</v>
      </c>
      <c r="D42" s="4">
        <f>SUM(D38:D41)</f>
        <v>31176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92890</v>
      </c>
      <c r="D50" s="13">
        <f>SUMIF(B:B, "Total general", D:D)</f>
        <v>2309225.3400000003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8412</v>
      </c>
      <c r="D5" s="28">
        <v>157497.57</v>
      </c>
      <c r="E5" s="11"/>
    </row>
    <row r="6" spans="2:8" x14ac:dyDescent="0.25">
      <c r="B6" s="1" t="s">
        <v>5</v>
      </c>
      <c r="C6" s="27">
        <v>5860</v>
      </c>
      <c r="D6" s="28">
        <v>63589.42</v>
      </c>
    </row>
    <row r="7" spans="2:8" x14ac:dyDescent="0.25">
      <c r="B7" s="1" t="s">
        <v>6</v>
      </c>
      <c r="C7" s="27">
        <v>5795</v>
      </c>
      <c r="D7" s="28">
        <v>49951</v>
      </c>
    </row>
    <row r="8" spans="2:8" x14ac:dyDescent="0.25">
      <c r="B8" s="5" t="s">
        <v>11</v>
      </c>
      <c r="C8" s="27">
        <v>2739</v>
      </c>
      <c r="D8" s="28">
        <v>1000</v>
      </c>
    </row>
    <row r="9" spans="2:8" x14ac:dyDescent="0.25">
      <c r="B9" s="1" t="s">
        <v>7</v>
      </c>
      <c r="C9" s="27">
        <v>2912</v>
      </c>
      <c r="D9" s="28">
        <v>9210</v>
      </c>
      <c r="E9" s="14"/>
      <c r="F9" s="7"/>
    </row>
    <row r="10" spans="2:8" x14ac:dyDescent="0.25">
      <c r="B10" s="3" t="s">
        <v>8</v>
      </c>
      <c r="C10" s="8">
        <f>SUM(C5:C9)</f>
        <v>25718</v>
      </c>
      <c r="D10" s="4">
        <f>SUM(D5:D9)</f>
        <v>281247.99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4956</v>
      </c>
      <c r="D14" s="28">
        <v>137863.44</v>
      </c>
    </row>
    <row r="15" spans="2:8" x14ac:dyDescent="0.25">
      <c r="B15" s="1" t="s">
        <v>5</v>
      </c>
      <c r="C15" s="26">
        <v>840</v>
      </c>
      <c r="D15" s="28">
        <v>16217.96</v>
      </c>
    </row>
    <row r="16" spans="2:8" x14ac:dyDescent="0.25">
      <c r="B16" s="1" t="s">
        <v>6</v>
      </c>
      <c r="C16" s="26">
        <v>3564</v>
      </c>
      <c r="D16" s="28">
        <v>42298.6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9387</v>
      </c>
      <c r="D18" s="4">
        <f>SUM(D14:D17)</f>
        <v>196779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896</v>
      </c>
      <c r="D22" s="28">
        <v>14603</v>
      </c>
    </row>
    <row r="23" spans="2:4" x14ac:dyDescent="0.25">
      <c r="B23" s="1" t="s">
        <v>5</v>
      </c>
      <c r="C23" s="26">
        <v>1000</v>
      </c>
      <c r="D23" s="28">
        <v>7194</v>
      </c>
    </row>
    <row r="24" spans="2:4" x14ac:dyDescent="0.25">
      <c r="B24" s="1" t="s">
        <v>6</v>
      </c>
      <c r="C24" s="26">
        <v>1011</v>
      </c>
      <c r="D24" s="28">
        <v>3910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5548.37</v>
      </c>
    </row>
    <row r="27" spans="2:4" x14ac:dyDescent="0.25">
      <c r="B27" s="3" t="s">
        <v>8</v>
      </c>
      <c r="C27" s="8">
        <f>SUM(C22:C26)</f>
        <v>3210</v>
      </c>
      <c r="D27" s="4">
        <f>SUM(D22:D26)</f>
        <v>31255.37</v>
      </c>
    </row>
    <row r="29" spans="2:4" x14ac:dyDescent="0.25">
      <c r="B29" s="31" t="s">
        <v>29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2</v>
      </c>
      <c r="D31" s="28">
        <v>15011</v>
      </c>
    </row>
    <row r="32" spans="2:4" x14ac:dyDescent="0.25">
      <c r="B32" s="1" t="s">
        <v>7</v>
      </c>
      <c r="C32">
        <v>64</v>
      </c>
      <c r="D32" s="28">
        <v>557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15568</v>
      </c>
    </row>
    <row r="35" spans="2:4" x14ac:dyDescent="0.25">
      <c r="B35" s="32" t="s">
        <v>9</v>
      </c>
      <c r="C35" s="32"/>
      <c r="D35" s="32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>
        <v>2</v>
      </c>
      <c r="D37" s="25">
        <v>0</v>
      </c>
    </row>
    <row r="38" spans="2:4" x14ac:dyDescent="0.25">
      <c r="B38" s="9" t="s">
        <v>5</v>
      </c>
      <c r="C38">
        <v>1</v>
      </c>
      <c r="D38" s="25">
        <v>0</v>
      </c>
    </row>
    <row r="39" spans="2:4" x14ac:dyDescent="0.25">
      <c r="B39" s="9" t="s">
        <v>7</v>
      </c>
      <c r="C39">
        <v>176</v>
      </c>
      <c r="D39" s="28">
        <v>1200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1200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>
        <v>3</v>
      </c>
      <c r="D44" s="28">
        <v>763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>
        <v>1</v>
      </c>
      <c r="D46" s="25">
        <v>0</v>
      </c>
    </row>
    <row r="47" spans="2:4" x14ac:dyDescent="0.25">
      <c r="B47" s="1" t="s">
        <v>7</v>
      </c>
      <c r="C47">
        <v>331</v>
      </c>
      <c r="D47" s="28">
        <v>388</v>
      </c>
    </row>
    <row r="48" spans="2:4" x14ac:dyDescent="0.25">
      <c r="B48" s="3" t="s">
        <v>8</v>
      </c>
      <c r="C48" s="8">
        <f>SUM(C44:C47)</f>
        <v>335</v>
      </c>
      <c r="D48" s="4">
        <f>SUM(D44:D47)</f>
        <v>1151</v>
      </c>
    </row>
    <row r="50" spans="2:4" x14ac:dyDescent="0.25">
      <c r="B50" s="12" t="s">
        <v>12</v>
      </c>
      <c r="C50" s="13">
        <f>SUMIF(B:B, "Total general", C:C)</f>
        <v>38895</v>
      </c>
      <c r="D50" s="13">
        <f>SUMIF(B:B, "Total general", D:D)</f>
        <v>527201.36</v>
      </c>
    </row>
  </sheetData>
  <mergeCells count="7">
    <mergeCell ref="B35:D35"/>
    <mergeCell ref="B29:D29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14271</v>
      </c>
      <c r="D3" s="14">
        <f>SUMIF('CDC-OLGUIN'!B:B, "Extrajudicial - 0 a 28 semanas de atraso", 'CDC-OLGUIN'!D:D)</f>
        <v>325738.01</v>
      </c>
    </row>
    <row r="4" spans="2:6" x14ac:dyDescent="0.25">
      <c r="B4" s="1" t="s">
        <v>5</v>
      </c>
      <c r="C4" s="6">
        <f>SUMIF('CDC-OLGUIN'!B:B, "Extrajudicial - 29 a 39 semanas de atraso", 'CDC-OLGUIN'!C:C)</f>
        <v>7701</v>
      </c>
      <c r="D4" s="14">
        <f>SUMIF('CDC-OLGUIN'!B:B, "Extrajudicial - 29 a 39 semanas de atraso", 'CDC-OLGUIN'!D:D)</f>
        <v>87001.38</v>
      </c>
    </row>
    <row r="5" spans="2:6" x14ac:dyDescent="0.25">
      <c r="B5" s="1" t="s">
        <v>6</v>
      </c>
      <c r="C5" s="6">
        <f>SUMIF('CDC-OLGUIN'!B:B, "Extrajudicial - 40 a 55 semanas de atraso", 'CDC-OLGUIN'!C:C)</f>
        <v>10371</v>
      </c>
      <c r="D5" s="14">
        <f>SUMIF('CDC-OLGUIN'!B:B, "Extrajudicial - 40 a 55 semanas de atraso", 'CDC-OLGUIN'!D:D)</f>
        <v>96159.6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1000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17302.37</v>
      </c>
      <c r="E7" s="14"/>
      <c r="F7" s="7"/>
    </row>
    <row r="8" spans="2:6" x14ac:dyDescent="0.25">
      <c r="B8" s="3" t="s">
        <v>8</v>
      </c>
      <c r="C8" s="8">
        <f>SUM(C3:C7)</f>
        <v>38895</v>
      </c>
      <c r="D8" s="4">
        <f>SUM(D3:D7)</f>
        <v>527201.36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12788</v>
      </c>
      <c r="E6" s="16">
        <f>SUMIF('REPORTE DIARIO'!B:B,'EPR 26 JUN'!C6, 'REPORTE DIARIO'!D:D)</f>
        <v>769355.24</v>
      </c>
      <c r="F6" s="16">
        <f>J6*D6</f>
        <v>803817.14285714284</v>
      </c>
      <c r="G6" s="16">
        <f>+E6-F6</f>
        <v>-34461.90285714285</v>
      </c>
      <c r="H6" s="15">
        <f>ABS(G6/F6)</f>
        <v>4.2872814001763009E-2</v>
      </c>
      <c r="I6" s="16">
        <f>E6/D6</f>
        <v>60.162280262746322</v>
      </c>
      <c r="J6" s="16">
        <f>(220/7)*2</f>
        <v>62.857142857142854</v>
      </c>
      <c r="K6" s="16">
        <f>+I6-J6</f>
        <v>-2.6948625943965325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8216</v>
      </c>
      <c r="E7" s="16">
        <f>SUMIF('REPORTE DIARIO'!B:B,'EPR 26 JUN'!C7, 'REPORTE DIARIO'!D:D)</f>
        <v>520725.45</v>
      </c>
      <c r="F7" s="16">
        <f>J7*D7</f>
        <v>258217.14285714284</v>
      </c>
      <c r="G7" s="16">
        <f>+E7-F7</f>
        <v>262508.30714285717</v>
      </c>
      <c r="H7" s="15">
        <f>ABS(G7/F7)</f>
        <v>1.0166184329910597</v>
      </c>
      <c r="I7" s="16">
        <f>E7/D7</f>
        <v>63.379436465433301</v>
      </c>
      <c r="J7" s="16">
        <f>(110/7)*2</f>
        <v>31.428571428571427</v>
      </c>
      <c r="K7" s="16">
        <f t="shared" ref="K7:K9" si="0">+I7-J7</f>
        <v>31.950865036861874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13677</v>
      </c>
      <c r="E8" s="16">
        <f>SUMIF('REPORTE DIARIO'!B:B,'EPR 26 JUN'!C8, 'REPORTE DIARIO'!D:D)</f>
        <v>355163.38</v>
      </c>
      <c r="F8" s="16">
        <f>J8*D8</f>
        <v>175847.14285714287</v>
      </c>
      <c r="G8" s="16">
        <f>+E8-F8</f>
        <v>179316.23714285714</v>
      </c>
      <c r="H8" s="15">
        <f>ABS(G8/F8)</f>
        <v>1.0197278967934813</v>
      </c>
      <c r="I8" s="16">
        <f>E8/D8</f>
        <v>25.967930101630476</v>
      </c>
      <c r="J8" s="16">
        <f>(45/7)*2</f>
        <v>12.857142857142858</v>
      </c>
      <c r="K8" s="16">
        <f t="shared" si="0"/>
        <v>13.110787244487618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57695</v>
      </c>
      <c r="E9" s="16">
        <f>SUMIF('REPORTE DIARIO'!B:B,'EPR 26 JUN'!C9, 'REPORTE DIARIO'!D:D)</f>
        <v>663981.27000000014</v>
      </c>
      <c r="F9" s="16">
        <f>J9*D9</f>
        <v>247264.28571428571</v>
      </c>
      <c r="G9" s="16">
        <f>+E9-F9</f>
        <v>416716.98428571445</v>
      </c>
      <c r="H9" s="15">
        <f>ABS(G9/F9)</f>
        <v>1.6853100441979381</v>
      </c>
      <c r="I9" s="16">
        <f>E9/D9</f>
        <v>11.508471617991162</v>
      </c>
      <c r="J9" s="16">
        <f>(15/7)*2</f>
        <v>4.2857142857142856</v>
      </c>
      <c r="K9" s="16">
        <f t="shared" si="0"/>
        <v>7.2227573322768768</v>
      </c>
    </row>
    <row r="10" spans="2:12" x14ac:dyDescent="0.25">
      <c r="B10" s="16"/>
      <c r="C10" s="19" t="s">
        <v>16</v>
      </c>
      <c r="D10" s="24">
        <f>SUM(D6:D9)</f>
        <v>92376</v>
      </c>
      <c r="E10" s="20">
        <f>SUM(E6:E9)</f>
        <v>2309225.34</v>
      </c>
      <c r="F10" s="20">
        <f>SUM(F6:F9)</f>
        <v>1485145.7142857143</v>
      </c>
      <c r="G10" s="20">
        <f>+E10-F10</f>
        <v>824079.62571428553</v>
      </c>
      <c r="H10" s="21">
        <f>ABS(G10/F10)</f>
        <v>0.55488132766193199</v>
      </c>
      <c r="I10" s="20">
        <f>E10/D10</f>
        <v>24.998109249155622</v>
      </c>
      <c r="J10" s="20">
        <f>F10/D10</f>
        <v>16.077181457150282</v>
      </c>
      <c r="K10" s="20">
        <f>I10-J10</f>
        <v>8.9209277920053403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2025-10-26T02:19:27Z</dcterms:modified>
</cp:coreProperties>
</file>