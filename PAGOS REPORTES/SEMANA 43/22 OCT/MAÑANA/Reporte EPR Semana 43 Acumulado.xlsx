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G:\PAGOS REPORTES\SEMANA 43\22 OCT\MAÑANA\"/>
    </mc:Choice>
  </mc:AlternateContent>
  <xr:revisionPtr revIDLastSave="0" documentId="13_ncr:1_{AF7562EB-58E7-4E09-9DFC-E65A3DE44831}" xr6:coauthVersionLast="47" xr6:coauthVersionMax="47" xr10:uidLastSave="{00000000-0000-0000-0000-000000000000}"/>
  <bookViews>
    <workbookView xWindow="1815" yWindow="1815" windowWidth="11130" windowHeight="6570" activeTab="1" xr2:uid="{4DC6C92A-CD8A-4966-829B-0B6A986E825B}"/>
  </bookViews>
  <sheets>
    <sheet name="REPORTE DIARIO" sheetId="1" r:id="rId1"/>
    <sheet name="CDC-OLGUIN" sheetId="5" r:id="rId2"/>
    <sheet name="COBRANZA CDC" sheetId="6" r:id="rId3"/>
    <sheet name="EPR 26 JUN" sheetId="3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C34" i="1" l="1"/>
  <c r="D34" i="1"/>
  <c r="D48" i="5"/>
  <c r="C48" i="5"/>
  <c r="D40" i="5"/>
  <c r="C40" i="5"/>
  <c r="D33" i="5"/>
  <c r="C33" i="5"/>
  <c r="C42" i="1"/>
  <c r="D42" i="1"/>
  <c r="D26" i="1"/>
  <c r="C26" i="1"/>
  <c r="C18" i="1"/>
  <c r="D18" i="5"/>
  <c r="C18" i="5"/>
  <c r="D10" i="5"/>
  <c r="D24" i="5"/>
  <c r="C24" i="5"/>
  <c r="D7" i="6"/>
  <c r="D6" i="6"/>
  <c r="D5" i="6"/>
  <c r="D4" i="6"/>
  <c r="D3" i="6"/>
  <c r="C7" i="6"/>
  <c r="C6" i="6"/>
  <c r="C5" i="6"/>
  <c r="C4" i="6"/>
  <c r="C3" i="6"/>
  <c r="C10" i="5"/>
  <c r="J9" i="3"/>
  <c r="J8" i="3"/>
  <c r="J7" i="3"/>
  <c r="J6" i="3"/>
  <c r="C50" i="5" l="1"/>
  <c r="D8" i="6"/>
  <c r="C8" i="6"/>
  <c r="D50" i="5"/>
  <c r="D18" i="1"/>
  <c r="D6" i="3"/>
  <c r="D10" i="1" l="1"/>
  <c r="D50" i="1" s="1"/>
  <c r="C10" i="1"/>
  <c r="F6" i="3"/>
  <c r="E7" i="3"/>
  <c r="E8" i="3"/>
  <c r="E9" i="3"/>
  <c r="E6" i="3"/>
  <c r="D7" i="3"/>
  <c r="F7" i="3" s="1"/>
  <c r="D8" i="3"/>
  <c r="F8" i="3" s="1"/>
  <c r="D9" i="3"/>
  <c r="F9" i="3" s="1"/>
  <c r="C50" i="1" l="1"/>
  <c r="G7" i="3"/>
  <c r="H7" i="3" s="1"/>
  <c r="G8" i="3"/>
  <c r="H8" i="3" s="1"/>
  <c r="G9" i="3"/>
  <c r="H9" i="3" s="1"/>
  <c r="D10" i="3"/>
  <c r="E10" i="3"/>
  <c r="I6" i="3"/>
  <c r="K6" i="3" s="1"/>
  <c r="I9" i="3"/>
  <c r="K9" i="3" s="1"/>
  <c r="I8" i="3"/>
  <c r="K8" i="3" s="1"/>
  <c r="I7" i="3"/>
  <c r="K7" i="3" s="1"/>
  <c r="I10" i="3" l="1"/>
  <c r="G6" i="3"/>
  <c r="H6" i="3" s="1"/>
  <c r="F10" i="3"/>
  <c r="J10" i="3" s="1"/>
  <c r="G10" i="3" l="1"/>
  <c r="H10" i="3" s="1"/>
  <c r="K10" i="3"/>
</calcChain>
</file>

<file path=xl/sharedStrings.xml><?xml version="1.0" encoding="utf-8"?>
<sst xmlns="http://schemas.openxmlformats.org/spreadsheetml/2006/main" count="139" uniqueCount="37">
  <si>
    <t>COBRANZA GENERAL  SAMANTHA</t>
  </si>
  <si>
    <t>Segmento</t>
  </si>
  <si>
    <t>Cuentas</t>
  </si>
  <si>
    <t>Recuperación</t>
  </si>
  <si>
    <t>Extrajudicial - 0 a 28 semanas de atraso</t>
  </si>
  <si>
    <t>Extrajudicial - 29 a 39 semanas de atraso</t>
  </si>
  <si>
    <t>Extrajudicial - 40 a 55 semanas de atraso</t>
  </si>
  <si>
    <t>Mas 55 semanas de atraso</t>
  </si>
  <si>
    <t>Total general</t>
  </si>
  <si>
    <t>COBRANZA GENERAL  EDITH</t>
  </si>
  <si>
    <t>COBRANZA GENERAL  FERNANDO</t>
  </si>
  <si>
    <t>JUDICIAL</t>
  </si>
  <si>
    <t>Cobranza Total</t>
  </si>
  <si>
    <t xml:space="preserve"> </t>
  </si>
  <si>
    <t>CUENTAS</t>
  </si>
  <si>
    <t>EPR</t>
  </si>
  <si>
    <t>TOTAL</t>
  </si>
  <si>
    <t>EPR IDEAL</t>
  </si>
  <si>
    <t>CUOTA IDEAL</t>
  </si>
  <si>
    <t>VARIACION</t>
  </si>
  <si>
    <t>REPORTE CONSOLIDADO POR SEGMENTOS</t>
  </si>
  <si>
    <t>% VAR</t>
  </si>
  <si>
    <t>VAR EPR</t>
  </si>
  <si>
    <t>Nota:</t>
  </si>
  <si>
    <t>El saldo consolidado incluye los siguientes despachos</t>
  </si>
  <si>
    <t>COBRANZA REAL</t>
  </si>
  <si>
    <t>COORDINADOR</t>
  </si>
  <si>
    <t>SEGMENTO</t>
  </si>
  <si>
    <t>Gabriel</t>
  </si>
  <si>
    <t>COBRANZA GENERAL  FEDERICO</t>
  </si>
  <si>
    <t>Samantha, Samantha 2, Sofia, Edith, Fernando, Olguin y Federico</t>
  </si>
  <si>
    <t>Zareth</t>
  </si>
  <si>
    <t>Fernando (Naucalpan)</t>
  </si>
  <si>
    <t>SALDO ACUMULADO SEMANA 26</t>
  </si>
  <si>
    <t>COBRANZA GENERAL  ANDREA</t>
  </si>
  <si>
    <t>COBRANZA GENERAL  CDC 100</t>
  </si>
  <si>
    <t>ETIQUETA PROYECTO CDC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</si>
</sst>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6" formatCode="&quot;$&quot;#,##0;[Red]\-&quot;$&quot;#,##0"/>
    <numFmt numFmtId="41" formatCode="_-* #,##0_-;\-* #,##0_-;_-* &quot;-&quot;_-;_-@_-"/>
    <numFmt numFmtId="43" formatCode="_-* #,##0.00_-;\-* #,##0.00_-;_-* &quot;-&quot;??_-;_-@_-"/>
    <numFmt numFmtId="164" formatCode="_-* #,##0_-;\-* #,##0_-;_-* &quot;-&quot;??_-;_-@_-"/>
    <numFmt numFmtId="165" formatCode="#,##0_ ;[Red]\-#,##0\ "/>
  </numFmts>
  <fonts count="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  <fill>
      <patternFill patternType="solid">
        <fgColor theme="4" tint="0.79998168889431442"/>
        <bgColor indexed="64"/>
      </patternFill>
    </fill>
  </fills>
  <borders count="3">
    <border>
      <left/>
      <right/>
      <top/>
      <bottom/>
      <diagonal/>
    </border>
    <border>
      <left/>
      <right/>
      <top style="thin">
        <color theme="6" tint="0.79998168889431442"/>
      </top>
      <bottom style="thin">
        <color theme="6" tint="0.79998168889431442"/>
      </bottom>
      <diagonal/>
    </border>
    <border>
      <left/>
      <right/>
      <top style="thin">
        <color theme="8" tint="0.79998168889431442"/>
      </top>
      <bottom style="thin">
        <color theme="8" tint="0.79998168889431442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1" xfId="0" applyBorder="1" applyAlignment="1">
      <alignment horizontal="left"/>
    </xf>
    <xf numFmtId="0" fontId="3" fillId="3" borderId="0" xfId="0" applyFont="1" applyFill="1"/>
    <xf numFmtId="0" fontId="3" fillId="3" borderId="0" xfId="0" applyFont="1" applyFill="1" applyAlignment="1">
      <alignment horizontal="left"/>
    </xf>
    <xf numFmtId="43" fontId="3" fillId="3" borderId="0" xfId="1" applyFont="1" applyFill="1"/>
    <xf numFmtId="0" fontId="0" fillId="0" borderId="0" xfId="0" applyAlignment="1">
      <alignment horizontal="left"/>
    </xf>
    <xf numFmtId="164" fontId="0" fillId="0" borderId="0" xfId="1" applyNumberFormat="1" applyFont="1"/>
    <xf numFmtId="164" fontId="0" fillId="0" borderId="0" xfId="0" applyNumberFormat="1"/>
    <xf numFmtId="164" fontId="3" fillId="3" borderId="0" xfId="1" applyNumberFormat="1" applyFont="1" applyFill="1"/>
    <xf numFmtId="43" fontId="0" fillId="0" borderId="1" xfId="1" applyFont="1" applyBorder="1" applyAlignment="1">
      <alignment horizontal="left"/>
    </xf>
    <xf numFmtId="43" fontId="3" fillId="3" borderId="0" xfId="1" applyFont="1" applyFill="1" applyBorder="1" applyAlignment="1">
      <alignment horizontal="left"/>
    </xf>
    <xf numFmtId="43" fontId="0" fillId="0" borderId="0" xfId="0" applyNumberFormat="1"/>
    <xf numFmtId="43" fontId="2" fillId="2" borderId="0" xfId="1" applyFont="1" applyFill="1"/>
    <xf numFmtId="164" fontId="2" fillId="2" borderId="0" xfId="1" applyNumberFormat="1" applyFont="1" applyFill="1"/>
    <xf numFmtId="4" fontId="0" fillId="0" borderId="0" xfId="0" applyNumberFormat="1"/>
    <xf numFmtId="10" fontId="0" fillId="0" borderId="0" xfId="0" applyNumberFormat="1"/>
    <xf numFmtId="6" fontId="0" fillId="0" borderId="0" xfId="0" applyNumberFormat="1"/>
    <xf numFmtId="0" fontId="3" fillId="0" borderId="0" xfId="0" applyFont="1"/>
    <xf numFmtId="0" fontId="5" fillId="0" borderId="0" xfId="0" applyFont="1"/>
    <xf numFmtId="0" fontId="3" fillId="0" borderId="0" xfId="0" applyFont="1" applyAlignment="1">
      <alignment horizontal="left"/>
    </xf>
    <xf numFmtId="6" fontId="3" fillId="0" borderId="0" xfId="0" applyNumberFormat="1" applyFont="1"/>
    <xf numFmtId="10" fontId="3" fillId="0" borderId="0" xfId="0" applyNumberFormat="1" applyFont="1"/>
    <xf numFmtId="0" fontId="6" fillId="0" borderId="0" xfId="0" applyFont="1"/>
    <xf numFmtId="165" fontId="0" fillId="0" borderId="0" xfId="0" applyNumberFormat="1"/>
    <xf numFmtId="165" fontId="3" fillId="0" borderId="0" xfId="0" applyNumberFormat="1" applyFont="1"/>
    <xf numFmtId="43" fontId="0" fillId="0" borderId="1" xfId="0" applyNumberFormat="1" applyBorder="1"/>
    <xf numFmtId="41" fontId="0" fillId="0" borderId="0" xfId="0" applyNumberFormat="1"/>
    <xf numFmtId="3" fontId="0" fillId="0" borderId="0" xfId="0" applyNumberFormat="1"/>
    <xf numFmtId="4" fontId="0" fillId="0" borderId="2" xfId="0" applyNumberFormat="1" applyBorder="1"/>
    <xf numFmtId="43" fontId="0" fillId="0" borderId="2" xfId="0" applyNumberFormat="1" applyBorder="1"/>
    <xf numFmtId="43" fontId="0" fillId="0" borderId="0" xfId="0" applyNumberFormat="1" applyFill="1" applyBorder="1"/>
    <xf numFmtId="0" fontId="4" fillId="2" borderId="0" xfId="0" applyFont="1" applyFill="1" applyAlignment="1">
      <alignment horizontal="center"/>
    </xf>
    <xf numFmtId="43" fontId="4" fillId="2" borderId="0" xfId="1" applyFont="1" applyFill="1" applyAlignment="1">
      <alignment horizontal="center"/>
    </xf>
  </cellXfs>
  <cellStyles count="2">
    <cellStyle name="Millares" xfId="1" builtinId="3"/>
    <cellStyle name="Normal" xfId="0" builtinId="0"/>
  </cellStyles>
  <dxfs count="10">
    <dxf>
      <numFmt numFmtId="10" formatCode="&quot;$&quot;#,##0;[Red]\-&quot;$&quot;#,##0"/>
    </dxf>
    <dxf>
      <numFmt numFmtId="10" formatCode="&quot;$&quot;#,##0;[Red]\-&quot;$&quot;#,##0"/>
    </dxf>
    <dxf>
      <numFmt numFmtId="10" formatCode="&quot;$&quot;#,##0;[Red]\-&quot;$&quot;#,##0"/>
    </dxf>
    <dxf>
      <numFmt numFmtId="14" formatCode="0.00%"/>
    </dxf>
    <dxf>
      <numFmt numFmtId="10" formatCode="&quot;$&quot;#,##0;[Red]\-&quot;$&quot;#,##0"/>
    </dxf>
    <dxf>
      <numFmt numFmtId="10" formatCode="&quot;$&quot;#,##0;[Red]\-&quot;$&quot;#,##0"/>
    </dxf>
    <dxf>
      <numFmt numFmtId="10" formatCode="&quot;$&quot;#,##0;[Red]\-&quot;$&quot;#,##0"/>
    </dxf>
    <dxf>
      <numFmt numFmtId="165" formatCode="#,##0_ ;[Red]\-#,##0\ "/>
    </dxf>
    <dxf>
      <alignment horizontal="left" vertical="bottom" textRotation="0" wrapText="0" indent="0" justifyLastLine="0" shrinkToFit="0" readingOrder="0"/>
      <border diagonalUp="0" diagonalDown="0">
        <left/>
        <right/>
        <top style="thin">
          <color theme="6" tint="0.79998168889431442"/>
        </top>
        <bottom style="thin">
          <color theme="6" tint="0.79998168889431442"/>
        </bottom>
        <vertical/>
        <horizontal/>
      </border>
    </dxf>
    <dxf>
      <numFmt numFmtId="10" formatCode="&quot;$&quot;#,##0;[Red]\-&quot;$&quot;#,##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A773813-1BB0-406E-8C5E-325AD33F0061}" name="Tabla1" displayName="Tabla1" ref="B5:K10" totalsRowShown="0">
  <tableColumns count="10">
    <tableColumn id="10" xr3:uid="{E2572DBF-4CD3-4511-AFD2-8A81A35C7CDE}" name="COORDINADOR" dataDxfId="9"/>
    <tableColumn id="1" xr3:uid="{9B9925FF-5C6A-4926-9062-251DAD38C2AE}" name="SEGMENTO" dataDxfId="8"/>
    <tableColumn id="2" xr3:uid="{E838DF92-80B1-4D21-9BF7-A170DE386593}" name="CUENTAS" dataDxfId="7"/>
    <tableColumn id="3" xr3:uid="{F53A5B40-25BE-4590-A6F8-C5317A4E1532}" name="COBRANZA REAL" dataDxfId="6"/>
    <tableColumn id="4" xr3:uid="{0F8304F9-3539-4520-BB51-0958821ACD10}" name="CUOTA IDEAL" dataDxfId="5"/>
    <tableColumn id="5" xr3:uid="{BA014B50-E674-49B5-943E-C0F72C0EFA90}" name="VARIACION" dataDxfId="4">
      <calculatedColumnFormula>+E6-F6</calculatedColumnFormula>
    </tableColumn>
    <tableColumn id="6" xr3:uid="{0E52C3C2-FFCD-49C1-927E-6CFD2905826E}" name="% VAR" dataDxfId="3">
      <calculatedColumnFormula>ABS(G6/F6)</calculatedColumnFormula>
    </tableColumn>
    <tableColumn id="7" xr3:uid="{56C4AF7A-4382-4885-8E24-E18838844108}" name="EPR" dataDxfId="2">
      <calculatedColumnFormula>E6/D6</calculatedColumnFormula>
    </tableColumn>
    <tableColumn id="8" xr3:uid="{AD8D2FB3-FFB7-40C5-8D63-52490141D6A2}" name="EPR IDEAL" dataDxfId="1"/>
    <tableColumn id="9" xr3:uid="{BA296C31-B5A5-48A3-8CF1-8EF6BCE87A97}" name="VAR EPR" dataDxfId="0"/>
  </tableColumns>
  <tableStyleInfo name="TableStyleMedium21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5BEB46-E3E9-496B-A9C1-F479BA991037}">
  <sheetPr codeName="Hoja1"/>
  <dimension ref="B3:H50"/>
  <sheetViews>
    <sheetView showGridLines="0" topLeftCell="A10" zoomScaleNormal="100" workbookViewId="0">
      <selection activeCell="E13" sqref="E13"/>
    </sheetView>
  </sheetViews>
  <sheetFormatPr baseColWidth="10" defaultRowHeight="15" x14ac:dyDescent="0.25"/>
  <cols>
    <col min="2" max="2" width="36.85546875" customWidth="1"/>
    <col min="4" max="4" width="13.140625" bestFit="1" customWidth="1"/>
    <col min="6" max="6" width="13.140625" bestFit="1" customWidth="1"/>
  </cols>
  <sheetData>
    <row r="3" spans="2:8" x14ac:dyDescent="0.25">
      <c r="B3" s="31" t="s">
        <v>0</v>
      </c>
      <c r="C3" s="31"/>
      <c r="D3" s="31"/>
      <c r="H3" s="8"/>
    </row>
    <row r="4" spans="2:8" x14ac:dyDescent="0.25">
      <c r="B4" s="2" t="s">
        <v>1</v>
      </c>
      <c r="C4" s="2" t="s">
        <v>2</v>
      </c>
      <c r="D4" s="2" t="s">
        <v>3</v>
      </c>
    </row>
    <row r="5" spans="2:8" x14ac:dyDescent="0.25">
      <c r="B5" s="1" t="s">
        <v>4</v>
      </c>
      <c r="C5" s="6">
        <v>6750</v>
      </c>
      <c r="D5" s="28">
        <v>151779.93000000002</v>
      </c>
    </row>
    <row r="6" spans="2:8" x14ac:dyDescent="0.25">
      <c r="B6" s="1" t="s">
        <v>5</v>
      </c>
      <c r="C6" s="6">
        <v>3977</v>
      </c>
      <c r="D6" s="28">
        <v>118297.69</v>
      </c>
    </row>
    <row r="7" spans="2:8" x14ac:dyDescent="0.25">
      <c r="B7" s="1" t="s">
        <v>6</v>
      </c>
      <c r="C7" s="6">
        <v>8582</v>
      </c>
      <c r="D7" s="28">
        <v>80580.570000000007</v>
      </c>
    </row>
    <row r="8" spans="2:8" x14ac:dyDescent="0.25">
      <c r="B8" s="5" t="s">
        <v>11</v>
      </c>
      <c r="C8" s="7">
        <v>1039</v>
      </c>
      <c r="D8" s="29">
        <v>0</v>
      </c>
    </row>
    <row r="9" spans="2:8" x14ac:dyDescent="0.25">
      <c r="B9" s="1" t="s">
        <v>7</v>
      </c>
      <c r="C9" s="6">
        <v>37972</v>
      </c>
      <c r="D9" s="28">
        <v>173803.40999999997</v>
      </c>
      <c r="E9" s="14"/>
      <c r="F9" s="7"/>
    </row>
    <row r="10" spans="2:8" x14ac:dyDescent="0.25">
      <c r="B10" s="3" t="s">
        <v>8</v>
      </c>
      <c r="C10" s="8">
        <f>SUM(C5:C9)</f>
        <v>58320</v>
      </c>
      <c r="D10" s="4">
        <f>SUM(D5:D9)</f>
        <v>524461.6</v>
      </c>
      <c r="E10" s="11" t="s">
        <v>13</v>
      </c>
    </row>
    <row r="12" spans="2:8" x14ac:dyDescent="0.25">
      <c r="B12" s="32" t="s">
        <v>9</v>
      </c>
      <c r="C12" s="32"/>
      <c r="D12" s="32"/>
    </row>
    <row r="13" spans="2:8" x14ac:dyDescent="0.25">
      <c r="B13" s="4" t="s">
        <v>1</v>
      </c>
      <c r="C13" s="4" t="s">
        <v>2</v>
      </c>
      <c r="D13" s="4" t="s">
        <v>3</v>
      </c>
    </row>
    <row r="14" spans="2:8" x14ac:dyDescent="0.25">
      <c r="B14" s="9" t="s">
        <v>4</v>
      </c>
      <c r="C14" s="6">
        <v>565</v>
      </c>
      <c r="D14" s="28">
        <v>11086.16</v>
      </c>
    </row>
    <row r="15" spans="2:8" x14ac:dyDescent="0.25">
      <c r="B15" s="9" t="s">
        <v>5</v>
      </c>
      <c r="C15" s="6">
        <v>1671</v>
      </c>
      <c r="D15" s="28">
        <v>16150</v>
      </c>
    </row>
    <row r="16" spans="2:8" x14ac:dyDescent="0.25">
      <c r="B16" s="9" t="s">
        <v>6</v>
      </c>
      <c r="C16" s="6">
        <v>1038</v>
      </c>
      <c r="D16" s="28">
        <v>10445.07</v>
      </c>
    </row>
    <row r="17" spans="2:4" x14ac:dyDescent="0.25">
      <c r="B17" s="9" t="s">
        <v>7</v>
      </c>
      <c r="C17" s="6">
        <v>1635</v>
      </c>
      <c r="D17" s="28">
        <v>21096</v>
      </c>
    </row>
    <row r="18" spans="2:4" x14ac:dyDescent="0.25">
      <c r="B18" s="10" t="s">
        <v>8</v>
      </c>
      <c r="C18" s="8">
        <f>SUM(C14:C17)</f>
        <v>4909</v>
      </c>
      <c r="D18" s="4">
        <f>SUM(D14:D17)</f>
        <v>58777.229999999996</v>
      </c>
    </row>
    <row r="20" spans="2:4" x14ac:dyDescent="0.25">
      <c r="B20" s="31" t="s">
        <v>34</v>
      </c>
      <c r="C20" s="31"/>
      <c r="D20" s="31"/>
    </row>
    <row r="21" spans="2:4" x14ac:dyDescent="0.25">
      <c r="B21" s="2" t="s">
        <v>1</v>
      </c>
      <c r="C21" s="2" t="s">
        <v>2</v>
      </c>
      <c r="D21" s="2" t="s">
        <v>3</v>
      </c>
    </row>
    <row r="22" spans="2:4" x14ac:dyDescent="0.25">
      <c r="B22" s="9" t="s">
        <v>4</v>
      </c>
      <c r="C22">
        <v>104</v>
      </c>
      <c r="D22" s="28">
        <v>14014</v>
      </c>
    </row>
    <row r="23" spans="2:4" x14ac:dyDescent="0.25">
      <c r="B23" s="1" t="s">
        <v>5</v>
      </c>
      <c r="C23" s="6">
        <v>283</v>
      </c>
      <c r="D23" s="28">
        <v>11483</v>
      </c>
    </row>
    <row r="24" spans="2:4" x14ac:dyDescent="0.25">
      <c r="B24" s="1" t="s">
        <v>6</v>
      </c>
      <c r="C24" s="6">
        <v>383</v>
      </c>
      <c r="D24" s="28">
        <v>12933</v>
      </c>
    </row>
    <row r="25" spans="2:4" x14ac:dyDescent="0.25">
      <c r="B25" s="1" t="s">
        <v>7</v>
      </c>
      <c r="C25" s="7">
        <v>15134</v>
      </c>
      <c r="D25" s="28">
        <v>15364.3</v>
      </c>
    </row>
    <row r="26" spans="2:4" x14ac:dyDescent="0.25">
      <c r="B26" s="3" t="s">
        <v>8</v>
      </c>
      <c r="C26" s="8">
        <f>SUM(C22:C25)</f>
        <v>15904</v>
      </c>
      <c r="D26" s="4">
        <f>SUM(D22:D25)</f>
        <v>53794.3</v>
      </c>
    </row>
    <row r="28" spans="2:4" x14ac:dyDescent="0.25">
      <c r="B28" s="32" t="s">
        <v>10</v>
      </c>
      <c r="C28" s="32"/>
      <c r="D28" s="32"/>
    </row>
    <row r="29" spans="2:4" x14ac:dyDescent="0.25">
      <c r="B29" s="4" t="s">
        <v>1</v>
      </c>
      <c r="C29" s="4" t="s">
        <v>2</v>
      </c>
      <c r="D29" s="4" t="s">
        <v>3</v>
      </c>
    </row>
    <row r="30" spans="2:4" x14ac:dyDescent="0.25">
      <c r="B30" s="9" t="s">
        <v>4</v>
      </c>
      <c r="C30" s="6">
        <v>4982</v>
      </c>
      <c r="D30" s="28">
        <v>32620.05</v>
      </c>
    </row>
    <row r="31" spans="2:4" x14ac:dyDescent="0.25">
      <c r="B31" s="1" t="s">
        <v>5</v>
      </c>
      <c r="C31" s="6">
        <v>1335</v>
      </c>
      <c r="D31" s="28">
        <v>6872</v>
      </c>
    </row>
    <row r="32" spans="2:4" x14ac:dyDescent="0.25">
      <c r="B32" s="1" t="s">
        <v>6</v>
      </c>
      <c r="C32" s="6">
        <v>3784</v>
      </c>
      <c r="D32" s="28">
        <v>4932</v>
      </c>
    </row>
    <row r="33" spans="2:4" x14ac:dyDescent="0.25">
      <c r="B33" s="1" t="s">
        <v>7</v>
      </c>
      <c r="C33" s="6">
        <v>1029</v>
      </c>
      <c r="D33" s="28">
        <v>300</v>
      </c>
    </row>
    <row r="34" spans="2:4" x14ac:dyDescent="0.25">
      <c r="B34" s="10" t="s">
        <v>8</v>
      </c>
      <c r="C34" s="8">
        <f>SUM(C30:C33)</f>
        <v>11130</v>
      </c>
      <c r="D34" s="4">
        <f>SUM(D30:D33)</f>
        <v>44724.05</v>
      </c>
    </row>
    <row r="36" spans="2:4" x14ac:dyDescent="0.25">
      <c r="B36" s="31" t="s">
        <v>29</v>
      </c>
      <c r="C36" s="31"/>
      <c r="D36" s="31"/>
    </row>
    <row r="37" spans="2:4" x14ac:dyDescent="0.25">
      <c r="B37" s="2" t="s">
        <v>1</v>
      </c>
      <c r="C37" s="2" t="s">
        <v>2</v>
      </c>
      <c r="D37" s="2" t="s">
        <v>3</v>
      </c>
    </row>
    <row r="38" spans="2:4" x14ac:dyDescent="0.25">
      <c r="B38" s="9" t="s">
        <v>4</v>
      </c>
      <c r="C38" s="6">
        <v>20</v>
      </c>
      <c r="D38" s="28">
        <v>15636</v>
      </c>
    </row>
    <row r="39" spans="2:4" x14ac:dyDescent="0.25">
      <c r="B39" s="1" t="s">
        <v>5</v>
      </c>
      <c r="C39" s="6">
        <v>38</v>
      </c>
      <c r="D39" s="29">
        <v>0</v>
      </c>
    </row>
    <row r="40" spans="2:4" x14ac:dyDescent="0.25">
      <c r="B40" s="1" t="s">
        <v>6</v>
      </c>
      <c r="C40" s="6">
        <v>4</v>
      </c>
      <c r="D40" s="29">
        <v>0</v>
      </c>
    </row>
    <row r="41" spans="2:4" x14ac:dyDescent="0.25">
      <c r="B41" s="1" t="s">
        <v>7</v>
      </c>
      <c r="C41" s="6">
        <v>740</v>
      </c>
      <c r="D41" s="28">
        <v>3046</v>
      </c>
    </row>
    <row r="42" spans="2:4" x14ac:dyDescent="0.25">
      <c r="B42" s="3" t="s">
        <v>8</v>
      </c>
      <c r="C42" s="8">
        <f>SUM(C38:C41)</f>
        <v>802</v>
      </c>
      <c r="D42" s="4">
        <f>SUM(D38:D41)</f>
        <v>18682</v>
      </c>
    </row>
    <row r="43" spans="2:4" hidden="1" x14ac:dyDescent="0.25"/>
    <row r="44" spans="2:4" hidden="1" x14ac:dyDescent="0.25"/>
    <row r="45" spans="2:4" hidden="1" x14ac:dyDescent="0.25"/>
    <row r="46" spans="2:4" hidden="1" x14ac:dyDescent="0.25"/>
    <row r="47" spans="2:4" hidden="1" x14ac:dyDescent="0.25"/>
    <row r="48" spans="2:4" hidden="1" x14ac:dyDescent="0.25"/>
    <row r="50" spans="2:4" x14ac:dyDescent="0.25">
      <c r="B50" s="12" t="s">
        <v>12</v>
      </c>
      <c r="C50" s="13">
        <f>SUMIF(B:B, "Total general", C:C)</f>
        <v>91065</v>
      </c>
      <c r="D50" s="13">
        <f>SUMIF(B:B, "Total general", D:D)</f>
        <v>700439.18</v>
      </c>
    </row>
  </sheetData>
  <mergeCells count="5">
    <mergeCell ref="B3:D3"/>
    <mergeCell ref="B12:D12"/>
    <mergeCell ref="B28:D28"/>
    <mergeCell ref="B20:D20"/>
    <mergeCell ref="B36:D36"/>
  </mergeCells>
  <pageMargins left="0.7" right="0.7" top="0.75" bottom="0.75" header="0.3" footer="0.3"/>
  <pageSetup paperSize="9" scale="75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7AD579-ABE3-47BF-9C80-EABF3E3D7F80}">
  <sheetPr codeName="Hoja2"/>
  <dimension ref="B1:H50"/>
  <sheetViews>
    <sheetView showGridLines="0" tabSelected="1" topLeftCell="A7" zoomScaleNormal="100" workbookViewId="0">
      <selection activeCell="D46" sqref="D46"/>
    </sheetView>
  </sheetViews>
  <sheetFormatPr baseColWidth="10" defaultRowHeight="15" x14ac:dyDescent="0.25"/>
  <cols>
    <col min="2" max="2" width="36.85546875" customWidth="1"/>
    <col min="4" max="4" width="13.140625" bestFit="1" customWidth="1"/>
    <col min="6" max="6" width="13.140625" bestFit="1" customWidth="1"/>
  </cols>
  <sheetData>
    <row r="1" spans="2:8" x14ac:dyDescent="0.25">
      <c r="B1" s="31" t="s">
        <v>36</v>
      </c>
      <c r="C1" s="31"/>
      <c r="D1" s="31"/>
    </row>
    <row r="3" spans="2:8" x14ac:dyDescent="0.25">
      <c r="B3" s="31" t="s">
        <v>35</v>
      </c>
      <c r="C3" s="31"/>
      <c r="D3" s="31"/>
      <c r="H3" s="8"/>
    </row>
    <row r="4" spans="2:8" x14ac:dyDescent="0.25">
      <c r="B4" s="2" t="s">
        <v>1</v>
      </c>
      <c r="C4" s="2" t="s">
        <v>2</v>
      </c>
      <c r="D4" s="2" t="s">
        <v>3</v>
      </c>
    </row>
    <row r="5" spans="2:8" x14ac:dyDescent="0.25">
      <c r="B5" s="1" t="s">
        <v>4</v>
      </c>
      <c r="C5" s="27">
        <v>8670</v>
      </c>
      <c r="D5" s="28">
        <v>41512.42</v>
      </c>
      <c r="E5" s="11"/>
    </row>
    <row r="6" spans="2:8" x14ac:dyDescent="0.25">
      <c r="B6" s="1" t="s">
        <v>5</v>
      </c>
      <c r="C6" s="27">
        <v>5579</v>
      </c>
      <c r="D6" s="28">
        <v>19635.88</v>
      </c>
    </row>
    <row r="7" spans="2:8" x14ac:dyDescent="0.25">
      <c r="B7" s="1" t="s">
        <v>6</v>
      </c>
      <c r="C7" s="27">
        <v>5494</v>
      </c>
      <c r="D7" s="28">
        <v>20123</v>
      </c>
    </row>
    <row r="8" spans="2:8" x14ac:dyDescent="0.25">
      <c r="B8" s="5" t="s">
        <v>11</v>
      </c>
      <c r="C8" s="27">
        <v>2739</v>
      </c>
      <c r="D8" s="28">
        <v>500</v>
      </c>
    </row>
    <row r="9" spans="2:8" x14ac:dyDescent="0.25">
      <c r="B9" s="1" t="s">
        <v>7</v>
      </c>
      <c r="C9" s="27">
        <v>2913</v>
      </c>
      <c r="D9" s="28">
        <v>2809</v>
      </c>
      <c r="E9" s="14"/>
      <c r="F9" s="7"/>
    </row>
    <row r="10" spans="2:8" x14ac:dyDescent="0.25">
      <c r="B10" s="3" t="s">
        <v>8</v>
      </c>
      <c r="C10" s="8">
        <f>SUM(C5:C9)</f>
        <v>25395</v>
      </c>
      <c r="D10" s="4">
        <f>SUM(D5:D9)</f>
        <v>84580.3</v>
      </c>
      <c r="E10" s="11" t="s">
        <v>13</v>
      </c>
    </row>
    <row r="12" spans="2:8" x14ac:dyDescent="0.25">
      <c r="B12" s="32" t="s">
        <v>10</v>
      </c>
      <c r="C12" s="32"/>
      <c r="D12" s="32"/>
    </row>
    <row r="13" spans="2:8" x14ac:dyDescent="0.25">
      <c r="B13" s="4" t="s">
        <v>1</v>
      </c>
      <c r="C13" s="4" t="s">
        <v>2</v>
      </c>
      <c r="D13" s="4" t="s">
        <v>3</v>
      </c>
    </row>
    <row r="14" spans="2:8" x14ac:dyDescent="0.25">
      <c r="B14" s="9" t="s">
        <v>4</v>
      </c>
      <c r="C14" s="26">
        <v>4869</v>
      </c>
      <c r="D14" s="28">
        <v>32442.05</v>
      </c>
    </row>
    <row r="15" spans="2:8" x14ac:dyDescent="0.25">
      <c r="B15" s="1" t="s">
        <v>5</v>
      </c>
      <c r="C15" s="26">
        <v>766</v>
      </c>
      <c r="D15" s="28">
        <v>5693</v>
      </c>
    </row>
    <row r="16" spans="2:8" x14ac:dyDescent="0.25">
      <c r="B16" s="1" t="s">
        <v>6</v>
      </c>
      <c r="C16" s="26">
        <v>3465</v>
      </c>
      <c r="D16" s="28">
        <v>4932</v>
      </c>
    </row>
    <row r="17" spans="2:4" x14ac:dyDescent="0.25">
      <c r="B17" s="9" t="s">
        <v>7</v>
      </c>
      <c r="C17" s="26">
        <v>26</v>
      </c>
      <c r="D17" s="28">
        <v>300</v>
      </c>
    </row>
    <row r="18" spans="2:4" x14ac:dyDescent="0.25">
      <c r="B18" s="10" t="s">
        <v>8</v>
      </c>
      <c r="C18" s="8">
        <f>SUM(C14:C17)</f>
        <v>9126</v>
      </c>
      <c r="D18" s="4">
        <f>SUM(D14:D17)</f>
        <v>43367.05</v>
      </c>
    </row>
    <row r="20" spans="2:4" x14ac:dyDescent="0.25">
      <c r="B20" s="31" t="s">
        <v>29</v>
      </c>
      <c r="C20" s="31"/>
      <c r="D20" s="31"/>
    </row>
    <row r="21" spans="2:4" x14ac:dyDescent="0.25">
      <c r="B21" s="2" t="s">
        <v>1</v>
      </c>
      <c r="C21" s="2" t="s">
        <v>2</v>
      </c>
      <c r="D21" s="2" t="s">
        <v>3</v>
      </c>
    </row>
    <row r="22" spans="2:4" x14ac:dyDescent="0.25">
      <c r="B22" s="9" t="s">
        <v>4</v>
      </c>
      <c r="C22">
        <v>2</v>
      </c>
      <c r="D22" s="28">
        <v>15011</v>
      </c>
    </row>
    <row r="23" spans="2:4" x14ac:dyDescent="0.25">
      <c r="B23" s="1" t="s">
        <v>7</v>
      </c>
      <c r="C23">
        <v>64</v>
      </c>
      <c r="D23" s="29">
        <v>0</v>
      </c>
    </row>
    <row r="24" spans="2:4" x14ac:dyDescent="0.25">
      <c r="B24" s="3" t="s">
        <v>8</v>
      </c>
      <c r="C24" s="8">
        <f>SUM(C22:C23)</f>
        <v>66</v>
      </c>
      <c r="D24" s="4">
        <f>SUM(D22:D23)</f>
        <v>15011</v>
      </c>
    </row>
    <row r="26" spans="2:4" x14ac:dyDescent="0.25">
      <c r="B26" s="31" t="s">
        <v>0</v>
      </c>
      <c r="C26" s="31"/>
      <c r="D26" s="31"/>
    </row>
    <row r="27" spans="2:4" x14ac:dyDescent="0.25">
      <c r="B27" s="2" t="s">
        <v>1</v>
      </c>
      <c r="C27" s="2" t="s">
        <v>2</v>
      </c>
      <c r="D27" s="2" t="s">
        <v>3</v>
      </c>
    </row>
    <row r="28" spans="2:4" x14ac:dyDescent="0.25">
      <c r="B28" s="9" t="s">
        <v>4</v>
      </c>
      <c r="C28">
        <v>356</v>
      </c>
      <c r="D28" s="28">
        <v>3747</v>
      </c>
    </row>
    <row r="29" spans="2:4" x14ac:dyDescent="0.25">
      <c r="B29" s="1" t="s">
        <v>5</v>
      </c>
      <c r="C29">
        <v>549</v>
      </c>
      <c r="D29" s="28">
        <v>2270</v>
      </c>
    </row>
    <row r="30" spans="2:4" x14ac:dyDescent="0.25">
      <c r="B30" s="1" t="s">
        <v>6</v>
      </c>
      <c r="C30">
        <v>355</v>
      </c>
      <c r="D30" s="28">
        <v>221</v>
      </c>
    </row>
    <row r="31" spans="2:4" x14ac:dyDescent="0.25">
      <c r="B31" s="5" t="s">
        <v>11</v>
      </c>
      <c r="C31" s="11">
        <v>0</v>
      </c>
      <c r="D31" s="30">
        <v>0</v>
      </c>
    </row>
    <row r="32" spans="2:4" x14ac:dyDescent="0.25">
      <c r="B32" s="1" t="s">
        <v>7</v>
      </c>
      <c r="C32">
        <v>303</v>
      </c>
      <c r="D32" s="28">
        <v>2919</v>
      </c>
    </row>
    <row r="33" spans="2:4" x14ac:dyDescent="0.25">
      <c r="B33" s="3" t="s">
        <v>8</v>
      </c>
      <c r="C33" s="8">
        <f>SUM(C28:C32)</f>
        <v>1563</v>
      </c>
      <c r="D33" s="4">
        <f>SUM(D28:D32)</f>
        <v>9157</v>
      </c>
    </row>
    <row r="35" spans="2:4" x14ac:dyDescent="0.25">
      <c r="B35" s="32" t="s">
        <v>9</v>
      </c>
      <c r="C35" s="32"/>
      <c r="D35" s="32"/>
    </row>
    <row r="36" spans="2:4" x14ac:dyDescent="0.25">
      <c r="B36" s="4" t="s">
        <v>1</v>
      </c>
      <c r="C36" s="4" t="s">
        <v>2</v>
      </c>
      <c r="D36" s="4" t="s">
        <v>3</v>
      </c>
    </row>
    <row r="37" spans="2:4" x14ac:dyDescent="0.25">
      <c r="B37" s="9" t="s">
        <v>4</v>
      </c>
      <c r="C37">
        <v>2</v>
      </c>
      <c r="D37" s="25">
        <v>0</v>
      </c>
    </row>
    <row r="38" spans="2:4" x14ac:dyDescent="0.25">
      <c r="B38" s="9" t="s">
        <v>5</v>
      </c>
      <c r="C38">
        <v>1</v>
      </c>
      <c r="D38" s="25">
        <v>0</v>
      </c>
    </row>
    <row r="39" spans="2:4" x14ac:dyDescent="0.25">
      <c r="B39" s="9" t="s">
        <v>7</v>
      </c>
      <c r="C39">
        <v>176</v>
      </c>
      <c r="D39" s="28">
        <v>1200</v>
      </c>
    </row>
    <row r="40" spans="2:4" x14ac:dyDescent="0.25">
      <c r="B40" s="10" t="s">
        <v>8</v>
      </c>
      <c r="C40" s="8">
        <f>SUM(C37:C39)</f>
        <v>179</v>
      </c>
      <c r="D40" s="4">
        <f>SUM(D37:D39)</f>
        <v>1200</v>
      </c>
    </row>
    <row r="42" spans="2:4" x14ac:dyDescent="0.25">
      <c r="B42" s="31" t="s">
        <v>34</v>
      </c>
      <c r="C42" s="31"/>
      <c r="D42" s="31"/>
    </row>
    <row r="43" spans="2:4" x14ac:dyDescent="0.25">
      <c r="B43" s="2" t="s">
        <v>1</v>
      </c>
      <c r="C43" s="2" t="s">
        <v>2</v>
      </c>
      <c r="D43" s="2" t="s">
        <v>3</v>
      </c>
    </row>
    <row r="44" spans="2:4" x14ac:dyDescent="0.25">
      <c r="B44" s="9" t="s">
        <v>4</v>
      </c>
      <c r="C44">
        <v>3</v>
      </c>
      <c r="D44" s="25">
        <v>0</v>
      </c>
    </row>
    <row r="45" spans="2:4" x14ac:dyDescent="0.25">
      <c r="B45" s="1" t="s">
        <v>5</v>
      </c>
      <c r="C45">
        <v>1</v>
      </c>
      <c r="D45" s="25">
        <v>0</v>
      </c>
    </row>
    <row r="46" spans="2:4" x14ac:dyDescent="0.25">
      <c r="B46" s="1" t="s">
        <v>6</v>
      </c>
      <c r="C46" s="11">
        <v>0</v>
      </c>
      <c r="D46" s="25">
        <v>0</v>
      </c>
    </row>
    <row r="47" spans="2:4" x14ac:dyDescent="0.25">
      <c r="B47" s="1" t="s">
        <v>7</v>
      </c>
      <c r="C47">
        <v>331</v>
      </c>
      <c r="D47" s="28">
        <v>388</v>
      </c>
    </row>
    <row r="48" spans="2:4" x14ac:dyDescent="0.25">
      <c r="B48" s="3" t="s">
        <v>8</v>
      </c>
      <c r="C48" s="8">
        <f>SUM(C44:C47)</f>
        <v>335</v>
      </c>
      <c r="D48" s="4">
        <f>SUM(D44:D47)</f>
        <v>388</v>
      </c>
    </row>
    <row r="50" spans="2:4" x14ac:dyDescent="0.25">
      <c r="B50" s="12" t="s">
        <v>12</v>
      </c>
      <c r="C50" s="13">
        <f>SUMIF(B:B, "Total general", C:C)</f>
        <v>36664</v>
      </c>
      <c r="D50" s="13">
        <f>SUMIF(B:B, "Total general", D:D)</f>
        <v>153703.35</v>
      </c>
    </row>
  </sheetData>
  <mergeCells count="7">
    <mergeCell ref="B35:D35"/>
    <mergeCell ref="B20:D20"/>
    <mergeCell ref="B12:D12"/>
    <mergeCell ref="B42:D42"/>
    <mergeCell ref="B1:D1"/>
    <mergeCell ref="B3:D3"/>
    <mergeCell ref="B26:D26"/>
  </mergeCells>
  <pageMargins left="0.7" right="0.7" top="0.75" bottom="0.75" header="0.3" footer="0.3"/>
  <pageSetup paperSize="9" scale="70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952228-8078-469B-9DC2-6E814BA99770}">
  <sheetPr codeName="Hoja3"/>
  <dimension ref="B1:F8"/>
  <sheetViews>
    <sheetView showGridLines="0" zoomScaleNormal="100" workbookViewId="0">
      <selection activeCell="E4" sqref="E4"/>
    </sheetView>
  </sheetViews>
  <sheetFormatPr baseColWidth="10" defaultRowHeight="15" x14ac:dyDescent="0.25"/>
  <cols>
    <col min="2" max="2" width="36.85546875" customWidth="1"/>
    <col min="4" max="4" width="13.140625" bestFit="1" customWidth="1"/>
    <col min="6" max="6" width="13.140625" bestFit="1" customWidth="1"/>
  </cols>
  <sheetData>
    <row r="1" spans="2:6" x14ac:dyDescent="0.25">
      <c r="B1" s="31" t="s">
        <v>36</v>
      </c>
      <c r="C1" s="31"/>
      <c r="D1" s="31"/>
    </row>
    <row r="2" spans="2:6" x14ac:dyDescent="0.25">
      <c r="B2" s="2" t="s">
        <v>1</v>
      </c>
      <c r="C2" s="2" t="s">
        <v>2</v>
      </c>
      <c r="D2" s="2" t="s">
        <v>3</v>
      </c>
    </row>
    <row r="3" spans="2:6" x14ac:dyDescent="0.25">
      <c r="B3" s="1" t="s">
        <v>4</v>
      </c>
      <c r="C3" s="6">
        <f>SUMIF('CDC-OLGUIN'!B:B, "Extrajudicial - 0 a 28 semanas de atraso", 'CDC-OLGUIN'!C:C)</f>
        <v>13902</v>
      </c>
      <c r="D3" s="14">
        <f>SUMIF('CDC-OLGUIN'!B:B, "Extrajudicial - 0 a 28 semanas de atraso", 'CDC-OLGUIN'!D:D)</f>
        <v>92712.47</v>
      </c>
    </row>
    <row r="4" spans="2:6" x14ac:dyDescent="0.25">
      <c r="B4" s="1" t="s">
        <v>5</v>
      </c>
      <c r="C4" s="6">
        <f>SUMIF('CDC-OLGUIN'!B:B, "Extrajudicial - 29 a 39 semanas de atraso", 'CDC-OLGUIN'!C:C)</f>
        <v>6896</v>
      </c>
      <c r="D4" s="14">
        <f>SUMIF('CDC-OLGUIN'!B:B, "Extrajudicial - 29 a 39 semanas de atraso", 'CDC-OLGUIN'!D:D)</f>
        <v>27598.880000000001</v>
      </c>
    </row>
    <row r="5" spans="2:6" x14ac:dyDescent="0.25">
      <c r="B5" s="1" t="s">
        <v>6</v>
      </c>
      <c r="C5" s="6">
        <f>SUMIF('CDC-OLGUIN'!B:B, "Extrajudicial - 40 a 55 semanas de atraso", 'CDC-OLGUIN'!C:C)</f>
        <v>9314</v>
      </c>
      <c r="D5" s="14">
        <f>SUMIF('CDC-OLGUIN'!B:B, "Extrajudicial - 40 a 55 semanas de atraso", 'CDC-OLGUIN'!D:D)</f>
        <v>25276</v>
      </c>
    </row>
    <row r="6" spans="2:6" x14ac:dyDescent="0.25">
      <c r="B6" s="5" t="s">
        <v>11</v>
      </c>
      <c r="C6" s="6">
        <f>SUMIF('CDC-OLGUIN'!B:B, "JUDICIAL", 'CDC-OLGUIN'!C:C)</f>
        <v>2739</v>
      </c>
      <c r="D6" s="14">
        <f>SUMIF('CDC-OLGUIN'!B:B, "JUDICIAL", 'CDC-OLGUIN'!D:D)</f>
        <v>500</v>
      </c>
    </row>
    <row r="7" spans="2:6" x14ac:dyDescent="0.25">
      <c r="B7" s="1" t="s">
        <v>7</v>
      </c>
      <c r="C7" s="6">
        <f>SUMIF('CDC-OLGUIN'!B:B, "Mas 55 semanas de atraso", 'CDC-OLGUIN'!C:C)</f>
        <v>3813</v>
      </c>
      <c r="D7" s="6">
        <f>SUMIF('CDC-OLGUIN'!B:B, "Mas 55 semanas de atraso", 'CDC-OLGUIN'!D:D)</f>
        <v>7616</v>
      </c>
      <c r="E7" s="14"/>
      <c r="F7" s="7"/>
    </row>
    <row r="8" spans="2:6" x14ac:dyDescent="0.25">
      <c r="B8" s="3" t="s">
        <v>8</v>
      </c>
      <c r="C8" s="8">
        <f>SUM(C3:C7)</f>
        <v>36664</v>
      </c>
      <c r="D8" s="4">
        <f>SUM(D3:D7)</f>
        <v>153703.35</v>
      </c>
      <c r="E8" s="11" t="s">
        <v>13</v>
      </c>
    </row>
  </sheetData>
  <mergeCells count="1">
    <mergeCell ref="B1:D1"/>
  </mergeCells>
  <pageMargins left="0.7" right="0.7" top="0.75" bottom="0.75" header="0.3" footer="0.3"/>
  <pageSetup paperSize="9" scale="70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48E574-6F12-467C-8676-74E628DAE8C0}">
  <sheetPr codeName="Hoja4"/>
  <dimension ref="B2:L14"/>
  <sheetViews>
    <sheetView showGridLines="0" zoomScale="145" zoomScaleNormal="145" workbookViewId="0">
      <selection activeCell="B2" sqref="B2"/>
    </sheetView>
  </sheetViews>
  <sheetFormatPr baseColWidth="10" defaultRowHeight="15" x14ac:dyDescent="0.25"/>
  <cols>
    <col min="2" max="2" width="19.85546875" customWidth="1"/>
    <col min="3" max="3" width="36.7109375" bestFit="1" customWidth="1"/>
    <col min="4" max="4" width="9" bestFit="1" customWidth="1"/>
    <col min="5" max="5" width="15.140625" bestFit="1" customWidth="1"/>
    <col min="6" max="6" width="12.28515625" bestFit="1" customWidth="1"/>
    <col min="7" max="7" width="11.85546875" bestFit="1" customWidth="1"/>
    <col min="8" max="8" width="7.28515625" bestFit="1" customWidth="1"/>
    <col min="9" max="9" width="5" bestFit="1" customWidth="1"/>
    <col min="10" max="10" width="9.5703125" bestFit="1" customWidth="1"/>
    <col min="11" max="11" width="8.28515625" bestFit="1" customWidth="1"/>
    <col min="12" max="12" width="15.7109375" bestFit="1" customWidth="1"/>
  </cols>
  <sheetData>
    <row r="2" spans="2:12" ht="15.75" x14ac:dyDescent="0.25">
      <c r="B2" s="18" t="s">
        <v>20</v>
      </c>
    </row>
    <row r="3" spans="2:12" x14ac:dyDescent="0.25">
      <c r="B3" s="17" t="s">
        <v>33</v>
      </c>
    </row>
    <row r="5" spans="2:12" x14ac:dyDescent="0.25">
      <c r="B5" t="s">
        <v>26</v>
      </c>
      <c r="C5" t="s">
        <v>27</v>
      </c>
      <c r="D5" s="17" t="s">
        <v>14</v>
      </c>
      <c r="E5" s="17" t="s">
        <v>25</v>
      </c>
      <c r="F5" s="17" t="s">
        <v>18</v>
      </c>
      <c r="G5" s="17" t="s">
        <v>19</v>
      </c>
      <c r="H5" s="17" t="s">
        <v>21</v>
      </c>
      <c r="I5" s="17" t="s">
        <v>15</v>
      </c>
      <c r="J5" s="17" t="s">
        <v>17</v>
      </c>
      <c r="K5" s="17" t="s">
        <v>22</v>
      </c>
      <c r="L5" s="15"/>
    </row>
    <row r="6" spans="2:12" x14ac:dyDescent="0.25">
      <c r="B6" s="16" t="s">
        <v>31</v>
      </c>
      <c r="C6" s="16" t="s">
        <v>4</v>
      </c>
      <c r="D6" s="23">
        <f>SUMIF('REPORTE DIARIO'!B:B,'EPR 26 JUN'!C6, 'REPORTE DIARIO'!C:C)</f>
        <v>12421</v>
      </c>
      <c r="E6" s="16">
        <f>SUMIF('REPORTE DIARIO'!B:B,'EPR 26 JUN'!C6, 'REPORTE DIARIO'!D:D)</f>
        <v>225136.14</v>
      </c>
      <c r="F6" s="16">
        <f>J6*D6</f>
        <v>780748.57142857136</v>
      </c>
      <c r="G6" s="16">
        <f>+E6-F6</f>
        <v>-555612.43142857135</v>
      </c>
      <c r="H6" s="15">
        <f>ABS(G6/F6)</f>
        <v>0.71164066353902111</v>
      </c>
      <c r="I6" s="16">
        <f>E6/D6</f>
        <v>18.12544400611867</v>
      </c>
      <c r="J6" s="16">
        <f>(220/7)*2</f>
        <v>62.857142857142854</v>
      </c>
      <c r="K6" s="16">
        <f>+I6-J6</f>
        <v>-44.731698851024184</v>
      </c>
      <c r="L6" s="15"/>
    </row>
    <row r="7" spans="2:12" x14ac:dyDescent="0.25">
      <c r="B7" s="16" t="s">
        <v>28</v>
      </c>
      <c r="C7" s="16" t="s">
        <v>5</v>
      </c>
      <c r="D7" s="23">
        <f>SUMIF('REPORTE DIARIO'!B:B,'EPR 26 JUN'!C7, 'REPORTE DIARIO'!C:C)</f>
        <v>7304</v>
      </c>
      <c r="E7" s="16">
        <f>SUMIF('REPORTE DIARIO'!B:B,'EPR 26 JUN'!C7, 'REPORTE DIARIO'!D:D)</f>
        <v>152802.69</v>
      </c>
      <c r="F7" s="16">
        <f>J7*D7</f>
        <v>229554.28571428571</v>
      </c>
      <c r="G7" s="16">
        <f>+E7-F7</f>
        <v>-76751.595714285708</v>
      </c>
      <c r="H7" s="15">
        <f>ABS(G7/F7)</f>
        <v>0.3343505239968137</v>
      </c>
      <c r="I7" s="16">
        <f>E7/D7</f>
        <v>20.920412102957282</v>
      </c>
      <c r="J7" s="16">
        <f>(110/7)*2</f>
        <v>31.428571428571427</v>
      </c>
      <c r="K7" s="16">
        <f t="shared" ref="K7:K9" si="0">+I7-J7</f>
        <v>-10.508159325614145</v>
      </c>
      <c r="L7" s="15"/>
    </row>
    <row r="8" spans="2:12" x14ac:dyDescent="0.25">
      <c r="B8" s="16" t="s">
        <v>28</v>
      </c>
      <c r="C8" s="16" t="s">
        <v>6</v>
      </c>
      <c r="D8" s="23">
        <f>SUMIF('REPORTE DIARIO'!B:B,'EPR 26 JUN'!C8, 'REPORTE DIARIO'!C:C)</f>
        <v>13791</v>
      </c>
      <c r="E8" s="16">
        <f>SUMIF('REPORTE DIARIO'!B:B,'EPR 26 JUN'!C8, 'REPORTE DIARIO'!D:D)</f>
        <v>108890.64000000001</v>
      </c>
      <c r="F8" s="16">
        <f>J8*D8</f>
        <v>177312.85714285716</v>
      </c>
      <c r="G8" s="16">
        <f>+E8-F8</f>
        <v>-68422.217142857146</v>
      </c>
      <c r="H8" s="15">
        <f>ABS(G8/F8)</f>
        <v>0.38588412732941774</v>
      </c>
      <c r="I8" s="16">
        <f>E8/D8</f>
        <v>7.8957755057646297</v>
      </c>
      <c r="J8" s="16">
        <f>(45/7)*2</f>
        <v>12.857142857142858</v>
      </c>
      <c r="K8" s="16">
        <f t="shared" si="0"/>
        <v>-4.9613673513782279</v>
      </c>
      <c r="L8" s="15"/>
    </row>
    <row r="9" spans="2:12" x14ac:dyDescent="0.25">
      <c r="B9" s="16" t="s">
        <v>32</v>
      </c>
      <c r="C9" s="16" t="s">
        <v>7</v>
      </c>
      <c r="D9" s="23">
        <f>SUMIF('REPORTE DIARIO'!B:B,'EPR 26 JUN'!C9, 'REPORTE DIARIO'!C:C)</f>
        <v>56510</v>
      </c>
      <c r="E9" s="16">
        <f>SUMIF('REPORTE DIARIO'!B:B,'EPR 26 JUN'!C9, 'REPORTE DIARIO'!D:D)</f>
        <v>213609.70999999996</v>
      </c>
      <c r="F9" s="16">
        <f>J9*D9</f>
        <v>242185.71428571429</v>
      </c>
      <c r="G9" s="16">
        <f>+E9-F9</f>
        <v>-28576.004285714327</v>
      </c>
      <c r="H9" s="15">
        <f>ABS(G9/F9)</f>
        <v>0.11799211349023789</v>
      </c>
      <c r="I9" s="16">
        <f>E9/D9</f>
        <v>3.7800337993275521</v>
      </c>
      <c r="J9" s="16">
        <f>(15/7)*2</f>
        <v>4.2857142857142856</v>
      </c>
      <c r="K9" s="16">
        <f t="shared" si="0"/>
        <v>-0.50568048638673346</v>
      </c>
    </row>
    <row r="10" spans="2:12" x14ac:dyDescent="0.25">
      <c r="B10" s="16"/>
      <c r="C10" s="19" t="s">
        <v>16</v>
      </c>
      <c r="D10" s="24">
        <f>SUM(D6:D9)</f>
        <v>90026</v>
      </c>
      <c r="E10" s="20">
        <f>SUM(E6:E9)</f>
        <v>700439.17999999993</v>
      </c>
      <c r="F10" s="20">
        <f>SUM(F6:F9)</f>
        <v>1429801.4285714284</v>
      </c>
      <c r="G10" s="20">
        <f>+E10-F10</f>
        <v>-729362.24857142847</v>
      </c>
      <c r="H10" s="21">
        <f>ABS(G10/F10)</f>
        <v>0.51011436553127754</v>
      </c>
      <c r="I10" s="20">
        <f>E10/D10</f>
        <v>7.7804098815897627</v>
      </c>
      <c r="J10" s="20">
        <f>F10/D10</f>
        <v>15.882094379084135</v>
      </c>
      <c r="K10" s="20">
        <f>I10-J10</f>
        <v>-8.1016844974943716</v>
      </c>
    </row>
    <row r="12" spans="2:12" x14ac:dyDescent="0.25">
      <c r="B12" s="22" t="s">
        <v>23</v>
      </c>
      <c r="I12" s="14"/>
    </row>
    <row r="13" spans="2:12" x14ac:dyDescent="0.25">
      <c r="B13" t="s">
        <v>24</v>
      </c>
    </row>
    <row r="14" spans="2:12" x14ac:dyDescent="0.25">
      <c r="B14" t="s">
        <v>30</v>
      </c>
    </row>
  </sheetData>
  <pageMargins left="0.7" right="0.7" top="0.75" bottom="0.75" header="0.3" footer="0.3"/>
  <pageSetup scale="60"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REPORTE DIARIO</vt:lpstr>
      <vt:lpstr>CDC-OLGUIN</vt:lpstr>
      <vt:lpstr>COBRANZA CDC</vt:lpstr>
      <vt:lpstr>EPR 26 JUN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Samantha Karina Islas</dc:creator>
  <cp:lastModifiedBy>User</cp:lastModifiedBy>
  <cp:lastPrinted>2025-10-13T17:40:37Z</cp:lastPrinted>
  <dcterms:created xsi:type="dcterms:W3CDTF">2025-01-27T15:11:28Z</dcterms:created>
  <dcterms:modified xsi:type="dcterms:W3CDTF">2025-10-22T14:57:57Z</dcterms:modified>
</cp:coreProperties>
</file>