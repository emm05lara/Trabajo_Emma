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G:\PAGOS REPORTES\SEMANA 43\22 OCT\NOCHE\"/>
    </mc:Choice>
  </mc:AlternateContent>
  <xr:revisionPtr revIDLastSave="0" documentId="8_{06E13E6E-45AE-41E4-AD4E-670F99D7B1D6}" xr6:coauthVersionLast="47" xr6:coauthVersionMax="47" xr10:uidLastSave="{00000000-0000-0000-0000-000000000000}"/>
  <bookViews>
    <workbookView xWindow="-120" yWindow="-120" windowWidth="51840" windowHeight="21120" xr2:uid="{74500D09-08E7-49CD-9FAD-DFF527BFA2B9}"/>
  </bookViews>
  <sheets>
    <sheet name="Hoja1" sheetId="1" r:id="rId1"/>
    <sheet name="Hoja2" sheetId="2" r:id="rId2"/>
    <sheet name="Hoja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2" i="3" l="1"/>
  <c r="D9" i="3" s="1"/>
  <c r="B2" i="2"/>
  <c r="D9" i="2" s="1"/>
  <c r="B2" i="1"/>
  <c r="D9" i="1" s="1"/>
</calcChain>
</file>

<file path=xl/sharedStrings.xml><?xml version="1.0" encoding="utf-8"?>
<sst xmlns="http://schemas.openxmlformats.org/spreadsheetml/2006/main" count="96" uniqueCount="20">
  <si>
    <t>Suma de Recuperación por Gestión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</si>
  <si>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</si>
  <si>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</si>
  <si>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</si>
  <si>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</si>
  <si>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</si>
  <si>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SAMANTHA</t>
  </si>
  <si>
    <t>ANDREA</t>
  </si>
  <si>
    <t>EDITH</t>
  </si>
  <si>
    <t>FEDERICO</t>
  </si>
  <si>
    <t>FERNANDO</t>
  </si>
  <si>
    <t>TOTAL COBRADO</t>
  </si>
  <si>
    <t>Segmento</t>
  </si>
  <si>
    <t>CONSUMO</t>
  </si>
  <si>
    <t>CREDIMAX</t>
  </si>
  <si>
    <t>REESTRUCTURA</t>
  </si>
  <si>
    <t>TOR</t>
  </si>
  <si>
    <t>ITALIKA</t>
  </si>
  <si>
    <t>Producto</t>
  </si>
  <si>
    <t>CDC 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</si>
</sst>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theme="8" tint="-0.249977111117893"/>
      </patternFill>
    </fill>
  </fills>
  <borders count="4">
    <border>
      <left/>
      <right/>
      <top/>
      <bottom/>
      <diagonal/>
    </border>
    <border>
      <left/>
      <right/>
      <top/>
      <bottom style="thin">
        <color theme="8" tint="0.79998168889431442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  <border>
      <left/>
      <right/>
      <top style="double">
        <color theme="8" tint="-0.249977111117893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2" borderId="1" xfId="0" applyFont="1" applyFill="1" applyBorder="1"/>
    <xf numFmtId="0" fontId="0" fillId="0" borderId="2" xfId="0" applyBorder="1" applyAlignment="1">
      <alignment horizontal="left"/>
    </xf>
    <xf numFmtId="4" fontId="0" fillId="0" borderId="2" xfId="0" applyNumberFormat="1" applyBorder="1"/>
    <xf numFmtId="0" fontId="1" fillId="0" borderId="3" xfId="0" applyFont="1" applyBorder="1" applyAlignment="1">
      <alignment horizontal="left"/>
    </xf>
    <xf numFmtId="4" fontId="1" fillId="0" borderId="3" xfId="0" applyNumberFormat="1" applyFont="1" applyBorder="1"/>
    <xf numFmtId="0" fontId="2" fillId="2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C7EAC3-BD84-4555-A523-2CCD35921C79}">
  <dimension ref="B2:D36"/>
  <sheetViews>
    <sheetView tabSelected="1" workbookViewId="0">
      <selection activeCell="B2" sqref="B2:D36"/>
    </sheetView>
  </sheetViews>
  <sheetFormatPr baseColWidth="10" defaultRowHeight="15" x14ac:dyDescent="0.25"/>
  <cols>
    <col min="2" max="2" width="36.7109375" bestFit="1" customWidth="1"/>
    <col min="3" max="3" width="32.28515625" bestFit="1" customWidth="1"/>
    <col min="4" max="4" width="15.85546875" bestFit="1" customWidth="1"/>
  </cols>
  <sheetData>
    <row r="2" spans="2:4" x14ac:dyDescent="0.25">
      <c r="B2" s="6" t="str">
        <f ca="1" xml:space="preserve"> " COBRANZA INTERNOS " &amp; TEXT(TODAY(), " dd/mm/aaaa ") &amp; TEXT(NOW(), " hh:mm ")</f>
        <v xml:space="preserve"> COBRANZA INTERNOS  22/10/2025  20:31 </v>
      </c>
      <c r="C2" s="6"/>
    </row>
    <row r="3" spans="2:4" x14ac:dyDescent="0.25">
      <c r="B3" s="6" t="s">
        <v>6</v>
      </c>
      <c r="C3" s="6"/>
    </row>
    <row r="4" spans="2:4" x14ac:dyDescent="0.25">
      <c r="B4" s="1" t="s">
        <v>12</v>
      </c>
      <c r="C4" s="1" t="s">
        <v>0</v>
      </c>
    </row>
    <row r="5" spans="2:4" x14ac:dyDescent="0.25">
      <c r="B5" s="2" t="s">
        <v>1</v>
      </c>
      <c r="C5" s="3">
        <v>73143.31</v>
      </c>
    </row>
    <row r="6" spans="2:4" x14ac:dyDescent="0.25">
      <c r="B6" s="2" t="s">
        <v>2</v>
      </c>
      <c r="C6" s="3">
        <v>44649</v>
      </c>
    </row>
    <row r="7" spans="2:4" x14ac:dyDescent="0.25">
      <c r="B7" s="2" t="s">
        <v>3</v>
      </c>
      <c r="C7" s="3">
        <v>10575</v>
      </c>
    </row>
    <row r="8" spans="2:4" ht="15.75" thickBot="1" x14ac:dyDescent="0.3">
      <c r="B8" s="2" t="s">
        <v>4</v>
      </c>
      <c r="C8" s="3">
        <v>58748.58</v>
      </c>
      <c r="D8" s="1" t="s">
        <v>11</v>
      </c>
    </row>
    <row r="9" spans="2:4" ht="15.75" thickTop="1" x14ac:dyDescent="0.25">
      <c r="B9" s="4" t="s">
        <v>5</v>
      </c>
      <c r="C9" s="5">
        <v>187115.89</v>
      </c>
      <c r="D9" s="5">
        <f ca="1">SUMIF(B:B, "Total general", C:C)</f>
        <v>283845.26</v>
      </c>
    </row>
    <row r="11" spans="2:4" x14ac:dyDescent="0.25">
      <c r="B11" s="6" t="s">
        <v>8</v>
      </c>
      <c r="C11" s="6"/>
    </row>
    <row r="12" spans="2:4" x14ac:dyDescent="0.25">
      <c r="B12" s="1" t="s">
        <v>12</v>
      </c>
      <c r="C12" s="1" t="s">
        <v>0</v>
      </c>
    </row>
    <row r="13" spans="2:4" x14ac:dyDescent="0.25">
      <c r="B13" s="2" t="s">
        <v>1</v>
      </c>
      <c r="C13" s="3">
        <v>42439.37</v>
      </c>
    </row>
    <row r="14" spans="2:4" x14ac:dyDescent="0.25">
      <c r="B14" s="2" t="s">
        <v>2</v>
      </c>
      <c r="C14" s="3">
        <v>2397</v>
      </c>
    </row>
    <row r="15" spans="2:4" x14ac:dyDescent="0.25">
      <c r="B15" s="2" t="s">
        <v>3</v>
      </c>
      <c r="C15" s="3">
        <v>2075</v>
      </c>
    </row>
    <row r="16" spans="2:4" ht="15.75" thickBot="1" x14ac:dyDescent="0.3">
      <c r="B16" s="2" t="s">
        <v>4</v>
      </c>
      <c r="C16" s="3">
        <v>8115</v>
      </c>
    </row>
    <row r="17" spans="2:3" ht="15.75" thickTop="1" x14ac:dyDescent="0.25">
      <c r="B17" s="4" t="s">
        <v>5</v>
      </c>
      <c r="C17" s="5">
        <v>55026.37</v>
      </c>
    </row>
    <row r="19" spans="2:3" x14ac:dyDescent="0.25">
      <c r="B19" s="6" t="s">
        <v>7</v>
      </c>
      <c r="C19" s="6"/>
    </row>
    <row r="20" spans="2:3" x14ac:dyDescent="0.25">
      <c r="B20" s="1" t="s">
        <v>12</v>
      </c>
      <c r="C20" s="1" t="s">
        <v>0</v>
      </c>
    </row>
    <row r="21" spans="2:3" x14ac:dyDescent="0.25">
      <c r="B21" s="2" t="s">
        <v>1</v>
      </c>
      <c r="C21" s="3">
        <v>4001</v>
      </c>
    </row>
    <row r="22" spans="2:3" x14ac:dyDescent="0.25">
      <c r="B22" s="2" t="s">
        <v>2</v>
      </c>
      <c r="C22" s="3">
        <v>21915</v>
      </c>
    </row>
    <row r="23" spans="2:3" ht="15.75" thickBot="1" x14ac:dyDescent="0.3">
      <c r="B23" s="2" t="s">
        <v>4</v>
      </c>
      <c r="C23" s="3">
        <v>6238</v>
      </c>
    </row>
    <row r="24" spans="2:3" ht="15.75" thickTop="1" x14ac:dyDescent="0.25">
      <c r="B24" s="4" t="s">
        <v>5</v>
      </c>
      <c r="C24" s="5">
        <v>32154</v>
      </c>
    </row>
    <row r="26" spans="2:3" x14ac:dyDescent="0.25">
      <c r="B26" s="6" t="s">
        <v>10</v>
      </c>
      <c r="C26" s="6"/>
    </row>
    <row r="27" spans="2:3" x14ac:dyDescent="0.25">
      <c r="B27" s="1" t="s">
        <v>12</v>
      </c>
      <c r="C27" s="1" t="s">
        <v>0</v>
      </c>
    </row>
    <row r="28" spans="2:3" x14ac:dyDescent="0.25">
      <c r="B28" s="2" t="s">
        <v>1</v>
      </c>
      <c r="C28" s="3">
        <v>4786</v>
      </c>
    </row>
    <row r="29" spans="2:3" x14ac:dyDescent="0.25">
      <c r="B29" s="2" t="s">
        <v>2</v>
      </c>
      <c r="C29" s="3">
        <v>3664</v>
      </c>
    </row>
    <row r="30" spans="2:3" ht="15.75" thickBot="1" x14ac:dyDescent="0.3">
      <c r="B30" s="2" t="s">
        <v>4</v>
      </c>
      <c r="C30" s="3">
        <v>99</v>
      </c>
    </row>
    <row r="31" spans="2:3" ht="15.75" thickTop="1" x14ac:dyDescent="0.25">
      <c r="B31" s="4" t="s">
        <v>5</v>
      </c>
      <c r="C31" s="5">
        <v>8549</v>
      </c>
    </row>
    <row r="33" spans="2:3" x14ac:dyDescent="0.25">
      <c r="B33" s="6" t="s">
        <v>9</v>
      </c>
      <c r="C33" s="6"/>
    </row>
    <row r="34" spans="2:3" x14ac:dyDescent="0.25">
      <c r="B34" s="1" t="s">
        <v>12</v>
      </c>
      <c r="C34" s="1" t="s">
        <v>0</v>
      </c>
    </row>
    <row r="35" spans="2:3" ht="15.75" thickBot="1" x14ac:dyDescent="0.3">
      <c r="B35" s="2" t="s">
        <v>1</v>
      </c>
      <c r="C35" s="3">
        <v>1000</v>
      </c>
    </row>
    <row r="36" spans="2:3" ht="15.75" thickTop="1" x14ac:dyDescent="0.25">
      <c r="B36" s="4" t="s">
        <v>5</v>
      </c>
      <c r="C36" s="5">
        <v>1000</v>
      </c>
    </row>
  </sheetData>
  <mergeCells count="6">
    <mergeCell ref="B3:C3"/>
    <mergeCell ref="B19:C19"/>
    <mergeCell ref="B11:C11"/>
    <mergeCell ref="B33:C33"/>
    <mergeCell ref="B26:C26"/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C29D59-55BF-459E-AFA0-28E4A7042B1C}">
  <dimension ref="B2:D38"/>
  <sheetViews>
    <sheetView workbookViewId="0">
      <selection activeCell="B4" sqref="B4"/>
    </sheetView>
  </sheetViews>
  <sheetFormatPr baseColWidth="10" defaultRowHeight="15" x14ac:dyDescent="0.25"/>
  <cols>
    <col min="2" max="2" width="15.28515625" bestFit="1" customWidth="1"/>
    <col min="3" max="3" width="32.28515625" bestFit="1" customWidth="1"/>
    <col min="4" max="4" width="15.85546875" bestFit="1" customWidth="1"/>
  </cols>
  <sheetData>
    <row r="2" spans="2:4" x14ac:dyDescent="0.25">
      <c r="B2" s="6" t="str">
        <f ca="1" xml:space="preserve"> " COBRANZA INTERNOS " &amp; TEXT(TODAY(), " dd/mm/aaaa ") &amp; TEXT(NOW(), " hh:mm ")</f>
        <v xml:space="preserve"> COBRANZA INTERNOS  22/10/2025  20:31 </v>
      </c>
      <c r="C2" s="6"/>
    </row>
    <row r="3" spans="2:4" x14ac:dyDescent="0.25">
      <c r="B3" s="6" t="s">
        <v>6</v>
      </c>
      <c r="C3" s="6"/>
    </row>
    <row r="4" spans="2:4" x14ac:dyDescent="0.25">
      <c r="B4" s="1" t="s">
        <v>18</v>
      </c>
      <c r="C4" s="1" t="s">
        <v>0</v>
      </c>
    </row>
    <row r="5" spans="2:4" x14ac:dyDescent="0.25">
      <c r="B5" s="2" t="s">
        <v>13</v>
      </c>
      <c r="C5" s="3">
        <v>48423</v>
      </c>
    </row>
    <row r="6" spans="2:4" x14ac:dyDescent="0.25">
      <c r="B6" s="2" t="s">
        <v>14</v>
      </c>
      <c r="C6" s="3">
        <v>5380</v>
      </c>
    </row>
    <row r="7" spans="2:4" x14ac:dyDescent="0.25">
      <c r="B7" s="2" t="s">
        <v>15</v>
      </c>
      <c r="C7" s="3">
        <v>11471</v>
      </c>
    </row>
    <row r="8" spans="2:4" ht="15.75" thickBot="1" x14ac:dyDescent="0.3">
      <c r="B8" s="2" t="s">
        <v>16</v>
      </c>
      <c r="C8" s="3">
        <v>121841.89</v>
      </c>
      <c r="D8" s="1" t="s">
        <v>11</v>
      </c>
    </row>
    <row r="9" spans="2:4" ht="15.75" thickTop="1" x14ac:dyDescent="0.25">
      <c r="B9" s="4" t="s">
        <v>5</v>
      </c>
      <c r="C9" s="5">
        <v>187115.89</v>
      </c>
      <c r="D9" s="5">
        <f ca="1">SUMIF(B:B, "Total general", C:C)</f>
        <v>283845.26</v>
      </c>
    </row>
    <row r="11" spans="2:4" x14ac:dyDescent="0.25">
      <c r="B11" s="6" t="s">
        <v>8</v>
      </c>
      <c r="C11" s="6"/>
    </row>
    <row r="12" spans="2:4" x14ac:dyDescent="0.25">
      <c r="B12" s="1" t="s">
        <v>18</v>
      </c>
      <c r="C12" s="1" t="s">
        <v>0</v>
      </c>
    </row>
    <row r="13" spans="2:4" x14ac:dyDescent="0.25">
      <c r="B13" s="2" t="s">
        <v>14</v>
      </c>
      <c r="C13" s="3">
        <v>500</v>
      </c>
    </row>
    <row r="14" spans="2:4" x14ac:dyDescent="0.25">
      <c r="B14" s="2" t="s">
        <v>15</v>
      </c>
      <c r="C14" s="3">
        <v>50</v>
      </c>
    </row>
    <row r="15" spans="2:4" ht="15.75" thickBot="1" x14ac:dyDescent="0.3">
      <c r="B15" s="2" t="s">
        <v>16</v>
      </c>
      <c r="C15" s="3">
        <v>54476.37</v>
      </c>
    </row>
    <row r="16" spans="2:4" ht="15.75" thickTop="1" x14ac:dyDescent="0.25">
      <c r="B16" s="4" t="s">
        <v>5</v>
      </c>
      <c r="C16" s="5">
        <v>55026.37</v>
      </c>
    </row>
    <row r="18" spans="2:3" x14ac:dyDescent="0.25">
      <c r="B18" s="6" t="s">
        <v>7</v>
      </c>
      <c r="C18" s="6"/>
    </row>
    <row r="19" spans="2:3" x14ac:dyDescent="0.25">
      <c r="B19" s="1" t="s">
        <v>18</v>
      </c>
      <c r="C19" s="1" t="s">
        <v>0</v>
      </c>
    </row>
    <row r="20" spans="2:3" x14ac:dyDescent="0.25">
      <c r="B20" s="2" t="s">
        <v>13</v>
      </c>
      <c r="C20" s="3">
        <v>1585</v>
      </c>
    </row>
    <row r="21" spans="2:3" x14ac:dyDescent="0.25">
      <c r="B21" s="2" t="s">
        <v>14</v>
      </c>
      <c r="C21" s="3">
        <v>1741</v>
      </c>
    </row>
    <row r="22" spans="2:3" x14ac:dyDescent="0.25">
      <c r="B22" s="2" t="s">
        <v>17</v>
      </c>
      <c r="C22" s="3">
        <v>1147</v>
      </c>
    </row>
    <row r="23" spans="2:3" x14ac:dyDescent="0.25">
      <c r="B23" s="2" t="s">
        <v>15</v>
      </c>
      <c r="C23" s="3">
        <v>2068</v>
      </c>
    </row>
    <row r="24" spans="2:3" ht="15.75" thickBot="1" x14ac:dyDescent="0.3">
      <c r="B24" s="2" t="s">
        <v>16</v>
      </c>
      <c r="C24" s="3">
        <v>25613</v>
      </c>
    </row>
    <row r="25" spans="2:3" ht="15.75" thickTop="1" x14ac:dyDescent="0.25">
      <c r="B25" s="4" t="s">
        <v>5</v>
      </c>
      <c r="C25" s="5">
        <v>32154</v>
      </c>
    </row>
    <row r="27" spans="2:3" x14ac:dyDescent="0.25">
      <c r="B27" s="6" t="s">
        <v>10</v>
      </c>
      <c r="C27" s="6"/>
    </row>
    <row r="28" spans="2:3" x14ac:dyDescent="0.25">
      <c r="B28" s="1" t="s">
        <v>18</v>
      </c>
      <c r="C28" s="1" t="s">
        <v>0</v>
      </c>
    </row>
    <row r="29" spans="2:3" x14ac:dyDescent="0.25">
      <c r="B29" s="2" t="s">
        <v>13</v>
      </c>
      <c r="C29" s="3">
        <v>2509</v>
      </c>
    </row>
    <row r="30" spans="2:3" x14ac:dyDescent="0.25">
      <c r="B30" s="2" t="s">
        <v>14</v>
      </c>
      <c r="C30" s="3">
        <v>1365</v>
      </c>
    </row>
    <row r="31" spans="2:3" x14ac:dyDescent="0.25">
      <c r="B31" s="2" t="s">
        <v>17</v>
      </c>
      <c r="C31" s="3">
        <v>2413</v>
      </c>
    </row>
    <row r="32" spans="2:3" ht="15.75" thickBot="1" x14ac:dyDescent="0.3">
      <c r="B32" s="2" t="s">
        <v>16</v>
      </c>
      <c r="C32" s="3">
        <v>2262</v>
      </c>
    </row>
    <row r="33" spans="2:3" ht="15.75" thickTop="1" x14ac:dyDescent="0.25">
      <c r="B33" s="4" t="s">
        <v>5</v>
      </c>
      <c r="C33" s="5">
        <v>8549</v>
      </c>
    </row>
    <row r="35" spans="2:3" x14ac:dyDescent="0.25">
      <c r="B35" s="6" t="s">
        <v>9</v>
      </c>
      <c r="C35" s="6"/>
    </row>
    <row r="36" spans="2:3" x14ac:dyDescent="0.25">
      <c r="B36" s="1" t="s">
        <v>18</v>
      </c>
      <c r="C36" s="1" t="s">
        <v>0</v>
      </c>
    </row>
    <row r="37" spans="2:3" ht="15.75" thickBot="1" x14ac:dyDescent="0.3">
      <c r="B37" s="2" t="s">
        <v>16</v>
      </c>
      <c r="C37" s="3">
        <v>1000</v>
      </c>
    </row>
    <row r="38" spans="2:3" ht="15.75" thickTop="1" x14ac:dyDescent="0.25">
      <c r="B38" s="4" t="s">
        <v>5</v>
      </c>
      <c r="C38" s="5">
        <v>1000</v>
      </c>
    </row>
  </sheetData>
  <mergeCells count="6">
    <mergeCell ref="B2:C2"/>
    <mergeCell ref="B3:C3"/>
    <mergeCell ref="B11:C11"/>
    <mergeCell ref="B18:C18"/>
    <mergeCell ref="B27:C27"/>
    <mergeCell ref="B35:C3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D4AE35-ADE8-43CD-BF27-5857230AF612}">
  <dimension ref="B2:D22"/>
  <sheetViews>
    <sheetView workbookViewId="0">
      <selection activeCell="B4" sqref="B4"/>
    </sheetView>
  </sheetViews>
  <sheetFormatPr baseColWidth="10" defaultRowHeight="15" x14ac:dyDescent="0.25"/>
  <cols>
    <col min="2" max="2" width="36.7109375" bestFit="1" customWidth="1"/>
    <col min="3" max="3" width="32.28515625" bestFit="1" customWidth="1"/>
    <col min="4" max="4" width="15.85546875" bestFit="1" customWidth="1"/>
  </cols>
  <sheetData>
    <row r="2" spans="2:4" x14ac:dyDescent="0.25">
      <c r="B2" s="6" t="str">
        <f ca="1" xml:space="preserve"> " ETIQUETA PROYECTO CDC " &amp; TEXT(TODAY(), " dd/mm/aaaa ") &amp; TEXT(NOW(), " hh:mm ")</f>
        <v xml:space="preserve"> ETIQUETA PROYECTO CDC  22/10/2025  20:31 </v>
      </c>
      <c r="C2" s="6"/>
    </row>
    <row r="3" spans="2:4" x14ac:dyDescent="0.25">
      <c r="B3" s="6" t="s">
        <v>19</v>
      </c>
      <c r="C3" s="6"/>
    </row>
    <row r="4" spans="2:4" x14ac:dyDescent="0.25">
      <c r="B4" s="1" t="s">
        <v>12</v>
      </c>
      <c r="C4" s="1" t="s">
        <v>0</v>
      </c>
    </row>
    <row r="5" spans="2:4" x14ac:dyDescent="0.25">
      <c r="B5" s="2" t="s">
        <v>1</v>
      </c>
      <c r="C5" s="3">
        <v>12597</v>
      </c>
    </row>
    <row r="6" spans="2:4" x14ac:dyDescent="0.25">
      <c r="B6" s="2" t="s">
        <v>2</v>
      </c>
      <c r="C6" s="3">
        <v>18281</v>
      </c>
    </row>
    <row r="7" spans="2:4" x14ac:dyDescent="0.25">
      <c r="B7" s="2" t="s">
        <v>3</v>
      </c>
      <c r="C7" s="3">
        <v>1673</v>
      </c>
    </row>
    <row r="8" spans="2:4" ht="15.75" thickBot="1" x14ac:dyDescent="0.3">
      <c r="B8" s="2" t="s">
        <v>4</v>
      </c>
      <c r="C8" s="3">
        <v>1569</v>
      </c>
      <c r="D8" s="1" t="s">
        <v>11</v>
      </c>
    </row>
    <row r="9" spans="2:4" ht="15.75" thickTop="1" x14ac:dyDescent="0.25">
      <c r="B9" s="4" t="s">
        <v>5</v>
      </c>
      <c r="C9" s="5">
        <v>34120</v>
      </c>
      <c r="D9" s="5">
        <f ca="1">SUMIF(B:B, "Total general", C:C)</f>
        <v>47678</v>
      </c>
    </row>
    <row r="11" spans="2:4" x14ac:dyDescent="0.25">
      <c r="B11" s="6" t="s">
        <v>10</v>
      </c>
      <c r="C11" s="6"/>
    </row>
    <row r="12" spans="2:4" x14ac:dyDescent="0.25">
      <c r="B12" s="1" t="s">
        <v>12</v>
      </c>
      <c r="C12" s="1" t="s">
        <v>0</v>
      </c>
    </row>
    <row r="13" spans="2:4" x14ac:dyDescent="0.25">
      <c r="B13" s="2" t="s">
        <v>1</v>
      </c>
      <c r="C13" s="3">
        <v>4786</v>
      </c>
    </row>
    <row r="14" spans="2:4" x14ac:dyDescent="0.25">
      <c r="B14" s="2" t="s">
        <v>2</v>
      </c>
      <c r="C14" s="3">
        <v>2598</v>
      </c>
    </row>
    <row r="15" spans="2:4" ht="15.75" thickBot="1" x14ac:dyDescent="0.3">
      <c r="B15" s="2" t="s">
        <v>4</v>
      </c>
      <c r="C15" s="3">
        <v>99</v>
      </c>
    </row>
    <row r="16" spans="2:4" ht="15.75" thickTop="1" x14ac:dyDescent="0.25">
      <c r="B16" s="4" t="s">
        <v>5</v>
      </c>
      <c r="C16" s="5">
        <v>7483</v>
      </c>
    </row>
    <row r="18" spans="2:3" x14ac:dyDescent="0.25">
      <c r="B18" s="6" t="s">
        <v>6</v>
      </c>
      <c r="C18" s="6"/>
    </row>
    <row r="19" spans="2:3" x14ac:dyDescent="0.25">
      <c r="B19" s="1" t="s">
        <v>12</v>
      </c>
      <c r="C19" s="1" t="s">
        <v>0</v>
      </c>
    </row>
    <row r="20" spans="2:3" x14ac:dyDescent="0.25">
      <c r="B20" s="2" t="s">
        <v>1</v>
      </c>
      <c r="C20" s="3">
        <v>5265</v>
      </c>
    </row>
    <row r="21" spans="2:3" ht="15.75" thickBot="1" x14ac:dyDescent="0.3">
      <c r="B21" s="2" t="s">
        <v>2</v>
      </c>
      <c r="C21" s="3">
        <v>810</v>
      </c>
    </row>
    <row r="22" spans="2:3" ht="15.75" thickTop="1" x14ac:dyDescent="0.25">
      <c r="B22" s="4" t="s">
        <v>5</v>
      </c>
      <c r="C22" s="5">
        <v>6075</v>
      </c>
    </row>
  </sheetData>
  <mergeCells count="4">
    <mergeCell ref="B3:C3"/>
    <mergeCell ref="B11:C11"/>
    <mergeCell ref="B18:C18"/>
    <mergeCell ref="B2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2025-10-23T02:25:26Z</dcterms:created>
  <dcterms:modified xsi:type="dcterms:W3CDTF">2025-10-23T02:31:30Z</dcterms:modified>
</cp:coreProperties>
</file>