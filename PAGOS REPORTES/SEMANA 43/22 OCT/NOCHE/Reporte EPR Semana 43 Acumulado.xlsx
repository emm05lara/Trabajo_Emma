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2 OCT\NOCHE\"/>
    </mc:Choice>
  </mc:AlternateContent>
  <xr:revisionPtr revIDLastSave="0" documentId="13_ncr:1_{1071EC4F-D921-4B5D-82CC-ADB3D0DF7F36}" xr6:coauthVersionLast="47" xr6:coauthVersionMax="47" xr10:uidLastSave="{00000000-0000-0000-0000-000000000000}"/>
  <bookViews>
    <workbookView xWindow="4575" yWindow="457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D34" i="1"/>
  <c r="D48" i="5"/>
  <c r="C48" i="5"/>
  <c r="D40" i="5"/>
  <c r="C40" i="5"/>
  <c r="D33" i="5"/>
  <c r="C33" i="5"/>
  <c r="C42" i="1"/>
  <c r="D42" i="1"/>
  <c r="D26" i="1"/>
  <c r="C26" i="1"/>
  <c r="C18" i="1"/>
  <c r="D18" i="5"/>
  <c r="C18" i="5"/>
  <c r="D10" i="5"/>
  <c r="D24" i="5"/>
  <c r="C24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<sst xmlns="http://schemas.openxmlformats.org/spreadsheetml/2006/main" count="139" uniqueCount="37">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</sst>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7" zoomScaleNormal="100" workbookViewId="0">
      <selection activeCell="A40" sqref="A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6804</v>
      </c>
      <c r="D5" s="28">
        <v>224923.24000000002</v>
      </c>
    </row>
    <row r="6" spans="2:8" x14ac:dyDescent="0.25">
      <c r="B6" s="1" t="s">
        <v>5</v>
      </c>
      <c r="C6" s="6">
        <v>4368</v>
      </c>
      <c r="D6" s="28">
        <v>162946.69</v>
      </c>
    </row>
    <row r="7" spans="2:8" x14ac:dyDescent="0.25">
      <c r="B7" s="1" t="s">
        <v>6</v>
      </c>
      <c r="C7" s="6">
        <v>8236</v>
      </c>
      <c r="D7" s="28">
        <v>91155.57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37980</v>
      </c>
      <c r="D9" s="28">
        <v>232351.98999999996</v>
      </c>
      <c r="E9" s="14"/>
      <c r="F9" s="7"/>
    </row>
    <row r="10" spans="2:8" x14ac:dyDescent="0.25">
      <c r="B10" s="3" t="s">
        <v>8</v>
      </c>
      <c r="C10" s="8">
        <f>SUM(C5:C9)</f>
        <v>57902</v>
      </c>
      <c r="D10" s="4">
        <f>SUM(D5:D9)</f>
        <v>711377.49</v>
      </c>
      <c r="E10" s="11" t="s">
        <v>13</v>
      </c>
    </row>
    <row r="12" spans="2:8" x14ac:dyDescent="0.25">
      <c r="B12" s="32" t="s">
        <v>9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592</v>
      </c>
      <c r="D14" s="28">
        <v>53525.530000000006</v>
      </c>
    </row>
    <row r="15" spans="2:8" x14ac:dyDescent="0.25">
      <c r="B15" s="9" t="s">
        <v>5</v>
      </c>
      <c r="C15" s="6">
        <v>1794</v>
      </c>
      <c r="D15" s="28">
        <v>18547</v>
      </c>
    </row>
    <row r="16" spans="2:8" x14ac:dyDescent="0.25">
      <c r="B16" s="9" t="s">
        <v>6</v>
      </c>
      <c r="C16" s="6">
        <v>1156</v>
      </c>
      <c r="D16" s="28">
        <v>12520.07</v>
      </c>
    </row>
    <row r="17" spans="2:4" x14ac:dyDescent="0.25">
      <c r="B17" s="9" t="s">
        <v>7</v>
      </c>
      <c r="C17" s="6">
        <v>2273</v>
      </c>
      <c r="D17" s="28">
        <v>29211</v>
      </c>
    </row>
    <row r="18" spans="2:4" x14ac:dyDescent="0.25">
      <c r="B18" s="10" t="s">
        <v>8</v>
      </c>
      <c r="C18" s="8">
        <f>SUM(C14:C17)</f>
        <v>5815</v>
      </c>
      <c r="D18" s="4">
        <f>SUM(D14:D17)</f>
        <v>113803.6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99</v>
      </c>
      <c r="D22" s="28">
        <v>18015</v>
      </c>
    </row>
    <row r="23" spans="2:4" x14ac:dyDescent="0.25">
      <c r="B23" s="1" t="s">
        <v>5</v>
      </c>
      <c r="C23" s="6">
        <v>281</v>
      </c>
      <c r="D23" s="28">
        <v>33198</v>
      </c>
    </row>
    <row r="24" spans="2:4" x14ac:dyDescent="0.25">
      <c r="B24" s="1" t="s">
        <v>6</v>
      </c>
      <c r="C24" s="6">
        <v>363</v>
      </c>
      <c r="D24" s="28">
        <v>12933</v>
      </c>
    </row>
    <row r="25" spans="2:4" x14ac:dyDescent="0.25">
      <c r="B25" s="1" t="s">
        <v>7</v>
      </c>
      <c r="C25" s="7">
        <v>15115</v>
      </c>
      <c r="D25" s="28">
        <v>21602.3</v>
      </c>
    </row>
    <row r="26" spans="2:4" x14ac:dyDescent="0.25">
      <c r="B26" s="3" t="s">
        <v>8</v>
      </c>
      <c r="C26" s="8">
        <f>SUM(C22:C25)</f>
        <v>15858</v>
      </c>
      <c r="D26" s="4">
        <f>SUM(D22:D25)</f>
        <v>85748.3</v>
      </c>
    </row>
    <row r="28" spans="2:4" x14ac:dyDescent="0.25">
      <c r="B28" s="32" t="s">
        <v>10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4976</v>
      </c>
      <c r="D30" s="28">
        <v>37406.050000000003</v>
      </c>
    </row>
    <row r="31" spans="2:4" x14ac:dyDescent="0.25">
      <c r="B31" s="1" t="s">
        <v>5</v>
      </c>
      <c r="C31" s="6">
        <v>1331</v>
      </c>
      <c r="D31" s="28">
        <v>10536</v>
      </c>
    </row>
    <row r="32" spans="2:4" x14ac:dyDescent="0.25">
      <c r="B32" s="1" t="s">
        <v>6</v>
      </c>
      <c r="C32" s="6">
        <v>3743</v>
      </c>
      <c r="D32" s="28">
        <v>4932</v>
      </c>
    </row>
    <row r="33" spans="2:4" x14ac:dyDescent="0.25">
      <c r="B33" s="1" t="s">
        <v>7</v>
      </c>
      <c r="C33" s="6">
        <v>1029</v>
      </c>
      <c r="D33" s="28">
        <v>399</v>
      </c>
    </row>
    <row r="34" spans="2:4" x14ac:dyDescent="0.25">
      <c r="B34" s="10" t="s">
        <v>8</v>
      </c>
      <c r="C34" s="8">
        <f>SUM(C30:C33)</f>
        <v>11079</v>
      </c>
      <c r="D34" s="4">
        <f>SUM(D30:D33)</f>
        <v>53273.05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19</v>
      </c>
      <c r="D38" s="28">
        <v>16636</v>
      </c>
    </row>
    <row r="39" spans="2:4" x14ac:dyDescent="0.25">
      <c r="B39" s="1" t="s">
        <v>5</v>
      </c>
      <c r="C39" s="6">
        <v>37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739</v>
      </c>
      <c r="D41" s="28">
        <v>3046</v>
      </c>
    </row>
    <row r="42" spans="2:4" x14ac:dyDescent="0.25">
      <c r="B42" s="3" t="s">
        <v>8</v>
      </c>
      <c r="C42" s="8">
        <f>SUM(C38:C41)</f>
        <v>799</v>
      </c>
      <c r="D42" s="4">
        <f>SUM(D38:D41)</f>
        <v>19682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91453</v>
      </c>
      <c r="D50" s="13">
        <f>SUMIF(B:B, "Total general", D:D)</f>
        <v>983884.44000000006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13" sqref="C1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8541</v>
      </c>
      <c r="D5" s="28">
        <v>54109.42</v>
      </c>
      <c r="E5" s="11"/>
    </row>
    <row r="6" spans="2:8" x14ac:dyDescent="0.25">
      <c r="B6" s="1" t="s">
        <v>5</v>
      </c>
      <c r="C6" s="27">
        <v>5508</v>
      </c>
      <c r="D6" s="28">
        <v>37916.880000000005</v>
      </c>
    </row>
    <row r="7" spans="2:8" x14ac:dyDescent="0.25">
      <c r="B7" s="1" t="s">
        <v>6</v>
      </c>
      <c r="C7" s="27">
        <v>5473</v>
      </c>
      <c r="D7" s="28">
        <v>21796</v>
      </c>
    </row>
    <row r="8" spans="2:8" x14ac:dyDescent="0.25">
      <c r="B8" s="5" t="s">
        <v>11</v>
      </c>
      <c r="C8" s="27">
        <v>2739</v>
      </c>
      <c r="D8" s="28">
        <v>500</v>
      </c>
    </row>
    <row r="9" spans="2:8" x14ac:dyDescent="0.25">
      <c r="B9" s="1" t="s">
        <v>7</v>
      </c>
      <c r="C9" s="27">
        <v>2913</v>
      </c>
      <c r="D9" s="28">
        <v>4378</v>
      </c>
      <c r="E9" s="14"/>
      <c r="F9" s="7"/>
    </row>
    <row r="10" spans="2:8" x14ac:dyDescent="0.25">
      <c r="B10" s="3" t="s">
        <v>8</v>
      </c>
      <c r="C10" s="8">
        <f>SUM(C5:C9)</f>
        <v>25174</v>
      </c>
      <c r="D10" s="4">
        <f>SUM(D5:D9)</f>
        <v>118700.3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4868</v>
      </c>
      <c r="D14" s="28">
        <v>37228.050000000003</v>
      </c>
    </row>
    <row r="15" spans="2:8" x14ac:dyDescent="0.25">
      <c r="B15" s="1" t="s">
        <v>5</v>
      </c>
      <c r="C15" s="26">
        <v>766</v>
      </c>
      <c r="D15" s="28">
        <v>8291</v>
      </c>
    </row>
    <row r="16" spans="2:8" x14ac:dyDescent="0.25">
      <c r="B16" s="1" t="s">
        <v>6</v>
      </c>
      <c r="C16" s="26">
        <v>3451</v>
      </c>
      <c r="D16" s="28">
        <v>4932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9111</v>
      </c>
      <c r="D18" s="4">
        <f>SUM(D14:D17)</f>
        <v>50850.05</v>
      </c>
    </row>
    <row r="20" spans="2:4" x14ac:dyDescent="0.25">
      <c r="B20" s="31" t="s">
        <v>29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2</v>
      </c>
      <c r="D22" s="28">
        <v>15011</v>
      </c>
    </row>
    <row r="23" spans="2:4" x14ac:dyDescent="0.25">
      <c r="B23" s="1" t="s">
        <v>7</v>
      </c>
      <c r="C23">
        <v>64</v>
      </c>
      <c r="D23" s="29">
        <v>0</v>
      </c>
    </row>
    <row r="24" spans="2:4" x14ac:dyDescent="0.25">
      <c r="B24" s="3" t="s">
        <v>8</v>
      </c>
      <c r="C24" s="8">
        <f>SUM(C22:C23)</f>
        <v>66</v>
      </c>
      <c r="D24" s="4">
        <f>SUM(D22:D23)</f>
        <v>15011</v>
      </c>
    </row>
    <row r="26" spans="2:4" x14ac:dyDescent="0.25">
      <c r="B26" s="31" t="s">
        <v>0</v>
      </c>
      <c r="C26" s="31"/>
      <c r="D26" s="31"/>
    </row>
    <row r="27" spans="2:4" x14ac:dyDescent="0.25">
      <c r="B27" s="2" t="s">
        <v>1</v>
      </c>
      <c r="C27" s="2" t="s">
        <v>2</v>
      </c>
      <c r="D27" s="2" t="s">
        <v>3</v>
      </c>
    </row>
    <row r="28" spans="2:4" x14ac:dyDescent="0.25">
      <c r="B28" s="9" t="s">
        <v>4</v>
      </c>
      <c r="C28">
        <v>475</v>
      </c>
      <c r="D28" s="28">
        <v>9212</v>
      </c>
    </row>
    <row r="29" spans="2:4" x14ac:dyDescent="0.25">
      <c r="B29" s="1" t="s">
        <v>5</v>
      </c>
      <c r="C29">
        <v>698</v>
      </c>
      <c r="D29" s="28">
        <v>3080</v>
      </c>
    </row>
    <row r="30" spans="2:4" x14ac:dyDescent="0.25">
      <c r="B30" s="1" t="s">
        <v>6</v>
      </c>
      <c r="C30">
        <v>710</v>
      </c>
      <c r="D30" s="28">
        <v>221</v>
      </c>
    </row>
    <row r="31" spans="2:4" x14ac:dyDescent="0.25">
      <c r="B31" s="5" t="s">
        <v>11</v>
      </c>
      <c r="C31" s="11">
        <v>0</v>
      </c>
      <c r="D31" s="30">
        <v>0</v>
      </c>
    </row>
    <row r="32" spans="2:4" x14ac:dyDescent="0.25">
      <c r="B32" s="1" t="s">
        <v>7</v>
      </c>
      <c r="C32">
        <v>303</v>
      </c>
      <c r="D32" s="28">
        <v>2919</v>
      </c>
    </row>
    <row r="33" spans="2:4" x14ac:dyDescent="0.25">
      <c r="B33" s="3" t="s">
        <v>8</v>
      </c>
      <c r="C33" s="8">
        <f>SUM(C28:C32)</f>
        <v>2186</v>
      </c>
      <c r="D33" s="4">
        <f>SUM(D28:D32)</f>
        <v>15432</v>
      </c>
    </row>
    <row r="35" spans="2:4" x14ac:dyDescent="0.25">
      <c r="B35" s="32" t="s">
        <v>9</v>
      </c>
      <c r="C35" s="32"/>
      <c r="D35" s="32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>
        <v>2</v>
      </c>
      <c r="D37" s="25">
        <v>0</v>
      </c>
    </row>
    <row r="38" spans="2:4" x14ac:dyDescent="0.25">
      <c r="B38" s="9" t="s">
        <v>5</v>
      </c>
      <c r="C38">
        <v>1</v>
      </c>
      <c r="D38" s="25">
        <v>0</v>
      </c>
    </row>
    <row r="39" spans="2:4" x14ac:dyDescent="0.25">
      <c r="B39" s="9" t="s">
        <v>7</v>
      </c>
      <c r="C39">
        <v>176</v>
      </c>
      <c r="D39" s="28">
        <v>1200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1200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>
        <v>3</v>
      </c>
      <c r="D44" s="25">
        <v>0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>
        <v>1</v>
      </c>
      <c r="D46" s="25">
        <v>0</v>
      </c>
    </row>
    <row r="47" spans="2:4" x14ac:dyDescent="0.25">
      <c r="B47" s="1" t="s">
        <v>7</v>
      </c>
      <c r="C47">
        <v>331</v>
      </c>
      <c r="D47" s="28">
        <v>388</v>
      </c>
    </row>
    <row r="48" spans="2:4" x14ac:dyDescent="0.25">
      <c r="B48" s="3" t="s">
        <v>8</v>
      </c>
      <c r="C48" s="8">
        <f>SUM(C44:C47)</f>
        <v>335</v>
      </c>
      <c r="D48" s="4">
        <f>SUM(D44:D47)</f>
        <v>388</v>
      </c>
    </row>
    <row r="50" spans="2:4" x14ac:dyDescent="0.25">
      <c r="B50" s="12" t="s">
        <v>12</v>
      </c>
      <c r="C50" s="13">
        <f>SUMIF(B:B, "Total general", C:C)</f>
        <v>37051</v>
      </c>
      <c r="D50" s="13">
        <f>SUMIF(B:B, "Total general", D:D)</f>
        <v>201581.35</v>
      </c>
    </row>
  </sheetData>
  <mergeCells count="7">
    <mergeCell ref="B35:D35"/>
    <mergeCell ref="B20:D20"/>
    <mergeCell ref="B12:D12"/>
    <mergeCell ref="B42:D42"/>
    <mergeCell ref="B1:D1"/>
    <mergeCell ref="B3:D3"/>
    <mergeCell ref="B26:D2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13891</v>
      </c>
      <c r="D3" s="14">
        <f>SUMIF('CDC-OLGUIN'!B:B, "Extrajudicial - 0 a 28 semanas de atraso", 'CDC-OLGUIN'!D:D)</f>
        <v>115560.47</v>
      </c>
    </row>
    <row r="4" spans="2:6" x14ac:dyDescent="0.25">
      <c r="B4" s="1" t="s">
        <v>5</v>
      </c>
      <c r="C4" s="6">
        <f>SUMIF('CDC-OLGUIN'!B:B, "Extrajudicial - 29 a 39 semanas de atraso", 'CDC-OLGUIN'!C:C)</f>
        <v>6973</v>
      </c>
      <c r="D4" s="14">
        <f>SUMIF('CDC-OLGUIN'!B:B, "Extrajudicial - 29 a 39 semanas de atraso", 'CDC-OLGUIN'!D:D)</f>
        <v>49287.880000000005</v>
      </c>
    </row>
    <row r="5" spans="2:6" x14ac:dyDescent="0.25">
      <c r="B5" s="1" t="s">
        <v>6</v>
      </c>
      <c r="C5" s="6">
        <f>SUMIF('CDC-OLGUIN'!B:B, "Extrajudicial - 40 a 55 semanas de atraso", 'CDC-OLGUIN'!C:C)</f>
        <v>9635</v>
      </c>
      <c r="D5" s="14">
        <f>SUMIF('CDC-OLGUIN'!B:B, "Extrajudicial - 40 a 55 semanas de atraso", 'CDC-OLGUIN'!D:D)</f>
        <v>26949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500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9284</v>
      </c>
      <c r="E7" s="14"/>
      <c r="F7" s="7"/>
    </row>
    <row r="8" spans="2:6" x14ac:dyDescent="0.25">
      <c r="B8" s="3" t="s">
        <v>8</v>
      </c>
      <c r="C8" s="8">
        <f>SUM(C3:C7)</f>
        <v>37051</v>
      </c>
      <c r="D8" s="4">
        <f>SUM(D3:D7)</f>
        <v>201581.35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12490</v>
      </c>
      <c r="E6" s="16">
        <f>SUMIF('REPORTE DIARIO'!B:B,'EPR 26 JUN'!C6, 'REPORTE DIARIO'!D:D)</f>
        <v>350505.82</v>
      </c>
      <c r="F6" s="16">
        <f>J6*D6</f>
        <v>785085.7142857142</v>
      </c>
      <c r="G6" s="16">
        <f>+E6-F6</f>
        <v>-434579.8942857142</v>
      </c>
      <c r="H6" s="15">
        <f>ABS(G6/F6)</f>
        <v>0.55354451925176495</v>
      </c>
      <c r="I6" s="16">
        <f>E6/D6</f>
        <v>28.062915932746197</v>
      </c>
      <c r="J6" s="16">
        <f>(220/7)*2</f>
        <v>62.857142857142854</v>
      </c>
      <c r="K6" s="16">
        <f>+I6-J6</f>
        <v>-34.794226924396654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7811</v>
      </c>
      <c r="E7" s="16">
        <f>SUMIF('REPORTE DIARIO'!B:B,'EPR 26 JUN'!C7, 'REPORTE DIARIO'!D:D)</f>
        <v>225227.69</v>
      </c>
      <c r="F7" s="16">
        <f>J7*D7</f>
        <v>245488.57142857142</v>
      </c>
      <c r="G7" s="16">
        <f>+E7-F7</f>
        <v>-20260.881428571418</v>
      </c>
      <c r="H7" s="15">
        <f>ABS(G7/F7)</f>
        <v>8.2532890678646623E-2</v>
      </c>
      <c r="I7" s="16">
        <f>E7/D7</f>
        <v>28.834680578671104</v>
      </c>
      <c r="J7" s="16">
        <f>(110/7)*2</f>
        <v>31.428571428571427</v>
      </c>
      <c r="K7" s="16">
        <f t="shared" ref="K7:K9" si="0">+I7-J7</f>
        <v>-2.5938908499003226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13502</v>
      </c>
      <c r="E8" s="16">
        <f>SUMIF('REPORTE DIARIO'!B:B,'EPR 26 JUN'!C8, 'REPORTE DIARIO'!D:D)</f>
        <v>121540.64000000001</v>
      </c>
      <c r="F8" s="16">
        <f>J8*D8</f>
        <v>173597.14285714287</v>
      </c>
      <c r="G8" s="16">
        <f>+E8-F8</f>
        <v>-52056.502857142856</v>
      </c>
      <c r="H8" s="15">
        <f>ABS(G8/F8)</f>
        <v>0.29986958310702938</v>
      </c>
      <c r="I8" s="16">
        <f>E8/D8</f>
        <v>9.0016767886239091</v>
      </c>
      <c r="J8" s="16">
        <f>(45/7)*2</f>
        <v>12.857142857142858</v>
      </c>
      <c r="K8" s="16">
        <f t="shared" si="0"/>
        <v>-3.8554660685189486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57136</v>
      </c>
      <c r="E9" s="16">
        <f>SUMIF('REPORTE DIARIO'!B:B,'EPR 26 JUN'!C9, 'REPORTE DIARIO'!D:D)</f>
        <v>286610.28999999998</v>
      </c>
      <c r="F9" s="16">
        <f>J9*D9</f>
        <v>244868.57142857142</v>
      </c>
      <c r="G9" s="16">
        <f>+E9-F9</f>
        <v>41741.718571428559</v>
      </c>
      <c r="H9" s="15">
        <f>ABS(G9/F9)</f>
        <v>0.17046580673014092</v>
      </c>
      <c r="I9" s="16">
        <f>E9/D9</f>
        <v>5.0162820288434604</v>
      </c>
      <c r="J9" s="16">
        <f>(15/7)*2</f>
        <v>4.2857142857142856</v>
      </c>
      <c r="K9" s="16">
        <f t="shared" si="0"/>
        <v>0.73056774312917483</v>
      </c>
    </row>
    <row r="10" spans="2:12" x14ac:dyDescent="0.25">
      <c r="B10" s="16"/>
      <c r="C10" s="19" t="s">
        <v>16</v>
      </c>
      <c r="D10" s="24">
        <f>SUM(D6:D9)</f>
        <v>90939</v>
      </c>
      <c r="E10" s="20">
        <f>SUM(E6:E9)</f>
        <v>983884.44</v>
      </c>
      <c r="F10" s="20">
        <f>SUM(F6:F9)</f>
        <v>1449040</v>
      </c>
      <c r="G10" s="20">
        <f>+E10-F10</f>
        <v>-465155.56000000006</v>
      </c>
      <c r="H10" s="21">
        <f>ABS(G10/F10)</f>
        <v>0.32100946833765809</v>
      </c>
      <c r="I10" s="20">
        <f>E10/D10</f>
        <v>10.819169333289347</v>
      </c>
      <c r="J10" s="20">
        <f>F10/D10</f>
        <v>15.934197648973488</v>
      </c>
      <c r="K10" s="20">
        <f>I10-J10</f>
        <v>-5.1150283156841407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2025-10-23T02:42:52Z</dcterms:modified>
</cp:coreProperties>
</file>