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2 OCT\TARDE1\"/>
    </mc:Choice>
  </mc:AlternateContent>
  <xr:revisionPtr revIDLastSave="0" documentId="8_{8E0E0DF6-75F8-4FE6-9E28-0AB084B1A1B2}" xr6:coauthVersionLast="47" xr6:coauthVersionMax="47" xr10:uidLastSave="{00000000-0000-0000-0000-000000000000}"/>
  <bookViews>
    <workbookView xWindow="-120" yWindow="-120" windowWidth="51840" windowHeight="21120" xr2:uid="{95C5AA89-3D23-444B-A9ED-F037149FB59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<sst xmlns="http://schemas.openxmlformats.org/spreadsheetml/2006/main" count="80" uniqueCount="19">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</sst>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0529-3864-4E8F-9FB3-A8C53068C454}">
  <dimension ref="B2:D31"/>
  <sheetViews>
    <sheetView tabSelected="1" workbookViewId="0">
      <selection activeCell="B2" sqref="B2:D3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22/10/2025  13:14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17192.309999999998</v>
      </c>
    </row>
    <row r="6" spans="2:4" x14ac:dyDescent="0.25">
      <c r="B6" s="2" t="s">
        <v>2</v>
      </c>
      <c r="C6" s="3">
        <v>13012</v>
      </c>
    </row>
    <row r="7" spans="2:4" x14ac:dyDescent="0.25">
      <c r="B7" s="2" t="s">
        <v>3</v>
      </c>
      <c r="C7" s="3">
        <v>1191</v>
      </c>
    </row>
    <row r="8" spans="2:4" ht="15.75" thickBot="1" x14ac:dyDescent="0.3">
      <c r="B8" s="2" t="s">
        <v>4</v>
      </c>
      <c r="C8" s="3">
        <v>6476</v>
      </c>
      <c r="D8" s="1" t="s">
        <v>10</v>
      </c>
    </row>
    <row r="9" spans="2:4" ht="15.75" thickTop="1" x14ac:dyDescent="0.25">
      <c r="B9" s="4" t="s">
        <v>5</v>
      </c>
      <c r="C9" s="5">
        <v>37871.31</v>
      </c>
      <c r="D9" s="5">
        <f ca="1">SUMIF(B:B, "Total general", C:C)</f>
        <v>57282.31</v>
      </c>
    </row>
    <row r="11" spans="2:4" x14ac:dyDescent="0.25">
      <c r="B11" s="6" t="s">
        <v>7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3201</v>
      </c>
    </row>
    <row r="14" spans="2:4" x14ac:dyDescent="0.25">
      <c r="B14" s="2" t="s">
        <v>2</v>
      </c>
      <c r="C14" s="3">
        <v>8547</v>
      </c>
    </row>
    <row r="15" spans="2:4" ht="15.75" thickBot="1" x14ac:dyDescent="0.3">
      <c r="B15" s="2" t="s">
        <v>4</v>
      </c>
      <c r="C15" s="3">
        <v>1837</v>
      </c>
    </row>
    <row r="16" spans="2:4" ht="15.75" thickTop="1" x14ac:dyDescent="0.25">
      <c r="B16" s="4" t="s">
        <v>5</v>
      </c>
      <c r="C16" s="5">
        <v>13585</v>
      </c>
    </row>
    <row r="18" spans="2:3" x14ac:dyDescent="0.25">
      <c r="B18" s="6" t="s">
        <v>8</v>
      </c>
      <c r="C18" s="6"/>
    </row>
    <row r="19" spans="2:3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358</v>
      </c>
    </row>
    <row r="21" spans="2:3" x14ac:dyDescent="0.25">
      <c r="B21" s="2" t="s">
        <v>2</v>
      </c>
      <c r="C21" s="3">
        <v>1387</v>
      </c>
    </row>
    <row r="22" spans="2:3" x14ac:dyDescent="0.25">
      <c r="B22" s="2" t="s">
        <v>3</v>
      </c>
      <c r="C22" s="3">
        <v>200</v>
      </c>
    </row>
    <row r="23" spans="2:3" ht="15.75" thickBot="1" x14ac:dyDescent="0.3">
      <c r="B23" s="2" t="s">
        <v>4</v>
      </c>
      <c r="C23" s="3">
        <v>1974</v>
      </c>
    </row>
    <row r="24" spans="2:3" ht="15.75" thickTop="1" x14ac:dyDescent="0.25">
      <c r="B24" s="4" t="s">
        <v>5</v>
      </c>
      <c r="C24" s="5">
        <v>3919</v>
      </c>
    </row>
    <row r="26" spans="2:3" x14ac:dyDescent="0.25">
      <c r="B26" s="6" t="s">
        <v>9</v>
      </c>
      <c r="C26" s="6"/>
    </row>
    <row r="27" spans="2:3" x14ac:dyDescent="0.25">
      <c r="B27" s="1" t="s">
        <v>11</v>
      </c>
      <c r="C27" s="1" t="s">
        <v>0</v>
      </c>
    </row>
    <row r="28" spans="2:3" x14ac:dyDescent="0.25">
      <c r="B28" s="2" t="s">
        <v>1</v>
      </c>
      <c r="C28" s="3">
        <v>1142</v>
      </c>
    </row>
    <row r="29" spans="2:3" x14ac:dyDescent="0.25">
      <c r="B29" s="2" t="s">
        <v>2</v>
      </c>
      <c r="C29" s="3">
        <v>666</v>
      </c>
    </row>
    <row r="30" spans="2:3" ht="15.75" thickBot="1" x14ac:dyDescent="0.3">
      <c r="B30" s="2" t="s">
        <v>4</v>
      </c>
      <c r="C30" s="3">
        <v>99</v>
      </c>
    </row>
    <row r="31" spans="2:3" ht="15.75" thickTop="1" x14ac:dyDescent="0.25">
      <c r="B31" s="4" t="s">
        <v>5</v>
      </c>
      <c r="C31" s="5">
        <v>1907</v>
      </c>
    </row>
  </sheetData>
  <mergeCells count="5">
    <mergeCell ref="B3:C3"/>
    <mergeCell ref="B11:C11"/>
    <mergeCell ref="B18:C18"/>
    <mergeCell ref="B26:C26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1459-4E8C-4A42-9924-9BC1980D8D17}">
  <dimension ref="B2:D29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22/10/2025  13:14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17</v>
      </c>
      <c r="C4" s="1" t="s">
        <v>0</v>
      </c>
    </row>
    <row r="5" spans="2:4" x14ac:dyDescent="0.25">
      <c r="B5" s="2" t="s">
        <v>12</v>
      </c>
      <c r="C5" s="3">
        <v>12964</v>
      </c>
    </row>
    <row r="6" spans="2:4" x14ac:dyDescent="0.25">
      <c r="B6" s="2" t="s">
        <v>13</v>
      </c>
      <c r="C6" s="3">
        <v>2315</v>
      </c>
    </row>
    <row r="7" spans="2:4" x14ac:dyDescent="0.25">
      <c r="B7" s="2" t="s">
        <v>14</v>
      </c>
      <c r="C7" s="3">
        <v>2378</v>
      </c>
    </row>
    <row r="8" spans="2:4" ht="15.75" thickBot="1" x14ac:dyDescent="0.3">
      <c r="B8" s="2" t="s">
        <v>15</v>
      </c>
      <c r="C8" s="3">
        <v>20214.310000000001</v>
      </c>
      <c r="D8" s="1" t="s">
        <v>10</v>
      </c>
    </row>
    <row r="9" spans="2:4" ht="15.75" thickTop="1" x14ac:dyDescent="0.25">
      <c r="B9" s="4" t="s">
        <v>5</v>
      </c>
      <c r="C9" s="5">
        <v>37871.31</v>
      </c>
      <c r="D9" s="5">
        <f ca="1" xml:space="preserve"> SUMIF(B:B, "Total general", C:C)</f>
        <v>57282.31</v>
      </c>
    </row>
    <row r="11" spans="2:4" x14ac:dyDescent="0.25">
      <c r="B11" s="6" t="s">
        <v>7</v>
      </c>
      <c r="C11" s="6"/>
    </row>
    <row r="12" spans="2:4" x14ac:dyDescent="0.25">
      <c r="B12" s="1" t="s">
        <v>17</v>
      </c>
      <c r="C12" s="1" t="s">
        <v>0</v>
      </c>
    </row>
    <row r="13" spans="2:4" x14ac:dyDescent="0.25">
      <c r="B13" s="2" t="s">
        <v>13</v>
      </c>
      <c r="C13" s="3">
        <v>245</v>
      </c>
    </row>
    <row r="14" spans="2:4" x14ac:dyDescent="0.25">
      <c r="B14" s="2" t="s">
        <v>16</v>
      </c>
      <c r="C14" s="3">
        <v>1147</v>
      </c>
    </row>
    <row r="15" spans="2:4" x14ac:dyDescent="0.25">
      <c r="B15" s="2" t="s">
        <v>14</v>
      </c>
      <c r="C15" s="3">
        <v>468</v>
      </c>
    </row>
    <row r="16" spans="2:4" ht="15.75" thickBot="1" x14ac:dyDescent="0.3">
      <c r="B16" s="2" t="s">
        <v>15</v>
      </c>
      <c r="C16" s="3">
        <v>11725</v>
      </c>
    </row>
    <row r="17" spans="2:3" ht="15.75" thickTop="1" x14ac:dyDescent="0.25">
      <c r="B17" s="4" t="s">
        <v>5</v>
      </c>
      <c r="C17" s="5">
        <v>13585</v>
      </c>
    </row>
    <row r="19" spans="2:3" x14ac:dyDescent="0.25">
      <c r="B19" s="6" t="s">
        <v>8</v>
      </c>
      <c r="C19" s="6"/>
    </row>
    <row r="20" spans="2:3" x14ac:dyDescent="0.25">
      <c r="B20" s="1" t="s">
        <v>17</v>
      </c>
      <c r="C20" s="1" t="s">
        <v>0</v>
      </c>
    </row>
    <row r="21" spans="2:3" ht="15.75" thickBot="1" x14ac:dyDescent="0.3">
      <c r="B21" s="2" t="s">
        <v>15</v>
      </c>
      <c r="C21" s="3">
        <v>3919</v>
      </c>
    </row>
    <row r="22" spans="2:3" ht="15.75" thickTop="1" x14ac:dyDescent="0.25">
      <c r="B22" s="4" t="s">
        <v>5</v>
      </c>
      <c r="C22" s="5">
        <v>3919</v>
      </c>
    </row>
    <row r="24" spans="2:3" x14ac:dyDescent="0.25">
      <c r="B24" s="6" t="s">
        <v>9</v>
      </c>
      <c r="C24" s="6"/>
    </row>
    <row r="25" spans="2:3" x14ac:dyDescent="0.25">
      <c r="B25" s="1" t="s">
        <v>17</v>
      </c>
      <c r="C25" s="1" t="s">
        <v>0</v>
      </c>
    </row>
    <row r="26" spans="2:3" x14ac:dyDescent="0.25">
      <c r="B26" s="2" t="s">
        <v>12</v>
      </c>
      <c r="C26" s="3">
        <v>1340</v>
      </c>
    </row>
    <row r="27" spans="2:3" x14ac:dyDescent="0.25">
      <c r="B27" s="2" t="s">
        <v>13</v>
      </c>
      <c r="C27" s="3">
        <v>100</v>
      </c>
    </row>
    <row r="28" spans="2:3" ht="15.75" thickBot="1" x14ac:dyDescent="0.3">
      <c r="B28" s="2" t="s">
        <v>15</v>
      </c>
      <c r="C28" s="3">
        <v>467</v>
      </c>
    </row>
    <row r="29" spans="2:3" ht="15.75" thickTop="1" x14ac:dyDescent="0.25">
      <c r="B29" s="4" t="s">
        <v>5</v>
      </c>
      <c r="C29" s="5">
        <v>1907</v>
      </c>
    </row>
  </sheetData>
  <mergeCells count="5">
    <mergeCell ref="B2:C2"/>
    <mergeCell ref="B3:C3"/>
    <mergeCell ref="B11:C11"/>
    <mergeCell ref="B19:C19"/>
    <mergeCell ref="B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BBF1-2C60-4933-B67E-3B5CF2AEB206}">
  <dimension ref="B2:D20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22/10/2025  13:14 </v>
      </c>
      <c r="C2" s="6"/>
    </row>
    <row r="3" spans="2:4" x14ac:dyDescent="0.25">
      <c r="B3" s="6" t="s">
        <v>18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3696</v>
      </c>
    </row>
    <row r="6" spans="2:4" x14ac:dyDescent="0.25">
      <c r="B6" s="2" t="s">
        <v>2</v>
      </c>
      <c r="C6" s="3">
        <v>1785</v>
      </c>
    </row>
    <row r="7" spans="2:4" x14ac:dyDescent="0.25">
      <c r="B7" s="2" t="s">
        <v>3</v>
      </c>
      <c r="C7" s="3">
        <v>573</v>
      </c>
    </row>
    <row r="8" spans="2:4" ht="15.75" thickBot="1" x14ac:dyDescent="0.3">
      <c r="B8" s="2" t="s">
        <v>4</v>
      </c>
      <c r="C8" s="3">
        <v>1569</v>
      </c>
      <c r="D8" s="1" t="s">
        <v>10</v>
      </c>
    </row>
    <row r="9" spans="2:4" ht="15.75" thickTop="1" x14ac:dyDescent="0.25">
      <c r="B9" s="4" t="s">
        <v>5</v>
      </c>
      <c r="C9" s="5">
        <v>7623</v>
      </c>
      <c r="D9" s="5">
        <f ca="1">SUMIF(B:B, "Total general", C:C)</f>
        <v>9106</v>
      </c>
    </row>
    <row r="11" spans="2:4" x14ac:dyDescent="0.25">
      <c r="B11" s="6" t="s">
        <v>9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1142</v>
      </c>
    </row>
    <row r="14" spans="2:4" ht="15.75" thickBot="1" x14ac:dyDescent="0.3">
      <c r="B14" s="2" t="s">
        <v>4</v>
      </c>
      <c r="C14" s="3">
        <v>99</v>
      </c>
    </row>
    <row r="15" spans="2:4" ht="15.75" thickTop="1" x14ac:dyDescent="0.25">
      <c r="B15" s="4" t="s">
        <v>5</v>
      </c>
      <c r="C15" s="5">
        <v>1241</v>
      </c>
    </row>
    <row r="17" spans="2:3" x14ac:dyDescent="0.25">
      <c r="B17" s="6" t="s">
        <v>6</v>
      </c>
      <c r="C17" s="6"/>
    </row>
    <row r="18" spans="2:3" x14ac:dyDescent="0.25">
      <c r="B18" s="1" t="s">
        <v>11</v>
      </c>
      <c r="C18" s="1" t="s">
        <v>0</v>
      </c>
    </row>
    <row r="19" spans="2:3" ht="15.75" thickBot="1" x14ac:dyDescent="0.3">
      <c r="B19" s="2" t="s">
        <v>1</v>
      </c>
      <c r="C19" s="3">
        <v>242</v>
      </c>
    </row>
    <row r="20" spans="2:3" ht="15.75" thickTop="1" x14ac:dyDescent="0.25">
      <c r="B20" s="4" t="s">
        <v>5</v>
      </c>
      <c r="C20" s="5">
        <v>242</v>
      </c>
    </row>
  </sheetData>
  <mergeCells count="4">
    <mergeCell ref="B3:C3"/>
    <mergeCell ref="B11:C11"/>
    <mergeCell ref="B17:C17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2025-10-22T19:09:19Z</dcterms:created>
  <dcterms:modified xsi:type="dcterms:W3CDTF">2025-10-22T19:14:25Z</dcterms:modified>
</cp:coreProperties>
</file>