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4 OCT\NOCHE\"/>
    </mc:Choice>
  </mc:AlternateContent>
  <xr:revisionPtr revIDLastSave="0" documentId="13_ncr:1_{961371C6-F4A5-49F8-BD90-13A3CA14DF9B}" xr6:coauthVersionLast="47" xr6:coauthVersionMax="47" xr10:uidLastSave="{00000000-0000-0000-0000-000000000000}"/>
  <bookViews>
    <workbookView xWindow="13890" yWindow="13890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E10" i="3"/>
  <c r="D10" i="3"/>
  <c r="E8" i="3"/>
  <c r="E6" i="3"/>
  <c r="E7" i="3"/>
  <c r="G6" i="1"/>
  <c r="J6" i="1" s="1"/>
  <c r="G7" i="1"/>
  <c r="H7" i="1" s="1"/>
  <c r="G8" i="1"/>
  <c r="G9" i="1"/>
  <c r="G10" i="1"/>
  <c r="H10" i="1" s="1"/>
  <c r="J9" i="1" l="1"/>
  <c r="H9" i="1"/>
  <c r="J8" i="1"/>
  <c r="H8" i="1"/>
  <c r="J7" i="1"/>
  <c r="H6" i="1"/>
  <c r="J10" i="1"/>
  <c r="E10" i="1"/>
  <c r="D10" i="1"/>
</calcChain>
</file>

<file path=xl/sharedStrings.xml><?xml version="1.0" encoding="utf-8"?>
<sst xmlns="http://schemas.openxmlformats.org/spreadsheetml/2006/main" count="41" uniqueCount="27">
  <si>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</si>
  <si>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</si>
  <si>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</si>
  <si>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</si>
  <si>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</si>
  <si>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</si>
  <si>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</si>
  <si>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</si>
  <si>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</si>
  <si>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</si>
  <si>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</si>
  <si>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</si>
  <si>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</si>
  <si>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</si>
  <si>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</si>
  <si>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</si>
  <si>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</si>
  <si>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</si>
  <si>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</si>
  <si>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</si>
  <si>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</si>
  <si>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</si>
  <si>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</si>
  <si>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REPORTE ALCANCE A CUOTA (CAMPO) ACUMULADO</t>
  </si>
  <si>
    <t>REPORTE ALCANCE A CUOTA (CALL) ACUMULADO</t>
  </si>
  <si>
    <t>COBRANZA SEMANA 43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</si>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</sst>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8" sqref="I8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23</v>
      </c>
    </row>
    <row r="3" spans="2:10" x14ac:dyDescent="0.25">
      <c r="B3" s="2" t="s">
        <v>25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26</v>
      </c>
      <c r="D6" s="5">
        <v>20</v>
      </c>
      <c r="E6" s="5">
        <v>2006</v>
      </c>
      <c r="F6" s="7">
        <v>100</v>
      </c>
      <c r="G6" s="7">
        <f>Tabla2[[#This Row],['# DE DEUDORES]]*Tabla2[[#This Row],[EPR IDEAL]]</f>
        <v>200600</v>
      </c>
      <c r="H6" s="9">
        <f>Tabla2[[#This Row],[CUOTA IDEAL]]*0.6</f>
        <v>120360</v>
      </c>
      <c r="I6" s="11">
        <v>5358.53</v>
      </c>
      <c r="J6" s="12">
        <f>(Tabla2[[#This Row],[CUOTA REAL]])/Tabla2[[#This Row],[CUOTA IDEAL]]</f>
        <v>2.6712512462612161E-2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7796</v>
      </c>
      <c r="F7" s="7">
        <v>120</v>
      </c>
      <c r="G7" s="7">
        <f>Tabla2[[#This Row],['# DE DEUDORES]]*Tabla2[[#This Row],[EPR IDEAL]]</f>
        <v>935520</v>
      </c>
      <c r="H7" s="9">
        <f>Tabla2[[#This Row],[CUOTA IDEAL]]*0.6</f>
        <v>561312</v>
      </c>
      <c r="I7" s="11">
        <v>9498</v>
      </c>
      <c r="J7" s="12">
        <f>(Tabla2[[#This Row],[CUOTA REAL]])/Tabla2[[#This Row],[CUOTA IDEAL]]</f>
        <v>1.0152642380708055E-2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43890.6</v>
      </c>
      <c r="J8" s="12">
        <f>(Tabla2[[#This Row],[CUOTA REAL]])/Tabla2[[#This Row],[CUOTA IDEAL]]</f>
        <v>4.9703414302700866E-2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9070</v>
      </c>
      <c r="J9" s="12">
        <f>(Tabla2[[#This Row],[CUOTA REAL]])/Tabla2[[#This Row],[CUOTA IDEAL]]</f>
        <v>2.1905566960512015E-2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2433220</v>
      </c>
      <c r="H10" s="8">
        <f>Tabla2[[#This Row],[CUOTA IDEAL]]*0.6</f>
        <v>1459932</v>
      </c>
      <c r="I10" s="8">
        <f>SUM(I6:I9)</f>
        <v>67817.13</v>
      </c>
      <c r="J10" s="12">
        <f>(Tabla2[[#This Row],[CUOTA REAL]])/Tabla2[[#This Row],[CUOTA IDEAL]]</f>
        <v>2.7871351542400606E-2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2025-10-25T02:20:30Z</dcterms:modified>
</cp:coreProperties>
</file>