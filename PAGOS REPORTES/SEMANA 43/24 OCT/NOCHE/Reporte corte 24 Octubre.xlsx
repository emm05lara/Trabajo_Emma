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4 OCT\NOCHE\"/>
    </mc:Choice>
  </mc:AlternateContent>
  <xr:revisionPtr revIDLastSave="0" documentId="13_ncr:1_{CDB42601-1B85-4EBF-A29E-0A7F0680F9A0}" xr6:coauthVersionLast="47" xr6:coauthVersionMax="47" xr10:uidLastSave="{00000000-0000-0000-0000-000000000000}"/>
  <bookViews>
    <workbookView xWindow="-120" yWindow="-120" windowWidth="51840" windowHeight="21120" activeTab="2" xr2:uid="{D265F8CD-0E66-4EB7-8527-7B514F336D9F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11" i="2" s="1"/>
  <c r="B2" i="1"/>
  <c r="D9" i="1" s="1"/>
</calcChain>
</file>

<file path=xl/sharedStrings.xml><?xml version="1.0" encoding="utf-8"?>
<sst xmlns="http://schemas.openxmlformats.org/spreadsheetml/2006/main" count="104" uniqueCount="21">
  <si>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</si>
  <si>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</si>
  <si>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</si>
  <si>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</si>
  <si>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</si>
  <si>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</si>
  <si>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</si>
  <si>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</si>
  <si>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</si>
  <si>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</si>
  <si>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</si>
  <si>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</si>
  <si>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</si>
  <si>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</si>
  <si>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</si>
  <si>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OTROS</t>
  </si>
  <si>
    <t>REESTRUCTURA</t>
  </si>
  <si>
    <t>TAZ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</si>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</sst>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AABE-9178-4500-B106-2BF051DEAB2C}">
  <dimension ref="B2:D37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24/10/2025  19:46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140327.59999999998</v>
      </c>
    </row>
    <row r="6" spans="2:4" x14ac:dyDescent="0.25">
      <c r="B6" s="2" t="s">
        <v>2</v>
      </c>
      <c r="C6" s="3">
        <v>98612</v>
      </c>
    </row>
    <row r="7" spans="2:4" x14ac:dyDescent="0.25">
      <c r="B7" s="2" t="s">
        <v>3</v>
      </c>
      <c r="C7" s="3">
        <v>18752.18</v>
      </c>
    </row>
    <row r="8" spans="2:4" ht="15.75" thickBot="1" x14ac:dyDescent="0.3">
      <c r="B8" s="2" t="s">
        <v>4</v>
      </c>
      <c r="C8" s="3">
        <v>153109.99</v>
      </c>
      <c r="D8" s="1" t="s">
        <v>11</v>
      </c>
    </row>
    <row r="9" spans="2:4" ht="15.75" thickTop="1" x14ac:dyDescent="0.25">
      <c r="B9" s="4" t="s">
        <v>5</v>
      </c>
      <c r="C9" s="5">
        <v>410801.76999999996</v>
      </c>
      <c r="D9" s="5">
        <f ca="1">SUMIF(B:B, "Total general", C:C)</f>
        <v>494470.79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21869</v>
      </c>
    </row>
    <row r="14" spans="2:4" x14ac:dyDescent="0.25">
      <c r="B14" s="2" t="s">
        <v>2</v>
      </c>
      <c r="C14" s="3">
        <v>4680</v>
      </c>
    </row>
    <row r="15" spans="2:4" ht="15.75" thickBot="1" x14ac:dyDescent="0.3">
      <c r="B15" s="2" t="s">
        <v>3</v>
      </c>
      <c r="C15" s="3">
        <v>2557</v>
      </c>
    </row>
    <row r="16" spans="2:4" ht="15.75" thickTop="1" x14ac:dyDescent="0.25">
      <c r="B16" s="4" t="s">
        <v>5</v>
      </c>
      <c r="C16" s="5">
        <v>29106</v>
      </c>
    </row>
    <row r="18" spans="2:3" x14ac:dyDescent="0.25">
      <c r="B18" s="6" t="s">
        <v>7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3928</v>
      </c>
    </row>
    <row r="21" spans="2:3" x14ac:dyDescent="0.25">
      <c r="B21" s="2" t="s">
        <v>2</v>
      </c>
      <c r="C21" s="3">
        <v>7326</v>
      </c>
    </row>
    <row r="22" spans="2:3" x14ac:dyDescent="0.25">
      <c r="B22" s="2" t="s">
        <v>3</v>
      </c>
      <c r="C22" s="3">
        <v>6942</v>
      </c>
    </row>
    <row r="23" spans="2:3" ht="15.75" thickBot="1" x14ac:dyDescent="0.3">
      <c r="B23" s="2" t="s">
        <v>4</v>
      </c>
      <c r="C23" s="3">
        <v>10876.02</v>
      </c>
    </row>
    <row r="24" spans="2:3" ht="15.75" thickTop="1" x14ac:dyDescent="0.25">
      <c r="B24" s="4" t="s">
        <v>5</v>
      </c>
      <c r="C24" s="5">
        <v>29072.02</v>
      </c>
    </row>
    <row r="26" spans="2:3" x14ac:dyDescent="0.25">
      <c r="B26" s="6" t="s">
        <v>8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5935</v>
      </c>
    </row>
    <row r="29" spans="2:3" x14ac:dyDescent="0.25">
      <c r="B29" s="2" t="s">
        <v>2</v>
      </c>
      <c r="C29" s="3">
        <v>5432</v>
      </c>
    </row>
    <row r="30" spans="2:3" x14ac:dyDescent="0.25">
      <c r="B30" s="2" t="s">
        <v>3</v>
      </c>
      <c r="C30" s="3">
        <v>3099</v>
      </c>
    </row>
    <row r="31" spans="2:3" ht="15.75" thickBot="1" x14ac:dyDescent="0.3">
      <c r="B31" s="2" t="s">
        <v>4</v>
      </c>
      <c r="C31" s="3">
        <v>8363</v>
      </c>
    </row>
    <row r="32" spans="2:3" ht="15.75" thickTop="1" x14ac:dyDescent="0.25">
      <c r="B32" s="4" t="s">
        <v>5</v>
      </c>
      <c r="C32" s="5">
        <v>22829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ht="15.75" thickBot="1" x14ac:dyDescent="0.3">
      <c r="B36" s="2" t="s">
        <v>4</v>
      </c>
      <c r="C36" s="3">
        <v>2662</v>
      </c>
    </row>
    <row r="37" spans="2:3" ht="15.75" thickTop="1" x14ac:dyDescent="0.25">
      <c r="B37" s="4" t="s">
        <v>5</v>
      </c>
      <c r="C37" s="5">
        <v>2662</v>
      </c>
    </row>
  </sheetData>
  <mergeCells count="6">
    <mergeCell ref="B2:C2"/>
    <mergeCell ref="B3:C3"/>
    <mergeCell ref="B18:C18"/>
    <mergeCell ref="B26:C26"/>
    <mergeCell ref="B34:C34"/>
    <mergeCell ref="B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BD317-D156-483E-99C0-E1CD0C338410}">
  <dimension ref="B2:D38"/>
  <sheetViews>
    <sheetView workbookViewId="0">
      <selection activeCell="D22" sqref="D2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24/10/2025  19:46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14940</v>
      </c>
    </row>
    <row r="6" spans="2:4" x14ac:dyDescent="0.25">
      <c r="B6" s="2" t="s">
        <v>14</v>
      </c>
      <c r="C6" s="3">
        <v>48675</v>
      </c>
    </row>
    <row r="7" spans="2:4" x14ac:dyDescent="0.25">
      <c r="B7" s="2" t="s">
        <v>15</v>
      </c>
      <c r="C7" s="3">
        <v>121</v>
      </c>
    </row>
    <row r="8" spans="2:4" x14ac:dyDescent="0.25">
      <c r="B8" s="2" t="s">
        <v>16</v>
      </c>
      <c r="C8" s="3">
        <v>30637</v>
      </c>
    </row>
    <row r="9" spans="2:4" x14ac:dyDescent="0.25">
      <c r="B9" s="2" t="s">
        <v>17</v>
      </c>
      <c r="C9" s="3">
        <v>1130</v>
      </c>
    </row>
    <row r="10" spans="2:4" ht="15.75" thickBot="1" x14ac:dyDescent="0.3">
      <c r="B10" s="2" t="s">
        <v>18</v>
      </c>
      <c r="C10" s="3">
        <v>315298.77</v>
      </c>
      <c r="D10" s="1" t="s">
        <v>11</v>
      </c>
    </row>
    <row r="11" spans="2:4" ht="15.75" thickTop="1" x14ac:dyDescent="0.25">
      <c r="B11" s="4" t="s">
        <v>5</v>
      </c>
      <c r="C11" s="5">
        <v>410801.77</v>
      </c>
      <c r="D11" s="5">
        <f ca="1">SUMIF(B:B, "Total general", C:C)</f>
        <v>494470.79000000004</v>
      </c>
    </row>
    <row r="13" spans="2:4" x14ac:dyDescent="0.25">
      <c r="B13" s="6" t="s">
        <v>10</v>
      </c>
      <c r="C13" s="6"/>
    </row>
    <row r="14" spans="2:4" x14ac:dyDescent="0.25">
      <c r="B14" s="1" t="s">
        <v>19</v>
      </c>
      <c r="C14" s="1" t="s">
        <v>0</v>
      </c>
    </row>
    <row r="15" spans="2:4" x14ac:dyDescent="0.25">
      <c r="B15" s="2" t="s">
        <v>13</v>
      </c>
      <c r="C15" s="3">
        <v>9475</v>
      </c>
    </row>
    <row r="16" spans="2:4" x14ac:dyDescent="0.25">
      <c r="B16" s="2" t="s">
        <v>14</v>
      </c>
      <c r="C16" s="3">
        <v>10838</v>
      </c>
    </row>
    <row r="17" spans="2:3" x14ac:dyDescent="0.25">
      <c r="B17" s="2" t="s">
        <v>16</v>
      </c>
      <c r="C17" s="3">
        <v>1238</v>
      </c>
    </row>
    <row r="18" spans="2:3" ht="15.75" thickBot="1" x14ac:dyDescent="0.3">
      <c r="B18" s="2" t="s">
        <v>18</v>
      </c>
      <c r="C18" s="3">
        <v>7555</v>
      </c>
    </row>
    <row r="19" spans="2:3" ht="15.75" thickTop="1" x14ac:dyDescent="0.25">
      <c r="B19" s="4" t="s">
        <v>5</v>
      </c>
      <c r="C19" s="5">
        <v>29106</v>
      </c>
    </row>
    <row r="21" spans="2:3" x14ac:dyDescent="0.25">
      <c r="B21" s="6" t="s">
        <v>7</v>
      </c>
      <c r="C21" s="6"/>
    </row>
    <row r="22" spans="2:3" x14ac:dyDescent="0.25">
      <c r="B22" s="1" t="s">
        <v>19</v>
      </c>
      <c r="C22" s="1" t="s">
        <v>0</v>
      </c>
    </row>
    <row r="23" spans="2:3" x14ac:dyDescent="0.25">
      <c r="B23" s="2" t="s">
        <v>13</v>
      </c>
      <c r="C23" s="3">
        <v>6330</v>
      </c>
    </row>
    <row r="24" spans="2:3" x14ac:dyDescent="0.25">
      <c r="B24" s="2" t="s">
        <v>14</v>
      </c>
      <c r="C24" s="3">
        <v>8457</v>
      </c>
    </row>
    <row r="25" spans="2:3" x14ac:dyDescent="0.25">
      <c r="B25" s="2" t="s">
        <v>16</v>
      </c>
      <c r="C25" s="3">
        <v>3008</v>
      </c>
    </row>
    <row r="26" spans="2:3" ht="15.75" thickBot="1" x14ac:dyDescent="0.3">
      <c r="B26" s="2" t="s">
        <v>18</v>
      </c>
      <c r="C26" s="3">
        <v>11277.02</v>
      </c>
    </row>
    <row r="27" spans="2:3" ht="15.75" thickTop="1" x14ac:dyDescent="0.25">
      <c r="B27" s="4" t="s">
        <v>5</v>
      </c>
      <c r="C27" s="5">
        <v>29072.02</v>
      </c>
    </row>
    <row r="29" spans="2:3" x14ac:dyDescent="0.25">
      <c r="B29" s="6" t="s">
        <v>8</v>
      </c>
      <c r="C29" s="6"/>
    </row>
    <row r="30" spans="2:3" x14ac:dyDescent="0.25">
      <c r="B30" s="1" t="s">
        <v>19</v>
      </c>
      <c r="C30" s="1" t="s">
        <v>0</v>
      </c>
    </row>
    <row r="31" spans="2:3" x14ac:dyDescent="0.25">
      <c r="B31" s="2" t="s">
        <v>14</v>
      </c>
      <c r="C31" s="3">
        <v>3220</v>
      </c>
    </row>
    <row r="32" spans="2:3" ht="15.75" thickBot="1" x14ac:dyDescent="0.3">
      <c r="B32" s="2" t="s">
        <v>18</v>
      </c>
      <c r="C32" s="3">
        <v>19609</v>
      </c>
    </row>
    <row r="33" spans="2:3" ht="15.75" thickTop="1" x14ac:dyDescent="0.25">
      <c r="B33" s="4" t="s">
        <v>5</v>
      </c>
      <c r="C33" s="5">
        <v>22829</v>
      </c>
    </row>
    <row r="35" spans="2:3" x14ac:dyDescent="0.25">
      <c r="B35" s="6" t="s">
        <v>9</v>
      </c>
      <c r="C35" s="6"/>
    </row>
    <row r="36" spans="2:3" x14ac:dyDescent="0.25">
      <c r="B36" s="1" t="s">
        <v>19</v>
      </c>
      <c r="C36" s="1" t="s">
        <v>0</v>
      </c>
    </row>
    <row r="37" spans="2:3" ht="15.75" thickBot="1" x14ac:dyDescent="0.3">
      <c r="B37" s="2" t="s">
        <v>18</v>
      </c>
      <c r="C37" s="3">
        <v>2662</v>
      </c>
    </row>
    <row r="38" spans="2:3" ht="15.75" thickTop="1" x14ac:dyDescent="0.25">
      <c r="B38" s="4" t="s">
        <v>5</v>
      </c>
      <c r="C38" s="5">
        <v>2662</v>
      </c>
    </row>
  </sheetData>
  <mergeCells count="6">
    <mergeCell ref="B35:C35"/>
    <mergeCell ref="B2:C2"/>
    <mergeCell ref="B3:C3"/>
    <mergeCell ref="B13:C13"/>
    <mergeCell ref="B21:C21"/>
    <mergeCell ref="B29:C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95924-570D-4779-982A-650F7C43079D}">
  <dimension ref="B2:D29"/>
  <sheetViews>
    <sheetView tabSelected="1" workbookViewId="0">
      <selection activeCell="B2" sqref="B2:D2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24/10/2025  19:46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20820.36</v>
      </c>
    </row>
    <row r="6" spans="2:4" x14ac:dyDescent="0.25">
      <c r="B6" s="2" t="s">
        <v>2</v>
      </c>
      <c r="C6" s="3">
        <v>5032</v>
      </c>
    </row>
    <row r="7" spans="2:4" x14ac:dyDescent="0.25">
      <c r="B7" s="2" t="s">
        <v>3</v>
      </c>
      <c r="C7" s="3">
        <v>8213</v>
      </c>
    </row>
    <row r="8" spans="2:4" ht="15.75" thickBot="1" x14ac:dyDescent="0.3">
      <c r="B8" s="2" t="s">
        <v>4</v>
      </c>
      <c r="C8" s="3">
        <v>1366</v>
      </c>
      <c r="D8" s="1" t="s">
        <v>11</v>
      </c>
    </row>
    <row r="9" spans="2:4" ht="15.75" thickTop="1" x14ac:dyDescent="0.25">
      <c r="B9" s="4" t="s">
        <v>5</v>
      </c>
      <c r="C9" s="5">
        <v>35431.360000000001</v>
      </c>
      <c r="D9" s="5">
        <f ca="1">SUMIF(B:B, "Total general", C:C)</f>
        <v>72601.36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21369</v>
      </c>
    </row>
    <row r="14" spans="2:4" x14ac:dyDescent="0.25">
      <c r="B14" s="2" t="s">
        <v>2</v>
      </c>
      <c r="C14" s="3">
        <v>3897</v>
      </c>
    </row>
    <row r="15" spans="2:4" ht="15.75" thickBot="1" x14ac:dyDescent="0.3">
      <c r="B15" s="2" t="s">
        <v>3</v>
      </c>
      <c r="C15" s="3">
        <v>2557</v>
      </c>
    </row>
    <row r="16" spans="2:4" ht="15.75" thickTop="1" x14ac:dyDescent="0.25">
      <c r="B16" s="4" t="s">
        <v>5</v>
      </c>
      <c r="C16" s="5">
        <v>27823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4337</v>
      </c>
    </row>
    <row r="21" spans="2:3" x14ac:dyDescent="0.25">
      <c r="B21" s="2" t="s">
        <v>2</v>
      </c>
      <c r="C21" s="3">
        <v>926</v>
      </c>
    </row>
    <row r="22" spans="2:3" x14ac:dyDescent="0.25">
      <c r="B22" s="2" t="s">
        <v>3</v>
      </c>
      <c r="C22" s="3">
        <v>2590</v>
      </c>
    </row>
    <row r="23" spans="2:3" ht="15.75" thickBot="1" x14ac:dyDescent="0.3">
      <c r="B23" s="2" t="s">
        <v>4</v>
      </c>
      <c r="C23" s="3">
        <v>937</v>
      </c>
    </row>
    <row r="24" spans="2:3" ht="15.75" thickTop="1" x14ac:dyDescent="0.25">
      <c r="B24" s="4" t="s">
        <v>5</v>
      </c>
      <c r="C24" s="5">
        <v>8790</v>
      </c>
    </row>
    <row r="26" spans="2:3" x14ac:dyDescent="0.25">
      <c r="B26" s="6" t="s">
        <v>9</v>
      </c>
      <c r="C26" s="6"/>
    </row>
    <row r="27" spans="2:3" x14ac:dyDescent="0.25">
      <c r="B27" s="1" t="s">
        <v>12</v>
      </c>
      <c r="C27" s="1" t="s">
        <v>0</v>
      </c>
    </row>
    <row r="28" spans="2:3" ht="15.75" thickBot="1" x14ac:dyDescent="0.3">
      <c r="B28" s="2" t="s">
        <v>4</v>
      </c>
      <c r="C28" s="3">
        <v>557</v>
      </c>
    </row>
    <row r="29" spans="2:3" ht="15.75" thickTop="1" x14ac:dyDescent="0.25">
      <c r="B29" s="4" t="s">
        <v>5</v>
      </c>
      <c r="C29" s="5">
        <v>557</v>
      </c>
    </row>
  </sheetData>
  <mergeCells count="5">
    <mergeCell ref="B2:C2"/>
    <mergeCell ref="B3:C3"/>
    <mergeCell ref="B26:C26"/>
    <mergeCell ref="B11:C11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2025-10-25T01:37:56Z</dcterms:created>
  <dcterms:modified xsi:type="dcterms:W3CDTF">2025-10-25T01:46:20Z</dcterms:modified>
</cp:coreProperties>
</file>