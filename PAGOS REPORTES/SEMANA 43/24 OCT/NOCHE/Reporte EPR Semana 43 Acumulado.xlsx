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4 OCT\NOCHE\"/>
    </mc:Choice>
  </mc:AlternateContent>
  <xr:revisionPtr revIDLastSave="0" documentId="13_ncr:1_{8039F059-ACF6-4D75-8274-34FC6EA47687}" xr6:coauthVersionLast="47" xr6:coauthVersionMax="47" xr10:uidLastSave="{00000000-0000-0000-0000-000000000000}"/>
  <bookViews>
    <workbookView xWindow="12165" yWindow="1216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18" i="1"/>
  <c r="C34" i="1"/>
  <c r="D34" i="1"/>
  <c r="D48" i="5"/>
  <c r="C48" i="5"/>
  <c r="D40" i="5"/>
  <c r="C40" i="5"/>
  <c r="D27" i="5"/>
  <c r="C27" i="5"/>
  <c r="C42" i="1"/>
  <c r="D42" i="1"/>
  <c r="C26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<sst xmlns="http://schemas.openxmlformats.org/spreadsheetml/2006/main" count="139" uniqueCount="37">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</sst>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J27" sqref="J2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6985</v>
      </c>
      <c r="D5" s="28">
        <v>399955.83999999997</v>
      </c>
    </row>
    <row r="6" spans="2:8" x14ac:dyDescent="0.25">
      <c r="B6" s="1" t="s">
        <v>5</v>
      </c>
      <c r="C6" s="6">
        <v>4458</v>
      </c>
      <c r="D6" s="28">
        <v>287960.69</v>
      </c>
    </row>
    <row r="7" spans="2:8" x14ac:dyDescent="0.25">
      <c r="B7" s="1" t="s">
        <v>6</v>
      </c>
      <c r="C7" s="6">
        <v>8181</v>
      </c>
      <c r="D7" s="28">
        <v>202677.22999999998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38436</v>
      </c>
      <c r="D9" s="28">
        <v>423981.37000000005</v>
      </c>
      <c r="E9" s="14"/>
      <c r="F9" s="7"/>
    </row>
    <row r="10" spans="2:8" x14ac:dyDescent="0.25">
      <c r="B10" s="3" t="s">
        <v>8</v>
      </c>
      <c r="C10" s="8">
        <f>SUM(C5:C9)</f>
        <v>58574</v>
      </c>
      <c r="D10" s="4">
        <f>SUM(D5:D9)</f>
        <v>1314575.1300000001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98</v>
      </c>
      <c r="D14" s="28">
        <v>24417</v>
      </c>
    </row>
    <row r="15" spans="2:8" x14ac:dyDescent="0.25">
      <c r="B15" s="1" t="s">
        <v>5</v>
      </c>
      <c r="C15" s="6">
        <v>280</v>
      </c>
      <c r="D15" s="28">
        <v>53618.400000000001</v>
      </c>
    </row>
    <row r="16" spans="2:8" x14ac:dyDescent="0.25">
      <c r="B16" s="1" t="s">
        <v>6</v>
      </c>
      <c r="C16" s="6">
        <v>361</v>
      </c>
      <c r="D16" s="28">
        <v>22406</v>
      </c>
    </row>
    <row r="17" spans="2:4" x14ac:dyDescent="0.25">
      <c r="B17" s="1" t="s">
        <v>7</v>
      </c>
      <c r="C17" s="7">
        <v>15112</v>
      </c>
      <c r="D17" s="28">
        <v>54856.32</v>
      </c>
    </row>
    <row r="18" spans="2:4" x14ac:dyDescent="0.25">
      <c r="B18" s="3" t="s">
        <v>8</v>
      </c>
      <c r="C18" s="8">
        <f>SUM(C14:C17)</f>
        <v>15851</v>
      </c>
      <c r="D18" s="4">
        <f>SUM(D14:D17)</f>
        <v>155297.72</v>
      </c>
    </row>
    <row r="20" spans="2:4" x14ac:dyDescent="0.25">
      <c r="B20" s="32" t="s">
        <v>9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610</v>
      </c>
      <c r="D22" s="28">
        <v>65164.53</v>
      </c>
    </row>
    <row r="23" spans="2:4" x14ac:dyDescent="0.25">
      <c r="B23" s="9" t="s">
        <v>5</v>
      </c>
      <c r="C23" s="6">
        <v>1799</v>
      </c>
      <c r="D23" s="28">
        <v>25069</v>
      </c>
    </row>
    <row r="24" spans="2:4" x14ac:dyDescent="0.25">
      <c r="B24" s="9" t="s">
        <v>6</v>
      </c>
      <c r="C24" s="6">
        <v>1198</v>
      </c>
      <c r="D24" s="28">
        <v>20921.82</v>
      </c>
    </row>
    <row r="25" spans="2:4" x14ac:dyDescent="0.25">
      <c r="B25" s="9" t="s">
        <v>7</v>
      </c>
      <c r="C25" s="6">
        <v>2534</v>
      </c>
      <c r="D25" s="28">
        <v>40212</v>
      </c>
    </row>
    <row r="26" spans="2:4" x14ac:dyDescent="0.25">
      <c r="B26" s="10" t="s">
        <v>8</v>
      </c>
      <c r="C26" s="8">
        <f>SUM(C22:C25)</f>
        <v>6141</v>
      </c>
      <c r="D26" s="4">
        <f>SUM(D22:D25)</f>
        <v>151367.35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4975</v>
      </c>
      <c r="D30" s="28">
        <v>66606.58</v>
      </c>
    </row>
    <row r="31" spans="2:4" x14ac:dyDescent="0.25">
      <c r="B31" s="1" t="s">
        <v>5</v>
      </c>
      <c r="C31" s="6">
        <v>1309</v>
      </c>
      <c r="D31" s="28">
        <v>16917</v>
      </c>
    </row>
    <row r="32" spans="2:4" x14ac:dyDescent="0.25">
      <c r="B32" s="1" t="s">
        <v>6</v>
      </c>
      <c r="C32" s="6">
        <v>3733</v>
      </c>
      <c r="D32" s="28">
        <v>39850.6</v>
      </c>
    </row>
    <row r="33" spans="2:4" x14ac:dyDescent="0.25">
      <c r="B33" s="1" t="s">
        <v>7</v>
      </c>
      <c r="C33" s="6">
        <v>1030</v>
      </c>
      <c r="D33" s="28">
        <v>399</v>
      </c>
    </row>
    <row r="34" spans="2:4" x14ac:dyDescent="0.25">
      <c r="B34" s="10" t="s">
        <v>8</v>
      </c>
      <c r="C34" s="8">
        <f>SUM(C30:C33)</f>
        <v>11047</v>
      </c>
      <c r="D34" s="4">
        <f>SUM(D30:D33)</f>
        <v>123773.18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19</v>
      </c>
      <c r="D38" s="28">
        <v>16636</v>
      </c>
    </row>
    <row r="39" spans="2:4" x14ac:dyDescent="0.25">
      <c r="B39" s="1" t="s">
        <v>5</v>
      </c>
      <c r="C39" s="6">
        <v>37</v>
      </c>
      <c r="D39" s="29">
        <v>0</v>
      </c>
    </row>
    <row r="40" spans="2:4" x14ac:dyDescent="0.25">
      <c r="B40" s="1" t="s">
        <v>6</v>
      </c>
      <c r="C40" s="6">
        <v>4</v>
      </c>
      <c r="D40" s="28">
        <v>970</v>
      </c>
    </row>
    <row r="41" spans="2:4" x14ac:dyDescent="0.25">
      <c r="B41" s="1" t="s">
        <v>7</v>
      </c>
      <c r="C41" s="6">
        <v>739</v>
      </c>
      <c r="D41" s="28">
        <v>5708</v>
      </c>
    </row>
    <row r="42" spans="2:4" x14ac:dyDescent="0.25">
      <c r="B42" s="3" t="s">
        <v>8</v>
      </c>
      <c r="C42" s="8">
        <f>SUM(C38:C41)</f>
        <v>799</v>
      </c>
      <c r="D42" s="4">
        <f>SUM(D38:D41)</f>
        <v>23314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92412</v>
      </c>
      <c r="D50" s="13">
        <f>SUMIF(B:B, "Total general", D:D)</f>
        <v>1768327.3800000001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8560</v>
      </c>
      <c r="D5" s="28">
        <v>110291.20999999999</v>
      </c>
      <c r="E5" s="11"/>
    </row>
    <row r="6" spans="2:8" x14ac:dyDescent="0.25">
      <c r="B6" s="1" t="s">
        <v>5</v>
      </c>
      <c r="C6" s="27">
        <v>5525</v>
      </c>
      <c r="D6" s="28">
        <v>45820.880000000005</v>
      </c>
    </row>
    <row r="7" spans="2:8" x14ac:dyDescent="0.25">
      <c r="B7" s="1" t="s">
        <v>6</v>
      </c>
      <c r="C7" s="27">
        <v>5537</v>
      </c>
      <c r="D7" s="28">
        <v>37294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2912</v>
      </c>
      <c r="D9" s="28">
        <v>6743</v>
      </c>
      <c r="E9" s="14"/>
      <c r="F9" s="7"/>
    </row>
    <row r="10" spans="2:8" x14ac:dyDescent="0.25">
      <c r="B10" s="3" t="s">
        <v>8</v>
      </c>
      <c r="C10" s="8">
        <f>SUM(C5:C9)</f>
        <v>25273</v>
      </c>
      <c r="D10" s="4">
        <f>SUM(D5:D9)</f>
        <v>200649.09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4956</v>
      </c>
      <c r="D14" s="28">
        <v>65928.58</v>
      </c>
    </row>
    <row r="15" spans="2:8" x14ac:dyDescent="0.25">
      <c r="B15" s="1" t="s">
        <v>5</v>
      </c>
      <c r="C15" s="26">
        <v>840</v>
      </c>
      <c r="D15" s="28">
        <v>13156</v>
      </c>
    </row>
    <row r="16" spans="2:8" x14ac:dyDescent="0.25">
      <c r="B16" s="1" t="s">
        <v>6</v>
      </c>
      <c r="C16" s="26">
        <v>3564</v>
      </c>
      <c r="D16" s="28">
        <v>39850.6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9387</v>
      </c>
      <c r="D18" s="4">
        <f>SUM(D14:D17)</f>
        <v>119334.18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896</v>
      </c>
      <c r="D22" s="28">
        <v>14303</v>
      </c>
    </row>
    <row r="23" spans="2:4" x14ac:dyDescent="0.25">
      <c r="B23" s="1" t="s">
        <v>5</v>
      </c>
      <c r="C23" s="26">
        <v>1000</v>
      </c>
      <c r="D23" s="28">
        <v>4168</v>
      </c>
    </row>
    <row r="24" spans="2:4" x14ac:dyDescent="0.25">
      <c r="B24" s="1" t="s">
        <v>6</v>
      </c>
      <c r="C24" s="26">
        <v>1011</v>
      </c>
      <c r="D24" s="28">
        <v>2811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3876.37</v>
      </c>
    </row>
    <row r="27" spans="2:4" x14ac:dyDescent="0.25">
      <c r="B27" s="3" t="s">
        <v>8</v>
      </c>
      <c r="C27" s="8">
        <f>SUM(C22:C26)</f>
        <v>3210</v>
      </c>
      <c r="D27" s="4">
        <f>SUM(D22:D26)</f>
        <v>25158.37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2</v>
      </c>
      <c r="D31" s="28">
        <v>15011</v>
      </c>
    </row>
    <row r="32" spans="2:4" x14ac:dyDescent="0.25">
      <c r="B32" s="1" t="s">
        <v>7</v>
      </c>
      <c r="C32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15568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>
        <v>1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1151</v>
      </c>
    </row>
    <row r="50" spans="2:4" x14ac:dyDescent="0.25">
      <c r="B50" s="12" t="s">
        <v>12</v>
      </c>
      <c r="C50" s="13">
        <f>SUMIF(B:B, "Total general", C:C)</f>
        <v>38450</v>
      </c>
      <c r="D50" s="13">
        <f>SUMIF(B:B, "Total general", D:D)</f>
        <v>363060.64</v>
      </c>
    </row>
  </sheetData>
  <mergeCells count="7">
    <mergeCell ref="B35:D35"/>
    <mergeCell ref="B29:D29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14419</v>
      </c>
      <c r="D3" s="14">
        <f>SUMIF('CDC-OLGUIN'!B:B, "Extrajudicial - 0 a 28 semanas de atraso", 'CDC-OLGUIN'!D:D)</f>
        <v>206296.78999999998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7366</v>
      </c>
      <c r="D4" s="14">
        <f>SUMIF('CDC-OLGUIN'!B:B, "Extrajudicial - 29 a 39 semanas de atraso", 'CDC-OLGUIN'!D:D)</f>
        <v>63144.880000000005</v>
      </c>
    </row>
    <row r="5" spans="2:6" x14ac:dyDescent="0.25">
      <c r="B5" s="1" t="s">
        <v>6</v>
      </c>
      <c r="C5" s="6">
        <f>SUMIF('CDC-OLGUIN'!B:B, "Extrajudicial - 40 a 55 semanas de atraso", 'CDC-OLGUIN'!C:C)</f>
        <v>10113</v>
      </c>
      <c r="D5" s="14">
        <f>SUMIF('CDC-OLGUIN'!B:B, "Extrajudicial - 40 a 55 semanas de atraso", 'CDC-OLGUIN'!D:D)</f>
        <v>79955.600000000006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13163.369999999999</v>
      </c>
      <c r="E7" s="14"/>
      <c r="F7" s="7"/>
    </row>
    <row r="8" spans="2:6" x14ac:dyDescent="0.25">
      <c r="B8" s="3" t="s">
        <v>8</v>
      </c>
      <c r="C8" s="8">
        <f>SUM(C3:C7)</f>
        <v>38450</v>
      </c>
      <c r="D8" s="4">
        <f>SUM(D3:D7)</f>
        <v>363060.64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12687</v>
      </c>
      <c r="E6" s="16">
        <f>SUMIF('REPORTE DIARIO'!B:B,'EPR 26 JUN'!C6, 'REPORTE DIARIO'!D:D)</f>
        <v>572779.94999999995</v>
      </c>
      <c r="F6" s="16">
        <f>J6*D6</f>
        <v>797468.57142857136</v>
      </c>
      <c r="G6" s="16">
        <f>+E6-F6</f>
        <v>-224688.62142857141</v>
      </c>
      <c r="H6" s="15">
        <f>ABS(G6/F6)</f>
        <v>0.2817523216320213</v>
      </c>
      <c r="I6" s="16">
        <f>E6/D6</f>
        <v>45.146996925987224</v>
      </c>
      <c r="J6" s="16">
        <f>(220/7)*2</f>
        <v>62.857142857142854</v>
      </c>
      <c r="K6" s="16">
        <f>+I6-J6</f>
        <v>-17.71014593115563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7883</v>
      </c>
      <c r="E7" s="16">
        <f>SUMIF('REPORTE DIARIO'!B:B,'EPR 26 JUN'!C7, 'REPORTE DIARIO'!D:D)</f>
        <v>383565.09</v>
      </c>
      <c r="F7" s="16">
        <f>J7*D7</f>
        <v>247751.42857142855</v>
      </c>
      <c r="G7" s="16">
        <f>+E7-F7</f>
        <v>135813.66142857147</v>
      </c>
      <c r="H7" s="15">
        <f>ABS(G7/F7)</f>
        <v>0.54818517984615944</v>
      </c>
      <c r="I7" s="16">
        <f>E7/D7</f>
        <v>48.657248509450717</v>
      </c>
      <c r="J7" s="16">
        <f>(110/7)*2</f>
        <v>31.428571428571427</v>
      </c>
      <c r="K7" s="16">
        <f t="shared" ref="K7:K9" si="0">+I7-J7</f>
        <v>17.22867708087929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13477</v>
      </c>
      <c r="E8" s="16">
        <f>SUMIF('REPORTE DIARIO'!B:B,'EPR 26 JUN'!C8, 'REPORTE DIARIO'!D:D)</f>
        <v>286825.64999999997</v>
      </c>
      <c r="F8" s="16">
        <f>J8*D8</f>
        <v>173275.71428571429</v>
      </c>
      <c r="G8" s="16">
        <f>+E8-F8</f>
        <v>113549.93571428568</v>
      </c>
      <c r="H8" s="15">
        <f>ABS(G8/F8)</f>
        <v>0.6553136207365633</v>
      </c>
      <c r="I8" s="16">
        <f>E8/D8</f>
        <v>21.282603695184385</v>
      </c>
      <c r="J8" s="16">
        <f>(45/7)*2</f>
        <v>12.857142857142858</v>
      </c>
      <c r="K8" s="16">
        <f t="shared" si="0"/>
        <v>8.425460838041527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57851</v>
      </c>
      <c r="E9" s="16">
        <f>SUMIF('REPORTE DIARIO'!B:B,'EPR 26 JUN'!C9, 'REPORTE DIARIO'!D:D)</f>
        <v>525156.69000000006</v>
      </c>
      <c r="F9" s="16">
        <f>J9*D9</f>
        <v>247932.85714285713</v>
      </c>
      <c r="G9" s="16">
        <f>+E9-F9</f>
        <v>277223.8328571429</v>
      </c>
      <c r="H9" s="15">
        <f>ABS(G9/F9)</f>
        <v>1.1181407581545697</v>
      </c>
      <c r="I9" s="16">
        <f>E9/D9</f>
        <v>9.0777461063767273</v>
      </c>
      <c r="J9" s="16">
        <f>(15/7)*2</f>
        <v>4.2857142857142856</v>
      </c>
      <c r="K9" s="16">
        <f t="shared" si="0"/>
        <v>4.7920318206624417</v>
      </c>
    </row>
    <row r="10" spans="2:12" x14ac:dyDescent="0.25">
      <c r="B10" s="16"/>
      <c r="C10" s="19" t="s">
        <v>16</v>
      </c>
      <c r="D10" s="24">
        <f>SUM(D6:D9)</f>
        <v>91898</v>
      </c>
      <c r="E10" s="20">
        <f>SUM(E6:E9)</f>
        <v>1768327.38</v>
      </c>
      <c r="F10" s="20">
        <f>SUM(F6:F9)</f>
        <v>1466428.5714285711</v>
      </c>
      <c r="G10" s="20">
        <f>+E10-F10</f>
        <v>301898.80857142876</v>
      </c>
      <c r="H10" s="21">
        <f>ABS(G10/F10)</f>
        <v>0.20587351777886037</v>
      </c>
      <c r="I10" s="20">
        <f>E10/D10</f>
        <v>19.242283618794751</v>
      </c>
      <c r="J10" s="20">
        <f>F10/D10</f>
        <v>15.957132597320628</v>
      </c>
      <c r="K10" s="20">
        <f>I10-J10</f>
        <v>3.2851510214741229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2025-10-25T01:56:32Z</dcterms:modified>
</cp:coreProperties>
</file>