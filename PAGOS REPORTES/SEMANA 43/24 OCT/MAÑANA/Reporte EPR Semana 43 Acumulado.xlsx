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4 OCT\MAÑANA\"/>
    </mc:Choice>
  </mc:AlternateContent>
  <xr:revisionPtr revIDLastSave="0" documentId="13_ncr:1_{86ECF98A-7561-4FB5-9981-0066BAC782F4}" xr6:coauthVersionLast="47" xr6:coauthVersionMax="47" xr10:uidLastSave="{00000000-0000-0000-0000-000000000000}"/>
  <bookViews>
    <workbookView xWindow="11130" yWindow="1113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D26" i="1"/>
  <c r="C34" i="1"/>
  <c r="D34" i="1"/>
  <c r="D48" i="5"/>
  <c r="C48" i="5"/>
  <c r="D40" i="5"/>
  <c r="C40" i="5"/>
  <c r="D27" i="5"/>
  <c r="C27" i="5"/>
  <c r="C42" i="1"/>
  <c r="D42" i="1"/>
  <c r="C18" i="1"/>
  <c r="D18" i="5"/>
  <c r="C18" i="5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<sst xmlns="http://schemas.openxmlformats.org/spreadsheetml/2006/main" count="139" uniqueCount="37">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</sst>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13" zoomScaleNormal="100" workbookViewId="0">
      <selection activeCell="D40" sqref="D4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6880</v>
      </c>
      <c r="D5" s="28">
        <v>261411.55000000002</v>
      </c>
    </row>
    <row r="6" spans="2:8" x14ac:dyDescent="0.25">
      <c r="B6" s="1" t="s">
        <v>5</v>
      </c>
      <c r="C6" s="6">
        <v>4383</v>
      </c>
      <c r="D6" s="28">
        <v>189964.69</v>
      </c>
    </row>
    <row r="7" spans="2:8" x14ac:dyDescent="0.25">
      <c r="B7" s="1" t="s">
        <v>6</v>
      </c>
      <c r="C7" s="6">
        <v>8227</v>
      </c>
      <c r="D7" s="28">
        <v>185460.05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38004</v>
      </c>
      <c r="D9" s="28">
        <v>273672.38</v>
      </c>
      <c r="E9" s="14"/>
      <c r="F9" s="7"/>
    </row>
    <row r="10" spans="2:8" x14ac:dyDescent="0.25">
      <c r="B10" s="3" t="s">
        <v>8</v>
      </c>
      <c r="C10" s="8">
        <f>SUM(C5:C9)</f>
        <v>58008</v>
      </c>
      <c r="D10" s="4">
        <f>SUM(D5:D9)</f>
        <v>910508.67</v>
      </c>
      <c r="E10" s="11" t="s">
        <v>13</v>
      </c>
    </row>
    <row r="12" spans="2:8" x14ac:dyDescent="0.25">
      <c r="B12" s="32" t="s">
        <v>9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612</v>
      </c>
      <c r="D14" s="28">
        <v>59229.53</v>
      </c>
    </row>
    <row r="15" spans="2:8" x14ac:dyDescent="0.25">
      <c r="B15" s="9" t="s">
        <v>5</v>
      </c>
      <c r="C15" s="6">
        <v>1799</v>
      </c>
      <c r="D15" s="28">
        <v>20161</v>
      </c>
    </row>
    <row r="16" spans="2:8" x14ac:dyDescent="0.25">
      <c r="B16" s="9" t="s">
        <v>6</v>
      </c>
      <c r="C16" s="6">
        <v>1164</v>
      </c>
      <c r="D16" s="28">
        <v>18322.82</v>
      </c>
    </row>
    <row r="17" spans="2:4" x14ac:dyDescent="0.25">
      <c r="B17" s="9" t="s">
        <v>7</v>
      </c>
      <c r="C17" s="6">
        <v>2411</v>
      </c>
      <c r="D17" s="28">
        <v>32984</v>
      </c>
    </row>
    <row r="18" spans="2:4" x14ac:dyDescent="0.25">
      <c r="B18" s="10" t="s">
        <v>8</v>
      </c>
      <c r="C18" s="8">
        <f>SUM(C14:C17)</f>
        <v>5986</v>
      </c>
      <c r="D18" s="4">
        <f>SUM(D14:D17)</f>
        <v>130697.35</v>
      </c>
    </row>
    <row r="20" spans="2:4" x14ac:dyDescent="0.25">
      <c r="B20" s="31" t="s">
        <v>34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99</v>
      </c>
      <c r="D22" s="28">
        <v>20489</v>
      </c>
    </row>
    <row r="23" spans="2:4" x14ac:dyDescent="0.25">
      <c r="B23" s="1" t="s">
        <v>5</v>
      </c>
      <c r="C23" s="6">
        <v>281</v>
      </c>
      <c r="D23" s="28">
        <v>46292.4</v>
      </c>
    </row>
    <row r="24" spans="2:4" x14ac:dyDescent="0.25">
      <c r="B24" s="1" t="s">
        <v>6</v>
      </c>
      <c r="C24" s="6">
        <v>362</v>
      </c>
      <c r="D24" s="28">
        <v>16264</v>
      </c>
    </row>
    <row r="25" spans="2:4" x14ac:dyDescent="0.25">
      <c r="B25" s="1" t="s">
        <v>7</v>
      </c>
      <c r="C25" s="7">
        <v>15113</v>
      </c>
      <c r="D25" s="28">
        <v>44124.3</v>
      </c>
    </row>
    <row r="26" spans="2:4" x14ac:dyDescent="0.25">
      <c r="B26" s="3" t="s">
        <v>8</v>
      </c>
      <c r="C26" s="8">
        <f>SUM(C22:C25)</f>
        <v>15855</v>
      </c>
      <c r="D26" s="4">
        <f>SUM(D22:D25)</f>
        <v>127169.7</v>
      </c>
    </row>
    <row r="28" spans="2:4" x14ac:dyDescent="0.25">
      <c r="B28" s="32" t="s">
        <v>10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4976</v>
      </c>
      <c r="D30" s="28">
        <v>46781.58</v>
      </c>
    </row>
    <row r="31" spans="2:4" x14ac:dyDescent="0.25">
      <c r="B31" s="1" t="s">
        <v>5</v>
      </c>
      <c r="C31" s="6">
        <v>1326</v>
      </c>
      <c r="D31" s="28">
        <v>12237</v>
      </c>
    </row>
    <row r="32" spans="2:4" x14ac:dyDescent="0.25">
      <c r="B32" s="1" t="s">
        <v>6</v>
      </c>
      <c r="C32" s="6">
        <v>3740</v>
      </c>
      <c r="D32" s="28">
        <v>37293.599999999999</v>
      </c>
    </row>
    <row r="33" spans="2:4" x14ac:dyDescent="0.25">
      <c r="B33" s="1" t="s">
        <v>7</v>
      </c>
      <c r="C33" s="6">
        <v>1030</v>
      </c>
      <c r="D33" s="28">
        <v>399</v>
      </c>
    </row>
    <row r="34" spans="2:4" x14ac:dyDescent="0.25">
      <c r="B34" s="10" t="s">
        <v>8</v>
      </c>
      <c r="C34" s="8">
        <f>SUM(C30:C33)</f>
        <v>11072</v>
      </c>
      <c r="D34" s="4">
        <f>SUM(D30:D33)</f>
        <v>96711.18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19</v>
      </c>
      <c r="D38" s="28">
        <v>16636</v>
      </c>
    </row>
    <row r="39" spans="2:4" x14ac:dyDescent="0.25">
      <c r="B39" s="1" t="s">
        <v>5</v>
      </c>
      <c r="C39" s="6">
        <v>37</v>
      </c>
      <c r="D39" s="29">
        <v>0</v>
      </c>
    </row>
    <row r="40" spans="2:4" x14ac:dyDescent="0.25">
      <c r="B40" s="1" t="s">
        <v>6</v>
      </c>
      <c r="C40" s="6">
        <v>4</v>
      </c>
      <c r="D40" s="28">
        <v>970</v>
      </c>
    </row>
    <row r="41" spans="2:4" x14ac:dyDescent="0.25">
      <c r="B41" s="1" t="s">
        <v>7</v>
      </c>
      <c r="C41" s="6">
        <v>739</v>
      </c>
      <c r="D41" s="28">
        <v>5046</v>
      </c>
    </row>
    <row r="42" spans="2:4" x14ac:dyDescent="0.25">
      <c r="B42" s="3" t="s">
        <v>8</v>
      </c>
      <c r="C42" s="8">
        <f>SUM(C38:C41)</f>
        <v>799</v>
      </c>
      <c r="D42" s="4">
        <f>SUM(D38:D41)</f>
        <v>22652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91720</v>
      </c>
      <c r="D50" s="13">
        <f>SUMIF(B:B, "Total general", D:D)</f>
        <v>1287738.8999999999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10" zoomScaleNormal="100" workbookViewId="0">
      <selection activeCell="D46" sqref="D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8527</v>
      </c>
      <c r="D5" s="28">
        <v>90570.849999999991</v>
      </c>
      <c r="E5" s="11"/>
    </row>
    <row r="6" spans="2:8" x14ac:dyDescent="0.25">
      <c r="B6" s="1" t="s">
        <v>5</v>
      </c>
      <c r="C6" s="27">
        <v>5505</v>
      </c>
      <c r="D6" s="28">
        <v>40788.880000000005</v>
      </c>
    </row>
    <row r="7" spans="2:8" x14ac:dyDescent="0.25">
      <c r="B7" s="1" t="s">
        <v>6</v>
      </c>
      <c r="C7" s="27">
        <v>5465</v>
      </c>
      <c r="D7" s="28">
        <v>30239</v>
      </c>
    </row>
    <row r="8" spans="2:8" x14ac:dyDescent="0.25">
      <c r="B8" s="5" t="s">
        <v>11</v>
      </c>
      <c r="C8" s="27">
        <v>2739</v>
      </c>
      <c r="D8" s="28">
        <v>500</v>
      </c>
    </row>
    <row r="9" spans="2:8" x14ac:dyDescent="0.25">
      <c r="B9" s="1" t="s">
        <v>7</v>
      </c>
      <c r="C9" s="27">
        <v>2912</v>
      </c>
      <c r="D9" s="28">
        <v>5377</v>
      </c>
      <c r="E9" s="14"/>
      <c r="F9" s="7"/>
    </row>
    <row r="10" spans="2:8" x14ac:dyDescent="0.25">
      <c r="B10" s="3" t="s">
        <v>8</v>
      </c>
      <c r="C10" s="8">
        <f>SUM(C5:C9)</f>
        <v>25148</v>
      </c>
      <c r="D10" s="4">
        <f>SUM(D5:D9)</f>
        <v>167475.72999999998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4959</v>
      </c>
      <c r="D14" s="28">
        <v>46603.58</v>
      </c>
    </row>
    <row r="15" spans="2:8" x14ac:dyDescent="0.25">
      <c r="B15" s="1" t="s">
        <v>5</v>
      </c>
      <c r="C15" s="26">
        <v>855</v>
      </c>
      <c r="D15" s="28">
        <v>9259</v>
      </c>
    </row>
    <row r="16" spans="2:8" x14ac:dyDescent="0.25">
      <c r="B16" s="1" t="s">
        <v>6</v>
      </c>
      <c r="C16" s="26">
        <v>3572</v>
      </c>
      <c r="D16" s="28">
        <v>37293.599999999999</v>
      </c>
    </row>
    <row r="17" spans="2:4" x14ac:dyDescent="0.25">
      <c r="B17" s="9" t="s">
        <v>7</v>
      </c>
      <c r="C17" s="26">
        <v>26</v>
      </c>
      <c r="D17" s="28">
        <v>399</v>
      </c>
    </row>
    <row r="18" spans="2:4" x14ac:dyDescent="0.25">
      <c r="B18" s="10" t="s">
        <v>8</v>
      </c>
      <c r="C18" s="8">
        <f>SUM(C14:C17)</f>
        <v>9412</v>
      </c>
      <c r="D18" s="4">
        <f>SUM(D14:D17)</f>
        <v>93555.18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819</v>
      </c>
      <c r="D22" s="28">
        <v>9966</v>
      </c>
    </row>
    <row r="23" spans="2:4" x14ac:dyDescent="0.25">
      <c r="B23" s="1" t="s">
        <v>5</v>
      </c>
      <c r="C23" s="26">
        <v>985</v>
      </c>
      <c r="D23" s="28">
        <v>3242</v>
      </c>
    </row>
    <row r="24" spans="2:4" x14ac:dyDescent="0.25">
      <c r="B24" s="1" t="s">
        <v>6</v>
      </c>
      <c r="C24" s="26">
        <v>1001</v>
      </c>
      <c r="D24" s="28">
        <v>221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303</v>
      </c>
      <c r="D26" s="28">
        <v>2939.37</v>
      </c>
    </row>
    <row r="27" spans="2:4" x14ac:dyDescent="0.25">
      <c r="B27" s="3" t="s">
        <v>8</v>
      </c>
      <c r="C27" s="8">
        <f>SUM(C22:C26)</f>
        <v>3108</v>
      </c>
      <c r="D27" s="4">
        <f>SUM(D22:D26)</f>
        <v>16368.369999999999</v>
      </c>
    </row>
    <row r="29" spans="2:4" x14ac:dyDescent="0.25">
      <c r="B29" s="31" t="s">
        <v>29</v>
      </c>
      <c r="C29" s="31"/>
      <c r="D29" s="31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2</v>
      </c>
      <c r="D31" s="28">
        <v>15011</v>
      </c>
    </row>
    <row r="32" spans="2:4" x14ac:dyDescent="0.25">
      <c r="B32" s="1" t="s">
        <v>7</v>
      </c>
      <c r="C32">
        <v>64</v>
      </c>
      <c r="D32" s="29">
        <v>0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15011</v>
      </c>
    </row>
    <row r="35" spans="2:4" x14ac:dyDescent="0.25">
      <c r="B35" s="32" t="s">
        <v>9</v>
      </c>
      <c r="C35" s="32"/>
      <c r="D35" s="32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4</v>
      </c>
      <c r="C37">
        <v>2</v>
      </c>
      <c r="D37" s="25">
        <v>0</v>
      </c>
    </row>
    <row r="38" spans="2:4" x14ac:dyDescent="0.25">
      <c r="B38" s="9" t="s">
        <v>5</v>
      </c>
      <c r="C38">
        <v>1</v>
      </c>
      <c r="D38" s="25">
        <v>0</v>
      </c>
    </row>
    <row r="39" spans="2:4" x14ac:dyDescent="0.25">
      <c r="B39" s="9" t="s">
        <v>7</v>
      </c>
      <c r="C39">
        <v>176</v>
      </c>
      <c r="D39" s="28">
        <v>1200</v>
      </c>
    </row>
    <row r="40" spans="2:4" x14ac:dyDescent="0.25">
      <c r="B40" s="10" t="s">
        <v>8</v>
      </c>
      <c r="C40" s="8">
        <f>SUM(C37:C39)</f>
        <v>179</v>
      </c>
      <c r="D40" s="4">
        <f>SUM(D37:D39)</f>
        <v>1200</v>
      </c>
    </row>
    <row r="42" spans="2:4" x14ac:dyDescent="0.25">
      <c r="B42" s="31" t="s">
        <v>34</v>
      </c>
      <c r="C42" s="31"/>
      <c r="D42" s="31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>
        <v>3</v>
      </c>
      <c r="D44" s="28">
        <v>763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>
        <v>1</v>
      </c>
      <c r="D46" s="25">
        <v>0</v>
      </c>
    </row>
    <row r="47" spans="2:4" x14ac:dyDescent="0.25">
      <c r="B47" s="1" t="s">
        <v>7</v>
      </c>
      <c r="C47">
        <v>331</v>
      </c>
      <c r="D47" s="28">
        <v>388</v>
      </c>
    </row>
    <row r="48" spans="2:4" x14ac:dyDescent="0.25">
      <c r="B48" s="3" t="s">
        <v>8</v>
      </c>
      <c r="C48" s="8">
        <f>SUM(C44:C47)</f>
        <v>335</v>
      </c>
      <c r="D48" s="4">
        <f>SUM(D44:D47)</f>
        <v>1151</v>
      </c>
    </row>
    <row r="50" spans="2:4" x14ac:dyDescent="0.25">
      <c r="B50" s="12" t="s">
        <v>12</v>
      </c>
      <c r="C50" s="13">
        <f>SUMIF(B:B, "Total general", C:C)</f>
        <v>38248</v>
      </c>
      <c r="D50" s="13">
        <f>SUMIF(B:B, "Total general", D:D)</f>
        <v>294761.27999999997</v>
      </c>
    </row>
  </sheetData>
  <mergeCells count="7">
    <mergeCell ref="B35:D35"/>
    <mergeCell ref="B29:D29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14312</v>
      </c>
      <c r="D3" s="14">
        <f>SUMIF('CDC-OLGUIN'!B:B, "Extrajudicial - 0 a 28 semanas de atraso", 'CDC-OLGUIN'!D:D)</f>
        <v>162914.43</v>
      </c>
    </row>
    <row r="4" spans="2:6" x14ac:dyDescent="0.25">
      <c r="B4" s="1" t="s">
        <v>5</v>
      </c>
      <c r="C4" s="6">
        <f>SUMIF('CDC-OLGUIN'!B:B, "Extrajudicial - 29 a 39 semanas de atraso", 'CDC-OLGUIN'!C:C)</f>
        <v>7346</v>
      </c>
      <c r="D4" s="14">
        <f>SUMIF('CDC-OLGUIN'!B:B, "Extrajudicial - 29 a 39 semanas de atraso", 'CDC-OLGUIN'!D:D)</f>
        <v>53289.880000000005</v>
      </c>
    </row>
    <row r="5" spans="2:6" x14ac:dyDescent="0.25">
      <c r="B5" s="1" t="s">
        <v>6</v>
      </c>
      <c r="C5" s="6">
        <f>SUMIF('CDC-OLGUIN'!B:B, "Extrajudicial - 40 a 55 semanas de atraso", 'CDC-OLGUIN'!C:C)</f>
        <v>10039</v>
      </c>
      <c r="D5" s="14">
        <f>SUMIF('CDC-OLGUIN'!B:B, "Extrajudicial - 40 a 55 semanas de atraso", 'CDC-OLGUIN'!D:D)</f>
        <v>67753.600000000006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500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10303.369999999999</v>
      </c>
      <c r="E7" s="14"/>
      <c r="F7" s="7"/>
    </row>
    <row r="8" spans="2:6" x14ac:dyDescent="0.25">
      <c r="B8" s="3" t="s">
        <v>8</v>
      </c>
      <c r="C8" s="8">
        <f>SUM(C3:C7)</f>
        <v>38248</v>
      </c>
      <c r="D8" s="4">
        <f>SUM(D3:D7)</f>
        <v>294761.28000000003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12586</v>
      </c>
      <c r="E6" s="16">
        <f>SUMIF('REPORTE DIARIO'!B:B,'EPR 26 JUN'!C6, 'REPORTE DIARIO'!D:D)</f>
        <v>404547.66000000003</v>
      </c>
      <c r="F6" s="16">
        <f>J6*D6</f>
        <v>791120</v>
      </c>
      <c r="G6" s="16">
        <f>+E6-F6</f>
        <v>-386572.33999999997</v>
      </c>
      <c r="H6" s="15">
        <f>ABS(G6/F6)</f>
        <v>0.48863932146829808</v>
      </c>
      <c r="I6" s="16">
        <f>E6/D6</f>
        <v>32.142671221992693</v>
      </c>
      <c r="J6" s="16">
        <f>(220/7)*2</f>
        <v>62.857142857142854</v>
      </c>
      <c r="K6" s="16">
        <f>+I6-J6</f>
        <v>-30.714471635150161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7826</v>
      </c>
      <c r="E7" s="16">
        <f>SUMIF('REPORTE DIARIO'!B:B,'EPR 26 JUN'!C7, 'REPORTE DIARIO'!D:D)</f>
        <v>268655.08999999997</v>
      </c>
      <c r="F7" s="16">
        <f>J7*D7</f>
        <v>245960</v>
      </c>
      <c r="G7" s="16">
        <f>+E7-F7</f>
        <v>22695.089999999967</v>
      </c>
      <c r="H7" s="15">
        <f>ABS(G7/F7)</f>
        <v>9.2271466905187699E-2</v>
      </c>
      <c r="I7" s="16">
        <f>E7/D7</f>
        <v>34.328531817020185</v>
      </c>
      <c r="J7" s="16">
        <f>(110/7)*2</f>
        <v>31.428571428571427</v>
      </c>
      <c r="K7" s="16">
        <f t="shared" ref="K7:K9" si="0">+I7-J7</f>
        <v>2.8999603884487577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13497</v>
      </c>
      <c r="E8" s="16">
        <f>SUMIF('REPORTE DIARIO'!B:B,'EPR 26 JUN'!C8, 'REPORTE DIARIO'!D:D)</f>
        <v>258310.47</v>
      </c>
      <c r="F8" s="16">
        <f>J8*D8</f>
        <v>173532.85714285716</v>
      </c>
      <c r="G8" s="16">
        <f>+E8-F8</f>
        <v>84777.612857142842</v>
      </c>
      <c r="H8" s="15">
        <f>ABS(G8/F8)</f>
        <v>0.48853925563705503</v>
      </c>
      <c r="I8" s="16">
        <f>E8/D8</f>
        <v>19.138361858190709</v>
      </c>
      <c r="J8" s="16">
        <f>(45/7)*2</f>
        <v>12.857142857142858</v>
      </c>
      <c r="K8" s="16">
        <f t="shared" si="0"/>
        <v>6.2812190010478517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57297</v>
      </c>
      <c r="E9" s="16">
        <f>SUMIF('REPORTE DIARIO'!B:B,'EPR 26 JUN'!C9, 'REPORTE DIARIO'!D:D)</f>
        <v>356225.68</v>
      </c>
      <c r="F9" s="16">
        <f>J9*D9</f>
        <v>245558.57142857142</v>
      </c>
      <c r="G9" s="16">
        <f>+E9-F9</f>
        <v>110667.10857142857</v>
      </c>
      <c r="H9" s="15">
        <f>ABS(G9/F9)</f>
        <v>0.4506749975275029</v>
      </c>
      <c r="I9" s="16">
        <f>E9/D9</f>
        <v>6.2171785608321555</v>
      </c>
      <c r="J9" s="16">
        <f>(15/7)*2</f>
        <v>4.2857142857142856</v>
      </c>
      <c r="K9" s="16">
        <f t="shared" si="0"/>
        <v>1.9314642751178699</v>
      </c>
    </row>
    <row r="10" spans="2:12" x14ac:dyDescent="0.25">
      <c r="B10" s="16"/>
      <c r="C10" s="19" t="s">
        <v>16</v>
      </c>
      <c r="D10" s="24">
        <f>SUM(D6:D9)</f>
        <v>91206</v>
      </c>
      <c r="E10" s="20">
        <f>SUM(E6:E9)</f>
        <v>1287738.8999999999</v>
      </c>
      <c r="F10" s="20">
        <f>SUM(F6:F9)</f>
        <v>1456171.4285714286</v>
      </c>
      <c r="G10" s="20">
        <f>+E10-F10</f>
        <v>-168432.52857142873</v>
      </c>
      <c r="H10" s="21">
        <f>ABS(G10/F10)</f>
        <v>0.1156680630224072</v>
      </c>
      <c r="I10" s="20">
        <f>E10/D10</f>
        <v>14.119015196368659</v>
      </c>
      <c r="J10" s="20">
        <f>F10/D10</f>
        <v>15.965741602212887</v>
      </c>
      <c r="K10" s="20">
        <f>I10-J10</f>
        <v>-1.8467264058442279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2025-10-24T15:12:40Z</dcterms:modified>
</cp:coreProperties>
</file>