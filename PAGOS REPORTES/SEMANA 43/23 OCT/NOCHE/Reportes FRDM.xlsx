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3 OCT\NOCHE\"/>
    </mc:Choice>
  </mc:AlternateContent>
  <xr:revisionPtr revIDLastSave="0" documentId="13_ncr:1_{6DF1A35A-4953-4FA8-983A-3822C37388E8}" xr6:coauthVersionLast="47" xr6:coauthVersionMax="47" xr10:uidLastSave="{00000000-0000-0000-0000-000000000000}"/>
  <bookViews>
    <workbookView xWindow="10440" yWindow="10440" windowWidth="11130" windowHeight="6570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  <c r="E10" i="3"/>
  <c r="D10" i="3"/>
  <c r="E8" i="3"/>
  <c r="E6" i="3"/>
  <c r="E7" i="3"/>
  <c r="G6" i="1"/>
  <c r="J6" i="1" s="1"/>
  <c r="G7" i="1"/>
  <c r="H7" i="1" s="1"/>
  <c r="G8" i="1"/>
  <c r="G9" i="1"/>
  <c r="G10" i="1"/>
  <c r="H10" i="1" s="1"/>
  <c r="J9" i="1" l="1"/>
  <c r="H9" i="1"/>
  <c r="J8" i="1"/>
  <c r="H8" i="1"/>
  <c r="J7" i="1"/>
  <c r="H6" i="1"/>
  <c r="J10" i="1"/>
  <c r="E10" i="1"/>
  <c r="D10" i="1"/>
</calcChain>
</file>

<file path=xl/sharedStrings.xml><?xml version="1.0" encoding="utf-8"?>
<sst xmlns="http://schemas.openxmlformats.org/spreadsheetml/2006/main" count="41" uniqueCount="27">
  <si>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</si>
  <si>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</si>
  <si>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</si>
  <si>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</si>
  <si>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</si>
  <si>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</si>
  <si>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</si>
  <si>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</si>
  <si>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</si>
  <si>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</si>
  <si>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</si>
  <si>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</si>
  <si>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</si>
  <si>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</si>
  <si>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</si>
  <si>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</si>
  <si>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</si>
  <si>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</si>
  <si>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</si>
  <si>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</si>
  <si>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</si>
  <si>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</si>
  <si>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</si>
  <si>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REPORTE ALCANCE A CUOTA (CAMPO) ACUMULADO</t>
  </si>
  <si>
    <t>REPORTE ALCANCE A CUOTA (CALL) ACUMULADO</t>
  </si>
  <si>
    <t>COBRANZA SEMANA 43</t>
  </si>
  <si>
    <t>Dominic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</si>
</sst>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8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7">
  <tableColumns count="9">
    <tableColumn id="1" xr3:uid="{885AE5DF-5F4F-4431-A5BE-69D3742D5D7F}" name="MOTOR" dataDxfId="6"/>
    <tableColumn id="2" xr3:uid="{8088F7DD-0E32-4590-A233-EEA0D5174487}" name="Responsable" dataDxfId="5"/>
    <tableColumn id="3" xr3:uid="{BA071C61-63D0-4DFC-8796-2FAD6FC6B350}" name="ESTADO DE FUERZA" dataDxfId="4"/>
    <tableColumn id="5" xr3:uid="{72AC7DBA-FFDD-457B-97D2-998B7D6E463B}" name="# DE DEUDORES" dataDxfId="3"/>
    <tableColumn id="6" xr3:uid="{2C2DB4EE-B607-4F96-9DA0-A4647473B08D}" name="EPR IDEAL" dataDxfId="2"/>
    <tableColumn id="7" xr3:uid="{F91D9DCE-8D91-41A8-A3C5-EE21E8DDB815}" name="CUOTA IDEAL" dataDxfId="1">
      <calculatedColumnFormula>Tabla22[[#This Row],['# DE DEUDORES]]*Tabla22[[#This Row],[EPR IDEAL]]</calculatedColumnFormula>
    </tableColumn>
    <tableColumn id="4" xr3:uid="{5F4A2ABC-B255-4CE1-814E-E6A3E187A30C}" name="ALCANCE A CUOTA" dataDxfId="0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tabSelected="1" zoomScale="130" zoomScaleNormal="130" workbookViewId="0">
      <selection activeCell="I8" sqref="I8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3.28515625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23</v>
      </c>
    </row>
    <row r="3" spans="2:10" x14ac:dyDescent="0.25">
      <c r="B3" s="2" t="s">
        <v>25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5</v>
      </c>
      <c r="C6" s="3" t="s">
        <v>26</v>
      </c>
      <c r="D6" s="5">
        <v>20</v>
      </c>
      <c r="E6" s="5">
        <v>2006</v>
      </c>
      <c r="F6" s="7">
        <v>100</v>
      </c>
      <c r="G6" s="7">
        <f>Tabla2[[#This Row],['# DE DEUDORES]]*Tabla2[[#This Row],[EPR IDEAL]]</f>
        <v>200600</v>
      </c>
      <c r="H6" s="9">
        <f>Tabla2[[#This Row],[CUOTA IDEAL]]*0.6</f>
        <v>120360</v>
      </c>
      <c r="I6" s="11">
        <v>4352</v>
      </c>
      <c r="J6" s="12">
        <f>(Tabla2[[#This Row],[CUOTA REAL]])/Tabla2[[#This Row],[CUOTA IDEAL]]</f>
        <v>2.169491525423729E-2</v>
      </c>
    </row>
    <row r="7" spans="2:10" x14ac:dyDescent="0.25">
      <c r="B7" s="3" t="s">
        <v>6</v>
      </c>
      <c r="C7" s="3" t="s">
        <v>15</v>
      </c>
      <c r="D7" s="5">
        <v>18</v>
      </c>
      <c r="E7" s="5">
        <v>7796</v>
      </c>
      <c r="F7" s="7">
        <v>120</v>
      </c>
      <c r="G7" s="7">
        <f>Tabla2[[#This Row],['# DE DEUDORES]]*Tabla2[[#This Row],[EPR IDEAL]]</f>
        <v>935520</v>
      </c>
      <c r="H7" s="9">
        <f>Tabla2[[#This Row],[CUOTA IDEAL]]*0.6</f>
        <v>561312</v>
      </c>
      <c r="I7" s="11">
        <v>5000</v>
      </c>
      <c r="J7" s="12">
        <f>(Tabla2[[#This Row],[CUOTA REAL]])/Tabla2[[#This Row],[CUOTA IDEAL]]</f>
        <v>5.3446211732512397E-3</v>
      </c>
    </row>
    <row r="8" spans="2:10" x14ac:dyDescent="0.25">
      <c r="B8" s="3" t="s">
        <v>7</v>
      </c>
      <c r="C8" s="3" t="s">
        <v>16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15610</v>
      </c>
      <c r="J8" s="12">
        <f>(Tabla2[[#This Row],[CUOTA REAL]])/Tabla2[[#This Row],[CUOTA IDEAL]]</f>
        <v>1.7677368212445501E-2</v>
      </c>
    </row>
    <row r="9" spans="2:10" x14ac:dyDescent="0.25">
      <c r="B9" s="3" t="s">
        <v>8</v>
      </c>
      <c r="C9" s="3" t="s">
        <v>17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5807</v>
      </c>
      <c r="J9" s="12">
        <f>(Tabla2[[#This Row],[CUOTA REAL]])/Tabla2[[#This Row],[CUOTA IDEAL]]</f>
        <v>1.4024876222678421E-2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2433220</v>
      </c>
      <c r="H10" s="8">
        <f>Tabla2[[#This Row],[CUOTA IDEAL]]*0.6</f>
        <v>1459932</v>
      </c>
      <c r="I10" s="8">
        <f>SUM(I6:I9)</f>
        <v>30769</v>
      </c>
      <c r="J10" s="12">
        <f>(Tabla2[[#This Row],[CUOTA REAL]])/Tabla2[[#This Row],[CUOTA IDEAL]]</f>
        <v>1.2645383483614304E-2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zoomScale="130" zoomScaleNormal="130" workbookViewId="0">
      <selection activeCell="F6" sqref="F6"/>
    </sheetView>
  </sheetViews>
  <sheetFormatPr baseColWidth="10" defaultRowHeight="15" x14ac:dyDescent="0.25"/>
  <cols>
    <col min="2" max="2" width="19.42578125" bestFit="1" customWidth="1"/>
    <col min="3" max="3" width="12.28515625" bestFit="1" customWidth="1"/>
    <col min="4" max="4" width="18.140625" bestFit="1" customWidth="1"/>
    <col min="5" max="5" width="14.7109375" bestFit="1" customWidth="1"/>
    <col min="6" max="6" width="9.85546875" bestFit="1" customWidth="1"/>
    <col min="7" max="7" width="12.7109375" bestFit="1" customWidth="1"/>
    <col min="8" max="8" width="17.7109375" bestFit="1" customWidth="1"/>
    <col min="9" max="9" width="12" bestFit="1" customWidth="1"/>
    <col min="10" max="10" width="14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24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19</v>
      </c>
      <c r="C6" s="3" t="s">
        <v>21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20</v>
      </c>
      <c r="C7" s="3" t="s">
        <v>21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21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9</v>
      </c>
      <c r="C9" s="3" t="s">
        <v>21</v>
      </c>
      <c r="D9" s="5" t="s">
        <v>22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>
        <f>SUBTOTAL(109,D6:D9)</f>
        <v>20</v>
      </c>
      <c r="E10" s="6">
        <f>SUBTOTAL(109,E6:E9)</f>
        <v>3969</v>
      </c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2025-10-24T02:37:10Z</dcterms:modified>
</cp:coreProperties>
</file>