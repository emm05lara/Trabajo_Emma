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2\10 AGO\TARDE3\"/>
    </mc:Choice>
  </mc:AlternateContent>
  <xr:revisionPtr revIDLastSave="0" documentId="13_ncr:1_{0D69526E-C2B6-4312-9883-7B60137C4140}" xr6:coauthVersionLast="47" xr6:coauthVersionMax="47" xr10:uidLastSave="{00000000-0000-0000-0000-000000000000}"/>
  <bookViews>
    <workbookView xWindow="-108" yWindow="-108" windowWidth="23256" windowHeight="12456" activeTab="2" xr2:uid="{505984EA-F255-4770-B067-58581CCF5D69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3" l="1"/>
  <c r="D8" i="2"/>
  <c r="D8" i="1"/>
</calcChain>
</file>

<file path=xl/sharedStrings.xml><?xml version="1.0" encoding="utf-8"?>
<sst xmlns="http://schemas.openxmlformats.org/spreadsheetml/2006/main" count="130" uniqueCount="25">
  <si>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</si>
  <si>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</si>
  <si>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</si>
  <si>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</si>
  <si>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</si>
  <si>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</si>
  <si>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</si>
  <si>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</si>
  <si>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</si>
  <si>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</si>
  <si>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</si>
  <si>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</si>
  <si>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</si>
  <si>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</si>
  <si>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</si>
  <si>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</si>
  <si>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CREDIMAX</t>
  </si>
  <si>
    <t>REESTRUCTURA</t>
  </si>
  <si>
    <t>TOR</t>
  </si>
  <si>
    <t>EMPRESARIO AZTECA</t>
  </si>
  <si>
    <t>OTROS</t>
  </si>
  <si>
    <t>ITALIKA</t>
  </si>
  <si>
    <t>Producto</t>
  </si>
  <si>
    <t>CDC 1OO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</si>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</sst>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F8CAD-A375-44C4-A4FD-277E99FDBC12}">
  <dimension ref="B2:D51"/>
  <sheetViews>
    <sheetView topLeftCell="A42" workbookViewId="0">
      <selection activeCell="B2" sqref="B2:D51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6</v>
      </c>
      <c r="C2" s="6"/>
    </row>
    <row r="3" spans="2:4" x14ac:dyDescent="0.3">
      <c r="B3" s="1" t="s">
        <v>14</v>
      </c>
      <c r="C3" s="1" t="s">
        <v>0</v>
      </c>
    </row>
    <row r="4" spans="2:4" x14ac:dyDescent="0.3">
      <c r="B4" s="2" t="s">
        <v>1</v>
      </c>
      <c r="C4" s="3">
        <v>71880.149999999994</v>
      </c>
    </row>
    <row r="5" spans="2:4" x14ac:dyDescent="0.3">
      <c r="B5" s="2" t="s">
        <v>2</v>
      </c>
      <c r="C5" s="3">
        <v>29104</v>
      </c>
    </row>
    <row r="6" spans="2:4" x14ac:dyDescent="0.3">
      <c r="B6" s="2" t="s">
        <v>3</v>
      </c>
      <c r="C6" s="3">
        <v>40551</v>
      </c>
    </row>
    <row r="7" spans="2:4" ht="15" thickBot="1" x14ac:dyDescent="0.35">
      <c r="B7" s="2" t="s">
        <v>4</v>
      </c>
      <c r="C7" s="3">
        <v>78930.600000000006</v>
      </c>
      <c r="D7" s="1" t="s">
        <v>13</v>
      </c>
    </row>
    <row r="8" spans="2:4" ht="15" thickTop="1" x14ac:dyDescent="0.3">
      <c r="B8" s="4" t="s">
        <v>5</v>
      </c>
      <c r="C8" s="5">
        <v>220465.75</v>
      </c>
      <c r="D8" s="5">
        <f>SUMIF(B:B, "Total general", C:C)</f>
        <v>373040.88</v>
      </c>
    </row>
    <row r="10" spans="2:4" x14ac:dyDescent="0.3">
      <c r="B10" s="6" t="s">
        <v>7</v>
      </c>
      <c r="C10" s="6"/>
    </row>
    <row r="11" spans="2:4" x14ac:dyDescent="0.3">
      <c r="B11" s="1" t="s">
        <v>14</v>
      </c>
      <c r="C11" s="1" t="s">
        <v>0</v>
      </c>
    </row>
    <row r="12" spans="2:4" x14ac:dyDescent="0.3">
      <c r="B12" s="2" t="s">
        <v>1</v>
      </c>
      <c r="C12" s="3">
        <v>28023</v>
      </c>
    </row>
    <row r="13" spans="2:4" x14ac:dyDescent="0.3">
      <c r="B13" s="2" t="s">
        <v>2</v>
      </c>
      <c r="C13" s="3">
        <v>20966</v>
      </c>
    </row>
    <row r="14" spans="2:4" x14ac:dyDescent="0.3">
      <c r="B14" s="2" t="s">
        <v>3</v>
      </c>
      <c r="C14" s="3">
        <v>7542</v>
      </c>
    </row>
    <row r="15" spans="2:4" ht="15" thickBot="1" x14ac:dyDescent="0.35">
      <c r="B15" s="2" t="s">
        <v>4</v>
      </c>
      <c r="C15" s="3">
        <v>4978</v>
      </c>
    </row>
    <row r="16" spans="2:4" ht="15" thickTop="1" x14ac:dyDescent="0.3">
      <c r="B16" s="4" t="s">
        <v>5</v>
      </c>
      <c r="C16" s="5">
        <v>61509</v>
      </c>
    </row>
    <row r="18" spans="2:3" x14ac:dyDescent="0.3">
      <c r="B18" s="6" t="s">
        <v>8</v>
      </c>
      <c r="C18" s="6"/>
    </row>
    <row r="19" spans="2:3" x14ac:dyDescent="0.3">
      <c r="B19" s="1" t="s">
        <v>14</v>
      </c>
      <c r="C19" s="1" t="s">
        <v>0</v>
      </c>
    </row>
    <row r="20" spans="2:3" x14ac:dyDescent="0.3">
      <c r="B20" s="2" t="s">
        <v>1</v>
      </c>
      <c r="C20" s="3">
        <v>22407.21</v>
      </c>
    </row>
    <row r="21" spans="2:3" x14ac:dyDescent="0.3">
      <c r="B21" s="2" t="s">
        <v>2</v>
      </c>
      <c r="C21" s="3">
        <v>1916</v>
      </c>
    </row>
    <row r="22" spans="2:3" x14ac:dyDescent="0.3">
      <c r="B22" s="2" t="s">
        <v>3</v>
      </c>
      <c r="C22" s="3">
        <v>3082</v>
      </c>
    </row>
    <row r="23" spans="2:3" ht="15" thickBot="1" x14ac:dyDescent="0.35">
      <c r="B23" s="2" t="s">
        <v>4</v>
      </c>
      <c r="C23" s="3">
        <v>5808</v>
      </c>
    </row>
    <row r="24" spans="2:3" ht="15" thickTop="1" x14ac:dyDescent="0.3">
      <c r="B24" s="4" t="s">
        <v>5</v>
      </c>
      <c r="C24" s="5">
        <v>33213.21</v>
      </c>
    </row>
    <row r="26" spans="2:3" x14ac:dyDescent="0.3">
      <c r="B26" s="6" t="s">
        <v>11</v>
      </c>
      <c r="C26" s="6"/>
    </row>
    <row r="27" spans="2:3" x14ac:dyDescent="0.3">
      <c r="B27" s="1" t="s">
        <v>14</v>
      </c>
      <c r="C27" s="1" t="s">
        <v>0</v>
      </c>
    </row>
    <row r="28" spans="2:3" x14ac:dyDescent="0.3">
      <c r="B28" s="2" t="s">
        <v>1</v>
      </c>
      <c r="C28" s="3">
        <v>5730</v>
      </c>
    </row>
    <row r="29" spans="2:3" x14ac:dyDescent="0.3">
      <c r="B29" s="2" t="s">
        <v>2</v>
      </c>
      <c r="C29" s="3">
        <v>11828</v>
      </c>
    </row>
    <row r="30" spans="2:3" ht="15" thickBot="1" x14ac:dyDescent="0.35">
      <c r="B30" s="2" t="s">
        <v>3</v>
      </c>
      <c r="C30" s="3">
        <v>4200</v>
      </c>
    </row>
    <row r="31" spans="2:3" ht="15" thickTop="1" x14ac:dyDescent="0.3">
      <c r="B31" s="4" t="s">
        <v>5</v>
      </c>
      <c r="C31" s="5">
        <v>21758</v>
      </c>
    </row>
    <row r="33" spans="2:3" x14ac:dyDescent="0.3">
      <c r="B33" s="6" t="s">
        <v>9</v>
      </c>
      <c r="C33" s="6"/>
    </row>
    <row r="34" spans="2:3" x14ac:dyDescent="0.3">
      <c r="B34" s="1" t="s">
        <v>14</v>
      </c>
      <c r="C34" s="1" t="s">
        <v>0</v>
      </c>
    </row>
    <row r="35" spans="2:3" x14ac:dyDescent="0.3">
      <c r="B35" s="2" t="s">
        <v>1</v>
      </c>
      <c r="C35" s="3">
        <v>13156</v>
      </c>
    </row>
    <row r="36" spans="2:3" x14ac:dyDescent="0.3">
      <c r="B36" s="2" t="s">
        <v>3</v>
      </c>
      <c r="C36" s="3">
        <v>998</v>
      </c>
    </row>
    <row r="37" spans="2:3" ht="15" thickBot="1" x14ac:dyDescent="0.35">
      <c r="B37" s="2" t="s">
        <v>4</v>
      </c>
      <c r="C37" s="3">
        <v>856</v>
      </c>
    </row>
    <row r="38" spans="2:3" ht="15" thickTop="1" x14ac:dyDescent="0.3">
      <c r="B38" s="4" t="s">
        <v>5</v>
      </c>
      <c r="C38" s="5">
        <v>15010</v>
      </c>
    </row>
    <row r="40" spans="2:3" x14ac:dyDescent="0.3">
      <c r="B40" s="6" t="s">
        <v>12</v>
      </c>
      <c r="C40" s="6"/>
    </row>
    <row r="41" spans="2:3" x14ac:dyDescent="0.3">
      <c r="B41" s="1" t="s">
        <v>14</v>
      </c>
      <c r="C41" s="1" t="s">
        <v>0</v>
      </c>
    </row>
    <row r="42" spans="2:3" x14ac:dyDescent="0.3">
      <c r="B42" s="2" t="s">
        <v>1</v>
      </c>
      <c r="C42" s="3">
        <v>7749</v>
      </c>
    </row>
    <row r="43" spans="2:3" x14ac:dyDescent="0.3">
      <c r="B43" s="2" t="s">
        <v>2</v>
      </c>
      <c r="C43" s="3">
        <v>3709.92</v>
      </c>
    </row>
    <row r="44" spans="2:3" x14ac:dyDescent="0.3">
      <c r="B44" s="2" t="s">
        <v>3</v>
      </c>
      <c r="C44" s="3">
        <v>1923</v>
      </c>
    </row>
    <row r="45" spans="2:3" ht="15" thickBot="1" x14ac:dyDescent="0.35">
      <c r="B45" s="2" t="s">
        <v>4</v>
      </c>
      <c r="C45" s="3">
        <v>1587</v>
      </c>
    </row>
    <row r="46" spans="2:3" ht="15" thickTop="1" x14ac:dyDescent="0.3">
      <c r="B46" s="4" t="s">
        <v>5</v>
      </c>
      <c r="C46" s="5">
        <v>14968.92</v>
      </c>
    </row>
    <row r="48" spans="2:3" x14ac:dyDescent="0.3">
      <c r="B48" s="6" t="s">
        <v>10</v>
      </c>
      <c r="C48" s="6"/>
    </row>
    <row r="49" spans="2:3" x14ac:dyDescent="0.3">
      <c r="B49" s="1" t="s">
        <v>14</v>
      </c>
      <c r="C49" s="1" t="s">
        <v>0</v>
      </c>
    </row>
    <row r="50" spans="2:3" ht="15" thickBot="1" x14ac:dyDescent="0.35">
      <c r="B50" s="2" t="s">
        <v>1</v>
      </c>
      <c r="C50" s="3">
        <v>6116</v>
      </c>
    </row>
    <row r="51" spans="2:3" ht="15" thickTop="1" x14ac:dyDescent="0.3">
      <c r="B51" s="4" t="s">
        <v>5</v>
      </c>
      <c r="C51" s="5">
        <v>6116</v>
      </c>
    </row>
  </sheetData>
  <mergeCells count="7">
    <mergeCell ref="B48:C48"/>
    <mergeCell ref="B26:C26"/>
    <mergeCell ref="B40:C40"/>
    <mergeCell ref="B2:C2"/>
    <mergeCell ref="B10:C10"/>
    <mergeCell ref="B18:C18"/>
    <mergeCell ref="B33:C33"/>
  </mergeCells>
  <pageMargins left="0.7" right="0.7" top="0.75" bottom="0.7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7998B-AAFE-4E96-8186-BD24E91C30A3}">
  <dimension ref="B2:D50"/>
  <sheetViews>
    <sheetView topLeftCell="A44" workbookViewId="0">
      <selection activeCell="B2" sqref="B2:D50"/>
    </sheetView>
  </sheetViews>
  <sheetFormatPr baseColWidth="10" defaultRowHeight="14.4" x14ac:dyDescent="0.3"/>
  <cols>
    <col min="2" max="2" width="18.55468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6</v>
      </c>
      <c r="C2" s="6"/>
    </row>
    <row r="3" spans="2:4" x14ac:dyDescent="0.3">
      <c r="B3" s="1" t="s">
        <v>22</v>
      </c>
      <c r="C3" s="1" t="s">
        <v>0</v>
      </c>
    </row>
    <row r="4" spans="2:4" x14ac:dyDescent="0.3">
      <c r="B4" s="2" t="s">
        <v>15</v>
      </c>
      <c r="C4" s="3">
        <v>11932</v>
      </c>
    </row>
    <row r="5" spans="2:4" x14ac:dyDescent="0.3">
      <c r="B5" s="2" t="s">
        <v>16</v>
      </c>
      <c r="C5" s="3">
        <v>14027</v>
      </c>
    </row>
    <row r="6" spans="2:4" x14ac:dyDescent="0.3">
      <c r="B6" s="2" t="s">
        <v>17</v>
      </c>
      <c r="C6" s="3">
        <v>8101</v>
      </c>
    </row>
    <row r="7" spans="2:4" ht="15" thickBot="1" x14ac:dyDescent="0.35">
      <c r="B7" s="2" t="s">
        <v>18</v>
      </c>
      <c r="C7" s="3">
        <v>186405.75</v>
      </c>
      <c r="D7" s="1" t="s">
        <v>13</v>
      </c>
    </row>
    <row r="8" spans="2:4" ht="15" thickTop="1" x14ac:dyDescent="0.3">
      <c r="B8" s="4" t="s">
        <v>5</v>
      </c>
      <c r="C8" s="5">
        <v>220465.75</v>
      </c>
      <c r="D8" s="5">
        <f>SUMIF(B:B, "Total general", C:C)</f>
        <v>373040.88</v>
      </c>
    </row>
    <row r="10" spans="2:4" x14ac:dyDescent="0.3">
      <c r="B10" s="6" t="s">
        <v>7</v>
      </c>
      <c r="C10" s="6"/>
    </row>
    <row r="11" spans="2:4" x14ac:dyDescent="0.3">
      <c r="B11" s="1" t="s">
        <v>22</v>
      </c>
      <c r="C11" s="1" t="s">
        <v>0</v>
      </c>
    </row>
    <row r="12" spans="2:4" x14ac:dyDescent="0.3">
      <c r="B12" s="2" t="s">
        <v>15</v>
      </c>
      <c r="C12" s="3">
        <v>1189</v>
      </c>
    </row>
    <row r="13" spans="2:4" x14ac:dyDescent="0.3">
      <c r="B13" s="2" t="s">
        <v>16</v>
      </c>
      <c r="C13" s="3">
        <v>3888</v>
      </c>
    </row>
    <row r="14" spans="2:4" x14ac:dyDescent="0.3">
      <c r="B14" s="2" t="s">
        <v>19</v>
      </c>
      <c r="C14" s="3">
        <v>1583</v>
      </c>
    </row>
    <row r="15" spans="2:4" x14ac:dyDescent="0.3">
      <c r="B15" s="2" t="s">
        <v>20</v>
      </c>
      <c r="C15" s="3">
        <v>20000</v>
      </c>
    </row>
    <row r="16" spans="2:4" x14ac:dyDescent="0.3">
      <c r="B16" s="2" t="s">
        <v>17</v>
      </c>
      <c r="C16" s="3">
        <v>3848</v>
      </c>
    </row>
    <row r="17" spans="2:3" ht="15" thickBot="1" x14ac:dyDescent="0.35">
      <c r="B17" s="2" t="s">
        <v>18</v>
      </c>
      <c r="C17" s="3">
        <v>31001</v>
      </c>
    </row>
    <row r="18" spans="2:3" ht="15" thickTop="1" x14ac:dyDescent="0.3">
      <c r="B18" s="4" t="s">
        <v>5</v>
      </c>
      <c r="C18" s="5">
        <v>61509</v>
      </c>
    </row>
    <row r="20" spans="2:3" x14ac:dyDescent="0.3">
      <c r="B20" s="6" t="s">
        <v>8</v>
      </c>
      <c r="C20" s="6"/>
    </row>
    <row r="21" spans="2:3" x14ac:dyDescent="0.3">
      <c r="B21" s="1" t="s">
        <v>22</v>
      </c>
      <c r="C21" s="1" t="s">
        <v>0</v>
      </c>
    </row>
    <row r="22" spans="2:3" ht="15" thickBot="1" x14ac:dyDescent="0.35">
      <c r="B22" s="2" t="s">
        <v>18</v>
      </c>
      <c r="C22" s="3">
        <v>33213.21</v>
      </c>
    </row>
    <row r="23" spans="2:3" ht="15" thickTop="1" x14ac:dyDescent="0.3">
      <c r="B23" s="4" t="s">
        <v>5</v>
      </c>
      <c r="C23" s="5">
        <v>33213.21</v>
      </c>
    </row>
    <row r="25" spans="2:3" x14ac:dyDescent="0.3">
      <c r="B25" s="6" t="s">
        <v>11</v>
      </c>
      <c r="C25" s="6"/>
    </row>
    <row r="26" spans="2:3" x14ac:dyDescent="0.3">
      <c r="B26" s="1" t="s">
        <v>22</v>
      </c>
      <c r="C26" s="1" t="s">
        <v>0</v>
      </c>
    </row>
    <row r="27" spans="2:3" x14ac:dyDescent="0.3">
      <c r="B27" s="2" t="s">
        <v>15</v>
      </c>
      <c r="C27" s="3">
        <v>2484</v>
      </c>
    </row>
    <row r="28" spans="2:3" x14ac:dyDescent="0.3">
      <c r="B28" s="2" t="s">
        <v>16</v>
      </c>
      <c r="C28" s="3">
        <v>200</v>
      </c>
    </row>
    <row r="29" spans="2:3" x14ac:dyDescent="0.3">
      <c r="B29" s="2" t="s">
        <v>21</v>
      </c>
      <c r="C29" s="3">
        <v>14049</v>
      </c>
    </row>
    <row r="30" spans="2:3" x14ac:dyDescent="0.3">
      <c r="B30" s="2" t="s">
        <v>17</v>
      </c>
      <c r="C30" s="3">
        <v>2017</v>
      </c>
    </row>
    <row r="31" spans="2:3" ht="15" thickBot="1" x14ac:dyDescent="0.35">
      <c r="B31" s="2" t="s">
        <v>18</v>
      </c>
      <c r="C31" s="3">
        <v>3008</v>
      </c>
    </row>
    <row r="32" spans="2:3" ht="15" thickTop="1" x14ac:dyDescent="0.3">
      <c r="B32" s="4" t="s">
        <v>5</v>
      </c>
      <c r="C32" s="5">
        <v>21758</v>
      </c>
    </row>
    <row r="34" spans="2:3" x14ac:dyDescent="0.3">
      <c r="B34" s="6" t="s">
        <v>9</v>
      </c>
      <c r="C34" s="6"/>
    </row>
    <row r="35" spans="2:3" x14ac:dyDescent="0.3">
      <c r="B35" s="1" t="s">
        <v>22</v>
      </c>
      <c r="C35" s="1" t="s">
        <v>0</v>
      </c>
    </row>
    <row r="36" spans="2:3" x14ac:dyDescent="0.3">
      <c r="B36" s="2" t="s">
        <v>17</v>
      </c>
      <c r="C36" s="3">
        <v>2098</v>
      </c>
    </row>
    <row r="37" spans="2:3" ht="15" thickBot="1" x14ac:dyDescent="0.35">
      <c r="B37" s="2" t="s">
        <v>18</v>
      </c>
      <c r="C37" s="3">
        <v>12912</v>
      </c>
    </row>
    <row r="38" spans="2:3" ht="15" thickTop="1" x14ac:dyDescent="0.3">
      <c r="B38" s="4" t="s">
        <v>5</v>
      </c>
      <c r="C38" s="5">
        <v>15010</v>
      </c>
    </row>
    <row r="40" spans="2:3" x14ac:dyDescent="0.3">
      <c r="B40" s="6" t="s">
        <v>12</v>
      </c>
      <c r="C40" s="6"/>
    </row>
    <row r="41" spans="2:3" x14ac:dyDescent="0.3">
      <c r="B41" s="1" t="s">
        <v>22</v>
      </c>
      <c r="C41" s="1" t="s">
        <v>0</v>
      </c>
    </row>
    <row r="42" spans="2:3" ht="15" thickBot="1" x14ac:dyDescent="0.35">
      <c r="B42" s="2" t="s">
        <v>18</v>
      </c>
      <c r="C42" s="3">
        <v>14968.92</v>
      </c>
    </row>
    <row r="43" spans="2:3" ht="15" thickTop="1" x14ac:dyDescent="0.3">
      <c r="B43" s="4" t="s">
        <v>5</v>
      </c>
      <c r="C43" s="5">
        <v>14968.92</v>
      </c>
    </row>
    <row r="45" spans="2:3" x14ac:dyDescent="0.3">
      <c r="B45" s="6" t="s">
        <v>10</v>
      </c>
      <c r="C45" s="6"/>
    </row>
    <row r="46" spans="2:3" x14ac:dyDescent="0.3">
      <c r="B46" s="1" t="s">
        <v>22</v>
      </c>
      <c r="C46" s="1" t="s">
        <v>0</v>
      </c>
    </row>
    <row r="47" spans="2:3" x14ac:dyDescent="0.3">
      <c r="B47" s="2" t="s">
        <v>15</v>
      </c>
      <c r="C47" s="3">
        <v>1892</v>
      </c>
    </row>
    <row r="48" spans="2:3" x14ac:dyDescent="0.3">
      <c r="B48" s="2" t="s">
        <v>16</v>
      </c>
      <c r="C48" s="3">
        <v>608</v>
      </c>
    </row>
    <row r="49" spans="2:3" ht="15" thickBot="1" x14ac:dyDescent="0.35">
      <c r="B49" s="2" t="s">
        <v>17</v>
      </c>
      <c r="C49" s="3">
        <v>3616</v>
      </c>
    </row>
    <row r="50" spans="2:3" ht="15" thickTop="1" x14ac:dyDescent="0.3">
      <c r="B50" s="4" t="s">
        <v>5</v>
      </c>
      <c r="C50" s="5">
        <v>6116</v>
      </c>
    </row>
  </sheetData>
  <mergeCells count="7">
    <mergeCell ref="B45:C45"/>
    <mergeCell ref="B2:C2"/>
    <mergeCell ref="B10:C10"/>
    <mergeCell ref="B20:C20"/>
    <mergeCell ref="B25:C25"/>
    <mergeCell ref="B34:C34"/>
    <mergeCell ref="B40:C40"/>
  </mergeCells>
  <pageMargins left="0.7" right="0.7" top="0.75" bottom="0.75" header="0.3" footer="0.3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6C66F-DE5D-4236-BE54-D8397FBA64AC}">
  <dimension ref="B2:D26"/>
  <sheetViews>
    <sheetView tabSelected="1" topLeftCell="A23" workbookViewId="0">
      <selection activeCell="B2" sqref="B2:D26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24</v>
      </c>
      <c r="C2" s="6"/>
    </row>
    <row r="3" spans="2:4" x14ac:dyDescent="0.3">
      <c r="B3" s="6" t="s">
        <v>23</v>
      </c>
      <c r="C3" s="6"/>
    </row>
    <row r="4" spans="2:4" x14ac:dyDescent="0.3">
      <c r="B4" s="1" t="s">
        <v>14</v>
      </c>
      <c r="C4" s="1" t="s">
        <v>0</v>
      </c>
    </row>
    <row r="5" spans="2:4" x14ac:dyDescent="0.3">
      <c r="B5" s="2" t="s">
        <v>1</v>
      </c>
      <c r="C5" s="3">
        <v>36199</v>
      </c>
    </row>
    <row r="6" spans="2:4" x14ac:dyDescent="0.3">
      <c r="B6" s="2" t="s">
        <v>2</v>
      </c>
      <c r="C6" s="3">
        <v>2629</v>
      </c>
    </row>
    <row r="7" spans="2:4" x14ac:dyDescent="0.3">
      <c r="B7" s="2" t="s">
        <v>3</v>
      </c>
      <c r="C7" s="3">
        <v>2391</v>
      </c>
    </row>
    <row r="8" spans="2:4" ht="15" thickBot="1" x14ac:dyDescent="0.35">
      <c r="B8" s="2" t="s">
        <v>4</v>
      </c>
      <c r="C8" s="3">
        <v>3993</v>
      </c>
      <c r="D8" s="1" t="s">
        <v>13</v>
      </c>
    </row>
    <row r="9" spans="2:4" ht="15" thickTop="1" x14ac:dyDescent="0.3">
      <c r="B9" s="4" t="s">
        <v>5</v>
      </c>
      <c r="C9" s="5">
        <v>45212</v>
      </c>
      <c r="D9" s="5">
        <f>SUMIF(B:B, "Total general", C:C)</f>
        <v>67585</v>
      </c>
    </row>
    <row r="11" spans="2:4" x14ac:dyDescent="0.3">
      <c r="B11" s="6" t="s">
        <v>11</v>
      </c>
      <c r="C11" s="6"/>
    </row>
    <row r="12" spans="2:4" x14ac:dyDescent="0.3">
      <c r="B12" s="1" t="s">
        <v>14</v>
      </c>
      <c r="C12" s="1" t="s">
        <v>0</v>
      </c>
    </row>
    <row r="13" spans="2:4" x14ac:dyDescent="0.3">
      <c r="B13" s="2" t="s">
        <v>1</v>
      </c>
      <c r="C13" s="3">
        <v>5730</v>
      </c>
    </row>
    <row r="14" spans="2:4" x14ac:dyDescent="0.3">
      <c r="B14" s="2" t="s">
        <v>2</v>
      </c>
      <c r="C14" s="3">
        <v>11828</v>
      </c>
    </row>
    <row r="15" spans="2:4" ht="15" thickBot="1" x14ac:dyDescent="0.35">
      <c r="B15" s="2" t="s">
        <v>3</v>
      </c>
      <c r="C15" s="3">
        <v>4200</v>
      </c>
    </row>
    <row r="16" spans="2:4" ht="15" thickTop="1" x14ac:dyDescent="0.3">
      <c r="B16" s="4" t="s">
        <v>5</v>
      </c>
      <c r="C16" s="5">
        <v>21758</v>
      </c>
    </row>
    <row r="18" spans="2:3" x14ac:dyDescent="0.3">
      <c r="B18" s="6" t="s">
        <v>6</v>
      </c>
      <c r="C18" s="6"/>
    </row>
    <row r="19" spans="2:3" x14ac:dyDescent="0.3">
      <c r="B19" s="1" t="s">
        <v>14</v>
      </c>
      <c r="C19" s="1" t="s">
        <v>0</v>
      </c>
    </row>
    <row r="20" spans="2:3" ht="15" thickBot="1" x14ac:dyDescent="0.35">
      <c r="B20" s="2" t="s">
        <v>1</v>
      </c>
      <c r="C20" s="3">
        <v>314</v>
      </c>
    </row>
    <row r="21" spans="2:3" ht="15" thickTop="1" x14ac:dyDescent="0.3">
      <c r="B21" s="4" t="s">
        <v>5</v>
      </c>
      <c r="C21" s="5">
        <v>314</v>
      </c>
    </row>
    <row r="23" spans="2:3" x14ac:dyDescent="0.3">
      <c r="B23" s="6" t="s">
        <v>7</v>
      </c>
      <c r="C23" s="6"/>
    </row>
    <row r="24" spans="2:3" x14ac:dyDescent="0.3">
      <c r="B24" s="1" t="s">
        <v>14</v>
      </c>
      <c r="C24" s="1" t="s">
        <v>0</v>
      </c>
    </row>
    <row r="25" spans="2:3" ht="15" thickBot="1" x14ac:dyDescent="0.35">
      <c r="B25" s="2" t="s">
        <v>1</v>
      </c>
      <c r="C25" s="3">
        <v>301</v>
      </c>
    </row>
    <row r="26" spans="2:3" ht="15" thickTop="1" x14ac:dyDescent="0.3">
      <c r="B26" s="4" t="s">
        <v>5</v>
      </c>
      <c r="C26" s="5">
        <v>301</v>
      </c>
    </row>
  </sheetData>
  <mergeCells count="5">
    <mergeCell ref="B3:C3"/>
    <mergeCell ref="B2:C2"/>
    <mergeCell ref="B23:C23"/>
    <mergeCell ref="B18:C18"/>
    <mergeCell ref="B11:C11"/>
  </mergeCells>
  <pageMargins left="0.7" right="0.7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2025-08-11T00:04:24Z</cp:lastPrinted>
  <dcterms:created xsi:type="dcterms:W3CDTF">2025-08-10T23:56:02Z</dcterms:created>
  <dcterms:modified xsi:type="dcterms:W3CDTF">2025-08-11T00:04:26Z</dcterms:modified>
</cp:coreProperties>
</file>