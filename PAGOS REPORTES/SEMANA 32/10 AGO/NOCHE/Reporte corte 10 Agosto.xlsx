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2\10 AGO\NOCHE\"/>
    </mc:Choice>
  </mc:AlternateContent>
  <xr:revisionPtr revIDLastSave="0" documentId="8_{F7509243-6B99-4E30-B397-FAFE2237F362}" xr6:coauthVersionLast="47" xr6:coauthVersionMax="47" xr10:uidLastSave="{00000000-0000-0000-0000-000000000000}"/>
  <bookViews>
    <workbookView xWindow="-120" yWindow="-120" windowWidth="51840" windowHeight="21120" xr2:uid="{BE20703C-A11C-45A8-BDF4-F9D70059471E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3" l="1"/>
  <c r="D9" i="2"/>
  <c r="D8" i="1"/>
</calcChain>
</file>

<file path=xl/sharedStrings.xml><?xml version="1.0" encoding="utf-8"?>
<sst xmlns="http://schemas.openxmlformats.org/spreadsheetml/2006/main" count="143" uniqueCount="26">
  <si>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</si>
  <si>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</si>
  <si>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</si>
  <si>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</si>
  <si>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</si>
  <si>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</si>
  <si>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</si>
  <si>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</si>
  <si>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COREFORCE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</si>
  <si>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</si>
  <si>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</si>
  <si>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</si>
  <si>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</si>
  <si>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</si>
  <si>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</si>
  <si>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</si>
  <si>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</si>
  <si>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CREDIMAX</t>
  </si>
  <si>
    <t>ITALIKA</t>
  </si>
  <si>
    <t>REESTRUCTURA</t>
  </si>
  <si>
    <t>TOR</t>
  </si>
  <si>
    <t>EMPRESARIO AZTECA</t>
  </si>
  <si>
    <t>OTROS</t>
  </si>
  <si>
    <t>Producto</t>
  </si>
  <si>
    <t>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</si>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</sst>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34D9B-D06E-4F9D-9E0B-23B6EB47763A}">
  <dimension ref="B2:D56"/>
  <sheetViews>
    <sheetView tabSelected="1" topLeftCell="A4" workbookViewId="0">
      <selection activeCell="B2" sqref="B2:D56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6</v>
      </c>
      <c r="C2" s="6"/>
    </row>
    <row r="3" spans="2:4" x14ac:dyDescent="0.25">
      <c r="B3" s="1" t="s">
        <v>15</v>
      </c>
      <c r="C3" s="1" t="s">
        <v>0</v>
      </c>
    </row>
    <row r="4" spans="2:4" x14ac:dyDescent="0.25">
      <c r="B4" s="2" t="s">
        <v>1</v>
      </c>
      <c r="C4" s="3">
        <v>115309.12000000001</v>
      </c>
    </row>
    <row r="5" spans="2:4" x14ac:dyDescent="0.25">
      <c r="B5" s="2" t="s">
        <v>2</v>
      </c>
      <c r="C5" s="3">
        <v>39642</v>
      </c>
    </row>
    <row r="6" spans="2:4" x14ac:dyDescent="0.25">
      <c r="B6" s="2" t="s">
        <v>3</v>
      </c>
      <c r="C6" s="3">
        <v>55045</v>
      </c>
    </row>
    <row r="7" spans="2:4" ht="15.75" thickBot="1" x14ac:dyDescent="0.3">
      <c r="B7" s="2" t="s">
        <v>4</v>
      </c>
      <c r="C7" s="3">
        <v>103612.6</v>
      </c>
      <c r="D7" s="1" t="s">
        <v>14</v>
      </c>
    </row>
    <row r="8" spans="2:4" ht="15.75" thickTop="1" x14ac:dyDescent="0.25">
      <c r="B8" s="4" t="s">
        <v>5</v>
      </c>
      <c r="C8" s="5">
        <v>313608.71999999997</v>
      </c>
      <c r="D8" s="5">
        <f>SUMIF(B:B, "Total general", C:C)</f>
        <v>527549.85</v>
      </c>
    </row>
    <row r="10" spans="2:4" x14ac:dyDescent="0.25">
      <c r="B10" s="6" t="s">
        <v>7</v>
      </c>
      <c r="C10" s="6"/>
    </row>
    <row r="11" spans="2:4" x14ac:dyDescent="0.25">
      <c r="B11" s="1" t="s">
        <v>15</v>
      </c>
      <c r="C11" s="1" t="s">
        <v>0</v>
      </c>
    </row>
    <row r="12" spans="2:4" x14ac:dyDescent="0.25">
      <c r="B12" s="2" t="s">
        <v>1</v>
      </c>
      <c r="C12" s="3">
        <v>34347</v>
      </c>
    </row>
    <row r="13" spans="2:4" x14ac:dyDescent="0.25">
      <c r="B13" s="2" t="s">
        <v>2</v>
      </c>
      <c r="C13" s="3">
        <v>23007</v>
      </c>
    </row>
    <row r="14" spans="2:4" x14ac:dyDescent="0.25">
      <c r="B14" s="2" t="s">
        <v>3</v>
      </c>
      <c r="C14" s="3">
        <v>13030</v>
      </c>
    </row>
    <row r="15" spans="2:4" ht="15.75" thickBot="1" x14ac:dyDescent="0.3">
      <c r="B15" s="2" t="s">
        <v>4</v>
      </c>
      <c r="C15" s="3">
        <v>7680</v>
      </c>
    </row>
    <row r="16" spans="2:4" ht="15.75" thickTop="1" x14ac:dyDescent="0.25">
      <c r="B16" s="4" t="s">
        <v>5</v>
      </c>
      <c r="C16" s="5">
        <v>78064</v>
      </c>
    </row>
    <row r="18" spans="2:3" x14ac:dyDescent="0.25">
      <c r="B18" s="6" t="s">
        <v>9</v>
      </c>
      <c r="C18" s="6"/>
    </row>
    <row r="19" spans="2:3" x14ac:dyDescent="0.25">
      <c r="B19" s="1" t="s">
        <v>15</v>
      </c>
      <c r="C19" s="1" t="s">
        <v>0</v>
      </c>
    </row>
    <row r="20" spans="2:3" x14ac:dyDescent="0.25">
      <c r="B20" s="2" t="s">
        <v>1</v>
      </c>
      <c r="C20" s="3">
        <v>31621.21</v>
      </c>
    </row>
    <row r="21" spans="2:3" x14ac:dyDescent="0.25">
      <c r="B21" s="2" t="s">
        <v>2</v>
      </c>
      <c r="C21" s="3">
        <v>5682</v>
      </c>
    </row>
    <row r="22" spans="2:3" x14ac:dyDescent="0.25">
      <c r="B22" s="2" t="s">
        <v>3</v>
      </c>
      <c r="C22" s="3">
        <v>4445</v>
      </c>
    </row>
    <row r="23" spans="2:3" ht="15.75" thickBot="1" x14ac:dyDescent="0.3">
      <c r="B23" s="2" t="s">
        <v>4</v>
      </c>
      <c r="C23" s="3">
        <v>7752</v>
      </c>
    </row>
    <row r="24" spans="2:3" ht="15.75" thickTop="1" x14ac:dyDescent="0.25">
      <c r="B24" s="4" t="s">
        <v>5</v>
      </c>
      <c r="C24" s="5">
        <v>49500.21</v>
      </c>
    </row>
    <row r="26" spans="2:3" x14ac:dyDescent="0.25">
      <c r="B26" s="6" t="s">
        <v>12</v>
      </c>
      <c r="C26" s="6"/>
    </row>
    <row r="27" spans="2:3" x14ac:dyDescent="0.25">
      <c r="B27" s="1" t="s">
        <v>15</v>
      </c>
      <c r="C27" s="1" t="s">
        <v>0</v>
      </c>
    </row>
    <row r="28" spans="2:3" x14ac:dyDescent="0.25">
      <c r="B28" s="2" t="s">
        <v>1</v>
      </c>
      <c r="C28" s="3">
        <v>19827</v>
      </c>
    </row>
    <row r="29" spans="2:3" x14ac:dyDescent="0.25">
      <c r="B29" s="2" t="s">
        <v>2</v>
      </c>
      <c r="C29" s="3">
        <v>13271</v>
      </c>
    </row>
    <row r="30" spans="2:3" ht="15.75" thickBot="1" x14ac:dyDescent="0.3">
      <c r="B30" s="2" t="s">
        <v>3</v>
      </c>
      <c r="C30" s="3">
        <v>5346</v>
      </c>
    </row>
    <row r="31" spans="2:3" ht="15.75" thickTop="1" x14ac:dyDescent="0.25">
      <c r="B31" s="4" t="s">
        <v>5</v>
      </c>
      <c r="C31" s="5">
        <v>38444</v>
      </c>
    </row>
    <row r="33" spans="2:3" x14ac:dyDescent="0.25">
      <c r="B33" s="6" t="s">
        <v>13</v>
      </c>
      <c r="C33" s="6"/>
    </row>
    <row r="34" spans="2:3" x14ac:dyDescent="0.25">
      <c r="B34" s="1" t="s">
        <v>15</v>
      </c>
      <c r="C34" s="1" t="s">
        <v>0</v>
      </c>
    </row>
    <row r="35" spans="2:3" x14ac:dyDescent="0.25">
      <c r="B35" s="2" t="s">
        <v>1</v>
      </c>
      <c r="C35" s="3">
        <v>10019</v>
      </c>
    </row>
    <row r="36" spans="2:3" x14ac:dyDescent="0.25">
      <c r="B36" s="2" t="s">
        <v>2</v>
      </c>
      <c r="C36" s="3">
        <v>5968.92</v>
      </c>
    </row>
    <row r="37" spans="2:3" x14ac:dyDescent="0.25">
      <c r="B37" s="2" t="s">
        <v>3</v>
      </c>
      <c r="C37" s="3">
        <v>3654</v>
      </c>
    </row>
    <row r="38" spans="2:3" ht="15.75" thickBot="1" x14ac:dyDescent="0.3">
      <c r="B38" s="2" t="s">
        <v>4</v>
      </c>
      <c r="C38" s="3">
        <v>1758</v>
      </c>
    </row>
    <row r="39" spans="2:3" ht="15.75" thickTop="1" x14ac:dyDescent="0.25">
      <c r="B39" s="4" t="s">
        <v>5</v>
      </c>
      <c r="C39" s="5">
        <v>21399.919999999998</v>
      </c>
    </row>
    <row r="41" spans="2:3" x14ac:dyDescent="0.25">
      <c r="B41" s="6" t="s">
        <v>10</v>
      </c>
      <c r="C41" s="6"/>
    </row>
    <row r="42" spans="2:3" x14ac:dyDescent="0.25">
      <c r="B42" s="1" t="s">
        <v>15</v>
      </c>
      <c r="C42" s="1" t="s">
        <v>0</v>
      </c>
    </row>
    <row r="43" spans="2:3" x14ac:dyDescent="0.25">
      <c r="B43" s="2" t="s">
        <v>1</v>
      </c>
      <c r="C43" s="3">
        <v>16645</v>
      </c>
    </row>
    <row r="44" spans="2:3" x14ac:dyDescent="0.25">
      <c r="B44" s="2" t="s">
        <v>3</v>
      </c>
      <c r="C44" s="3">
        <v>998</v>
      </c>
    </row>
    <row r="45" spans="2:3" ht="15.75" thickBot="1" x14ac:dyDescent="0.3">
      <c r="B45" s="2" t="s">
        <v>4</v>
      </c>
      <c r="C45" s="3">
        <v>856</v>
      </c>
    </row>
    <row r="46" spans="2:3" ht="15.75" thickTop="1" x14ac:dyDescent="0.25">
      <c r="B46" s="4" t="s">
        <v>5</v>
      </c>
      <c r="C46" s="5">
        <v>18499</v>
      </c>
    </row>
    <row r="48" spans="2:3" x14ac:dyDescent="0.25">
      <c r="B48" s="6" t="s">
        <v>11</v>
      </c>
      <c r="C48" s="6"/>
    </row>
    <row r="49" spans="2:3" x14ac:dyDescent="0.25">
      <c r="B49" s="1" t="s">
        <v>15</v>
      </c>
      <c r="C49" s="1" t="s">
        <v>0</v>
      </c>
    </row>
    <row r="50" spans="2:3" ht="15.75" thickBot="1" x14ac:dyDescent="0.3">
      <c r="B50" s="2" t="s">
        <v>1</v>
      </c>
      <c r="C50" s="3">
        <v>7659</v>
      </c>
    </row>
    <row r="51" spans="2:3" ht="15.75" thickTop="1" x14ac:dyDescent="0.25">
      <c r="B51" s="4" t="s">
        <v>5</v>
      </c>
      <c r="C51" s="5">
        <v>7659</v>
      </c>
    </row>
    <row r="53" spans="2:3" x14ac:dyDescent="0.25">
      <c r="B53" s="6" t="s">
        <v>8</v>
      </c>
      <c r="C53" s="6"/>
    </row>
    <row r="54" spans="2:3" x14ac:dyDescent="0.25">
      <c r="B54" s="1" t="s">
        <v>15</v>
      </c>
      <c r="C54" s="1" t="s">
        <v>0</v>
      </c>
    </row>
    <row r="55" spans="2:3" ht="15.75" thickBot="1" x14ac:dyDescent="0.3">
      <c r="B55" s="2" t="s">
        <v>1</v>
      </c>
      <c r="C55" s="3">
        <v>375</v>
      </c>
    </row>
    <row r="56" spans="2:3" ht="15.75" thickTop="1" x14ac:dyDescent="0.25">
      <c r="B56" s="4" t="s">
        <v>5</v>
      </c>
      <c r="C56" s="5">
        <v>375</v>
      </c>
    </row>
  </sheetData>
  <mergeCells count="8">
    <mergeCell ref="B26:C26"/>
    <mergeCell ref="B33:C33"/>
    <mergeCell ref="B2:C2"/>
    <mergeCell ref="B10:C10"/>
    <mergeCell ref="B53:C53"/>
    <mergeCell ref="B18:C18"/>
    <mergeCell ref="B41:C41"/>
    <mergeCell ref="B48:C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30C5-3901-410D-9F20-7311F65EB405}">
  <dimension ref="B2:D56"/>
  <sheetViews>
    <sheetView workbookViewId="0">
      <selection activeCell="B3" sqref="B3"/>
    </sheetView>
  </sheetViews>
  <sheetFormatPr baseColWidth="10" defaultRowHeight="15" x14ac:dyDescent="0.25"/>
  <cols>
    <col min="2" max="2" width="19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6</v>
      </c>
      <c r="C2" s="6"/>
    </row>
    <row r="3" spans="2:4" x14ac:dyDescent="0.25">
      <c r="B3" s="1" t="s">
        <v>23</v>
      </c>
      <c r="C3" s="1" t="s">
        <v>0</v>
      </c>
    </row>
    <row r="4" spans="2:4" x14ac:dyDescent="0.25">
      <c r="B4" s="2" t="s">
        <v>16</v>
      </c>
      <c r="C4" s="3">
        <v>15763</v>
      </c>
    </row>
    <row r="5" spans="2:4" x14ac:dyDescent="0.25">
      <c r="B5" s="2" t="s">
        <v>17</v>
      </c>
      <c r="C5" s="3">
        <v>18511</v>
      </c>
    </row>
    <row r="6" spans="2:4" x14ac:dyDescent="0.25">
      <c r="B6" s="2" t="s">
        <v>18</v>
      </c>
      <c r="C6" s="3">
        <v>4092</v>
      </c>
    </row>
    <row r="7" spans="2:4" x14ac:dyDescent="0.25">
      <c r="B7" s="2" t="s">
        <v>19</v>
      </c>
      <c r="C7" s="3">
        <v>12218</v>
      </c>
    </row>
    <row r="8" spans="2:4" ht="15.75" thickBot="1" x14ac:dyDescent="0.3">
      <c r="B8" s="2" t="s">
        <v>20</v>
      </c>
      <c r="C8" s="3">
        <v>263024.71999999997</v>
      </c>
      <c r="D8" s="1" t="s">
        <v>14</v>
      </c>
    </row>
    <row r="9" spans="2:4" ht="15.75" thickTop="1" x14ac:dyDescent="0.25">
      <c r="B9" s="4" t="s">
        <v>5</v>
      </c>
      <c r="C9" s="5">
        <v>313608.71999999997</v>
      </c>
      <c r="D9" s="5">
        <f>SUMIF(B:B, "Total general", C:C)</f>
        <v>527549.85</v>
      </c>
    </row>
    <row r="11" spans="2:4" x14ac:dyDescent="0.25">
      <c r="B11" s="6" t="s">
        <v>7</v>
      </c>
      <c r="C11" s="6"/>
    </row>
    <row r="12" spans="2:4" x14ac:dyDescent="0.25">
      <c r="B12" s="1" t="s">
        <v>23</v>
      </c>
      <c r="C12" s="1" t="s">
        <v>0</v>
      </c>
    </row>
    <row r="13" spans="2:4" x14ac:dyDescent="0.25">
      <c r="B13" s="2" t="s">
        <v>16</v>
      </c>
      <c r="C13" s="3">
        <v>1189</v>
      </c>
    </row>
    <row r="14" spans="2:4" x14ac:dyDescent="0.25">
      <c r="B14" s="2" t="s">
        <v>17</v>
      </c>
      <c r="C14" s="3">
        <v>4899</v>
      </c>
    </row>
    <row r="15" spans="2:4" x14ac:dyDescent="0.25">
      <c r="B15" s="2" t="s">
        <v>21</v>
      </c>
      <c r="C15" s="3">
        <v>1583</v>
      </c>
    </row>
    <row r="16" spans="2:4" x14ac:dyDescent="0.25">
      <c r="B16" s="2" t="s">
        <v>22</v>
      </c>
      <c r="C16" s="3">
        <v>20000</v>
      </c>
    </row>
    <row r="17" spans="2:3" x14ac:dyDescent="0.25">
      <c r="B17" s="2" t="s">
        <v>19</v>
      </c>
      <c r="C17" s="3">
        <v>3848</v>
      </c>
    </row>
    <row r="18" spans="2:3" ht="15.75" thickBot="1" x14ac:dyDescent="0.3">
      <c r="B18" s="2" t="s">
        <v>20</v>
      </c>
      <c r="C18" s="3">
        <v>46545</v>
      </c>
    </row>
    <row r="19" spans="2:3" ht="15.75" thickTop="1" x14ac:dyDescent="0.25">
      <c r="B19" s="4" t="s">
        <v>5</v>
      </c>
      <c r="C19" s="5">
        <v>78064</v>
      </c>
    </row>
    <row r="21" spans="2:3" x14ac:dyDescent="0.25">
      <c r="B21" s="6" t="s">
        <v>9</v>
      </c>
      <c r="C21" s="6"/>
    </row>
    <row r="22" spans="2:3" x14ac:dyDescent="0.25">
      <c r="B22" s="1" t="s">
        <v>23</v>
      </c>
      <c r="C22" s="1" t="s">
        <v>0</v>
      </c>
    </row>
    <row r="23" spans="2:3" ht="15.75" thickBot="1" x14ac:dyDescent="0.3">
      <c r="B23" s="2" t="s">
        <v>20</v>
      </c>
      <c r="C23" s="3">
        <v>49500.21</v>
      </c>
    </row>
    <row r="24" spans="2:3" ht="15.75" thickTop="1" x14ac:dyDescent="0.25">
      <c r="B24" s="4" t="s">
        <v>5</v>
      </c>
      <c r="C24" s="5">
        <v>49500.21</v>
      </c>
    </row>
    <row r="26" spans="2:3" x14ac:dyDescent="0.25">
      <c r="B26" s="6" t="s">
        <v>12</v>
      </c>
      <c r="C26" s="6"/>
    </row>
    <row r="27" spans="2:3" x14ac:dyDescent="0.25">
      <c r="B27" s="1" t="s">
        <v>23</v>
      </c>
      <c r="C27" s="1" t="s">
        <v>0</v>
      </c>
    </row>
    <row r="28" spans="2:3" x14ac:dyDescent="0.25">
      <c r="B28" s="2" t="s">
        <v>16</v>
      </c>
      <c r="C28" s="3">
        <v>2984</v>
      </c>
    </row>
    <row r="29" spans="2:3" x14ac:dyDescent="0.25">
      <c r="B29" s="2" t="s">
        <v>17</v>
      </c>
      <c r="C29" s="3">
        <v>200</v>
      </c>
    </row>
    <row r="30" spans="2:3" x14ac:dyDescent="0.25">
      <c r="B30" s="2" t="s">
        <v>18</v>
      </c>
      <c r="C30" s="3">
        <v>26749</v>
      </c>
    </row>
    <row r="31" spans="2:3" x14ac:dyDescent="0.25">
      <c r="B31" s="2" t="s">
        <v>19</v>
      </c>
      <c r="C31" s="3">
        <v>4163</v>
      </c>
    </row>
    <row r="32" spans="2:3" ht="15.75" thickBot="1" x14ac:dyDescent="0.3">
      <c r="B32" s="2" t="s">
        <v>20</v>
      </c>
      <c r="C32" s="3">
        <v>4348</v>
      </c>
    </row>
    <row r="33" spans="2:3" ht="15.75" thickTop="1" x14ac:dyDescent="0.25">
      <c r="B33" s="4" t="s">
        <v>5</v>
      </c>
      <c r="C33" s="5">
        <v>38444</v>
      </c>
    </row>
    <row r="35" spans="2:3" x14ac:dyDescent="0.25">
      <c r="B35" s="6" t="s">
        <v>13</v>
      </c>
      <c r="C35" s="6"/>
    </row>
    <row r="36" spans="2:3" x14ac:dyDescent="0.25">
      <c r="B36" s="1" t="s">
        <v>23</v>
      </c>
      <c r="C36" s="1" t="s">
        <v>0</v>
      </c>
    </row>
    <row r="37" spans="2:3" ht="15.75" thickBot="1" x14ac:dyDescent="0.3">
      <c r="B37" s="2" t="s">
        <v>20</v>
      </c>
      <c r="C37" s="3">
        <v>21399.919999999998</v>
      </c>
    </row>
    <row r="38" spans="2:3" ht="15.75" thickTop="1" x14ac:dyDescent="0.25">
      <c r="B38" s="4" t="s">
        <v>5</v>
      </c>
      <c r="C38" s="5">
        <v>21399.919999999998</v>
      </c>
    </row>
    <row r="40" spans="2:3" x14ac:dyDescent="0.25">
      <c r="B40" s="6" t="s">
        <v>10</v>
      </c>
      <c r="C40" s="6"/>
    </row>
    <row r="41" spans="2:3" x14ac:dyDescent="0.25">
      <c r="B41" s="1" t="s">
        <v>23</v>
      </c>
      <c r="C41" s="1" t="s">
        <v>0</v>
      </c>
    </row>
    <row r="42" spans="2:3" x14ac:dyDescent="0.25">
      <c r="B42" s="2" t="s">
        <v>19</v>
      </c>
      <c r="C42" s="3">
        <v>2098</v>
      </c>
    </row>
    <row r="43" spans="2:3" ht="15.75" thickBot="1" x14ac:dyDescent="0.3">
      <c r="B43" s="2" t="s">
        <v>20</v>
      </c>
      <c r="C43" s="3">
        <v>16401</v>
      </c>
    </row>
    <row r="44" spans="2:3" ht="15.75" thickTop="1" x14ac:dyDescent="0.25">
      <c r="B44" s="4" t="s">
        <v>5</v>
      </c>
      <c r="C44" s="5">
        <v>18499</v>
      </c>
    </row>
    <row r="46" spans="2:3" x14ac:dyDescent="0.25">
      <c r="B46" s="6" t="s">
        <v>11</v>
      </c>
      <c r="C46" s="6"/>
    </row>
    <row r="47" spans="2:3" x14ac:dyDescent="0.25">
      <c r="B47" s="1" t="s">
        <v>23</v>
      </c>
      <c r="C47" s="1" t="s">
        <v>0</v>
      </c>
    </row>
    <row r="48" spans="2:3" x14ac:dyDescent="0.25">
      <c r="B48" s="2" t="s">
        <v>16</v>
      </c>
      <c r="C48" s="3">
        <v>1892</v>
      </c>
    </row>
    <row r="49" spans="2:3" x14ac:dyDescent="0.25">
      <c r="B49" s="2" t="s">
        <v>17</v>
      </c>
      <c r="C49" s="3">
        <v>2151</v>
      </c>
    </row>
    <row r="50" spans="2:3" ht="15.75" thickBot="1" x14ac:dyDescent="0.3">
      <c r="B50" s="2" t="s">
        <v>19</v>
      </c>
      <c r="C50" s="3">
        <v>3616</v>
      </c>
    </row>
    <row r="51" spans="2:3" ht="15.75" thickTop="1" x14ac:dyDescent="0.25">
      <c r="B51" s="4" t="s">
        <v>5</v>
      </c>
      <c r="C51" s="5">
        <v>7659</v>
      </c>
    </row>
    <row r="53" spans="2:3" x14ac:dyDescent="0.25">
      <c r="B53" s="6" t="s">
        <v>8</v>
      </c>
      <c r="C53" s="6"/>
    </row>
    <row r="54" spans="2:3" x14ac:dyDescent="0.25">
      <c r="B54" s="1" t="s">
        <v>23</v>
      </c>
      <c r="C54" s="1" t="s">
        <v>0</v>
      </c>
    </row>
    <row r="55" spans="2:3" ht="15.75" thickBot="1" x14ac:dyDescent="0.3">
      <c r="B55" s="2" t="s">
        <v>20</v>
      </c>
      <c r="C55" s="3">
        <v>375</v>
      </c>
    </row>
    <row r="56" spans="2:3" ht="15.75" thickTop="1" x14ac:dyDescent="0.25">
      <c r="B56" s="4" t="s">
        <v>5</v>
      </c>
      <c r="C56" s="5">
        <v>375</v>
      </c>
    </row>
  </sheetData>
  <mergeCells count="8">
    <mergeCell ref="B46:C46"/>
    <mergeCell ref="B53:C53"/>
    <mergeCell ref="B2:C2"/>
    <mergeCell ref="B11:C11"/>
    <mergeCell ref="B21:C21"/>
    <mergeCell ref="B26:C26"/>
    <mergeCell ref="B35:C35"/>
    <mergeCell ref="B40:C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AB632-BEB1-4E32-8D01-F1BD2D8B4633}">
  <dimension ref="B2:D28"/>
  <sheetViews>
    <sheetView workbookViewId="0">
      <selection activeCell="B2" sqref="B2:C2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25</v>
      </c>
      <c r="C2" s="6"/>
    </row>
    <row r="3" spans="2:4" x14ac:dyDescent="0.25">
      <c r="B3" s="6" t="s">
        <v>24</v>
      </c>
      <c r="C3" s="6"/>
    </row>
    <row r="4" spans="2:4" x14ac:dyDescent="0.25">
      <c r="B4" s="1" t="s">
        <v>15</v>
      </c>
      <c r="C4" s="1" t="s">
        <v>0</v>
      </c>
    </row>
    <row r="5" spans="2:4" x14ac:dyDescent="0.25">
      <c r="B5" s="2" t="s">
        <v>1</v>
      </c>
      <c r="C5" s="3">
        <v>40277</v>
      </c>
    </row>
    <row r="6" spans="2:4" x14ac:dyDescent="0.25">
      <c r="B6" s="2" t="s">
        <v>2</v>
      </c>
      <c r="C6" s="3">
        <v>4377</v>
      </c>
    </row>
    <row r="7" spans="2:4" x14ac:dyDescent="0.25">
      <c r="B7" s="2" t="s">
        <v>3</v>
      </c>
      <c r="C7" s="3">
        <v>4298</v>
      </c>
    </row>
    <row r="8" spans="2:4" ht="15.75" thickBot="1" x14ac:dyDescent="0.3">
      <c r="B8" s="2" t="s">
        <v>4</v>
      </c>
      <c r="C8" s="3">
        <v>3993</v>
      </c>
      <c r="D8" s="1" t="s">
        <v>14</v>
      </c>
    </row>
    <row r="9" spans="2:4" ht="15.75" thickTop="1" x14ac:dyDescent="0.25">
      <c r="B9" s="4" t="s">
        <v>5</v>
      </c>
      <c r="C9" s="5">
        <v>52945</v>
      </c>
      <c r="D9" s="5">
        <f>SUMIF(B:B, "Total general", C:C)</f>
        <v>92904</v>
      </c>
    </row>
    <row r="11" spans="2:4" x14ac:dyDescent="0.25">
      <c r="B11" s="6" t="s">
        <v>12</v>
      </c>
      <c r="C11" s="6"/>
    </row>
    <row r="12" spans="2:4" x14ac:dyDescent="0.25">
      <c r="B12" s="1" t="s">
        <v>15</v>
      </c>
      <c r="C12" s="1" t="s">
        <v>0</v>
      </c>
    </row>
    <row r="13" spans="2:4" x14ac:dyDescent="0.25">
      <c r="B13" s="2" t="s">
        <v>1</v>
      </c>
      <c r="C13" s="3">
        <v>19827</v>
      </c>
    </row>
    <row r="14" spans="2:4" x14ac:dyDescent="0.25">
      <c r="B14" s="2" t="s">
        <v>2</v>
      </c>
      <c r="C14" s="3">
        <v>13271</v>
      </c>
    </row>
    <row r="15" spans="2:4" ht="15.75" thickBot="1" x14ac:dyDescent="0.3">
      <c r="B15" s="2" t="s">
        <v>3</v>
      </c>
      <c r="C15" s="3">
        <v>5346</v>
      </c>
    </row>
    <row r="16" spans="2:4" ht="15.75" thickTop="1" x14ac:dyDescent="0.25">
      <c r="B16" s="4" t="s">
        <v>5</v>
      </c>
      <c r="C16" s="5">
        <v>38444</v>
      </c>
    </row>
    <row r="18" spans="2:3" x14ac:dyDescent="0.25">
      <c r="B18" s="6" t="s">
        <v>7</v>
      </c>
      <c r="C18" s="6"/>
    </row>
    <row r="19" spans="2:3" x14ac:dyDescent="0.25">
      <c r="B19" s="1" t="s">
        <v>15</v>
      </c>
      <c r="C19" s="1" t="s">
        <v>0</v>
      </c>
    </row>
    <row r="20" spans="2:3" x14ac:dyDescent="0.25">
      <c r="B20" s="2" t="s">
        <v>1</v>
      </c>
      <c r="C20" s="3">
        <v>301</v>
      </c>
    </row>
    <row r="21" spans="2:3" ht="15.75" thickBot="1" x14ac:dyDescent="0.3">
      <c r="B21" s="2" t="s">
        <v>4</v>
      </c>
      <c r="C21" s="3">
        <v>500</v>
      </c>
    </row>
    <row r="22" spans="2:3" ht="15.75" thickTop="1" x14ac:dyDescent="0.25">
      <c r="B22" s="4" t="s">
        <v>5</v>
      </c>
      <c r="C22" s="5">
        <v>801</v>
      </c>
    </row>
    <row r="24" spans="2:3" x14ac:dyDescent="0.25">
      <c r="B24" s="6" t="s">
        <v>6</v>
      </c>
      <c r="C24" s="6"/>
    </row>
    <row r="25" spans="2:3" x14ac:dyDescent="0.25">
      <c r="B25" s="1" t="s">
        <v>15</v>
      </c>
      <c r="C25" s="1" t="s">
        <v>0</v>
      </c>
    </row>
    <row r="26" spans="2:3" x14ac:dyDescent="0.25">
      <c r="B26" s="2" t="s">
        <v>1</v>
      </c>
      <c r="C26" s="3">
        <v>314</v>
      </c>
    </row>
    <row r="27" spans="2:3" ht="15.75" thickBot="1" x14ac:dyDescent="0.3">
      <c r="B27" s="2" t="s">
        <v>4</v>
      </c>
      <c r="C27" s="3">
        <v>400</v>
      </c>
    </row>
    <row r="28" spans="2:3" ht="15.75" thickTop="1" x14ac:dyDescent="0.25">
      <c r="B28" s="4" t="s">
        <v>5</v>
      </c>
      <c r="C28" s="5">
        <v>714</v>
      </c>
    </row>
  </sheetData>
  <mergeCells count="5">
    <mergeCell ref="B3:C3"/>
    <mergeCell ref="B2:C2"/>
    <mergeCell ref="B18:C18"/>
    <mergeCell ref="B11:C11"/>
    <mergeCell ref="B24:C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2025-08-11T02:53:23Z</dcterms:created>
  <dcterms:modified xsi:type="dcterms:W3CDTF">2025-08-11T03:00:47Z</dcterms:modified>
</cp:coreProperties>
</file>