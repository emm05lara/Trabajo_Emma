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2\04 AGO\MAÑANA\"/>
    </mc:Choice>
  </mc:AlternateContent>
  <xr:revisionPtr revIDLastSave="0" documentId="13_ncr:1_{188C4894-D773-4AAB-8F64-512DDB1C2E09}" xr6:coauthVersionLast="47" xr6:coauthVersionMax="47" xr10:uidLastSave="{00000000-0000-0000-0000-000000000000}"/>
  <bookViews>
    <workbookView xWindow="18225" yWindow="4830" windowWidth="11130" windowHeight="6570" activeTab="1" xr2:uid="{4DC6C92A-CD8A-4966-829B-0B6A986E825B}"/>
  </bookViews>
  <sheets>
    <sheet name="REPORTE DIARIO" sheetId="1" r:id="rId1"/>
    <sheet name="CDC-OLGUIN" sheetId="5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5" l="1"/>
  <c r="D18" i="5"/>
  <c r="D20" i="5"/>
  <c r="C18" i="5"/>
  <c r="C10" i="5"/>
  <c r="J9" i="3"/>
  <c r="J8" i="3"/>
  <c r="J7" i="3"/>
  <c r="J6" i="3"/>
  <c r="C52" i="1"/>
  <c r="C20" i="5" l="1"/>
  <c r="C19" i="1"/>
  <c r="D19" i="1"/>
  <c r="D28" i="1"/>
  <c r="C28" i="1"/>
  <c r="D6" i="3"/>
  <c r="D44" i="1"/>
  <c r="C44" i="1"/>
  <c r="D52" i="1"/>
  <c r="D57" i="1" l="1"/>
  <c r="C57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<sst xmlns="http://schemas.openxmlformats.org/spreadsheetml/2006/main" count="110" uniqueCount="38">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</sst>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opLeftCell="A19" zoomScaleNormal="100" workbookViewId="0">
      <selection activeCell="C40" sqref="C40:D43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4468</v>
      </c>
      <c r="D5" s="25">
        <v>986690.08999999985</v>
      </c>
    </row>
    <row r="6" spans="2:8" x14ac:dyDescent="0.25">
      <c r="B6" s="1" t="s">
        <v>5</v>
      </c>
      <c r="C6" s="6">
        <v>3679</v>
      </c>
      <c r="D6" s="25">
        <v>438837.44</v>
      </c>
    </row>
    <row r="7" spans="2:8" x14ac:dyDescent="0.25">
      <c r="B7" s="1" t="s">
        <v>6</v>
      </c>
      <c r="C7" s="6">
        <v>6480</v>
      </c>
      <c r="D7" s="25">
        <v>621469.23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21043</v>
      </c>
      <c r="D9" s="25">
        <v>601425.20000000007</v>
      </c>
      <c r="E9" s="14"/>
      <c r="F9" s="7"/>
    </row>
    <row r="10" spans="2:8" x14ac:dyDescent="0.25">
      <c r="B10" s="3" t="s">
        <v>8</v>
      </c>
      <c r="C10" s="8">
        <f>SUM(C5:C9)</f>
        <v>35681</v>
      </c>
      <c r="D10" s="4">
        <f>SUM(D5:D9)</f>
        <v>2648421.96</v>
      </c>
      <c r="E10" s="11" t="s">
        <v>14</v>
      </c>
    </row>
    <row r="12" spans="2:8" x14ac:dyDescent="0.25">
      <c r="B12" s="28" t="s">
        <v>36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1922</v>
      </c>
      <c r="D14" s="25">
        <v>235865.16999999998</v>
      </c>
    </row>
    <row r="15" spans="2:8" x14ac:dyDescent="0.25">
      <c r="B15" s="1" t="s">
        <v>5</v>
      </c>
      <c r="C15" s="6">
        <v>1314</v>
      </c>
      <c r="D15" s="25">
        <v>50903.85</v>
      </c>
    </row>
    <row r="16" spans="2:8" x14ac:dyDescent="0.25">
      <c r="B16" s="1" t="s">
        <v>6</v>
      </c>
      <c r="C16" s="6">
        <v>3532</v>
      </c>
      <c r="D16" s="25">
        <v>122300.12</v>
      </c>
    </row>
    <row r="17" spans="2:4" x14ac:dyDescent="0.25">
      <c r="B17" s="5" t="s">
        <v>12</v>
      </c>
      <c r="C17" s="6">
        <v>0</v>
      </c>
      <c r="D17" s="26">
        <v>0</v>
      </c>
    </row>
    <row r="18" spans="2:4" x14ac:dyDescent="0.25">
      <c r="B18" s="1" t="s">
        <v>7</v>
      </c>
      <c r="C18" s="7">
        <v>18125</v>
      </c>
      <c r="D18" s="25">
        <v>109660.36000000002</v>
      </c>
    </row>
    <row r="19" spans="2:4" x14ac:dyDescent="0.25">
      <c r="B19" s="3" t="s">
        <v>8</v>
      </c>
      <c r="C19" s="8">
        <f>SUM(C14:C18)</f>
        <v>24893</v>
      </c>
      <c r="D19" s="4">
        <f>SUM(D14:D18)</f>
        <v>518729.5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2103</v>
      </c>
      <c r="D23" s="25">
        <v>310283.49</v>
      </c>
    </row>
    <row r="24" spans="2:4" x14ac:dyDescent="0.25">
      <c r="B24" s="9" t="s">
        <v>5</v>
      </c>
      <c r="C24" s="6">
        <v>345</v>
      </c>
      <c r="D24" s="25">
        <v>38162.119999999995</v>
      </c>
    </row>
    <row r="25" spans="2:4" x14ac:dyDescent="0.25">
      <c r="B25" s="9" t="s">
        <v>6</v>
      </c>
      <c r="C25" s="6">
        <v>1280</v>
      </c>
      <c r="D25" s="25">
        <v>62028.7</v>
      </c>
    </row>
    <row r="26" spans="2:4" x14ac:dyDescent="0.25">
      <c r="B26" s="5" t="s">
        <v>12</v>
      </c>
      <c r="C26" s="7">
        <v>1</v>
      </c>
      <c r="D26" s="26">
        <v>0</v>
      </c>
    </row>
    <row r="27" spans="2:4" x14ac:dyDescent="0.25">
      <c r="B27" s="9" t="s">
        <v>7</v>
      </c>
      <c r="C27" s="6">
        <v>12061</v>
      </c>
      <c r="D27" s="25">
        <v>92409.260000000009</v>
      </c>
    </row>
    <row r="28" spans="2:4" x14ac:dyDescent="0.25">
      <c r="B28" s="10" t="s">
        <v>8</v>
      </c>
      <c r="C28" s="8">
        <f>SUM(C23:C27)</f>
        <v>15790</v>
      </c>
      <c r="D28" s="4">
        <f>SUM(D23:D27)</f>
        <v>502883.57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495</v>
      </c>
      <c r="D32" s="25">
        <v>173005.33</v>
      </c>
    </row>
    <row r="33" spans="2:4" x14ac:dyDescent="0.25">
      <c r="B33" s="9" t="s">
        <v>5</v>
      </c>
      <c r="C33" s="6">
        <v>331</v>
      </c>
      <c r="D33" s="25">
        <v>103476.89</v>
      </c>
    </row>
    <row r="34" spans="2:4" x14ac:dyDescent="0.25">
      <c r="B34" s="9" t="s">
        <v>6</v>
      </c>
      <c r="C34" s="6">
        <v>270</v>
      </c>
      <c r="D34" s="25">
        <v>64379.8</v>
      </c>
    </row>
    <row r="35" spans="2:4" x14ac:dyDescent="0.25">
      <c r="B35" s="9" t="s">
        <v>7</v>
      </c>
      <c r="C35" s="6">
        <v>598</v>
      </c>
      <c r="D35" s="25">
        <v>12448</v>
      </c>
    </row>
    <row r="36" spans="2:4" x14ac:dyDescent="0.25">
      <c r="B36" s="10" t="s">
        <v>8</v>
      </c>
      <c r="C36" s="8">
        <f>SUM(C32:C35)</f>
        <v>1694</v>
      </c>
      <c r="D36" s="4">
        <f>SUM(D32:D35)</f>
        <v>353310.01999999996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795</v>
      </c>
      <c r="D40" s="25">
        <v>48094.159999999996</v>
      </c>
    </row>
    <row r="41" spans="2:4" x14ac:dyDescent="0.25">
      <c r="B41" s="1" t="s">
        <v>5</v>
      </c>
      <c r="C41" s="6">
        <v>694</v>
      </c>
      <c r="D41" s="25">
        <v>64463.05</v>
      </c>
    </row>
    <row r="42" spans="2:4" x14ac:dyDescent="0.25">
      <c r="B42" s="1" t="s">
        <v>6</v>
      </c>
      <c r="C42" s="6">
        <v>1001</v>
      </c>
      <c r="D42" s="25">
        <v>26424.52</v>
      </c>
    </row>
    <row r="43" spans="2:4" x14ac:dyDescent="0.25">
      <c r="B43" s="1" t="s">
        <v>7</v>
      </c>
      <c r="C43" s="6">
        <v>418</v>
      </c>
      <c r="D43" s="25">
        <v>6525</v>
      </c>
    </row>
    <row r="44" spans="2:4" x14ac:dyDescent="0.25">
      <c r="B44" s="3" t="s">
        <v>8</v>
      </c>
      <c r="C44" s="8">
        <f>SUM(C40:C43)</f>
        <v>2908</v>
      </c>
      <c r="D44" s="4">
        <f>SUM(D40:D43)</f>
        <v>145506.72999999998</v>
      </c>
    </row>
    <row r="46" spans="2:4" x14ac:dyDescent="0.25">
      <c r="B46" s="28" t="s">
        <v>30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575</v>
      </c>
      <c r="D48" s="25">
        <v>82479.19</v>
      </c>
    </row>
    <row r="49" spans="2:4" x14ac:dyDescent="0.25">
      <c r="B49" s="1" t="s">
        <v>5</v>
      </c>
      <c r="C49" s="6">
        <v>5</v>
      </c>
      <c r="D49" s="25">
        <v>1926</v>
      </c>
    </row>
    <row r="50" spans="2:4" x14ac:dyDescent="0.25">
      <c r="B50" s="1" t="s">
        <v>6</v>
      </c>
      <c r="C50" s="6">
        <v>529</v>
      </c>
      <c r="D50" s="25">
        <v>5011</v>
      </c>
    </row>
    <row r="51" spans="2:4" x14ac:dyDescent="0.25">
      <c r="B51" s="1" t="s">
        <v>7</v>
      </c>
      <c r="C51" s="6">
        <v>2295</v>
      </c>
      <c r="D51" s="25">
        <v>10291.42</v>
      </c>
    </row>
    <row r="52" spans="2:4" x14ac:dyDescent="0.25">
      <c r="B52" s="3" t="s">
        <v>8</v>
      </c>
      <c r="C52" s="8">
        <f>SUM(C48:C51)</f>
        <v>3404</v>
      </c>
      <c r="D52" s="4">
        <f>SUM(D48:D51)</f>
        <v>99707.61</v>
      </c>
    </row>
    <row r="54" spans="2:4" x14ac:dyDescent="0.25">
      <c r="B54" s="27" t="s">
        <v>11</v>
      </c>
      <c r="C54" s="27"/>
      <c r="D54" s="27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1245</v>
      </c>
      <c r="D56" s="25">
        <v>67088</v>
      </c>
    </row>
    <row r="57" spans="2:4" x14ac:dyDescent="0.25">
      <c r="B57" s="10" t="s">
        <v>8</v>
      </c>
      <c r="C57" s="8">
        <f>SUM(C56:C56)</f>
        <v>1245</v>
      </c>
      <c r="D57" s="4">
        <f>SUM(D56:D56)</f>
        <v>67088</v>
      </c>
    </row>
    <row r="59" spans="2:4" x14ac:dyDescent="0.25">
      <c r="B59" s="12" t="s">
        <v>13</v>
      </c>
      <c r="C59" s="13">
        <f>SUMIF(B:B, "Total general", C:C)</f>
        <v>85615</v>
      </c>
      <c r="D59" s="13">
        <f>SUMIF(B:B, "Total general", D:D)</f>
        <v>4335647.3899999997</v>
      </c>
    </row>
  </sheetData>
  <mergeCells count="7">
    <mergeCell ref="B54:D54"/>
    <mergeCell ref="B38:D38"/>
    <mergeCell ref="B12:D12"/>
    <mergeCell ref="B46:D46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3:H20"/>
  <sheetViews>
    <sheetView showGridLines="0" tabSelected="1" zoomScaleNormal="100" workbookViewId="0">
      <selection activeCell="D5" sqref="D5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37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/>
      <c r="D5" s="25"/>
    </row>
    <row r="6" spans="2:8" x14ac:dyDescent="0.25">
      <c r="B6" s="1" t="s">
        <v>5</v>
      </c>
      <c r="C6" s="6"/>
      <c r="D6" s="25"/>
    </row>
    <row r="7" spans="2:8" x14ac:dyDescent="0.25">
      <c r="B7" s="1" t="s">
        <v>6</v>
      </c>
      <c r="C7" s="6"/>
      <c r="D7" s="25"/>
    </row>
    <row r="8" spans="2:8" x14ac:dyDescent="0.25">
      <c r="B8" s="5" t="s">
        <v>12</v>
      </c>
      <c r="C8" s="7"/>
      <c r="D8" s="25"/>
    </row>
    <row r="9" spans="2:8" x14ac:dyDescent="0.25">
      <c r="B9" s="1" t="s">
        <v>7</v>
      </c>
      <c r="C9" s="6"/>
      <c r="D9" s="25"/>
      <c r="E9" s="14"/>
      <c r="F9" s="7"/>
    </row>
    <row r="10" spans="2:8" x14ac:dyDescent="0.25">
      <c r="B10" s="3" t="s">
        <v>8</v>
      </c>
      <c r="C10" s="8">
        <f>SUM(C5:C9)</f>
        <v>0</v>
      </c>
      <c r="D10" s="4">
        <f>SUM(D5:D9)</f>
        <v>0</v>
      </c>
      <c r="E10" s="11" t="s">
        <v>14</v>
      </c>
    </row>
    <row r="12" spans="2:8" x14ac:dyDescent="0.25">
      <c r="B12" s="28" t="s">
        <v>31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6">
        <v>795</v>
      </c>
      <c r="D14" s="25">
        <v>48094.159999999996</v>
      </c>
    </row>
    <row r="15" spans="2:8" x14ac:dyDescent="0.25">
      <c r="B15" s="1" t="s">
        <v>5</v>
      </c>
      <c r="C15" s="6">
        <v>694</v>
      </c>
      <c r="D15" s="25">
        <v>64463.05</v>
      </c>
    </row>
    <row r="16" spans="2:8" x14ac:dyDescent="0.25">
      <c r="B16" s="1" t="s">
        <v>6</v>
      </c>
      <c r="C16" s="6">
        <v>1001</v>
      </c>
      <c r="D16" s="25">
        <v>26424.52</v>
      </c>
    </row>
    <row r="17" spans="2:4" x14ac:dyDescent="0.25">
      <c r="B17" s="1" t="s">
        <v>7</v>
      </c>
      <c r="C17" s="6">
        <v>418</v>
      </c>
      <c r="D17" s="25">
        <v>6525</v>
      </c>
    </row>
    <row r="18" spans="2:4" x14ac:dyDescent="0.25">
      <c r="B18" s="3" t="s">
        <v>8</v>
      </c>
      <c r="C18" s="8">
        <f>SUM(C14:C17)</f>
        <v>2908</v>
      </c>
      <c r="D18" s="4">
        <f>SUM(D14:D17)</f>
        <v>145506.72999999998</v>
      </c>
    </row>
    <row r="20" spans="2:4" x14ac:dyDescent="0.25">
      <c r="B20" s="12" t="s">
        <v>13</v>
      </c>
      <c r="C20" s="13">
        <f>SUMIF(B:B, "Total general", C:C)</f>
        <v>2908</v>
      </c>
      <c r="D20" s="13">
        <f>SUMIF(B:B, "Total general", D:D)</f>
        <v>145506.72999999998</v>
      </c>
    </row>
  </sheetData>
  <mergeCells count="2">
    <mergeCell ref="B3:D3"/>
    <mergeCell ref="B12:D12"/>
  </mergeCells>
  <pageMargins left="0.7" right="0.7" top="0.75" bottom="0.75" header="0.3" footer="0.3"/>
  <pageSetup paperSize="9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11603</v>
      </c>
      <c r="E6" s="16">
        <f>SUMIF('REPORTE DIARIO'!B:B,'EPR 26 JUN'!C6, 'REPORTE DIARIO'!D:D)</f>
        <v>1903505.4299999997</v>
      </c>
      <c r="F6" s="16">
        <f>J6*D6</f>
        <v>729331.42857142852</v>
      </c>
      <c r="G6" s="16">
        <f>+E6-F6</f>
        <v>1174174.0014285711</v>
      </c>
      <c r="H6" s="15">
        <f>ABS(G6/F6)</f>
        <v>1.6099319944685149</v>
      </c>
      <c r="I6" s="16">
        <f>E6/D6</f>
        <v>164.0528682237352</v>
      </c>
      <c r="J6" s="16">
        <f>(220/7)*2</f>
        <v>62.857142857142854</v>
      </c>
      <c r="K6" s="16">
        <f>+I6-J6</f>
        <v>101.19572536659234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6368</v>
      </c>
      <c r="E7" s="16">
        <f>SUMIF('REPORTE DIARIO'!B:B,'EPR 26 JUN'!C7, 'REPORTE DIARIO'!D:D)</f>
        <v>697769.35</v>
      </c>
      <c r="F7" s="16">
        <f>J7*D7</f>
        <v>200137.14285714284</v>
      </c>
      <c r="G7" s="16">
        <f>+E7-F7</f>
        <v>497632.20714285714</v>
      </c>
      <c r="H7" s="15">
        <f>ABS(G7/F7)</f>
        <v>2.4864560372887166</v>
      </c>
      <c r="I7" s="16">
        <f>E7/D7</f>
        <v>109.57433260050252</v>
      </c>
      <c r="J7" s="16">
        <f>(110/7)*2</f>
        <v>31.428571428571427</v>
      </c>
      <c r="K7" s="16">
        <f t="shared" ref="K7:K9" si="0">+I7-J7</f>
        <v>78.145761171931085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13092</v>
      </c>
      <c r="E8" s="16">
        <f>SUMIF('REPORTE DIARIO'!B:B,'EPR 26 JUN'!C8, 'REPORTE DIARIO'!D:D)</f>
        <v>901613.37</v>
      </c>
      <c r="F8" s="16">
        <f>J8*D8</f>
        <v>168325.71428571429</v>
      </c>
      <c r="G8" s="16">
        <f>+E8-F8</f>
        <v>733287.65571428568</v>
      </c>
      <c r="H8" s="15">
        <f>ABS(G8/F8)</f>
        <v>4.3563614675628877</v>
      </c>
      <c r="I8" s="16">
        <f>E8/D8</f>
        <v>68.867504582951426</v>
      </c>
      <c r="J8" s="16">
        <f>(45/7)*2</f>
        <v>12.857142857142858</v>
      </c>
      <c r="K8" s="16">
        <f t="shared" si="0"/>
        <v>56.010361725808565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54540</v>
      </c>
      <c r="E9" s="16">
        <f>SUMIF('REPORTE DIARIO'!B:B,'EPR 26 JUN'!C9, 'REPORTE DIARIO'!D:D)</f>
        <v>832759.24000000011</v>
      </c>
      <c r="F9" s="16">
        <f>J9*D9</f>
        <v>233742.85714285713</v>
      </c>
      <c r="G9" s="16">
        <f>+E9-F9</f>
        <v>599016.38285714295</v>
      </c>
      <c r="H9" s="15">
        <f>ABS(G9/F9)</f>
        <v>2.5627152426353752</v>
      </c>
      <c r="I9" s="16">
        <f>E9/D9</f>
        <v>15.268779611294464</v>
      </c>
      <c r="J9" s="16">
        <f>(15/7)*2</f>
        <v>4.2857142857142856</v>
      </c>
      <c r="K9" s="16">
        <f t="shared" si="0"/>
        <v>10.983065325580178</v>
      </c>
    </row>
    <row r="10" spans="2:12" x14ac:dyDescent="0.25">
      <c r="B10" s="16"/>
      <c r="C10" s="19" t="s">
        <v>17</v>
      </c>
      <c r="D10" s="24">
        <f>SUM(D6:D9)</f>
        <v>85603</v>
      </c>
      <c r="E10" s="20">
        <f>SUM(E6:E9)</f>
        <v>4335647.3899999997</v>
      </c>
      <c r="F10" s="20">
        <f>SUM(F6:F9)</f>
        <v>1331537.1428571427</v>
      </c>
      <c r="G10" s="20">
        <f>+E10-F10</f>
        <v>3004110.2471428569</v>
      </c>
      <c r="H10" s="21">
        <f>ABS(G10/F10)</f>
        <v>2.2561220039996739</v>
      </c>
      <c r="I10" s="20">
        <f>E10/D10</f>
        <v>50.648311274137583</v>
      </c>
      <c r="J10" s="20">
        <f>F10/D10</f>
        <v>15.554795309243167</v>
      </c>
      <c r="K10" s="20">
        <f>I10-J10</f>
        <v>35.093515964894415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CDC-OLGUIN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2025-08-02T22:21:06Z</cp:lastPrinted>
  <dcterms:created xsi:type="dcterms:W3CDTF">2025-01-27T15:11:28Z</dcterms:created>
  <dcterms:modified xsi:type="dcterms:W3CDTF">2025-08-04T16:17:20Z</dcterms:modified>
</cp:coreProperties>
</file>