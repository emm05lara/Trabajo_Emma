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32\05 AGO\TARDE2\"/>
    </mc:Choice>
  </mc:AlternateContent>
  <xr:revisionPtr revIDLastSave="0" documentId="13_ncr:1_{C0898AD2-44B4-481A-BBB2-898A3798BD64}" xr6:coauthVersionLast="47" xr6:coauthVersionMax="47" xr10:uidLastSave="{00000000-0000-0000-0000-000000000000}"/>
  <bookViews>
    <workbookView xWindow="-108" yWindow="-108" windowWidth="23256" windowHeight="12456" activeTab="2" xr2:uid="{34B3592D-F301-4B76-BE6E-48751C75AF57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D6" i="2"/>
  <c r="D8" i="1"/>
</calcChain>
</file>

<file path=xl/sharedStrings.xml><?xml version="1.0" encoding="utf-8"?>
<sst xmlns="http://schemas.openxmlformats.org/spreadsheetml/2006/main" count="107" uniqueCount="19">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</sst>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FC475-23ED-459F-9387-D9666DD23BA5}">
  <dimension ref="B2:D50"/>
  <sheetViews>
    <sheetView topLeftCell="A35" workbookViewId="0">
      <selection activeCell="B2" sqref="B2:D50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6</v>
      </c>
      <c r="C2" s="6"/>
    </row>
    <row r="3" spans="2:4" x14ac:dyDescent="0.3">
      <c r="B3" s="1" t="s">
        <v>14</v>
      </c>
      <c r="C3" s="1" t="s">
        <v>0</v>
      </c>
    </row>
    <row r="4" spans="2:4" x14ac:dyDescent="0.3">
      <c r="B4" s="2" t="s">
        <v>1</v>
      </c>
      <c r="C4" s="3">
        <v>94371.839999999997</v>
      </c>
    </row>
    <row r="5" spans="2:4" x14ac:dyDescent="0.3">
      <c r="B5" s="2" t="s">
        <v>2</v>
      </c>
      <c r="C5" s="3">
        <v>14765</v>
      </c>
    </row>
    <row r="6" spans="2:4" x14ac:dyDescent="0.3">
      <c r="B6" s="2" t="s">
        <v>3</v>
      </c>
      <c r="C6" s="3">
        <v>12086</v>
      </c>
    </row>
    <row r="7" spans="2:4" ht="15" thickBot="1" x14ac:dyDescent="0.35">
      <c r="B7" s="2" t="s">
        <v>4</v>
      </c>
      <c r="C7" s="3">
        <v>81646</v>
      </c>
      <c r="D7" s="1" t="s">
        <v>13</v>
      </c>
    </row>
    <row r="8" spans="2:4" ht="15" thickTop="1" x14ac:dyDescent="0.3">
      <c r="B8" s="4" t="s">
        <v>5</v>
      </c>
      <c r="C8" s="5">
        <v>202868.84</v>
      </c>
      <c r="D8" s="5">
        <f>SUMIF(B:B, "Total general", C:C)</f>
        <v>278544.36000000004</v>
      </c>
    </row>
    <row r="10" spans="2:4" x14ac:dyDescent="0.3">
      <c r="B10" s="6" t="s">
        <v>7</v>
      </c>
      <c r="C10" s="6"/>
    </row>
    <row r="11" spans="2:4" x14ac:dyDescent="0.3">
      <c r="B11" s="1" t="s">
        <v>14</v>
      </c>
      <c r="C11" s="1" t="s">
        <v>0</v>
      </c>
    </row>
    <row r="12" spans="2:4" x14ac:dyDescent="0.3">
      <c r="B12" s="2" t="s">
        <v>1</v>
      </c>
      <c r="C12" s="3">
        <v>10718.92</v>
      </c>
    </row>
    <row r="13" spans="2:4" x14ac:dyDescent="0.3">
      <c r="B13" s="2" t="s">
        <v>2</v>
      </c>
      <c r="C13" s="3">
        <v>1100</v>
      </c>
    </row>
    <row r="14" spans="2:4" x14ac:dyDescent="0.3">
      <c r="B14" s="2" t="s">
        <v>3</v>
      </c>
      <c r="C14" s="3">
        <v>6018</v>
      </c>
    </row>
    <row r="15" spans="2:4" ht="15" thickBot="1" x14ac:dyDescent="0.35">
      <c r="B15" s="2" t="s">
        <v>4</v>
      </c>
      <c r="C15" s="3">
        <v>2432</v>
      </c>
    </row>
    <row r="16" spans="2:4" ht="15" thickTop="1" x14ac:dyDescent="0.3">
      <c r="B16" s="4" t="s">
        <v>5</v>
      </c>
      <c r="C16" s="5">
        <v>20268.919999999998</v>
      </c>
    </row>
    <row r="18" spans="2:3" x14ac:dyDescent="0.3">
      <c r="B18" s="6" t="s">
        <v>11</v>
      </c>
      <c r="C18" s="6"/>
    </row>
    <row r="19" spans="2:3" x14ac:dyDescent="0.3">
      <c r="B19" s="1" t="s">
        <v>14</v>
      </c>
      <c r="C19" s="1" t="s">
        <v>0</v>
      </c>
    </row>
    <row r="20" spans="2:3" x14ac:dyDescent="0.3">
      <c r="B20" s="2" t="s">
        <v>1</v>
      </c>
      <c r="C20" s="3">
        <v>17991.48</v>
      </c>
    </row>
    <row r="21" spans="2:3" x14ac:dyDescent="0.3">
      <c r="B21" s="2" t="s">
        <v>3</v>
      </c>
      <c r="C21" s="3">
        <v>880</v>
      </c>
    </row>
    <row r="22" spans="2:3" ht="15" thickBot="1" x14ac:dyDescent="0.35">
      <c r="B22" s="2" t="s">
        <v>4</v>
      </c>
      <c r="C22" s="3">
        <v>300</v>
      </c>
    </row>
    <row r="23" spans="2:3" ht="15" thickTop="1" x14ac:dyDescent="0.3">
      <c r="B23" s="4" t="s">
        <v>5</v>
      </c>
      <c r="C23" s="5">
        <v>19171.48</v>
      </c>
    </row>
    <row r="25" spans="2:3" x14ac:dyDescent="0.3">
      <c r="B25" s="6" t="s">
        <v>8</v>
      </c>
      <c r="C25" s="6"/>
    </row>
    <row r="26" spans="2:3" x14ac:dyDescent="0.3">
      <c r="B26" s="1" t="s">
        <v>14</v>
      </c>
      <c r="C26" s="1" t="s">
        <v>0</v>
      </c>
    </row>
    <row r="27" spans="2:3" x14ac:dyDescent="0.3">
      <c r="B27" s="2" t="s">
        <v>1</v>
      </c>
      <c r="C27" s="3">
        <v>10528.32</v>
      </c>
    </row>
    <row r="28" spans="2:3" x14ac:dyDescent="0.3">
      <c r="B28" s="2" t="s">
        <v>2</v>
      </c>
      <c r="C28" s="3">
        <v>191</v>
      </c>
    </row>
    <row r="29" spans="2:3" x14ac:dyDescent="0.3">
      <c r="B29" s="2" t="s">
        <v>3</v>
      </c>
      <c r="C29" s="3">
        <v>3098</v>
      </c>
    </row>
    <row r="30" spans="2:3" ht="15" thickBot="1" x14ac:dyDescent="0.35">
      <c r="B30" s="2" t="s">
        <v>4</v>
      </c>
      <c r="C30" s="3">
        <v>3240</v>
      </c>
    </row>
    <row r="31" spans="2:3" ht="15" thickTop="1" x14ac:dyDescent="0.3">
      <c r="B31" s="4" t="s">
        <v>5</v>
      </c>
      <c r="C31" s="5">
        <v>17057.32</v>
      </c>
    </row>
    <row r="33" spans="2:3" x14ac:dyDescent="0.3">
      <c r="B33" s="6" t="s">
        <v>12</v>
      </c>
      <c r="C33" s="6"/>
    </row>
    <row r="34" spans="2:3" x14ac:dyDescent="0.3">
      <c r="B34" s="1" t="s">
        <v>14</v>
      </c>
      <c r="C34" s="1" t="s">
        <v>0</v>
      </c>
    </row>
    <row r="35" spans="2:3" x14ac:dyDescent="0.3">
      <c r="B35" s="2" t="s">
        <v>1</v>
      </c>
      <c r="C35" s="3">
        <v>10027.32</v>
      </c>
    </row>
    <row r="36" spans="2:3" x14ac:dyDescent="0.3">
      <c r="B36" s="2" t="s">
        <v>2</v>
      </c>
      <c r="C36" s="3">
        <v>903</v>
      </c>
    </row>
    <row r="37" spans="2:3" x14ac:dyDescent="0.3">
      <c r="B37" s="2" t="s">
        <v>3</v>
      </c>
      <c r="C37" s="3">
        <v>2006.48</v>
      </c>
    </row>
    <row r="38" spans="2:3" ht="15" thickBot="1" x14ac:dyDescent="0.35">
      <c r="B38" s="2" t="s">
        <v>4</v>
      </c>
      <c r="C38" s="3">
        <v>1200</v>
      </c>
    </row>
    <row r="39" spans="2:3" ht="15" thickTop="1" x14ac:dyDescent="0.3">
      <c r="B39" s="4" t="s">
        <v>5</v>
      </c>
      <c r="C39" s="5">
        <v>14136.8</v>
      </c>
    </row>
    <row r="41" spans="2:3" x14ac:dyDescent="0.3">
      <c r="B41" s="6" t="s">
        <v>9</v>
      </c>
      <c r="C41" s="6"/>
    </row>
    <row r="42" spans="2:3" x14ac:dyDescent="0.3">
      <c r="B42" s="1" t="s">
        <v>14</v>
      </c>
      <c r="C42" s="1" t="s">
        <v>0</v>
      </c>
    </row>
    <row r="43" spans="2:3" x14ac:dyDescent="0.3">
      <c r="B43" s="2" t="s">
        <v>1</v>
      </c>
      <c r="C43" s="3">
        <v>2395</v>
      </c>
    </row>
    <row r="44" spans="2:3" ht="15" thickBot="1" x14ac:dyDescent="0.35">
      <c r="B44" s="2" t="s">
        <v>4</v>
      </c>
      <c r="C44" s="3">
        <v>907</v>
      </c>
    </row>
    <row r="45" spans="2:3" ht="15" thickTop="1" x14ac:dyDescent="0.3">
      <c r="B45" s="4" t="s">
        <v>5</v>
      </c>
      <c r="C45" s="5">
        <v>3302</v>
      </c>
    </row>
    <row r="47" spans="2:3" x14ac:dyDescent="0.3">
      <c r="B47" s="6" t="s">
        <v>10</v>
      </c>
      <c r="C47" s="6"/>
    </row>
    <row r="48" spans="2:3" x14ac:dyDescent="0.3">
      <c r="B48" s="1" t="s">
        <v>14</v>
      </c>
      <c r="C48" s="1" t="s">
        <v>0</v>
      </c>
    </row>
    <row r="49" spans="2:3" ht="15" thickBot="1" x14ac:dyDescent="0.35">
      <c r="B49" s="2" t="s">
        <v>1</v>
      </c>
      <c r="C49" s="3">
        <v>1739</v>
      </c>
    </row>
    <row r="50" spans="2:3" ht="15" thickTop="1" x14ac:dyDescent="0.3">
      <c r="B50" s="4" t="s">
        <v>5</v>
      </c>
      <c r="C50" s="5">
        <v>1739</v>
      </c>
    </row>
  </sheetData>
  <mergeCells count="7">
    <mergeCell ref="B33:C33"/>
    <mergeCell ref="B2:C2"/>
    <mergeCell ref="B10:C10"/>
    <mergeCell ref="B25:C25"/>
    <mergeCell ref="B41:C41"/>
    <mergeCell ref="B47:C47"/>
    <mergeCell ref="B18:C18"/>
  </mergeCells>
  <pageMargins left="0.7" right="0.7" top="0.75" bottom="0.75" header="0.3" footer="0.3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C6B13-C925-45B7-97C3-5F285A8047F4}">
  <dimension ref="B2:D39"/>
  <sheetViews>
    <sheetView topLeftCell="A39" workbookViewId="0">
      <selection activeCell="B2" sqref="B2:D39"/>
    </sheetView>
  </sheetViews>
  <sheetFormatPr baseColWidth="10" defaultRowHeight="14.4" x14ac:dyDescent="0.3"/>
  <cols>
    <col min="2" max="2" width="18.55468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6</v>
      </c>
      <c r="C2" s="6"/>
    </row>
    <row r="3" spans="2:4" x14ac:dyDescent="0.3">
      <c r="B3" s="1" t="s">
        <v>17</v>
      </c>
      <c r="C3" s="1" t="s">
        <v>0</v>
      </c>
    </row>
    <row r="4" spans="2:4" x14ac:dyDescent="0.3">
      <c r="B4" s="2" t="s">
        <v>15</v>
      </c>
      <c r="C4" s="7">
        <v>129741</v>
      </c>
      <c r="D4" s="7"/>
    </row>
    <row r="5" spans="2:4" ht="15" thickBot="1" x14ac:dyDescent="0.35">
      <c r="B5" s="2" t="s">
        <v>16</v>
      </c>
      <c r="C5" s="3">
        <v>73127.839999999997</v>
      </c>
      <c r="D5" s="1" t="s">
        <v>13</v>
      </c>
    </row>
    <row r="6" spans="2:4" ht="15" thickTop="1" x14ac:dyDescent="0.3">
      <c r="B6" s="4" t="s">
        <v>5</v>
      </c>
      <c r="C6" s="5">
        <v>202868.84</v>
      </c>
      <c r="D6" s="5">
        <f>SUMIF(B:B, "Total general", C:C)</f>
        <v>278544.36000000004</v>
      </c>
    </row>
    <row r="8" spans="2:4" x14ac:dyDescent="0.3">
      <c r="B8" s="6" t="s">
        <v>7</v>
      </c>
      <c r="C8" s="6"/>
    </row>
    <row r="9" spans="2:4" x14ac:dyDescent="0.3">
      <c r="B9" s="1" t="s">
        <v>17</v>
      </c>
      <c r="C9" s="1" t="s">
        <v>0</v>
      </c>
    </row>
    <row r="10" spans="2:4" x14ac:dyDescent="0.3">
      <c r="B10" s="2" t="s">
        <v>15</v>
      </c>
      <c r="C10" s="7">
        <v>8887</v>
      </c>
      <c r="D10" s="7"/>
    </row>
    <row r="11" spans="2:4" ht="15" thickBot="1" x14ac:dyDescent="0.35">
      <c r="B11" s="2" t="s">
        <v>16</v>
      </c>
      <c r="C11" s="3">
        <v>11381.92</v>
      </c>
    </row>
    <row r="12" spans="2:4" ht="15" thickTop="1" x14ac:dyDescent="0.3">
      <c r="B12" s="4" t="s">
        <v>5</v>
      </c>
      <c r="C12" s="5">
        <v>20268.919999999998</v>
      </c>
    </row>
    <row r="14" spans="2:4" x14ac:dyDescent="0.3">
      <c r="B14" s="6" t="s">
        <v>11</v>
      </c>
      <c r="C14" s="6"/>
    </row>
    <row r="15" spans="2:4" x14ac:dyDescent="0.3">
      <c r="B15" s="1" t="s">
        <v>17</v>
      </c>
      <c r="C15" s="1" t="s">
        <v>0</v>
      </c>
    </row>
    <row r="16" spans="2:4" x14ac:dyDescent="0.3">
      <c r="B16" s="2" t="s">
        <v>15</v>
      </c>
      <c r="C16" s="7">
        <v>18291.48</v>
      </c>
      <c r="D16" s="7"/>
    </row>
    <row r="17" spans="2:3" ht="15" thickBot="1" x14ac:dyDescent="0.35">
      <c r="B17" s="2" t="s">
        <v>16</v>
      </c>
      <c r="C17" s="3">
        <v>880</v>
      </c>
    </row>
    <row r="18" spans="2:3" ht="15" thickTop="1" x14ac:dyDescent="0.3">
      <c r="B18" s="4" t="s">
        <v>5</v>
      </c>
      <c r="C18" s="5">
        <v>19171.48</v>
      </c>
    </row>
    <row r="20" spans="2:3" x14ac:dyDescent="0.3">
      <c r="B20" s="6" t="s">
        <v>8</v>
      </c>
      <c r="C20" s="6"/>
    </row>
    <row r="21" spans="2:3" x14ac:dyDescent="0.3">
      <c r="B21" s="1" t="s">
        <v>17</v>
      </c>
      <c r="C21" s="1" t="s">
        <v>0</v>
      </c>
    </row>
    <row r="22" spans="2:3" ht="15" thickBot="1" x14ac:dyDescent="0.35">
      <c r="B22" s="2" t="s">
        <v>16</v>
      </c>
      <c r="C22" s="3">
        <v>17057.32</v>
      </c>
    </row>
    <row r="23" spans="2:3" ht="15" thickTop="1" x14ac:dyDescent="0.3">
      <c r="B23" s="4" t="s">
        <v>5</v>
      </c>
      <c r="C23" s="5">
        <v>17057.32</v>
      </c>
    </row>
    <row r="25" spans="2:3" x14ac:dyDescent="0.3">
      <c r="B25" s="6" t="s">
        <v>12</v>
      </c>
      <c r="C25" s="6"/>
    </row>
    <row r="26" spans="2:3" x14ac:dyDescent="0.3">
      <c r="B26" s="1" t="s">
        <v>17</v>
      </c>
      <c r="C26" s="1" t="s">
        <v>0</v>
      </c>
    </row>
    <row r="27" spans="2:3" ht="15" thickBot="1" x14ac:dyDescent="0.35">
      <c r="B27" s="2" t="s">
        <v>16</v>
      </c>
      <c r="C27" s="3">
        <v>14136.8</v>
      </c>
    </row>
    <row r="28" spans="2:3" ht="15" thickTop="1" x14ac:dyDescent="0.3">
      <c r="B28" s="4" t="s">
        <v>5</v>
      </c>
      <c r="C28" s="5">
        <v>14136.8</v>
      </c>
    </row>
    <row r="30" spans="2:3" x14ac:dyDescent="0.3">
      <c r="B30" s="6" t="s">
        <v>9</v>
      </c>
      <c r="C30" s="6"/>
    </row>
    <row r="31" spans="2:3" x14ac:dyDescent="0.3">
      <c r="B31" s="1" t="s">
        <v>17</v>
      </c>
      <c r="C31" s="1" t="s">
        <v>0</v>
      </c>
    </row>
    <row r="32" spans="2:3" x14ac:dyDescent="0.3">
      <c r="B32" s="2" t="s">
        <v>15</v>
      </c>
      <c r="C32" s="3">
        <v>1100</v>
      </c>
    </row>
    <row r="33" spans="2:3" ht="15" thickBot="1" x14ac:dyDescent="0.35">
      <c r="B33" s="2" t="s">
        <v>16</v>
      </c>
      <c r="C33" s="3">
        <v>2202</v>
      </c>
    </row>
    <row r="34" spans="2:3" ht="15" thickTop="1" x14ac:dyDescent="0.3">
      <c r="B34" s="4" t="s">
        <v>5</v>
      </c>
      <c r="C34" s="5">
        <v>3302</v>
      </c>
    </row>
    <row r="36" spans="2:3" x14ac:dyDescent="0.3">
      <c r="B36" s="6" t="s">
        <v>10</v>
      </c>
      <c r="C36" s="6"/>
    </row>
    <row r="37" spans="2:3" x14ac:dyDescent="0.3">
      <c r="B37" s="1" t="s">
        <v>17</v>
      </c>
      <c r="C37" s="1" t="s">
        <v>0</v>
      </c>
    </row>
    <row r="38" spans="2:3" ht="15" thickBot="1" x14ac:dyDescent="0.35">
      <c r="B38" s="2" t="s">
        <v>15</v>
      </c>
      <c r="C38" s="3">
        <v>1739</v>
      </c>
    </row>
    <row r="39" spans="2:3" ht="15" thickTop="1" x14ac:dyDescent="0.3">
      <c r="B39" s="4" t="s">
        <v>5</v>
      </c>
      <c r="C39" s="5">
        <v>1739</v>
      </c>
    </row>
  </sheetData>
  <mergeCells count="7">
    <mergeCell ref="B36:C36"/>
    <mergeCell ref="B2:C2"/>
    <mergeCell ref="B8:C8"/>
    <mergeCell ref="B14:C14"/>
    <mergeCell ref="B20:C20"/>
    <mergeCell ref="B25:C25"/>
    <mergeCell ref="B30:C3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7D90C-67F5-440B-BC52-F0C195050DDF}">
  <dimension ref="B2:D15"/>
  <sheetViews>
    <sheetView tabSelected="1" workbookViewId="0">
      <selection activeCell="B2" sqref="B2:D1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18</v>
      </c>
      <c r="C2" s="6"/>
    </row>
    <row r="3" spans="2:4" x14ac:dyDescent="0.3">
      <c r="B3" s="1" t="s">
        <v>14</v>
      </c>
      <c r="C3" s="1" t="s">
        <v>0</v>
      </c>
    </row>
    <row r="4" spans="2:4" x14ac:dyDescent="0.3">
      <c r="B4" s="2" t="s">
        <v>1</v>
      </c>
      <c r="C4" s="3">
        <v>31275.07</v>
      </c>
    </row>
    <row r="5" spans="2:4" x14ac:dyDescent="0.3">
      <c r="B5" s="2" t="s">
        <v>2</v>
      </c>
      <c r="C5" s="3">
        <v>2039</v>
      </c>
    </row>
    <row r="6" spans="2:4" x14ac:dyDescent="0.3">
      <c r="B6" s="2" t="s">
        <v>3</v>
      </c>
      <c r="C6" s="3">
        <v>2070</v>
      </c>
    </row>
    <row r="7" spans="2:4" ht="15" thickBot="1" x14ac:dyDescent="0.35">
      <c r="B7" s="2" t="s">
        <v>4</v>
      </c>
      <c r="C7" s="3">
        <v>100</v>
      </c>
      <c r="D7" s="1" t="s">
        <v>13</v>
      </c>
    </row>
    <row r="8" spans="2:4" ht="15" thickTop="1" x14ac:dyDescent="0.3">
      <c r="B8" s="4" t="s">
        <v>5</v>
      </c>
      <c r="C8" s="5">
        <v>35484.07</v>
      </c>
      <c r="D8" s="5">
        <f>SUMIF(B:B, "Total general", C:C)</f>
        <v>54655.55</v>
      </c>
    </row>
    <row r="10" spans="2:4" x14ac:dyDescent="0.3">
      <c r="B10" s="6" t="s">
        <v>11</v>
      </c>
      <c r="C10" s="6"/>
    </row>
    <row r="11" spans="2:4" x14ac:dyDescent="0.3">
      <c r="B11" s="1" t="s">
        <v>14</v>
      </c>
      <c r="C11" s="1" t="s">
        <v>0</v>
      </c>
    </row>
    <row r="12" spans="2:4" x14ac:dyDescent="0.3">
      <c r="B12" s="2" t="s">
        <v>1</v>
      </c>
      <c r="C12" s="3">
        <v>17991.48</v>
      </c>
    </row>
    <row r="13" spans="2:4" x14ac:dyDescent="0.3">
      <c r="B13" s="2" t="s">
        <v>3</v>
      </c>
      <c r="C13" s="3">
        <v>880</v>
      </c>
    </row>
    <row r="14" spans="2:4" ht="15" thickBot="1" x14ac:dyDescent="0.35">
      <c r="B14" s="2" t="s">
        <v>4</v>
      </c>
      <c r="C14" s="3">
        <v>300</v>
      </c>
    </row>
    <row r="15" spans="2:4" ht="15" thickTop="1" x14ac:dyDescent="0.3">
      <c r="B15" s="4" t="s">
        <v>5</v>
      </c>
      <c r="C15" s="5">
        <v>19171.48</v>
      </c>
    </row>
  </sheetData>
  <mergeCells count="2">
    <mergeCell ref="B2:C2"/>
    <mergeCell ref="B10:C10"/>
  </mergeCells>
  <pageMargins left="0.7" right="0.7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2025-08-05T22:41:09Z</cp:lastPrinted>
  <dcterms:created xsi:type="dcterms:W3CDTF">2025-08-05T22:35:04Z</dcterms:created>
  <dcterms:modified xsi:type="dcterms:W3CDTF">2025-08-05T22:41:11Z</dcterms:modified>
</cp:coreProperties>
</file>