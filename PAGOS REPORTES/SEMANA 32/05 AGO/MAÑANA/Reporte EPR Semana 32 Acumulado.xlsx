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5 AGO\MAÑANA\"/>
    </mc:Choice>
  </mc:AlternateContent>
  <xr:revisionPtr revIDLastSave="0" documentId="13_ncr:1_{0E252B1F-FCC6-4AFF-84B2-D350F01A0F33}" xr6:coauthVersionLast="47" xr6:coauthVersionMax="47" xr10:uidLastSave="{00000000-0000-0000-0000-000000000000}"/>
  <bookViews>
    <workbookView xWindow="19260" yWindow="5865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1" l="1"/>
  <c r="C63" i="1"/>
  <c r="D10" i="5"/>
  <c r="D18" i="5"/>
  <c r="D20" i="5"/>
  <c r="C18" i="5"/>
  <c r="C10" i="5"/>
  <c r="J9" i="3"/>
  <c r="J8" i="3"/>
  <c r="J7" i="3"/>
  <c r="J6" i="3"/>
  <c r="C57" i="1"/>
  <c r="C20" i="5" l="1"/>
  <c r="C28" i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5" i="1" l="1"/>
  <c r="D65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<sst xmlns="http://schemas.openxmlformats.org/spreadsheetml/2006/main" count="117" uniqueCount="39">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</sst>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1" xfId="0" applyNumberFormat="1" applyFon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5"/>
  <sheetViews>
    <sheetView showGridLines="0" zoomScaleNormal="100" workbookViewId="0">
      <selection activeCell="C40" sqref="C40: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4706</v>
      </c>
      <c r="D5" s="25">
        <v>204913.79</v>
      </c>
    </row>
    <row r="6" spans="2:8" x14ac:dyDescent="0.25">
      <c r="B6" s="1" t="s">
        <v>5</v>
      </c>
      <c r="C6" s="6">
        <v>3920</v>
      </c>
      <c r="D6" s="25">
        <v>60121.490000000005</v>
      </c>
    </row>
    <row r="7" spans="2:8" x14ac:dyDescent="0.25">
      <c r="B7" s="1" t="s">
        <v>6</v>
      </c>
      <c r="C7" s="6">
        <v>6721</v>
      </c>
      <c r="D7" s="25">
        <v>50746.74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21315</v>
      </c>
      <c r="D9" s="25">
        <v>141383.1</v>
      </c>
      <c r="E9" s="14"/>
      <c r="F9" s="7"/>
    </row>
    <row r="10" spans="2:8" x14ac:dyDescent="0.25">
      <c r="B10" s="3" t="s">
        <v>8</v>
      </c>
      <c r="C10" s="8">
        <f>SUM(C5:C9)</f>
        <v>36673</v>
      </c>
      <c r="D10" s="4">
        <f>SUM(D5:D9)</f>
        <v>457165.12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2112</v>
      </c>
      <c r="D14" s="25">
        <v>43730.63</v>
      </c>
    </row>
    <row r="15" spans="2:8" x14ac:dyDescent="0.25">
      <c r="B15" s="9" t="s">
        <v>5</v>
      </c>
      <c r="C15" s="6">
        <v>350</v>
      </c>
      <c r="D15" s="25">
        <v>12209.66</v>
      </c>
    </row>
    <row r="16" spans="2:8" x14ac:dyDescent="0.25">
      <c r="B16" s="9" t="s">
        <v>6</v>
      </c>
      <c r="C16" s="6">
        <v>1259</v>
      </c>
      <c r="D16" s="25">
        <v>10263</v>
      </c>
    </row>
    <row r="17" spans="2:4" x14ac:dyDescent="0.25">
      <c r="B17" s="5" t="s">
        <v>12</v>
      </c>
      <c r="C17" s="7">
        <v>1</v>
      </c>
      <c r="D17" s="25">
        <v>44</v>
      </c>
    </row>
    <row r="18" spans="2:4" x14ac:dyDescent="0.25">
      <c r="B18" s="9" t="s">
        <v>7</v>
      </c>
      <c r="C18" s="6">
        <v>12069</v>
      </c>
      <c r="D18" s="25">
        <v>24619</v>
      </c>
    </row>
    <row r="19" spans="2:4" x14ac:dyDescent="0.25">
      <c r="B19" s="10" t="s">
        <v>8</v>
      </c>
      <c r="C19" s="8">
        <f>SUM(C14:C18)</f>
        <v>15791</v>
      </c>
      <c r="D19" s="4">
        <f>SUM(D14:D18)</f>
        <v>90866.29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1913</v>
      </c>
      <c r="D23" s="25">
        <v>19124.13</v>
      </c>
    </row>
    <row r="24" spans="2:4" x14ac:dyDescent="0.25">
      <c r="B24" s="1" t="s">
        <v>5</v>
      </c>
      <c r="C24" s="6">
        <v>1306</v>
      </c>
      <c r="D24" s="25">
        <v>6424</v>
      </c>
    </row>
    <row r="25" spans="2:4" x14ac:dyDescent="0.25">
      <c r="B25" s="1" t="s">
        <v>6</v>
      </c>
      <c r="C25" s="6">
        <v>3520</v>
      </c>
      <c r="D25" s="25">
        <v>27476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18125</v>
      </c>
      <c r="D27" s="25">
        <v>21146.85</v>
      </c>
    </row>
    <row r="28" spans="2:4" x14ac:dyDescent="0.25">
      <c r="B28" s="3" t="s">
        <v>8</v>
      </c>
      <c r="C28" s="8">
        <f>SUM(C23:C27)</f>
        <v>24864</v>
      </c>
      <c r="D28" s="4">
        <f>SUM(D23:D27)</f>
        <v>74170.98000000001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495</v>
      </c>
      <c r="D32" s="25">
        <v>10773</v>
      </c>
    </row>
    <row r="33" spans="2:4" x14ac:dyDescent="0.25">
      <c r="B33" s="9" t="s">
        <v>5</v>
      </c>
      <c r="C33" s="6">
        <v>332</v>
      </c>
      <c r="D33" s="25">
        <v>19971</v>
      </c>
    </row>
    <row r="34" spans="2:4" x14ac:dyDescent="0.25">
      <c r="B34" s="9" t="s">
        <v>6</v>
      </c>
      <c r="C34" s="6">
        <v>268</v>
      </c>
      <c r="D34" s="25">
        <v>8259.9599999999991</v>
      </c>
    </row>
    <row r="35" spans="2:4" x14ac:dyDescent="0.25">
      <c r="B35" s="9" t="s">
        <v>7</v>
      </c>
      <c r="C35" s="6">
        <v>598</v>
      </c>
      <c r="D35" s="25">
        <v>3027</v>
      </c>
    </row>
    <row r="36" spans="2:4" x14ac:dyDescent="0.25">
      <c r="B36" s="10" t="s">
        <v>8</v>
      </c>
      <c r="C36" s="8">
        <f>SUM(C32:C35)</f>
        <v>1693</v>
      </c>
      <c r="D36" s="4">
        <f>SUM(D32:D35)</f>
        <v>42030.96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975</v>
      </c>
      <c r="D40" s="25">
        <v>16432.48</v>
      </c>
    </row>
    <row r="41" spans="2:4" x14ac:dyDescent="0.25">
      <c r="B41" s="1" t="s">
        <v>5</v>
      </c>
      <c r="C41" s="6">
        <v>694</v>
      </c>
      <c r="D41" s="25">
        <v>2476</v>
      </c>
    </row>
    <row r="42" spans="2:4" x14ac:dyDescent="0.25">
      <c r="B42" s="1" t="s">
        <v>6</v>
      </c>
      <c r="C42" s="6">
        <v>1001</v>
      </c>
      <c r="D42" s="25">
        <v>1610</v>
      </c>
    </row>
    <row r="43" spans="2:4" x14ac:dyDescent="0.25">
      <c r="B43" s="1" t="s">
        <v>7</v>
      </c>
      <c r="C43" s="6">
        <v>418</v>
      </c>
      <c r="D43" s="25">
        <v>2432</v>
      </c>
    </row>
    <row r="44" spans="2:4" x14ac:dyDescent="0.25">
      <c r="B44" s="3" t="s">
        <v>8</v>
      </c>
      <c r="C44" s="8">
        <f>SUM(C40:C43)</f>
        <v>3088</v>
      </c>
      <c r="D44" s="4">
        <f>SUM(D40:D43)</f>
        <v>22950.48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1241</v>
      </c>
      <c r="D48" s="25">
        <v>10683.99</v>
      </c>
    </row>
    <row r="49" spans="2:4" x14ac:dyDescent="0.25">
      <c r="B49" s="10" t="s">
        <v>8</v>
      </c>
      <c r="C49" s="8">
        <f>SUM(C48:C48)</f>
        <v>1241</v>
      </c>
      <c r="D49" s="4">
        <f>SUM(D48:D48)</f>
        <v>10683.99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575</v>
      </c>
      <c r="D53" s="25">
        <v>8365</v>
      </c>
    </row>
    <row r="54" spans="2:4" x14ac:dyDescent="0.25">
      <c r="B54" s="1" t="s">
        <v>5</v>
      </c>
      <c r="C54" s="6">
        <v>5</v>
      </c>
      <c r="D54" s="27">
        <v>0</v>
      </c>
    </row>
    <row r="55" spans="2:4" x14ac:dyDescent="0.25">
      <c r="B55" s="1" t="s">
        <v>6</v>
      </c>
      <c r="C55" s="6">
        <v>529</v>
      </c>
      <c r="D55" s="27">
        <v>0</v>
      </c>
    </row>
    <row r="56" spans="2:4" x14ac:dyDescent="0.25">
      <c r="B56" s="1" t="s">
        <v>7</v>
      </c>
      <c r="C56" s="6">
        <v>2295</v>
      </c>
      <c r="D56" s="25">
        <v>1816</v>
      </c>
    </row>
    <row r="57" spans="2:4" x14ac:dyDescent="0.25">
      <c r="B57" s="3" t="s">
        <v>8</v>
      </c>
      <c r="C57" s="8">
        <f>SUM(C53:C56)</f>
        <v>3404</v>
      </c>
      <c r="D57" s="4">
        <f>SUM(D53:D56)</f>
        <v>10181</v>
      </c>
    </row>
    <row r="59" spans="2:4" x14ac:dyDescent="0.25">
      <c r="B59" s="28" t="s">
        <v>38</v>
      </c>
      <c r="C59" s="28"/>
      <c r="D59" s="28"/>
    </row>
    <row r="60" spans="2:4" x14ac:dyDescent="0.25">
      <c r="B60" s="2" t="s">
        <v>1</v>
      </c>
      <c r="C60" s="2" t="s">
        <v>2</v>
      </c>
      <c r="D60" s="2" t="s">
        <v>3</v>
      </c>
    </row>
    <row r="61" spans="2:4" x14ac:dyDescent="0.25">
      <c r="B61" s="9" t="s">
        <v>4</v>
      </c>
      <c r="C61" s="6">
        <v>1016</v>
      </c>
      <c r="D61" s="25">
        <v>3000</v>
      </c>
    </row>
    <row r="62" spans="2:4" x14ac:dyDescent="0.25">
      <c r="B62" s="1" t="s">
        <v>5</v>
      </c>
      <c r="C62" s="6">
        <v>1076</v>
      </c>
      <c r="D62" s="26">
        <v>0</v>
      </c>
    </row>
    <row r="63" spans="2:4" x14ac:dyDescent="0.25">
      <c r="B63" s="3" t="s">
        <v>8</v>
      </c>
      <c r="C63" s="8">
        <f>SUM(C61:C62)</f>
        <v>2092</v>
      </c>
      <c r="D63" s="4">
        <f>SUM(D61:D62)</f>
        <v>3000</v>
      </c>
    </row>
    <row r="65" spans="2:4" x14ac:dyDescent="0.25">
      <c r="B65" s="12" t="s">
        <v>13</v>
      </c>
      <c r="C65" s="13">
        <f>SUMIF(B:B, "Total general", C:C)</f>
        <v>88846</v>
      </c>
      <c r="D65" s="13">
        <f>SUMIF(B:B, "Total general", D:D)</f>
        <v>711048.82</v>
      </c>
    </row>
  </sheetData>
  <mergeCells count="8">
    <mergeCell ref="B3:D3"/>
    <mergeCell ref="B12:D12"/>
    <mergeCell ref="B30:D30"/>
    <mergeCell ref="B59:D59"/>
    <mergeCell ref="B46:D46"/>
    <mergeCell ref="B38:D38"/>
    <mergeCell ref="B21:D21"/>
    <mergeCell ref="B51:D5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3" sqref="B3:D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11065</v>
      </c>
      <c r="D5" s="25">
        <v>67023.95</v>
      </c>
    </row>
    <row r="6" spans="2:8" x14ac:dyDescent="0.25">
      <c r="B6" s="1" t="s">
        <v>5</v>
      </c>
      <c r="C6" s="6">
        <v>6790</v>
      </c>
      <c r="D6" s="25">
        <v>2660</v>
      </c>
    </row>
    <row r="7" spans="2:8" x14ac:dyDescent="0.25">
      <c r="B7" s="1" t="s">
        <v>6</v>
      </c>
      <c r="C7" s="6">
        <v>9470</v>
      </c>
      <c r="D7" s="25">
        <v>12534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100590</v>
      </c>
      <c r="D9" s="25">
        <v>617</v>
      </c>
      <c r="E9" s="14"/>
      <c r="F9" s="7"/>
    </row>
    <row r="10" spans="2:8" x14ac:dyDescent="0.25">
      <c r="B10" s="3" t="s">
        <v>8</v>
      </c>
      <c r="C10" s="8">
        <f>SUM(C5:C9)</f>
        <v>130654</v>
      </c>
      <c r="D10" s="4">
        <f>SUM(D5:D9)</f>
        <v>82834.95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975</v>
      </c>
      <c r="D14" s="25">
        <v>16432.48</v>
      </c>
    </row>
    <row r="15" spans="2:8" x14ac:dyDescent="0.25">
      <c r="B15" s="1" t="s">
        <v>5</v>
      </c>
      <c r="C15" s="6">
        <v>694</v>
      </c>
      <c r="D15" s="25">
        <v>2476</v>
      </c>
    </row>
    <row r="16" spans="2:8" x14ac:dyDescent="0.25">
      <c r="B16" s="1" t="s">
        <v>6</v>
      </c>
      <c r="C16" s="6">
        <v>1001</v>
      </c>
      <c r="D16" s="25">
        <v>1610</v>
      </c>
    </row>
    <row r="17" spans="2:4" x14ac:dyDescent="0.25">
      <c r="B17" s="1" t="s">
        <v>7</v>
      </c>
      <c r="C17" s="6">
        <v>418</v>
      </c>
      <c r="D17" s="25">
        <v>2432</v>
      </c>
    </row>
    <row r="18" spans="2:4" x14ac:dyDescent="0.25">
      <c r="B18" s="3" t="s">
        <v>8</v>
      </c>
      <c r="C18" s="8">
        <f>SUM(C14:C17)</f>
        <v>3088</v>
      </c>
      <c r="D18" s="4">
        <f>SUM(D14:D17)</f>
        <v>22950.48</v>
      </c>
    </row>
    <row r="20" spans="2:4" x14ac:dyDescent="0.25">
      <c r="B20" s="12" t="s">
        <v>13</v>
      </c>
      <c r="C20" s="13">
        <f>SUMIF(B:B, "Total general", C:C)</f>
        <v>133742</v>
      </c>
      <c r="D20" s="13">
        <f>SUMIF(B:B, "Total general", D:D)</f>
        <v>105785.43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13033</v>
      </c>
      <c r="E6" s="16">
        <f>SUMIF('REPORTE DIARIO'!B:B,'EPR 26 JUN'!C6, 'REPORTE DIARIO'!D:D)</f>
        <v>317023.01999999996</v>
      </c>
      <c r="F6" s="16">
        <f>J6*D6</f>
        <v>819217.14285714284</v>
      </c>
      <c r="G6" s="16">
        <f>+E6-F6</f>
        <v>-502194.12285714288</v>
      </c>
      <c r="H6" s="15">
        <f>ABS(G6/F6)</f>
        <v>0.61301710692438083</v>
      </c>
      <c r="I6" s="16">
        <f>E6/D6</f>
        <v>24.324638993324633</v>
      </c>
      <c r="J6" s="16">
        <f>(220/7)*2</f>
        <v>62.857142857142854</v>
      </c>
      <c r="K6" s="16">
        <f>+I6-J6</f>
        <v>-38.532503863818221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7683</v>
      </c>
      <c r="E7" s="16">
        <f>SUMIF('REPORTE DIARIO'!B:B,'EPR 26 JUN'!C7, 'REPORTE DIARIO'!D:D)</f>
        <v>101202.15000000001</v>
      </c>
      <c r="F7" s="16">
        <f>J7*D7</f>
        <v>241465.71428571426</v>
      </c>
      <c r="G7" s="16">
        <f>+E7-F7</f>
        <v>-140263.56428571424</v>
      </c>
      <c r="H7" s="15">
        <f>ABS(G7/F7)</f>
        <v>0.58088397642966161</v>
      </c>
      <c r="I7" s="16">
        <f>E7/D7</f>
        <v>13.172217883639204</v>
      </c>
      <c r="J7" s="16">
        <f>(110/7)*2</f>
        <v>31.428571428571427</v>
      </c>
      <c r="K7" s="16">
        <f t="shared" ref="K7:K9" si="0">+I7-J7</f>
        <v>-18.256353544932225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13298</v>
      </c>
      <c r="E8" s="16">
        <f>SUMIF('REPORTE DIARIO'!B:B,'EPR 26 JUN'!C8, 'REPORTE DIARIO'!D:D)</f>
        <v>98355.699999999983</v>
      </c>
      <c r="F8" s="16">
        <f>J8*D8</f>
        <v>170974.28571428571</v>
      </c>
      <c r="G8" s="16">
        <f>+E8-F8</f>
        <v>-72618.585714285728</v>
      </c>
      <c r="H8" s="15">
        <f>ABS(G8/F8)</f>
        <v>0.42473396166507921</v>
      </c>
      <c r="I8" s="16">
        <f>E8/D8</f>
        <v>7.3962776357346955</v>
      </c>
      <c r="J8" s="16">
        <f>(45/7)*2</f>
        <v>12.857142857142858</v>
      </c>
      <c r="K8" s="16">
        <f t="shared" si="0"/>
        <v>-5.4608652214081621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54820</v>
      </c>
      <c r="E9" s="16">
        <f>SUMIF('REPORTE DIARIO'!B:B,'EPR 26 JUN'!C9, 'REPORTE DIARIO'!D:D)</f>
        <v>194423.95</v>
      </c>
      <c r="F9" s="16">
        <f>J9*D9</f>
        <v>234942.85714285713</v>
      </c>
      <c r="G9" s="16">
        <f>+E9-F9</f>
        <v>-40518.907142857119</v>
      </c>
      <c r="H9" s="15">
        <f>ABS(G9/F9)</f>
        <v>0.17246281770643307</v>
      </c>
      <c r="I9" s="16">
        <f>E9/D9</f>
        <v>3.5465879241152867</v>
      </c>
      <c r="J9" s="16">
        <f>(15/7)*2</f>
        <v>4.2857142857142856</v>
      </c>
      <c r="K9" s="16">
        <f t="shared" si="0"/>
        <v>-0.73912636159899892</v>
      </c>
    </row>
    <row r="10" spans="2:12" x14ac:dyDescent="0.25">
      <c r="B10" s="16"/>
      <c r="C10" s="19" t="s">
        <v>17</v>
      </c>
      <c r="D10" s="24">
        <f>SUM(D6:D9)</f>
        <v>88834</v>
      </c>
      <c r="E10" s="20">
        <f>SUM(E6:E9)</f>
        <v>711004.82000000007</v>
      </c>
      <c r="F10" s="20">
        <f>SUM(F6:F9)</f>
        <v>1466599.9999999998</v>
      </c>
      <c r="G10" s="20">
        <f>+E10-F10</f>
        <v>-755595.1799999997</v>
      </c>
      <c r="H10" s="21">
        <f>ABS(G10/F10)</f>
        <v>0.51520195008864023</v>
      </c>
      <c r="I10" s="20">
        <f>E10/D10</f>
        <v>8.0037465384875173</v>
      </c>
      <c r="J10" s="20">
        <f>F10/D10</f>
        <v>16.509444582029399</v>
      </c>
      <c r="K10" s="20">
        <f>I10-J10</f>
        <v>-8.5056980435418819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2025-08-02T22:21:06Z</cp:lastPrinted>
  <dcterms:created xsi:type="dcterms:W3CDTF">2025-01-27T15:11:28Z</dcterms:created>
  <dcterms:modified xsi:type="dcterms:W3CDTF">2025-08-05T16:34:01Z</dcterms:modified>
</cp:coreProperties>
</file>