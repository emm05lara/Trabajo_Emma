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9 AGO\NOCHE\"/>
    </mc:Choice>
  </mc:AlternateContent>
  <xr:revisionPtr revIDLastSave="0" documentId="13_ncr:1_{5095A3B4-E752-46BF-8015-CDD959211DC1}" xr6:coauthVersionLast="47" xr6:coauthVersionMax="47" xr10:uidLastSave="{00000000-0000-0000-0000-000000000000}"/>
  <bookViews>
    <workbookView xWindow="28575" yWindow="14310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5" l="1"/>
  <c r="C60" i="5"/>
  <c r="D59" i="1"/>
  <c r="C59" i="1"/>
  <c r="D68" i="5"/>
  <c r="D44" i="5"/>
  <c r="C44" i="5"/>
  <c r="C68" i="5"/>
  <c r="D53" i="5"/>
  <c r="C53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52" i="1"/>
  <c r="D70" i="5" l="1"/>
  <c r="C70" i="5"/>
  <c r="C28" i="1"/>
  <c r="D28" i="1"/>
  <c r="D19" i="1"/>
  <c r="C19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<sst xmlns="http://schemas.openxmlformats.org/spreadsheetml/2006/main" count="176" uniqueCount="40">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</sst>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52" zoomScaleNormal="100" workbookViewId="0">
      <selection activeCell="B64" sqref="B6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4833</v>
      </c>
      <c r="D5" s="25">
        <v>756845.91999999981</v>
      </c>
    </row>
    <row r="6" spans="2:8" x14ac:dyDescent="0.25">
      <c r="B6" s="1" t="s">
        <v>5</v>
      </c>
      <c r="C6" s="6">
        <v>4083</v>
      </c>
      <c r="D6" s="25">
        <v>230346.27000000002</v>
      </c>
    </row>
    <row r="7" spans="2:8" x14ac:dyDescent="0.25">
      <c r="B7" s="1" t="s">
        <v>6</v>
      </c>
      <c r="C7" s="6">
        <v>6907</v>
      </c>
      <c r="D7" s="25">
        <v>287593.65000000002</v>
      </c>
    </row>
    <row r="8" spans="2:8" x14ac:dyDescent="0.25">
      <c r="B8" s="5" t="s">
        <v>12</v>
      </c>
      <c r="C8" s="7">
        <v>1268</v>
      </c>
      <c r="D8" s="26">
        <v>0</v>
      </c>
    </row>
    <row r="9" spans="2:8" x14ac:dyDescent="0.25">
      <c r="B9" s="1" t="s">
        <v>7</v>
      </c>
      <c r="C9" s="6">
        <v>32786</v>
      </c>
      <c r="D9" s="25">
        <v>415912.95</v>
      </c>
      <c r="E9" s="14"/>
      <c r="F9" s="7"/>
    </row>
    <row r="10" spans="2:8" x14ac:dyDescent="0.25">
      <c r="B10" s="3" t="s">
        <v>8</v>
      </c>
      <c r="C10" s="8">
        <f>SUM(C5:C9)</f>
        <v>49877</v>
      </c>
      <c r="D10" s="4">
        <f>SUM(D5:D9)</f>
        <v>1690698.7899999998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2316</v>
      </c>
      <c r="D14" s="25">
        <v>201560.17</v>
      </c>
    </row>
    <row r="15" spans="2:8" x14ac:dyDescent="0.25">
      <c r="B15" s="9" t="s">
        <v>5</v>
      </c>
      <c r="C15" s="6">
        <v>420</v>
      </c>
      <c r="D15" s="25">
        <v>46567.81</v>
      </c>
    </row>
    <row r="16" spans="2:8" x14ac:dyDescent="0.25">
      <c r="B16" s="9" t="s">
        <v>6</v>
      </c>
      <c r="C16" s="6">
        <v>1264</v>
      </c>
      <c r="D16" s="25">
        <v>46566.520000000004</v>
      </c>
    </row>
    <row r="17" spans="2:4" x14ac:dyDescent="0.25">
      <c r="B17" s="5" t="s">
        <v>12</v>
      </c>
      <c r="C17" s="7">
        <v>1</v>
      </c>
      <c r="D17" s="25">
        <v>83</v>
      </c>
    </row>
    <row r="18" spans="2:4" x14ac:dyDescent="0.25">
      <c r="B18" s="9" t="s">
        <v>7</v>
      </c>
      <c r="C18" s="6">
        <v>12156</v>
      </c>
      <c r="D18" s="25">
        <v>54238.720000000001</v>
      </c>
    </row>
    <row r="19" spans="2:4" x14ac:dyDescent="0.25">
      <c r="B19" s="10" t="s">
        <v>8</v>
      </c>
      <c r="C19" s="8">
        <f>SUM(C14:C18)</f>
        <v>16157</v>
      </c>
      <c r="D19" s="4">
        <f>SUM(D14:D18)</f>
        <v>349016.22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1882</v>
      </c>
      <c r="D23" s="25">
        <v>107997.92000000001</v>
      </c>
    </row>
    <row r="24" spans="2:4" x14ac:dyDescent="0.25">
      <c r="B24" s="1" t="s">
        <v>5</v>
      </c>
      <c r="C24" s="6">
        <v>1225</v>
      </c>
      <c r="D24" s="25">
        <v>31224</v>
      </c>
    </row>
    <row r="25" spans="2:4" x14ac:dyDescent="0.25">
      <c r="B25" s="1" t="s">
        <v>6</v>
      </c>
      <c r="C25" s="6">
        <v>3510</v>
      </c>
      <c r="D25" s="25">
        <v>87522.559999999998</v>
      </c>
    </row>
    <row r="26" spans="2:4" x14ac:dyDescent="0.25">
      <c r="B26" s="5" t="s">
        <v>12</v>
      </c>
      <c r="C26" s="6">
        <v>0</v>
      </c>
      <c r="D26" s="27">
        <v>0</v>
      </c>
    </row>
    <row r="27" spans="2:4" x14ac:dyDescent="0.25">
      <c r="B27" s="1" t="s">
        <v>7</v>
      </c>
      <c r="C27" s="7">
        <v>18232</v>
      </c>
      <c r="D27" s="25">
        <v>158997.60999999999</v>
      </c>
    </row>
    <row r="28" spans="2:4" x14ac:dyDescent="0.25">
      <c r="B28" s="3" t="s">
        <v>8</v>
      </c>
      <c r="C28" s="8">
        <f>SUM(C23:C27)</f>
        <v>24849</v>
      </c>
      <c r="D28" s="4">
        <f>SUM(D23:D27)</f>
        <v>385742.08999999997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624</v>
      </c>
      <c r="D32" s="25">
        <v>74480.28</v>
      </c>
    </row>
    <row r="33" spans="2:4" x14ac:dyDescent="0.25">
      <c r="B33" s="9" t="s">
        <v>5</v>
      </c>
      <c r="C33" s="6">
        <v>486</v>
      </c>
      <c r="D33" s="25">
        <v>55936.2</v>
      </c>
    </row>
    <row r="34" spans="2:4" x14ac:dyDescent="0.25">
      <c r="B34" s="9" t="s">
        <v>6</v>
      </c>
      <c r="C34" s="6">
        <v>419</v>
      </c>
      <c r="D34" s="25">
        <v>39289.1</v>
      </c>
    </row>
    <row r="35" spans="2:4" x14ac:dyDescent="0.25">
      <c r="B35" s="9" t="s">
        <v>7</v>
      </c>
      <c r="C35" s="6">
        <v>924</v>
      </c>
      <c r="D35" s="25">
        <v>13874</v>
      </c>
    </row>
    <row r="36" spans="2:4" x14ac:dyDescent="0.25">
      <c r="B36" s="10" t="s">
        <v>8</v>
      </c>
      <c r="C36" s="8">
        <f>SUM(C32:C35)</f>
        <v>2453</v>
      </c>
      <c r="D36" s="4">
        <f>SUM(D32:D35)</f>
        <v>183579.58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975</v>
      </c>
      <c r="D40" s="25">
        <v>74421.709999999992</v>
      </c>
    </row>
    <row r="41" spans="2:4" x14ac:dyDescent="0.25">
      <c r="B41" s="1" t="s">
        <v>5</v>
      </c>
      <c r="C41" s="6">
        <v>779</v>
      </c>
      <c r="D41" s="25">
        <v>7390.49</v>
      </c>
    </row>
    <row r="42" spans="2:4" x14ac:dyDescent="0.25">
      <c r="B42" s="1" t="s">
        <v>6</v>
      </c>
      <c r="C42" s="6">
        <v>1088</v>
      </c>
      <c r="D42" s="25">
        <v>9058</v>
      </c>
    </row>
    <row r="43" spans="2:4" x14ac:dyDescent="0.25">
      <c r="B43" s="1" t="s">
        <v>7</v>
      </c>
      <c r="C43" s="6">
        <v>368</v>
      </c>
      <c r="D43" s="25">
        <v>3045</v>
      </c>
    </row>
    <row r="44" spans="2:4" x14ac:dyDescent="0.25">
      <c r="B44" s="3" t="s">
        <v>8</v>
      </c>
      <c r="C44" s="8">
        <f>SUM(C40:C43)</f>
        <v>3210</v>
      </c>
      <c r="D44" s="4">
        <f>SUM(D40:D43)</f>
        <v>93915.199999999997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578</v>
      </c>
      <c r="D48" s="25">
        <v>29609</v>
      </c>
    </row>
    <row r="49" spans="2:4" x14ac:dyDescent="0.25">
      <c r="B49" s="1" t="s">
        <v>5</v>
      </c>
      <c r="C49" s="6">
        <v>4</v>
      </c>
      <c r="D49" s="25">
        <v>1926</v>
      </c>
    </row>
    <row r="50" spans="2:4" x14ac:dyDescent="0.25">
      <c r="B50" s="1" t="s">
        <v>6</v>
      </c>
      <c r="C50" s="6">
        <v>528</v>
      </c>
      <c r="D50" s="25">
        <v>2602</v>
      </c>
    </row>
    <row r="51" spans="2:4" x14ac:dyDescent="0.25">
      <c r="B51" s="1" t="s">
        <v>7</v>
      </c>
      <c r="C51" s="6">
        <v>2296</v>
      </c>
      <c r="D51" s="25">
        <v>5513</v>
      </c>
    </row>
    <row r="52" spans="2:4" x14ac:dyDescent="0.25">
      <c r="B52" s="3" t="s">
        <v>8</v>
      </c>
      <c r="C52" s="8">
        <f>SUM(C48:C51)</f>
        <v>3406</v>
      </c>
      <c r="D52" s="4">
        <f>SUM(D48:D51)</f>
        <v>39650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1375</v>
      </c>
      <c r="D56" s="25">
        <v>41063.99</v>
      </c>
    </row>
    <row r="57" spans="2:4" x14ac:dyDescent="0.25">
      <c r="B57" s="1" t="s">
        <v>5</v>
      </c>
      <c r="C57" s="6">
        <v>87</v>
      </c>
      <c r="D57" s="26">
        <v>0</v>
      </c>
    </row>
    <row r="58" spans="2:4" x14ac:dyDescent="0.25">
      <c r="B58" s="1" t="s">
        <v>6</v>
      </c>
      <c r="C58" s="6">
        <v>85</v>
      </c>
      <c r="D58" s="26">
        <v>0</v>
      </c>
    </row>
    <row r="59" spans="2:4" x14ac:dyDescent="0.25">
      <c r="B59" s="10" t="s">
        <v>8</v>
      </c>
      <c r="C59" s="8">
        <f>SUM(C56:C58)</f>
        <v>1547</v>
      </c>
      <c r="D59" s="4">
        <f>SUM(D56:D58)</f>
        <v>41063.99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993</v>
      </c>
      <c r="D63" s="25">
        <v>3688</v>
      </c>
    </row>
    <row r="64" spans="2:4" x14ac:dyDescent="0.25">
      <c r="B64" s="1" t="s">
        <v>5</v>
      </c>
      <c r="C64" s="6">
        <v>976</v>
      </c>
      <c r="D64" s="25">
        <v>7273</v>
      </c>
    </row>
    <row r="65" spans="2:4" x14ac:dyDescent="0.25">
      <c r="B65" s="3" t="s">
        <v>8</v>
      </c>
      <c r="C65" s="8">
        <f>SUM(C63:C64)</f>
        <v>1969</v>
      </c>
      <c r="D65" s="4">
        <f>SUM(D63:D64)</f>
        <v>10961</v>
      </c>
    </row>
    <row r="67" spans="2:4" x14ac:dyDescent="0.25">
      <c r="B67" s="12" t="s">
        <v>13</v>
      </c>
      <c r="C67" s="13">
        <f>SUMIF(B:B, "Total general", C:C)</f>
        <v>103468</v>
      </c>
      <c r="D67" s="13">
        <f>SUMIF(B:B, "Total general", D:D)</f>
        <v>2794626.87</v>
      </c>
    </row>
  </sheetData>
  <mergeCells count="8">
    <mergeCell ref="B3:D3"/>
    <mergeCell ref="B12:D12"/>
    <mergeCell ref="B30:D30"/>
    <mergeCell ref="B61:D61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B1" sqref="B1:D7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10335</v>
      </c>
      <c r="D5" s="25">
        <v>280055.44999999995</v>
      </c>
    </row>
    <row r="6" spans="2:8" x14ac:dyDescent="0.25">
      <c r="B6" s="1" t="s">
        <v>5</v>
      </c>
      <c r="C6" s="6">
        <v>5665</v>
      </c>
      <c r="D6" s="25">
        <v>87561.17</v>
      </c>
    </row>
    <row r="7" spans="2:8" x14ac:dyDescent="0.25">
      <c r="B7" s="1" t="s">
        <v>6</v>
      </c>
      <c r="C7" s="6">
        <v>9638</v>
      </c>
      <c r="D7" s="25">
        <v>68727.08</v>
      </c>
    </row>
    <row r="8" spans="2:8" x14ac:dyDescent="0.25">
      <c r="B8" s="5" t="s">
        <v>12</v>
      </c>
      <c r="C8" s="7">
        <v>2739</v>
      </c>
      <c r="D8" s="26">
        <v>0</v>
      </c>
    </row>
    <row r="9" spans="2:8" x14ac:dyDescent="0.25">
      <c r="B9" s="1" t="s">
        <v>7</v>
      </c>
      <c r="C9" s="6">
        <v>61084</v>
      </c>
      <c r="D9" s="25">
        <v>13958</v>
      </c>
      <c r="E9" s="14"/>
      <c r="F9" s="7"/>
    </row>
    <row r="10" spans="2:8" x14ac:dyDescent="0.25">
      <c r="B10" s="3" t="s">
        <v>8</v>
      </c>
      <c r="C10" s="8">
        <f>SUM(C5:C9)</f>
        <v>89461</v>
      </c>
      <c r="D10" s="4">
        <f>SUM(D5:D9)</f>
        <v>450301.69999999995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975</v>
      </c>
      <c r="D14" s="25">
        <v>74421.709999999992</v>
      </c>
    </row>
    <row r="15" spans="2:8" x14ac:dyDescent="0.25">
      <c r="B15" s="1" t="s">
        <v>5</v>
      </c>
      <c r="C15" s="6">
        <v>779</v>
      </c>
      <c r="D15" s="25">
        <v>7390.49</v>
      </c>
    </row>
    <row r="16" spans="2:8" x14ac:dyDescent="0.25">
      <c r="B16" s="1" t="s">
        <v>6</v>
      </c>
      <c r="C16" s="6">
        <v>1088</v>
      </c>
      <c r="D16" s="25">
        <v>9058</v>
      </c>
    </row>
    <row r="17" spans="2:4" x14ac:dyDescent="0.25">
      <c r="B17" s="1" t="s">
        <v>7</v>
      </c>
      <c r="C17" s="6">
        <v>368</v>
      </c>
      <c r="D17" s="25">
        <v>3045</v>
      </c>
    </row>
    <row r="18" spans="2:4" x14ac:dyDescent="0.25">
      <c r="B18" s="3" t="s">
        <v>8</v>
      </c>
      <c r="C18" s="8">
        <f>SUM(C14:C17)</f>
        <v>3210</v>
      </c>
      <c r="D18" s="4">
        <f>SUM(D14:D17)</f>
        <v>93915.199999999997</v>
      </c>
    </row>
    <row r="20" spans="2:4" x14ac:dyDescent="0.25">
      <c r="B20" s="28" t="s">
        <v>0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>
        <v>14</v>
      </c>
      <c r="D22" s="25">
        <v>6127</v>
      </c>
    </row>
    <row r="23" spans="2:4" x14ac:dyDescent="0.25">
      <c r="B23" s="1" t="s">
        <v>5</v>
      </c>
      <c r="C23">
        <v>7</v>
      </c>
      <c r="D23" s="25">
        <v>3271</v>
      </c>
    </row>
    <row r="24" spans="2:4" x14ac:dyDescent="0.25">
      <c r="B24" s="1" t="s">
        <v>6</v>
      </c>
      <c r="C24">
        <v>80</v>
      </c>
      <c r="D24" s="25">
        <v>770</v>
      </c>
    </row>
    <row r="25" spans="2:4" x14ac:dyDescent="0.25">
      <c r="B25" s="5" t="s">
        <v>12</v>
      </c>
      <c r="C25">
        <v>1</v>
      </c>
      <c r="D25" s="26">
        <v>0</v>
      </c>
    </row>
    <row r="26" spans="2:4" x14ac:dyDescent="0.25">
      <c r="B26" s="1" t="s">
        <v>7</v>
      </c>
      <c r="C26">
        <v>304</v>
      </c>
      <c r="D26" s="25">
        <v>11115</v>
      </c>
    </row>
    <row r="27" spans="2:4" x14ac:dyDescent="0.25">
      <c r="B27" s="3" t="s">
        <v>8</v>
      </c>
      <c r="C27" s="8">
        <f>SUM(C22:C26)</f>
        <v>406</v>
      </c>
      <c r="D27" s="4">
        <f>SUM(D22:D26)</f>
        <v>21283</v>
      </c>
    </row>
    <row r="29" spans="2:4" x14ac:dyDescent="0.25">
      <c r="B29" s="29" t="s">
        <v>10</v>
      </c>
      <c r="C29" s="29"/>
      <c r="D29" s="29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>
        <v>5</v>
      </c>
      <c r="D31" s="25">
        <v>3230.27</v>
      </c>
    </row>
    <row r="32" spans="2:4" x14ac:dyDescent="0.25">
      <c r="B32" s="9" t="s">
        <v>5</v>
      </c>
      <c r="C32">
        <v>3</v>
      </c>
      <c r="D32" s="25">
        <v>1558.8400000000001</v>
      </c>
    </row>
    <row r="33" spans="2:4" x14ac:dyDescent="0.25">
      <c r="B33" s="9" t="s">
        <v>6</v>
      </c>
      <c r="C33">
        <v>26</v>
      </c>
      <c r="D33" s="25">
        <v>4197</v>
      </c>
    </row>
    <row r="34" spans="2:4" x14ac:dyDescent="0.25">
      <c r="B34" s="5" t="s">
        <v>12</v>
      </c>
      <c r="C34" s="7">
        <v>0</v>
      </c>
      <c r="D34" s="7">
        <v>0</v>
      </c>
    </row>
    <row r="35" spans="2:4" x14ac:dyDescent="0.25">
      <c r="B35" s="9" t="s">
        <v>7</v>
      </c>
      <c r="C35">
        <v>169</v>
      </c>
      <c r="D35" s="25">
        <v>2042</v>
      </c>
    </row>
    <row r="36" spans="2:4" x14ac:dyDescent="0.25">
      <c r="B36" s="10" t="s">
        <v>8</v>
      </c>
      <c r="C36" s="8">
        <f>SUM(C31:C35)</f>
        <v>203</v>
      </c>
      <c r="D36" s="4">
        <f>SUM(D31:D35)</f>
        <v>11028.11</v>
      </c>
    </row>
    <row r="38" spans="2:4" x14ac:dyDescent="0.25">
      <c r="B38" s="28" t="s">
        <v>30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>
        <v>2</v>
      </c>
      <c r="D40" s="26">
        <v>0</v>
      </c>
    </row>
    <row r="41" spans="2:4" x14ac:dyDescent="0.25">
      <c r="B41" s="1" t="s">
        <v>5</v>
      </c>
      <c r="C41">
        <v>1</v>
      </c>
      <c r="D41" s="25">
        <v>1926</v>
      </c>
    </row>
    <row r="42" spans="2:4" x14ac:dyDescent="0.25">
      <c r="B42" s="1" t="s">
        <v>6</v>
      </c>
      <c r="C42">
        <v>10</v>
      </c>
      <c r="D42" s="26">
        <v>0</v>
      </c>
    </row>
    <row r="43" spans="2:4" x14ac:dyDescent="0.25">
      <c r="B43" s="1" t="s">
        <v>7</v>
      </c>
      <c r="C43">
        <v>64</v>
      </c>
      <c r="D43" s="25">
        <v>557</v>
      </c>
    </row>
    <row r="44" spans="2:4" x14ac:dyDescent="0.25">
      <c r="B44" s="3" t="s">
        <v>8</v>
      </c>
      <c r="C44" s="8">
        <f>SUM(C40:C43)</f>
        <v>77</v>
      </c>
      <c r="D44" s="4">
        <f>SUM(D40:D43)</f>
        <v>2483</v>
      </c>
    </row>
    <row r="46" spans="2:4" x14ac:dyDescent="0.25">
      <c r="B46" s="28" t="s">
        <v>36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1" t="s">
        <v>4</v>
      </c>
      <c r="C48">
        <v>4</v>
      </c>
      <c r="D48" s="25">
        <v>763</v>
      </c>
    </row>
    <row r="49" spans="2:4" x14ac:dyDescent="0.25">
      <c r="B49" s="1" t="s">
        <v>5</v>
      </c>
      <c r="C49">
        <v>3</v>
      </c>
      <c r="D49" s="25">
        <v>2290</v>
      </c>
    </row>
    <row r="50" spans="2:4" x14ac:dyDescent="0.25">
      <c r="B50" s="1" t="s">
        <v>6</v>
      </c>
      <c r="C50">
        <v>44</v>
      </c>
      <c r="D50" s="26">
        <v>0</v>
      </c>
    </row>
    <row r="51" spans="2:4" x14ac:dyDescent="0.25">
      <c r="B51" s="5" t="s">
        <v>12</v>
      </c>
      <c r="C51" s="6">
        <v>0</v>
      </c>
      <c r="D51" s="26">
        <v>0</v>
      </c>
    </row>
    <row r="52" spans="2:4" x14ac:dyDescent="0.25">
      <c r="B52" s="1" t="s">
        <v>7</v>
      </c>
      <c r="C52">
        <v>335</v>
      </c>
      <c r="D52" s="25">
        <v>1508</v>
      </c>
    </row>
    <row r="53" spans="2:4" x14ac:dyDescent="0.25">
      <c r="B53" s="3" t="s">
        <v>8</v>
      </c>
      <c r="C53" s="8">
        <f>SUM(C48:C52)</f>
        <v>386</v>
      </c>
      <c r="D53" s="4">
        <f>SUM(D48:D52)</f>
        <v>4561</v>
      </c>
    </row>
    <row r="55" spans="2:4" x14ac:dyDescent="0.25">
      <c r="B55" s="29" t="s">
        <v>11</v>
      </c>
      <c r="C55" s="29"/>
      <c r="D55" s="29"/>
    </row>
    <row r="56" spans="2:4" x14ac:dyDescent="0.25">
      <c r="B56" s="4" t="s">
        <v>1</v>
      </c>
      <c r="C56" s="4" t="s">
        <v>2</v>
      </c>
      <c r="D56" s="4" t="s">
        <v>3</v>
      </c>
    </row>
    <row r="57" spans="2:4" x14ac:dyDescent="0.25">
      <c r="B57" s="9" t="s">
        <v>4</v>
      </c>
      <c r="C57">
        <v>71</v>
      </c>
      <c r="D57" s="26">
        <v>0</v>
      </c>
    </row>
    <row r="58" spans="2:4" x14ac:dyDescent="0.25">
      <c r="B58" s="1" t="s">
        <v>5</v>
      </c>
      <c r="C58">
        <v>41</v>
      </c>
      <c r="D58" s="26">
        <v>0</v>
      </c>
    </row>
    <row r="59" spans="2:4" x14ac:dyDescent="0.25">
      <c r="B59" s="1" t="s">
        <v>6</v>
      </c>
      <c r="C59">
        <v>53</v>
      </c>
      <c r="D59" s="26">
        <v>0</v>
      </c>
    </row>
    <row r="60" spans="2:4" x14ac:dyDescent="0.25">
      <c r="B60" s="10" t="s">
        <v>8</v>
      </c>
      <c r="C60" s="8">
        <f>SUM(C57:C59)</f>
        <v>165</v>
      </c>
      <c r="D60" s="4">
        <f>SUM(D57:D59)</f>
        <v>0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93971</v>
      </c>
      <c r="D70" s="13">
        <f>SUMIF(B:B, "Total general", D:D)</f>
        <v>583572.00999999989</v>
      </c>
    </row>
  </sheetData>
  <mergeCells count="9">
    <mergeCell ref="B62:D62"/>
    <mergeCell ref="B38:D38"/>
    <mergeCell ref="B55:D55"/>
    <mergeCell ref="B1:D1"/>
    <mergeCell ref="B3:D3"/>
    <mergeCell ref="B12:D12"/>
    <mergeCell ref="B20:D20"/>
    <mergeCell ref="B29:D29"/>
    <mergeCell ref="B46:D4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13576</v>
      </c>
      <c r="E6" s="16">
        <f>SUMIF('REPORTE DIARIO'!B:B,'EPR 26 JUN'!C6, 'REPORTE DIARIO'!D:D)</f>
        <v>1289666.9899999998</v>
      </c>
      <c r="F6" s="16">
        <f>J6*D6</f>
        <v>853348.57142857136</v>
      </c>
      <c r="G6" s="16">
        <f>+E6-F6</f>
        <v>436318.4185714284</v>
      </c>
      <c r="H6" s="15">
        <f>ABS(G6/F6)</f>
        <v>0.51130151637917165</v>
      </c>
      <c r="I6" s="16">
        <f>E6/D6</f>
        <v>94.99609531526221</v>
      </c>
      <c r="J6" s="16">
        <f>(220/7)*2</f>
        <v>62.857142857142854</v>
      </c>
      <c r="K6" s="16">
        <f>+I6-J6</f>
        <v>32.138952458119356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8060</v>
      </c>
      <c r="E7" s="16">
        <f>SUMIF('REPORTE DIARIO'!B:B,'EPR 26 JUN'!C7, 'REPORTE DIARIO'!D:D)</f>
        <v>380663.77</v>
      </c>
      <c r="F7" s="16">
        <f>J7*D7</f>
        <v>253314.28571428571</v>
      </c>
      <c r="G7" s="16">
        <f>+E7-F7</f>
        <v>127349.48428571431</v>
      </c>
      <c r="H7" s="15">
        <f>ABS(G7/F7)</f>
        <v>0.5027331321903904</v>
      </c>
      <c r="I7" s="16">
        <f>E7/D7</f>
        <v>47.228755583126556</v>
      </c>
      <c r="J7" s="16">
        <f>(110/7)*2</f>
        <v>31.428571428571427</v>
      </c>
      <c r="K7" s="16">
        <f t="shared" ref="K7:K9" si="0">+I7-J7</f>
        <v>15.800184154555129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13801</v>
      </c>
      <c r="E8" s="16">
        <f>SUMIF('REPORTE DIARIO'!B:B,'EPR 26 JUN'!C8, 'REPORTE DIARIO'!D:D)</f>
        <v>472631.83</v>
      </c>
      <c r="F8" s="16">
        <f>J8*D8</f>
        <v>177441.42857142858</v>
      </c>
      <c r="G8" s="16">
        <f>+E8-F8</f>
        <v>295190.40142857144</v>
      </c>
      <c r="H8" s="15">
        <f>ABS(G8/F8)</f>
        <v>1.6635934674621002</v>
      </c>
      <c r="I8" s="16">
        <f>E8/D8</f>
        <v>34.246201724512716</v>
      </c>
      <c r="J8" s="16">
        <f>(45/7)*2</f>
        <v>12.857142857142858</v>
      </c>
      <c r="K8" s="16">
        <f t="shared" si="0"/>
        <v>21.389058867369858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66762</v>
      </c>
      <c r="E9" s="16">
        <f>SUMIF('REPORTE DIARIO'!B:B,'EPR 26 JUN'!C9, 'REPORTE DIARIO'!D:D)</f>
        <v>651581.28</v>
      </c>
      <c r="F9" s="16">
        <f>J9*D9</f>
        <v>286122.85714285716</v>
      </c>
      <c r="G9" s="16">
        <f>+E9-F9</f>
        <v>365458.42285714287</v>
      </c>
      <c r="H9" s="15">
        <f>ABS(G9/F9)</f>
        <v>1.277277972499326</v>
      </c>
      <c r="I9" s="16">
        <f>E9/D9</f>
        <v>9.7597627392828255</v>
      </c>
      <c r="J9" s="16">
        <f>(15/7)*2</f>
        <v>4.2857142857142856</v>
      </c>
      <c r="K9" s="16">
        <f t="shared" si="0"/>
        <v>5.4740484535685399</v>
      </c>
    </row>
    <row r="10" spans="2:12" x14ac:dyDescent="0.25">
      <c r="B10" s="16"/>
      <c r="C10" s="19" t="s">
        <v>17</v>
      </c>
      <c r="D10" s="24">
        <f>SUM(D6:D9)</f>
        <v>102199</v>
      </c>
      <c r="E10" s="20">
        <f>SUM(E6:E9)</f>
        <v>2794543.87</v>
      </c>
      <c r="F10" s="20">
        <f>SUM(F6:F9)</f>
        <v>1570227.1428571427</v>
      </c>
      <c r="G10" s="20">
        <f>+E10-F10</f>
        <v>1224316.7271428574</v>
      </c>
      <c r="H10" s="21">
        <f>ABS(G10/F10)</f>
        <v>0.77970676580913245</v>
      </c>
      <c r="I10" s="20">
        <f>E10/D10</f>
        <v>27.344141038562022</v>
      </c>
      <c r="J10" s="20">
        <f>F10/D10</f>
        <v>15.364408094571793</v>
      </c>
      <c r="K10" s="20">
        <f>I10-J10</f>
        <v>11.979732943990228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2025-08-06T02:11:01Z</cp:lastPrinted>
  <dcterms:created xsi:type="dcterms:W3CDTF">2025-01-27T15:11:28Z</dcterms:created>
  <dcterms:modified xsi:type="dcterms:W3CDTF">2025-08-10T02:20:49Z</dcterms:modified>
</cp:coreProperties>
</file>