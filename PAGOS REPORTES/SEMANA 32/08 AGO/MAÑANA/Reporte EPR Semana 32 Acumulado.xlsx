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2\08 AGO\MAÑANA\"/>
    </mc:Choice>
  </mc:AlternateContent>
  <xr:revisionPtr revIDLastSave="0" documentId="13_ncr:1_{DF92576F-70E1-43D2-8EC0-79C42E0FA1AD}" xr6:coauthVersionLast="47" xr6:coauthVersionMax="47" xr10:uidLastSave="{00000000-0000-0000-0000-000000000000}"/>
  <bookViews>
    <workbookView xWindow="24435" yWindow="11040" windowWidth="11130" windowHeight="6570" activeTab="1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6" i="5" l="1"/>
  <c r="D58" i="5"/>
  <c r="C58" i="5"/>
  <c r="D44" i="5"/>
  <c r="C44" i="5"/>
  <c r="C66" i="5"/>
  <c r="D53" i="5"/>
  <c r="C53" i="5"/>
  <c r="D36" i="5"/>
  <c r="C36" i="5"/>
  <c r="D27" i="5"/>
  <c r="C27" i="5"/>
  <c r="D63" i="1"/>
  <c r="C63" i="1"/>
  <c r="D10" i="5"/>
  <c r="D18" i="5"/>
  <c r="C18" i="5"/>
  <c r="C10" i="5"/>
  <c r="J9" i="3"/>
  <c r="J8" i="3"/>
  <c r="J7" i="3"/>
  <c r="J6" i="3"/>
  <c r="C52" i="1"/>
  <c r="D68" i="5" l="1"/>
  <c r="C68" i="5"/>
  <c r="C28" i="1"/>
  <c r="D28" i="1"/>
  <c r="D19" i="1"/>
  <c r="C19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5" i="1" l="1"/>
  <c r="D65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<sst xmlns="http://schemas.openxmlformats.org/spreadsheetml/2006/main" count="172" uniqueCount="40">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</sst>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5"/>
  <sheetViews>
    <sheetView showGridLines="0" zoomScaleNormal="100" workbookViewId="0">
      <selection activeCell="C40" sqref="C40:C4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4795</v>
      </c>
      <c r="D5" s="25">
        <v>437832.81</v>
      </c>
    </row>
    <row r="6" spans="2:8" x14ac:dyDescent="0.25">
      <c r="B6" s="1" t="s">
        <v>5</v>
      </c>
      <c r="C6" s="6">
        <v>4005</v>
      </c>
      <c r="D6" s="25">
        <v>122342.49</v>
      </c>
    </row>
    <row r="7" spans="2:8" x14ac:dyDescent="0.25">
      <c r="B7" s="1" t="s">
        <v>6</v>
      </c>
      <c r="C7" s="6">
        <v>6769</v>
      </c>
      <c r="D7" s="25">
        <v>176932.59999999998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21540</v>
      </c>
      <c r="D9" s="25">
        <v>267749.11</v>
      </c>
      <c r="E9" s="14"/>
      <c r="F9" s="7"/>
    </row>
    <row r="10" spans="2:8" x14ac:dyDescent="0.25">
      <c r="B10" s="3" t="s">
        <v>8</v>
      </c>
      <c r="C10" s="8">
        <f>SUM(C5:C9)</f>
        <v>37120</v>
      </c>
      <c r="D10" s="4">
        <f>SUM(D5:D9)</f>
        <v>1004857.01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2303</v>
      </c>
      <c r="D14" s="25">
        <v>155213.68000000002</v>
      </c>
    </row>
    <row r="15" spans="2:8" x14ac:dyDescent="0.25">
      <c r="B15" s="9" t="s">
        <v>5</v>
      </c>
      <c r="C15" s="6">
        <v>412</v>
      </c>
      <c r="D15" s="25">
        <v>36634.949999999997</v>
      </c>
    </row>
    <row r="16" spans="2:8" x14ac:dyDescent="0.25">
      <c r="B16" s="9" t="s">
        <v>6</v>
      </c>
      <c r="C16" s="6">
        <v>1269</v>
      </c>
      <c r="D16" s="25">
        <v>30002.12</v>
      </c>
    </row>
    <row r="17" spans="2:4" x14ac:dyDescent="0.25">
      <c r="B17" s="5" t="s">
        <v>12</v>
      </c>
      <c r="C17" s="7">
        <v>1</v>
      </c>
      <c r="D17" s="25">
        <v>83</v>
      </c>
    </row>
    <row r="18" spans="2:4" x14ac:dyDescent="0.25">
      <c r="B18" s="9" t="s">
        <v>7</v>
      </c>
      <c r="C18" s="6">
        <v>12100</v>
      </c>
      <c r="D18" s="25">
        <v>40393.72</v>
      </c>
    </row>
    <row r="19" spans="2:4" x14ac:dyDescent="0.25">
      <c r="B19" s="10" t="s">
        <v>8</v>
      </c>
      <c r="C19" s="8">
        <f>SUM(C14:C18)</f>
        <v>16085</v>
      </c>
      <c r="D19" s="4">
        <f>SUM(D14:D18)</f>
        <v>262327.46999999997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1891</v>
      </c>
      <c r="D23" s="25">
        <v>61557.399999999994</v>
      </c>
    </row>
    <row r="24" spans="2:4" x14ac:dyDescent="0.25">
      <c r="B24" s="1" t="s">
        <v>5</v>
      </c>
      <c r="C24" s="6">
        <v>1257</v>
      </c>
      <c r="D24" s="25">
        <v>16418</v>
      </c>
    </row>
    <row r="25" spans="2:4" x14ac:dyDescent="0.25">
      <c r="B25" s="1" t="s">
        <v>6</v>
      </c>
      <c r="C25" s="6">
        <v>3492</v>
      </c>
      <c r="D25" s="25">
        <v>44133</v>
      </c>
    </row>
    <row r="26" spans="2:4" x14ac:dyDescent="0.25">
      <c r="B26" s="5" t="s">
        <v>12</v>
      </c>
      <c r="C26" s="6">
        <v>0</v>
      </c>
      <c r="D26" s="27">
        <v>0</v>
      </c>
    </row>
    <row r="27" spans="2:4" x14ac:dyDescent="0.25">
      <c r="B27" s="1" t="s">
        <v>7</v>
      </c>
      <c r="C27" s="7">
        <v>18236</v>
      </c>
      <c r="D27" s="25">
        <v>124760.61</v>
      </c>
    </row>
    <row r="28" spans="2:4" x14ac:dyDescent="0.25">
      <c r="B28" s="3" t="s">
        <v>8</v>
      </c>
      <c r="C28" s="8">
        <f>SUM(C23:C27)</f>
        <v>24876</v>
      </c>
      <c r="D28" s="4">
        <f>SUM(D23:D27)</f>
        <v>246869.01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582</v>
      </c>
      <c r="D32" s="25">
        <v>40558.26</v>
      </c>
    </row>
    <row r="33" spans="2:4" x14ac:dyDescent="0.25">
      <c r="B33" s="9" t="s">
        <v>5</v>
      </c>
      <c r="C33" s="6">
        <v>417</v>
      </c>
      <c r="D33" s="25">
        <v>43413.2</v>
      </c>
    </row>
    <row r="34" spans="2:4" x14ac:dyDescent="0.25">
      <c r="B34" s="9" t="s">
        <v>6</v>
      </c>
      <c r="C34" s="6">
        <v>292</v>
      </c>
      <c r="D34" s="25">
        <v>24785.599999999999</v>
      </c>
    </row>
    <row r="35" spans="2:4" x14ac:dyDescent="0.25">
      <c r="B35" s="9" t="s">
        <v>7</v>
      </c>
      <c r="C35" s="6">
        <v>802</v>
      </c>
      <c r="D35" s="25">
        <v>4754</v>
      </c>
    </row>
    <row r="36" spans="2:4" x14ac:dyDescent="0.25">
      <c r="B36" s="10" t="s">
        <v>8</v>
      </c>
      <c r="C36" s="8">
        <f>SUM(C32:C35)</f>
        <v>2093</v>
      </c>
      <c r="D36" s="4">
        <f>SUM(D32:D35)</f>
        <v>113511.06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846</v>
      </c>
      <c r="D40" s="25">
        <v>34376.479999999996</v>
      </c>
    </row>
    <row r="41" spans="2:4" x14ac:dyDescent="0.25">
      <c r="B41" s="1" t="s">
        <v>5</v>
      </c>
      <c r="C41" s="6">
        <v>708</v>
      </c>
      <c r="D41" s="25">
        <v>2476.4899999999998</v>
      </c>
    </row>
    <row r="42" spans="2:4" x14ac:dyDescent="0.25">
      <c r="B42" s="1" t="s">
        <v>6</v>
      </c>
      <c r="C42" s="6">
        <v>1005</v>
      </c>
      <c r="D42" s="25">
        <v>6558</v>
      </c>
    </row>
    <row r="43" spans="2:4" x14ac:dyDescent="0.25">
      <c r="B43" s="1" t="s">
        <v>7</v>
      </c>
      <c r="C43" s="6">
        <v>368</v>
      </c>
      <c r="D43" s="25">
        <v>3045</v>
      </c>
    </row>
    <row r="44" spans="2:4" x14ac:dyDescent="0.25">
      <c r="B44" s="3" t="s">
        <v>8</v>
      </c>
      <c r="C44" s="8">
        <f>SUM(C40:C43)</f>
        <v>2927</v>
      </c>
      <c r="D44" s="4">
        <f>SUM(D40:D43)</f>
        <v>46455.969999999994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578</v>
      </c>
      <c r="D48" s="25">
        <v>15903</v>
      </c>
    </row>
    <row r="49" spans="2:4" x14ac:dyDescent="0.25">
      <c r="B49" s="1" t="s">
        <v>5</v>
      </c>
      <c r="C49" s="6">
        <v>4</v>
      </c>
      <c r="D49" s="25">
        <v>1926</v>
      </c>
    </row>
    <row r="50" spans="2:4" x14ac:dyDescent="0.25">
      <c r="B50" s="1" t="s">
        <v>6</v>
      </c>
      <c r="C50" s="6">
        <v>528</v>
      </c>
      <c r="D50" s="25">
        <v>2290</v>
      </c>
    </row>
    <row r="51" spans="2:4" x14ac:dyDescent="0.25">
      <c r="B51" s="1" t="s">
        <v>7</v>
      </c>
      <c r="C51" s="6">
        <v>2296</v>
      </c>
      <c r="D51" s="25">
        <v>2958</v>
      </c>
    </row>
    <row r="52" spans="2:4" x14ac:dyDescent="0.25">
      <c r="B52" s="3" t="s">
        <v>8</v>
      </c>
      <c r="C52" s="8">
        <f>SUM(C48:C51)</f>
        <v>3406</v>
      </c>
      <c r="D52" s="4">
        <f>SUM(D48:D51)</f>
        <v>23077</v>
      </c>
    </row>
    <row r="54" spans="2:4" x14ac:dyDescent="0.25">
      <c r="B54" s="29" t="s">
        <v>11</v>
      </c>
      <c r="C54" s="29"/>
      <c r="D54" s="29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1254</v>
      </c>
      <c r="D56" s="25">
        <v>17530.989999999998</v>
      </c>
    </row>
    <row r="57" spans="2:4" x14ac:dyDescent="0.25">
      <c r="B57" s="10" t="s">
        <v>8</v>
      </c>
      <c r="C57" s="8">
        <f>SUM(C56:C56)</f>
        <v>1254</v>
      </c>
      <c r="D57" s="4">
        <f>SUM(D56:D56)</f>
        <v>17530.989999999998</v>
      </c>
    </row>
    <row r="59" spans="2:4" x14ac:dyDescent="0.25">
      <c r="B59" s="28" t="s">
        <v>38</v>
      </c>
      <c r="C59" s="28"/>
      <c r="D59" s="28"/>
    </row>
    <row r="60" spans="2:4" x14ac:dyDescent="0.25">
      <c r="B60" s="2" t="s">
        <v>1</v>
      </c>
      <c r="C60" s="2" t="s">
        <v>2</v>
      </c>
      <c r="D60" s="2" t="s">
        <v>3</v>
      </c>
    </row>
    <row r="61" spans="2:4" x14ac:dyDescent="0.25">
      <c r="B61" s="9" t="s">
        <v>4</v>
      </c>
      <c r="C61" s="6">
        <v>1002</v>
      </c>
      <c r="D61" s="25">
        <v>3688</v>
      </c>
    </row>
    <row r="62" spans="2:4" x14ac:dyDescent="0.25">
      <c r="B62" s="1" t="s">
        <v>5</v>
      </c>
      <c r="C62" s="6">
        <v>1067</v>
      </c>
      <c r="D62" s="25">
        <v>6925</v>
      </c>
    </row>
    <row r="63" spans="2:4" x14ac:dyDescent="0.25">
      <c r="B63" s="3" t="s">
        <v>8</v>
      </c>
      <c r="C63" s="8">
        <f>SUM(C61:C62)</f>
        <v>2069</v>
      </c>
      <c r="D63" s="4">
        <f>SUM(D61:D62)</f>
        <v>10613</v>
      </c>
    </row>
    <row r="65" spans="2:4" x14ac:dyDescent="0.25">
      <c r="B65" s="12" t="s">
        <v>13</v>
      </c>
      <c r="C65" s="13">
        <f>SUMIF(B:B, "Total general", C:C)</f>
        <v>89830</v>
      </c>
      <c r="D65" s="13">
        <f>SUMIF(B:B, "Total general", D:D)</f>
        <v>1725241.51</v>
      </c>
    </row>
  </sheetData>
  <mergeCells count="8">
    <mergeCell ref="B3:D3"/>
    <mergeCell ref="B12:D12"/>
    <mergeCell ref="B30:D30"/>
    <mergeCell ref="B59:D59"/>
    <mergeCell ref="B54:D54"/>
    <mergeCell ref="B38:D38"/>
    <mergeCell ref="B21:D21"/>
    <mergeCell ref="B46:D4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68"/>
  <sheetViews>
    <sheetView showGridLines="0" tabSelected="1" zoomScaleNormal="100" workbookViewId="0">
      <selection activeCell="C22" sqref="C2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10390</v>
      </c>
      <c r="D5" s="25">
        <v>171551.37</v>
      </c>
    </row>
    <row r="6" spans="2:8" x14ac:dyDescent="0.25">
      <c r="B6" s="1" t="s">
        <v>5</v>
      </c>
      <c r="C6" s="6">
        <v>5645</v>
      </c>
      <c r="D6" s="25">
        <v>72317.17</v>
      </c>
    </row>
    <row r="7" spans="2:8" x14ac:dyDescent="0.25">
      <c r="B7" s="1" t="s">
        <v>6</v>
      </c>
      <c r="C7" s="6">
        <v>9502</v>
      </c>
      <c r="D7" s="25">
        <v>60888.08</v>
      </c>
    </row>
    <row r="8" spans="2:8" x14ac:dyDescent="0.25">
      <c r="B8" s="5" t="s">
        <v>12</v>
      </c>
      <c r="C8" s="7">
        <v>2739</v>
      </c>
      <c r="D8" s="26">
        <v>0</v>
      </c>
    </row>
    <row r="9" spans="2:8" x14ac:dyDescent="0.25">
      <c r="B9" s="1" t="s">
        <v>7</v>
      </c>
      <c r="C9" s="6">
        <v>61002</v>
      </c>
      <c r="D9" s="25">
        <v>12908</v>
      </c>
      <c r="E9" s="14"/>
      <c r="F9" s="7"/>
    </row>
    <row r="10" spans="2:8" x14ac:dyDescent="0.25">
      <c r="B10" s="3" t="s">
        <v>8</v>
      </c>
      <c r="C10" s="8">
        <f>SUM(C5:C9)</f>
        <v>89278</v>
      </c>
      <c r="D10" s="4">
        <f>SUM(D5:D9)</f>
        <v>317664.62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846</v>
      </c>
      <c r="D14" s="25">
        <v>34376.479999999996</v>
      </c>
    </row>
    <row r="15" spans="2:8" x14ac:dyDescent="0.25">
      <c r="B15" s="1" t="s">
        <v>5</v>
      </c>
      <c r="C15" s="6">
        <v>708</v>
      </c>
      <c r="D15" s="25">
        <v>2476.4899999999998</v>
      </c>
    </row>
    <row r="16" spans="2:8" x14ac:dyDescent="0.25">
      <c r="B16" s="1" t="s">
        <v>6</v>
      </c>
      <c r="C16" s="6">
        <v>1005</v>
      </c>
      <c r="D16" s="25">
        <v>6558</v>
      </c>
    </row>
    <row r="17" spans="2:4" x14ac:dyDescent="0.25">
      <c r="B17" s="1" t="s">
        <v>7</v>
      </c>
      <c r="C17" s="6">
        <v>368</v>
      </c>
      <c r="D17" s="25">
        <v>3045</v>
      </c>
    </row>
    <row r="18" spans="2:4" x14ac:dyDescent="0.25">
      <c r="B18" s="3" t="s">
        <v>8</v>
      </c>
      <c r="C18" s="8">
        <f>SUM(C14:C17)</f>
        <v>2927</v>
      </c>
      <c r="D18" s="4">
        <f>SUM(D14:D17)</f>
        <v>46455.969999999994</v>
      </c>
    </row>
    <row r="20" spans="2:4" x14ac:dyDescent="0.25">
      <c r="B20" s="28" t="s">
        <v>0</v>
      </c>
      <c r="C20" s="28"/>
      <c r="D20" s="28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D22" s="25">
        <v>2932</v>
      </c>
    </row>
    <row r="23" spans="2:4" x14ac:dyDescent="0.25">
      <c r="B23" s="1" t="s">
        <v>5</v>
      </c>
      <c r="D23" s="25">
        <v>3271</v>
      </c>
    </row>
    <row r="24" spans="2:4" x14ac:dyDescent="0.25">
      <c r="B24" s="1" t="s">
        <v>6</v>
      </c>
      <c r="D24" s="25">
        <v>443</v>
      </c>
    </row>
    <row r="25" spans="2:4" x14ac:dyDescent="0.25">
      <c r="B25" s="5" t="s">
        <v>12</v>
      </c>
      <c r="D25" s="26">
        <v>0</v>
      </c>
    </row>
    <row r="26" spans="2:4" x14ac:dyDescent="0.25">
      <c r="B26" s="1" t="s">
        <v>7</v>
      </c>
      <c r="D26" s="25">
        <v>7556</v>
      </c>
    </row>
    <row r="27" spans="2:4" x14ac:dyDescent="0.25">
      <c r="B27" s="3" t="s">
        <v>8</v>
      </c>
      <c r="C27" s="8">
        <f>SUM(C22:C26)</f>
        <v>0</v>
      </c>
      <c r="D27" s="4">
        <f>SUM(D22:D26)</f>
        <v>14202</v>
      </c>
    </row>
    <row r="29" spans="2:4" x14ac:dyDescent="0.25">
      <c r="B29" s="29" t="s">
        <v>10</v>
      </c>
      <c r="C29" s="29"/>
      <c r="D29" s="29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D31" s="25">
        <v>3230.27</v>
      </c>
    </row>
    <row r="32" spans="2:4" x14ac:dyDescent="0.25">
      <c r="B32" s="9" t="s">
        <v>5</v>
      </c>
      <c r="D32" s="25">
        <v>1228.8400000000001</v>
      </c>
    </row>
    <row r="33" spans="2:4" x14ac:dyDescent="0.25">
      <c r="B33" s="9" t="s">
        <v>6</v>
      </c>
      <c r="D33" s="25">
        <v>3696</v>
      </c>
    </row>
    <row r="34" spans="2:4" x14ac:dyDescent="0.25">
      <c r="B34" s="5" t="s">
        <v>12</v>
      </c>
      <c r="C34" s="7"/>
      <c r="D34" s="7">
        <v>0</v>
      </c>
    </row>
    <row r="35" spans="2:4" x14ac:dyDescent="0.25">
      <c r="B35" s="9" t="s">
        <v>7</v>
      </c>
      <c r="D35" s="25">
        <v>600</v>
      </c>
    </row>
    <row r="36" spans="2:4" x14ac:dyDescent="0.25">
      <c r="B36" s="10" t="s">
        <v>8</v>
      </c>
      <c r="C36" s="8">
        <f>SUM(C31:C35)</f>
        <v>0</v>
      </c>
      <c r="D36" s="4">
        <f>SUM(D31:D35)</f>
        <v>8755.11</v>
      </c>
    </row>
    <row r="38" spans="2:4" x14ac:dyDescent="0.25">
      <c r="B38" s="28" t="s">
        <v>30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D40" s="26">
        <v>0</v>
      </c>
    </row>
    <row r="41" spans="2:4" x14ac:dyDescent="0.25">
      <c r="B41" s="1" t="s">
        <v>5</v>
      </c>
      <c r="D41" s="25">
        <v>1926</v>
      </c>
    </row>
    <row r="42" spans="2:4" x14ac:dyDescent="0.25">
      <c r="B42" s="1" t="s">
        <v>6</v>
      </c>
      <c r="D42" s="26">
        <v>0</v>
      </c>
    </row>
    <row r="43" spans="2:4" x14ac:dyDescent="0.25">
      <c r="B43" s="1" t="s">
        <v>7</v>
      </c>
      <c r="D43" s="26">
        <v>0</v>
      </c>
    </row>
    <row r="44" spans="2:4" x14ac:dyDescent="0.25">
      <c r="B44" s="3" t="s">
        <v>8</v>
      </c>
      <c r="C44" s="8">
        <f>SUM(C40:C43)</f>
        <v>0</v>
      </c>
      <c r="D44" s="4">
        <f>SUM(D40:D43)</f>
        <v>1926</v>
      </c>
    </row>
    <row r="46" spans="2:4" x14ac:dyDescent="0.25">
      <c r="B46" s="28" t="s">
        <v>36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1" t="s">
        <v>4</v>
      </c>
      <c r="D48" s="25">
        <v>763</v>
      </c>
    </row>
    <row r="49" spans="2:4" x14ac:dyDescent="0.25">
      <c r="B49" s="1" t="s">
        <v>5</v>
      </c>
      <c r="D49" s="26">
        <v>0</v>
      </c>
    </row>
    <row r="50" spans="2:4" x14ac:dyDescent="0.25">
      <c r="B50" s="1" t="s">
        <v>6</v>
      </c>
      <c r="D50" s="26">
        <v>0</v>
      </c>
    </row>
    <row r="51" spans="2:4" x14ac:dyDescent="0.25">
      <c r="B51" s="5" t="s">
        <v>12</v>
      </c>
      <c r="C51" s="6"/>
      <c r="D51" s="26">
        <v>0</v>
      </c>
    </row>
    <row r="52" spans="2:4" x14ac:dyDescent="0.25">
      <c r="B52" s="1" t="s">
        <v>7</v>
      </c>
      <c r="D52" s="25">
        <v>998</v>
      </c>
    </row>
    <row r="53" spans="2:4" x14ac:dyDescent="0.25">
      <c r="B53" s="3" t="s">
        <v>8</v>
      </c>
      <c r="C53" s="8">
        <f>SUM(C48:C52)</f>
        <v>0</v>
      </c>
      <c r="D53" s="4">
        <f>SUM(D48:D52)</f>
        <v>1761</v>
      </c>
    </row>
    <row r="55" spans="2:4" x14ac:dyDescent="0.25">
      <c r="B55" s="29" t="s">
        <v>11</v>
      </c>
      <c r="C55" s="29"/>
      <c r="D55" s="29"/>
    </row>
    <row r="56" spans="2:4" x14ac:dyDescent="0.25">
      <c r="B56" s="4" t="s">
        <v>1</v>
      </c>
      <c r="C56" s="4" t="s">
        <v>2</v>
      </c>
      <c r="D56" s="4" t="s">
        <v>3</v>
      </c>
    </row>
    <row r="57" spans="2:4" x14ac:dyDescent="0.25">
      <c r="B57" s="9" t="s">
        <v>4</v>
      </c>
      <c r="D57" s="25">
        <v>5</v>
      </c>
    </row>
    <row r="58" spans="2:4" x14ac:dyDescent="0.25">
      <c r="B58" s="10" t="s">
        <v>8</v>
      </c>
      <c r="C58" s="8">
        <f>SUM(C57:C57)</f>
        <v>0</v>
      </c>
      <c r="D58" s="4">
        <f>SUM(D57:D57)</f>
        <v>5</v>
      </c>
    </row>
    <row r="60" spans="2:4" x14ac:dyDescent="0.25">
      <c r="B60" s="28" t="s">
        <v>9</v>
      </c>
      <c r="C60" s="28"/>
      <c r="D60" s="28"/>
    </row>
    <row r="61" spans="2:4" x14ac:dyDescent="0.25">
      <c r="B61" s="2" t="s">
        <v>1</v>
      </c>
      <c r="C61" s="2" t="s">
        <v>2</v>
      </c>
      <c r="D61" s="2" t="s">
        <v>3</v>
      </c>
    </row>
    <row r="62" spans="2:4" x14ac:dyDescent="0.25">
      <c r="B62" s="9" t="s">
        <v>4</v>
      </c>
      <c r="C62" s="6"/>
      <c r="D62" s="26">
        <v>0</v>
      </c>
    </row>
    <row r="63" spans="2:4" x14ac:dyDescent="0.25">
      <c r="B63" s="9" t="s">
        <v>5</v>
      </c>
      <c r="C63" s="6"/>
      <c r="D63" s="26">
        <v>0</v>
      </c>
    </row>
    <row r="64" spans="2:4" x14ac:dyDescent="0.25">
      <c r="B64" s="9" t="s">
        <v>6</v>
      </c>
      <c r="D64" s="26">
        <v>0</v>
      </c>
    </row>
    <row r="65" spans="2:4" x14ac:dyDescent="0.25">
      <c r="B65" s="9" t="s">
        <v>7</v>
      </c>
      <c r="D65" s="26">
        <v>0</v>
      </c>
    </row>
    <row r="66" spans="2:4" x14ac:dyDescent="0.25">
      <c r="B66" s="10" t="s">
        <v>8</v>
      </c>
      <c r="C66" s="8">
        <f>SUM(C62:C65)</f>
        <v>0</v>
      </c>
      <c r="D66" s="4">
        <f>SUM(D62:D65)</f>
        <v>0</v>
      </c>
    </row>
    <row r="68" spans="2:4" x14ac:dyDescent="0.25">
      <c r="B68" s="12" t="s">
        <v>13</v>
      </c>
      <c r="C68" s="13">
        <f>SUMIF(B:B, "Total general", C:C)</f>
        <v>92205</v>
      </c>
      <c r="D68" s="13">
        <f>SUMIF(B:B, "Total general", D:D)</f>
        <v>390769.69999999995</v>
      </c>
    </row>
  </sheetData>
  <mergeCells count="9">
    <mergeCell ref="B60:D60"/>
    <mergeCell ref="B38:D38"/>
    <mergeCell ref="B55:D55"/>
    <mergeCell ref="B1:D1"/>
    <mergeCell ref="B3:D3"/>
    <mergeCell ref="B12:D12"/>
    <mergeCell ref="B20:D20"/>
    <mergeCell ref="B29:D29"/>
    <mergeCell ref="B46:D4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13251</v>
      </c>
      <c r="E6" s="16">
        <f>SUMIF('REPORTE DIARIO'!B:B,'EPR 26 JUN'!C6, 'REPORTE DIARIO'!D:D)</f>
        <v>766660.62</v>
      </c>
      <c r="F6" s="16">
        <f>J6*D6</f>
        <v>832920</v>
      </c>
      <c r="G6" s="16">
        <f>+E6-F6</f>
        <v>-66259.38</v>
      </c>
      <c r="H6" s="15">
        <f>ABS(G6/F6)</f>
        <v>7.9550713153724251E-2</v>
      </c>
      <c r="I6" s="16">
        <f>E6/D6</f>
        <v>57.856812316051617</v>
      </c>
      <c r="J6" s="16">
        <f>(220/7)*2</f>
        <v>62.857142857142854</v>
      </c>
      <c r="K6" s="16">
        <f>+I6-J6</f>
        <v>-5.0003305410912375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7870</v>
      </c>
      <c r="E7" s="16">
        <f>SUMIF('REPORTE DIARIO'!B:B,'EPR 26 JUN'!C7, 'REPORTE DIARIO'!D:D)</f>
        <v>230136.13</v>
      </c>
      <c r="F7" s="16">
        <f>J7*D7</f>
        <v>247342.85714285713</v>
      </c>
      <c r="G7" s="16">
        <f>+E7-F7</f>
        <v>-17206.727142857126</v>
      </c>
      <c r="H7" s="15">
        <f>ABS(G7/F7)</f>
        <v>6.9566298948827474E-2</v>
      </c>
      <c r="I7" s="16">
        <f>E7/D7</f>
        <v>29.24220203303685</v>
      </c>
      <c r="J7" s="16">
        <f>(110/7)*2</f>
        <v>31.428571428571427</v>
      </c>
      <c r="K7" s="16">
        <f t="shared" ref="K7:K9" si="0">+I7-J7</f>
        <v>-2.1863693955345767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13355</v>
      </c>
      <c r="E8" s="16">
        <f>SUMIF('REPORTE DIARIO'!B:B,'EPR 26 JUN'!C8, 'REPORTE DIARIO'!D:D)</f>
        <v>284701.31999999995</v>
      </c>
      <c r="F8" s="16">
        <f>J8*D8</f>
        <v>171707.14285714287</v>
      </c>
      <c r="G8" s="16">
        <f>+E8-F8</f>
        <v>112994.17714285708</v>
      </c>
      <c r="H8" s="15">
        <f>ABS(G8/F8)</f>
        <v>0.65806334706102543</v>
      </c>
      <c r="I8" s="16">
        <f>E8/D8</f>
        <v>21.317957319356044</v>
      </c>
      <c r="J8" s="16">
        <f>(45/7)*2</f>
        <v>12.857142857142858</v>
      </c>
      <c r="K8" s="16">
        <f t="shared" si="0"/>
        <v>8.460814462213186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55342</v>
      </c>
      <c r="E9" s="16">
        <f>SUMIF('REPORTE DIARIO'!B:B,'EPR 26 JUN'!C9, 'REPORTE DIARIO'!D:D)</f>
        <v>443660.43999999994</v>
      </c>
      <c r="F9" s="16">
        <f>J9*D9</f>
        <v>237180</v>
      </c>
      <c r="G9" s="16">
        <f>+E9-F9</f>
        <v>206480.43999999994</v>
      </c>
      <c r="H9" s="15">
        <f>ABS(G9/F9)</f>
        <v>0.87056429715827621</v>
      </c>
      <c r="I9" s="16">
        <f>E9/D9</f>
        <v>8.0167041306783258</v>
      </c>
      <c r="J9" s="16">
        <f>(15/7)*2</f>
        <v>4.2857142857142856</v>
      </c>
      <c r="K9" s="16">
        <f t="shared" si="0"/>
        <v>3.7309898449640402</v>
      </c>
    </row>
    <row r="10" spans="2:12" x14ac:dyDescent="0.25">
      <c r="B10" s="16"/>
      <c r="C10" s="19" t="s">
        <v>17</v>
      </c>
      <c r="D10" s="24">
        <f>SUM(D6:D9)</f>
        <v>89818</v>
      </c>
      <c r="E10" s="20">
        <f>SUM(E6:E9)</f>
        <v>1725158.5099999998</v>
      </c>
      <c r="F10" s="20">
        <f>SUM(F6:F9)</f>
        <v>1489150</v>
      </c>
      <c r="G10" s="20">
        <f>+E10-F10</f>
        <v>236008.50999999978</v>
      </c>
      <c r="H10" s="21">
        <f>ABS(G10/F10)</f>
        <v>0.15848538427962244</v>
      </c>
      <c r="I10" s="20">
        <f>E10/D10</f>
        <v>19.207269255605777</v>
      </c>
      <c r="J10" s="20">
        <f>F10/D10</f>
        <v>16.579638825179806</v>
      </c>
      <c r="K10" s="20">
        <f>I10-J10</f>
        <v>2.6276304304259703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2025-08-06T02:11:01Z</cp:lastPrinted>
  <dcterms:created xsi:type="dcterms:W3CDTF">2025-01-27T15:11:28Z</dcterms:created>
  <dcterms:modified xsi:type="dcterms:W3CDTF">2025-08-08T15:45:37Z</dcterms:modified>
</cp:coreProperties>
</file>