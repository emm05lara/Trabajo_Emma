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6 AGO\NOCHE\"/>
    </mc:Choice>
  </mc:AlternateContent>
  <xr:revisionPtr revIDLastSave="0" documentId="13_ncr:1_{7A9C9C5B-6C48-4276-95AB-8B1F5640955A}" xr6:coauthVersionLast="47" xr6:coauthVersionMax="47" xr10:uidLastSave="{00000000-0000-0000-0000-000000000000}"/>
  <bookViews>
    <workbookView xWindow="-120" yWindow="-120" windowWidth="51840" windowHeight="2112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5" l="1"/>
  <c r="D66" i="5"/>
  <c r="C66" i="5"/>
  <c r="D44" i="5"/>
  <c r="C44" i="5"/>
  <c r="C61" i="5"/>
  <c r="D53" i="5"/>
  <c r="C53" i="5"/>
  <c r="D36" i="5"/>
  <c r="C36" i="5"/>
  <c r="D27" i="5"/>
  <c r="C27" i="5"/>
  <c r="D63" i="1"/>
  <c r="C63" i="1"/>
  <c r="D10" i="5"/>
  <c r="D18" i="5"/>
  <c r="C18" i="5"/>
  <c r="C10" i="5"/>
  <c r="J9" i="3"/>
  <c r="J8" i="3"/>
  <c r="J7" i="3"/>
  <c r="J6" i="3"/>
  <c r="C52" i="1"/>
  <c r="D68" i="5" l="1"/>
  <c r="C68" i="5"/>
  <c r="C28" i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5" i="1" l="1"/>
  <c r="D65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<sst xmlns="http://schemas.openxmlformats.org/spreadsheetml/2006/main" count="172" uniqueCount="40">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</sst>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5"/>
  <sheetViews>
    <sheetView showGridLines="0" topLeftCell="A31" zoomScaleNormal="100" workbookViewId="0">
      <selection activeCell="C40" sqref="C40: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4791</v>
      </c>
      <c r="D5" s="25">
        <v>362899.32</v>
      </c>
    </row>
    <row r="6" spans="2:8" x14ac:dyDescent="0.25">
      <c r="B6" s="1" t="s">
        <v>5</v>
      </c>
      <c r="C6" s="6">
        <v>3997</v>
      </c>
      <c r="D6" s="25">
        <v>99272.489999999991</v>
      </c>
    </row>
    <row r="7" spans="2:8" x14ac:dyDescent="0.25">
      <c r="B7" s="1" t="s">
        <v>6</v>
      </c>
      <c r="C7" s="6">
        <v>6767</v>
      </c>
      <c r="D7" s="25">
        <v>99930.739999999991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21455</v>
      </c>
      <c r="D9" s="25">
        <v>202127.11000000002</v>
      </c>
      <c r="E9" s="14"/>
      <c r="F9" s="7"/>
    </row>
    <row r="10" spans="2:8" x14ac:dyDescent="0.25">
      <c r="B10" s="3" t="s">
        <v>8</v>
      </c>
      <c r="C10" s="8">
        <f>SUM(C5:C9)</f>
        <v>37021</v>
      </c>
      <c r="D10" s="4">
        <f>SUM(D5:D9)</f>
        <v>764229.66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2295</v>
      </c>
      <c r="D14" s="25">
        <v>114172.33</v>
      </c>
    </row>
    <row r="15" spans="2:8" x14ac:dyDescent="0.25">
      <c r="B15" s="9" t="s">
        <v>5</v>
      </c>
      <c r="C15" s="6">
        <v>411</v>
      </c>
      <c r="D15" s="25">
        <v>33579.550000000003</v>
      </c>
    </row>
    <row r="16" spans="2:8" x14ac:dyDescent="0.25">
      <c r="B16" s="9" t="s">
        <v>6</v>
      </c>
      <c r="C16" s="6">
        <v>1345</v>
      </c>
      <c r="D16" s="25">
        <v>17378</v>
      </c>
    </row>
    <row r="17" spans="2:4" x14ac:dyDescent="0.25">
      <c r="B17" s="5" t="s">
        <v>12</v>
      </c>
      <c r="C17" s="7">
        <v>1</v>
      </c>
      <c r="D17" s="25">
        <v>44</v>
      </c>
    </row>
    <row r="18" spans="2:4" x14ac:dyDescent="0.25">
      <c r="B18" s="9" t="s">
        <v>7</v>
      </c>
      <c r="C18" s="6">
        <v>12069</v>
      </c>
      <c r="D18" s="25">
        <v>29752.720000000001</v>
      </c>
    </row>
    <row r="19" spans="2:4" x14ac:dyDescent="0.25">
      <c r="B19" s="10" t="s">
        <v>8</v>
      </c>
      <c r="C19" s="8">
        <f>SUM(C14:C18)</f>
        <v>16121</v>
      </c>
      <c r="D19" s="4">
        <f>SUM(D14:D18)</f>
        <v>194926.6</v>
      </c>
    </row>
    <row r="21" spans="2:4" x14ac:dyDescent="0.25">
      <c r="B21" s="27" t="s">
        <v>36</v>
      </c>
      <c r="C21" s="27"/>
      <c r="D21" s="27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1901</v>
      </c>
      <c r="D23" s="25">
        <v>45937.399999999994</v>
      </c>
    </row>
    <row r="24" spans="2:4" x14ac:dyDescent="0.25">
      <c r="B24" s="1" t="s">
        <v>5</v>
      </c>
      <c r="C24" s="6">
        <v>1300</v>
      </c>
      <c r="D24" s="25">
        <v>10163</v>
      </c>
    </row>
    <row r="25" spans="2:4" x14ac:dyDescent="0.25">
      <c r="B25" s="1" t="s">
        <v>6</v>
      </c>
      <c r="C25" s="6">
        <v>3520</v>
      </c>
      <c r="D25" s="25">
        <v>36008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18239</v>
      </c>
      <c r="D27" s="25">
        <v>37044.880000000005</v>
      </c>
    </row>
    <row r="28" spans="2:4" x14ac:dyDescent="0.25">
      <c r="B28" s="3" t="s">
        <v>8</v>
      </c>
      <c r="C28" s="8">
        <f>SUM(C23:C27)</f>
        <v>24960</v>
      </c>
      <c r="D28" s="4">
        <f>SUM(D23:D27)</f>
        <v>129153.28</v>
      </c>
    </row>
    <row r="30" spans="2:4" x14ac:dyDescent="0.25">
      <c r="B30" s="27" t="s">
        <v>9</v>
      </c>
      <c r="C30" s="27"/>
      <c r="D30" s="27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569</v>
      </c>
      <c r="D32" s="25">
        <v>36167.259999999995</v>
      </c>
    </row>
    <row r="33" spans="2:4" x14ac:dyDescent="0.25">
      <c r="B33" s="9" t="s">
        <v>5</v>
      </c>
      <c r="C33" s="6">
        <v>407</v>
      </c>
      <c r="D33" s="25">
        <v>38476.589999999997</v>
      </c>
    </row>
    <row r="34" spans="2:4" x14ac:dyDescent="0.25">
      <c r="B34" s="9" t="s">
        <v>6</v>
      </c>
      <c r="C34" s="6">
        <v>307</v>
      </c>
      <c r="D34" s="25">
        <v>20287.599999999999</v>
      </c>
    </row>
    <row r="35" spans="2:4" x14ac:dyDescent="0.25">
      <c r="B35" s="9" t="s">
        <v>7</v>
      </c>
      <c r="C35" s="6">
        <v>711</v>
      </c>
      <c r="D35" s="25">
        <v>3027</v>
      </c>
    </row>
    <row r="36" spans="2:4" x14ac:dyDescent="0.25">
      <c r="B36" s="10" t="s">
        <v>8</v>
      </c>
      <c r="C36" s="8">
        <f>SUM(C32:C35)</f>
        <v>1994</v>
      </c>
      <c r="D36" s="4">
        <f>SUM(D32:D35)</f>
        <v>97958.449999999983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809</v>
      </c>
      <c r="D40" s="25">
        <v>25436.48</v>
      </c>
    </row>
    <row r="41" spans="2:4" x14ac:dyDescent="0.25">
      <c r="B41" s="1" t="s">
        <v>5</v>
      </c>
      <c r="C41" s="6">
        <v>694</v>
      </c>
      <c r="D41" s="25">
        <v>2476</v>
      </c>
    </row>
    <row r="42" spans="2:4" x14ac:dyDescent="0.25">
      <c r="B42" s="1" t="s">
        <v>6</v>
      </c>
      <c r="C42" s="6">
        <v>1001</v>
      </c>
      <c r="D42" s="25">
        <v>2979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2872</v>
      </c>
      <c r="D44" s="4">
        <f>SUM(D40:D43)</f>
        <v>33936.479999999996</v>
      </c>
    </row>
    <row r="46" spans="2:4" x14ac:dyDescent="0.25">
      <c r="B46" s="27" t="s">
        <v>30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579</v>
      </c>
      <c r="D48" s="25">
        <v>12465</v>
      </c>
    </row>
    <row r="49" spans="2:4" x14ac:dyDescent="0.25">
      <c r="B49" s="1" t="s">
        <v>5</v>
      </c>
      <c r="C49" s="6">
        <v>4</v>
      </c>
      <c r="D49" s="25">
        <v>1926</v>
      </c>
    </row>
    <row r="50" spans="2:4" x14ac:dyDescent="0.25">
      <c r="B50" s="1" t="s">
        <v>6</v>
      </c>
      <c r="C50" s="6">
        <v>528</v>
      </c>
      <c r="D50" s="25">
        <v>1320</v>
      </c>
    </row>
    <row r="51" spans="2:4" x14ac:dyDescent="0.25">
      <c r="B51" s="1" t="s">
        <v>7</v>
      </c>
      <c r="C51" s="6">
        <v>2296</v>
      </c>
      <c r="D51" s="25">
        <v>2958</v>
      </c>
    </row>
    <row r="52" spans="2:4" x14ac:dyDescent="0.25">
      <c r="B52" s="3" t="s">
        <v>8</v>
      </c>
      <c r="C52" s="8">
        <f>SUM(C48:C51)</f>
        <v>3407</v>
      </c>
      <c r="D52" s="4">
        <f>SUM(D48:D51)</f>
        <v>18669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1227</v>
      </c>
      <c r="D56" s="25">
        <v>14659.99</v>
      </c>
    </row>
    <row r="57" spans="2:4" x14ac:dyDescent="0.25">
      <c r="B57" s="10" t="s">
        <v>8</v>
      </c>
      <c r="C57" s="8">
        <f>SUM(C56:C56)</f>
        <v>1227</v>
      </c>
      <c r="D57" s="4">
        <f>SUM(D56:D56)</f>
        <v>14659.99</v>
      </c>
    </row>
    <row r="59" spans="2:4" x14ac:dyDescent="0.25">
      <c r="B59" s="27" t="s">
        <v>38</v>
      </c>
      <c r="C59" s="27"/>
      <c r="D59" s="27"/>
    </row>
    <row r="60" spans="2:4" x14ac:dyDescent="0.25">
      <c r="B60" s="2" t="s">
        <v>1</v>
      </c>
      <c r="C60" s="2" t="s">
        <v>2</v>
      </c>
      <c r="D60" s="2" t="s">
        <v>3</v>
      </c>
    </row>
    <row r="61" spans="2:4" x14ac:dyDescent="0.25">
      <c r="B61" s="9" t="s">
        <v>4</v>
      </c>
      <c r="C61" s="6">
        <v>1011</v>
      </c>
      <c r="D61" s="25">
        <v>3688</v>
      </c>
    </row>
    <row r="62" spans="2:4" x14ac:dyDescent="0.25">
      <c r="B62" s="1" t="s">
        <v>5</v>
      </c>
      <c r="C62" s="6">
        <v>1075</v>
      </c>
      <c r="D62" s="26">
        <v>0</v>
      </c>
    </row>
    <row r="63" spans="2:4" x14ac:dyDescent="0.25">
      <c r="B63" s="3" t="s">
        <v>8</v>
      </c>
      <c r="C63" s="8">
        <f>SUM(C61:C62)</f>
        <v>2086</v>
      </c>
      <c r="D63" s="4">
        <f>SUM(D61:D62)</f>
        <v>3688</v>
      </c>
    </row>
    <row r="65" spans="2:4" x14ac:dyDescent="0.25">
      <c r="B65" s="12" t="s">
        <v>13</v>
      </c>
      <c r="C65" s="13">
        <f>SUMIF(B:B, "Total general", C:C)</f>
        <v>89688</v>
      </c>
      <c r="D65" s="13">
        <f>SUMIF(B:B, "Total general", D:D)</f>
        <v>1257221.46</v>
      </c>
    </row>
  </sheetData>
  <mergeCells count="8">
    <mergeCell ref="B3:D3"/>
    <mergeCell ref="B12:D12"/>
    <mergeCell ref="B30:D30"/>
    <mergeCell ref="B59:D59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68"/>
  <sheetViews>
    <sheetView showGridLines="0" tabSelected="1" zoomScaleNormal="100" workbookViewId="0">
      <selection activeCell="B1" sqref="B1:D6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7" t="s">
        <v>39</v>
      </c>
      <c r="C1" s="27"/>
      <c r="D1" s="27"/>
    </row>
    <row r="3" spans="2:8" x14ac:dyDescent="0.25">
      <c r="B3" s="27" t="s">
        <v>37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10434</v>
      </c>
      <c r="D5" s="25">
        <v>133253.22</v>
      </c>
    </row>
    <row r="6" spans="2:8" x14ac:dyDescent="0.25">
      <c r="B6" s="1" t="s">
        <v>5</v>
      </c>
      <c r="C6" s="6">
        <v>5752</v>
      </c>
      <c r="D6" s="25">
        <v>49622.26</v>
      </c>
    </row>
    <row r="7" spans="2:8" x14ac:dyDescent="0.25">
      <c r="B7" s="1" t="s">
        <v>6</v>
      </c>
      <c r="C7" s="6">
        <v>9588</v>
      </c>
      <c r="D7" s="25">
        <v>28746</v>
      </c>
    </row>
    <row r="8" spans="2:8" x14ac:dyDescent="0.25">
      <c r="B8" s="5" t="s">
        <v>12</v>
      </c>
      <c r="C8" s="7">
        <v>2739</v>
      </c>
      <c r="D8" s="26">
        <v>0</v>
      </c>
    </row>
    <row r="9" spans="2:8" x14ac:dyDescent="0.25">
      <c r="B9" s="1" t="s">
        <v>7</v>
      </c>
      <c r="C9" s="6">
        <v>60961</v>
      </c>
      <c r="D9" s="25">
        <v>6137</v>
      </c>
      <c r="E9" s="14"/>
      <c r="F9" s="7"/>
    </row>
    <row r="10" spans="2:8" x14ac:dyDescent="0.25">
      <c r="B10" s="3" t="s">
        <v>8</v>
      </c>
      <c r="C10" s="8">
        <f>SUM(C5:C9)</f>
        <v>89474</v>
      </c>
      <c r="D10" s="4">
        <f>SUM(D5:D9)</f>
        <v>217758.48</v>
      </c>
      <c r="E10" s="11" t="s">
        <v>14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809</v>
      </c>
      <c r="D14" s="25">
        <v>25436.48</v>
      </c>
    </row>
    <row r="15" spans="2:8" x14ac:dyDescent="0.25">
      <c r="B15" s="1" t="s">
        <v>5</v>
      </c>
      <c r="C15" s="6">
        <v>694</v>
      </c>
      <c r="D15" s="25">
        <v>2476</v>
      </c>
    </row>
    <row r="16" spans="2:8" x14ac:dyDescent="0.25">
      <c r="B16" s="1" t="s">
        <v>6</v>
      </c>
      <c r="C16" s="6">
        <v>1001</v>
      </c>
      <c r="D16" s="25">
        <v>2979</v>
      </c>
    </row>
    <row r="17" spans="2:4" x14ac:dyDescent="0.25">
      <c r="B17" s="1" t="s">
        <v>7</v>
      </c>
      <c r="C17" s="6">
        <v>368</v>
      </c>
      <c r="D17" s="25">
        <v>3045</v>
      </c>
    </row>
    <row r="18" spans="2:4" x14ac:dyDescent="0.25">
      <c r="B18" s="3" t="s">
        <v>8</v>
      </c>
      <c r="C18" s="8">
        <f>SUM(C14:C17)</f>
        <v>2872</v>
      </c>
      <c r="D18" s="4">
        <f>SUM(D14:D17)</f>
        <v>33936.479999999996</v>
      </c>
    </row>
    <row r="20" spans="2:4" x14ac:dyDescent="0.25">
      <c r="B20" s="27" t="s">
        <v>0</v>
      </c>
      <c r="C20" s="27"/>
      <c r="D20" s="27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>
        <v>14</v>
      </c>
      <c r="D22" s="25">
        <v>2932</v>
      </c>
    </row>
    <row r="23" spans="2:4" x14ac:dyDescent="0.25">
      <c r="B23" s="1" t="s">
        <v>5</v>
      </c>
      <c r="C23">
        <v>7</v>
      </c>
      <c r="D23" s="25">
        <v>2461</v>
      </c>
    </row>
    <row r="24" spans="2:4" x14ac:dyDescent="0.25">
      <c r="B24" s="1" t="s">
        <v>6</v>
      </c>
      <c r="C24">
        <v>81</v>
      </c>
      <c r="D24" s="25">
        <v>443</v>
      </c>
    </row>
    <row r="25" spans="2:4" x14ac:dyDescent="0.25">
      <c r="B25" s="5" t="s">
        <v>12</v>
      </c>
      <c r="C25">
        <v>1</v>
      </c>
      <c r="D25" s="26">
        <v>0</v>
      </c>
    </row>
    <row r="26" spans="2:4" x14ac:dyDescent="0.25">
      <c r="B26" s="1" t="s">
        <v>7</v>
      </c>
      <c r="C26">
        <v>321</v>
      </c>
      <c r="D26" s="25">
        <v>7556</v>
      </c>
    </row>
    <row r="27" spans="2:4" x14ac:dyDescent="0.25">
      <c r="B27" s="3" t="s">
        <v>8</v>
      </c>
      <c r="C27" s="8">
        <f>SUM(C22:C26)</f>
        <v>424</v>
      </c>
      <c r="D27" s="4">
        <f>SUM(D22:D26)</f>
        <v>13392</v>
      </c>
    </row>
    <row r="29" spans="2:4" x14ac:dyDescent="0.25">
      <c r="B29" s="28" t="s">
        <v>10</v>
      </c>
      <c r="C29" s="28"/>
      <c r="D29" s="28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5</v>
      </c>
      <c r="D31" s="25">
        <v>339</v>
      </c>
    </row>
    <row r="32" spans="2:4" x14ac:dyDescent="0.25">
      <c r="B32" s="9" t="s">
        <v>5</v>
      </c>
      <c r="C32">
        <v>3</v>
      </c>
      <c r="D32" s="25">
        <v>659</v>
      </c>
    </row>
    <row r="33" spans="2:4" x14ac:dyDescent="0.25">
      <c r="B33" s="9" t="s">
        <v>6</v>
      </c>
      <c r="C33">
        <v>28</v>
      </c>
      <c r="D33" s="25">
        <v>3696</v>
      </c>
    </row>
    <row r="34" spans="2:4" x14ac:dyDescent="0.25">
      <c r="B34" s="5" t="s">
        <v>12</v>
      </c>
      <c r="C34" s="7">
        <v>0</v>
      </c>
      <c r="D34" s="7">
        <v>0</v>
      </c>
    </row>
    <row r="35" spans="2:4" x14ac:dyDescent="0.25">
      <c r="B35" s="9" t="s">
        <v>7</v>
      </c>
      <c r="C35">
        <v>175</v>
      </c>
      <c r="D35" s="25">
        <v>600</v>
      </c>
    </row>
    <row r="36" spans="2:4" x14ac:dyDescent="0.25">
      <c r="B36" s="10" t="s">
        <v>8</v>
      </c>
      <c r="C36" s="8">
        <f>SUM(C31:C35)</f>
        <v>211</v>
      </c>
      <c r="D36" s="4">
        <f>SUM(D31:D35)</f>
        <v>5294</v>
      </c>
    </row>
    <row r="38" spans="2:4" x14ac:dyDescent="0.25">
      <c r="B38" s="27" t="s">
        <v>30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>
        <v>2</v>
      </c>
      <c r="D40" s="26">
        <v>0</v>
      </c>
    </row>
    <row r="41" spans="2:4" x14ac:dyDescent="0.25">
      <c r="B41" s="1" t="s">
        <v>5</v>
      </c>
      <c r="C41">
        <v>1</v>
      </c>
      <c r="D41" s="25">
        <v>1926</v>
      </c>
    </row>
    <row r="42" spans="2:4" x14ac:dyDescent="0.25">
      <c r="B42" s="1" t="s">
        <v>6</v>
      </c>
      <c r="C42">
        <v>10</v>
      </c>
      <c r="D42" s="26">
        <v>0</v>
      </c>
    </row>
    <row r="43" spans="2:4" x14ac:dyDescent="0.25">
      <c r="B43" s="1" t="s">
        <v>7</v>
      </c>
      <c r="C43">
        <v>64</v>
      </c>
      <c r="D43" s="26">
        <v>0</v>
      </c>
    </row>
    <row r="44" spans="2:4" x14ac:dyDescent="0.25">
      <c r="B44" s="3" t="s">
        <v>8</v>
      </c>
      <c r="C44" s="8">
        <f>SUM(C40:C43)</f>
        <v>77</v>
      </c>
      <c r="D44" s="4">
        <f>SUM(D40:D43)</f>
        <v>1926</v>
      </c>
    </row>
    <row r="46" spans="2:4" x14ac:dyDescent="0.25">
      <c r="B46" s="27" t="s">
        <v>36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1" t="s">
        <v>4</v>
      </c>
      <c r="C48">
        <v>4</v>
      </c>
      <c r="D48" s="26">
        <v>0</v>
      </c>
    </row>
    <row r="49" spans="2:4" x14ac:dyDescent="0.25">
      <c r="B49" s="1" t="s">
        <v>5</v>
      </c>
      <c r="C49">
        <v>4</v>
      </c>
      <c r="D49" s="26">
        <v>0</v>
      </c>
    </row>
    <row r="50" spans="2:4" x14ac:dyDescent="0.25">
      <c r="B50" s="1" t="s">
        <v>6</v>
      </c>
      <c r="C50">
        <v>44</v>
      </c>
      <c r="D50" s="26">
        <v>0</v>
      </c>
    </row>
    <row r="51" spans="2:4" x14ac:dyDescent="0.25">
      <c r="B51" s="5" t="s">
        <v>12</v>
      </c>
      <c r="C51" s="6">
        <v>0</v>
      </c>
      <c r="D51" s="26">
        <v>0</v>
      </c>
    </row>
    <row r="52" spans="2:4" x14ac:dyDescent="0.25">
      <c r="B52" s="1" t="s">
        <v>7</v>
      </c>
      <c r="C52">
        <v>336</v>
      </c>
      <c r="D52" s="25">
        <v>998</v>
      </c>
    </row>
    <row r="53" spans="2:4" x14ac:dyDescent="0.25">
      <c r="B53" s="3" t="s">
        <v>8</v>
      </c>
      <c r="C53" s="8">
        <f>SUM(C48:C52)</f>
        <v>388</v>
      </c>
      <c r="D53" s="4">
        <f>SUM(D48:D52)</f>
        <v>998</v>
      </c>
    </row>
    <row r="55" spans="2:4" x14ac:dyDescent="0.25">
      <c r="B55" s="27" t="s">
        <v>9</v>
      </c>
      <c r="C55" s="27"/>
      <c r="D55" s="27"/>
    </row>
    <row r="56" spans="2:4" x14ac:dyDescent="0.25">
      <c r="B56" s="2" t="s">
        <v>1</v>
      </c>
      <c r="C56" s="2" t="s">
        <v>2</v>
      </c>
      <c r="D56" s="2" t="s">
        <v>3</v>
      </c>
    </row>
    <row r="57" spans="2:4" x14ac:dyDescent="0.25">
      <c r="B57" s="9" t="s">
        <v>4</v>
      </c>
      <c r="C57" s="6">
        <v>0</v>
      </c>
      <c r="D57" s="26">
        <v>0</v>
      </c>
    </row>
    <row r="58" spans="2:4" x14ac:dyDescent="0.25">
      <c r="B58" s="9" t="s">
        <v>5</v>
      </c>
      <c r="C58" s="6">
        <v>0</v>
      </c>
      <c r="D58" s="26">
        <v>0</v>
      </c>
    </row>
    <row r="59" spans="2:4" x14ac:dyDescent="0.25">
      <c r="B59" s="9" t="s">
        <v>6</v>
      </c>
      <c r="C59">
        <v>4</v>
      </c>
      <c r="D59" s="26">
        <v>0</v>
      </c>
    </row>
    <row r="60" spans="2:4" x14ac:dyDescent="0.25">
      <c r="B60" s="9" t="s">
        <v>7</v>
      </c>
      <c r="C60">
        <v>61</v>
      </c>
      <c r="D60" s="26">
        <v>0</v>
      </c>
    </row>
    <row r="61" spans="2:4" x14ac:dyDescent="0.25">
      <c r="B61" s="10" t="s">
        <v>8</v>
      </c>
      <c r="C61" s="8">
        <f>SUM(C57:C60)</f>
        <v>65</v>
      </c>
      <c r="D61" s="4">
        <f>SUM(D57:D60)</f>
        <v>0</v>
      </c>
    </row>
    <row r="63" spans="2:4" x14ac:dyDescent="0.25">
      <c r="B63" s="28" t="s">
        <v>11</v>
      </c>
      <c r="C63" s="28"/>
      <c r="D63" s="28"/>
    </row>
    <row r="64" spans="2:4" x14ac:dyDescent="0.25">
      <c r="B64" s="4" t="s">
        <v>1</v>
      </c>
      <c r="C64" s="4" t="s">
        <v>2</v>
      </c>
      <c r="D64" s="4" t="s">
        <v>3</v>
      </c>
    </row>
    <row r="65" spans="2:4" x14ac:dyDescent="0.25">
      <c r="B65" s="9" t="s">
        <v>4</v>
      </c>
      <c r="C65">
        <v>3</v>
      </c>
      <c r="D65" s="26">
        <v>0</v>
      </c>
    </row>
    <row r="66" spans="2:4" x14ac:dyDescent="0.25">
      <c r="B66" s="10" t="s">
        <v>8</v>
      </c>
      <c r="C66" s="8">
        <f>SUM(C65:C65)</f>
        <v>3</v>
      </c>
      <c r="D66" s="4">
        <f>SUM(D65:D65)</f>
        <v>0</v>
      </c>
    </row>
    <row r="68" spans="2:4" x14ac:dyDescent="0.25">
      <c r="B68" s="12" t="s">
        <v>13</v>
      </c>
      <c r="C68" s="13">
        <f>SUMIF(B:B, "Total general", C:C)</f>
        <v>93514</v>
      </c>
      <c r="D68" s="13">
        <f>SUMIF(B:B, "Total general", D:D)</f>
        <v>273304.96000000002</v>
      </c>
    </row>
  </sheetData>
  <mergeCells count="9">
    <mergeCell ref="B55:D55"/>
    <mergeCell ref="B38:D38"/>
    <mergeCell ref="B63:D63"/>
    <mergeCell ref="B1:D1"/>
    <mergeCell ref="B3:D3"/>
    <mergeCell ref="B12:D12"/>
    <mergeCell ref="B20:D20"/>
    <mergeCell ref="B29:D29"/>
    <mergeCell ref="B46:D4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13182</v>
      </c>
      <c r="E6" s="16">
        <f>SUMIF('REPORTE DIARIO'!B:B,'EPR 26 JUN'!C6, 'REPORTE DIARIO'!D:D)</f>
        <v>615425.78</v>
      </c>
      <c r="F6" s="16">
        <f>J6*D6</f>
        <v>828582.85714285716</v>
      </c>
      <c r="G6" s="16">
        <f>+E6-F6</f>
        <v>-213157.07714285713</v>
      </c>
      <c r="H6" s="15">
        <f>ABS(G6/F6)</f>
        <v>0.25725499303457883</v>
      </c>
      <c r="I6" s="16">
        <f>E6/D6</f>
        <v>46.68682900925505</v>
      </c>
      <c r="J6" s="16">
        <f>(220/7)*2</f>
        <v>62.857142857142854</v>
      </c>
      <c r="K6" s="16">
        <f>+I6-J6</f>
        <v>-16.170313847887805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7888</v>
      </c>
      <c r="E7" s="16">
        <f>SUMIF('REPORTE DIARIO'!B:B,'EPR 26 JUN'!C7, 'REPORTE DIARIO'!D:D)</f>
        <v>185893.62999999998</v>
      </c>
      <c r="F7" s="16">
        <f>J7*D7</f>
        <v>247908.57142857142</v>
      </c>
      <c r="G7" s="16">
        <f>+E7-F7</f>
        <v>-62014.941428571445</v>
      </c>
      <c r="H7" s="15">
        <f>ABS(G7/F7)</f>
        <v>0.25015246980453631</v>
      </c>
      <c r="I7" s="16">
        <f>E7/D7</f>
        <v>23.566636663286001</v>
      </c>
      <c r="J7" s="16">
        <f>(110/7)*2</f>
        <v>31.428571428571427</v>
      </c>
      <c r="K7" s="16">
        <f t="shared" ref="K7:K9" si="0">+I7-J7</f>
        <v>-7.8619347652854259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13468</v>
      </c>
      <c r="E8" s="16">
        <f>SUMIF('REPORTE DIARIO'!B:B,'EPR 26 JUN'!C8, 'REPORTE DIARIO'!D:D)</f>
        <v>177903.34</v>
      </c>
      <c r="F8" s="16">
        <f>J8*D8</f>
        <v>173160</v>
      </c>
      <c r="G8" s="16">
        <f>+E8-F8</f>
        <v>4743.3399999999965</v>
      </c>
      <c r="H8" s="15">
        <f>ABS(G8/F8)</f>
        <v>2.7392815892815874E-2</v>
      </c>
      <c r="I8" s="16">
        <f>E8/D8</f>
        <v>13.209336204336203</v>
      </c>
      <c r="J8" s="16">
        <f>(45/7)*2</f>
        <v>12.857142857142858</v>
      </c>
      <c r="K8" s="16">
        <f t="shared" si="0"/>
        <v>0.35219334719334583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55138</v>
      </c>
      <c r="E9" s="16">
        <f>SUMIF('REPORTE DIARIO'!B:B,'EPR 26 JUN'!C9, 'REPORTE DIARIO'!D:D)</f>
        <v>277954.71000000002</v>
      </c>
      <c r="F9" s="16">
        <f>J9*D9</f>
        <v>236305.71428571429</v>
      </c>
      <c r="G9" s="16">
        <f>+E9-F9</f>
        <v>41648.995714285731</v>
      </c>
      <c r="H9" s="15">
        <f>ABS(G9/F9)</f>
        <v>0.17625048061228199</v>
      </c>
      <c r="I9" s="16">
        <f>E9/D9</f>
        <v>5.041073488338351</v>
      </c>
      <c r="J9" s="16">
        <f>(15/7)*2</f>
        <v>4.2857142857142856</v>
      </c>
      <c r="K9" s="16">
        <f t="shared" si="0"/>
        <v>0.75535920262406542</v>
      </c>
    </row>
    <row r="10" spans="2:12" x14ac:dyDescent="0.25">
      <c r="B10" s="16"/>
      <c r="C10" s="19" t="s">
        <v>17</v>
      </c>
      <c r="D10" s="24">
        <f>SUM(D6:D9)</f>
        <v>89676</v>
      </c>
      <c r="E10" s="20">
        <f>SUM(E6:E9)</f>
        <v>1257177.46</v>
      </c>
      <c r="F10" s="20">
        <f>SUM(F6:F9)</f>
        <v>1485957.142857143</v>
      </c>
      <c r="G10" s="20">
        <f>+E10-F10</f>
        <v>-228779.68285714299</v>
      </c>
      <c r="H10" s="21">
        <f>ABS(G10/F10)</f>
        <v>0.15396115827220558</v>
      </c>
      <c r="I10" s="20">
        <f>E10/D10</f>
        <v>14.019107230474152</v>
      </c>
      <c r="J10" s="20">
        <f>F10/D10</f>
        <v>16.570287957281135</v>
      </c>
      <c r="K10" s="20">
        <f>I10-J10</f>
        <v>-2.551180726806983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2025-08-06T02:11:01Z</cp:lastPrinted>
  <dcterms:created xsi:type="dcterms:W3CDTF">2025-01-27T15:11:28Z</dcterms:created>
  <dcterms:modified xsi:type="dcterms:W3CDTF">2025-08-07T02:11:15Z</dcterms:modified>
</cp:coreProperties>
</file>