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6 AGO\MAÑANA\"/>
    </mc:Choice>
  </mc:AlternateContent>
  <xr:revisionPtr revIDLastSave="0" documentId="13_ncr:1_{8EB2D426-BA72-4CA2-8CF2-B470C603E45D}" xr6:coauthVersionLast="47" xr6:coauthVersionMax="47" xr10:uidLastSave="{00000000-0000-0000-0000-000000000000}"/>
  <bookViews>
    <workbookView xWindow="20985" yWindow="7590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" i="5" l="1"/>
  <c r="C66" i="5"/>
  <c r="D61" i="5"/>
  <c r="C61" i="5"/>
  <c r="D53" i="5"/>
  <c r="C53" i="5"/>
  <c r="D45" i="5"/>
  <c r="C45" i="5"/>
  <c r="D36" i="5"/>
  <c r="C36" i="5"/>
  <c r="D27" i="5"/>
  <c r="C27" i="5"/>
  <c r="D63" i="1"/>
  <c r="C63" i="1"/>
  <c r="D10" i="5"/>
  <c r="D18" i="5"/>
  <c r="C18" i="5"/>
  <c r="C10" i="5"/>
  <c r="J9" i="3"/>
  <c r="J8" i="3"/>
  <c r="J7" i="3"/>
  <c r="J6" i="3"/>
  <c r="C52" i="1"/>
  <c r="D68" i="5" l="1"/>
  <c r="C68" i="5"/>
  <c r="C28" i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5" i="1" l="1"/>
  <c r="D65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<sst xmlns="http://schemas.openxmlformats.org/spreadsheetml/2006/main" count="172" uniqueCount="40">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</sst>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5"/>
  <sheetViews>
    <sheetView showGridLines="0" zoomScaleNormal="100" workbookViewId="0">
      <selection activeCell="B3" sqref="B3:D6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4776</v>
      </c>
      <c r="D5" s="25">
        <v>307159.77999999997</v>
      </c>
    </row>
    <row r="6" spans="2:8" x14ac:dyDescent="0.25">
      <c r="B6" s="1" t="s">
        <v>5</v>
      </c>
      <c r="C6" s="6">
        <v>3942</v>
      </c>
      <c r="D6" s="25">
        <v>82092.489999999991</v>
      </c>
    </row>
    <row r="7" spans="2:8" x14ac:dyDescent="0.25">
      <c r="B7" s="1" t="s">
        <v>6</v>
      </c>
      <c r="C7" s="6">
        <v>6754</v>
      </c>
      <c r="D7" s="25">
        <v>70474.739999999991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21453</v>
      </c>
      <c r="D9" s="25">
        <v>182288.1</v>
      </c>
      <c r="E9" s="14"/>
      <c r="F9" s="7"/>
    </row>
    <row r="10" spans="2:8" x14ac:dyDescent="0.25">
      <c r="B10" s="3" t="s">
        <v>8</v>
      </c>
      <c r="C10" s="8">
        <f>SUM(C5:C9)</f>
        <v>36936</v>
      </c>
      <c r="D10" s="4">
        <f>SUM(D5:D9)</f>
        <v>642015.11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2140</v>
      </c>
      <c r="D14" s="25">
        <v>81903.55</v>
      </c>
    </row>
    <row r="15" spans="2:8" x14ac:dyDescent="0.25">
      <c r="B15" s="9" t="s">
        <v>5</v>
      </c>
      <c r="C15" s="6">
        <v>353</v>
      </c>
      <c r="D15" s="25">
        <v>12018.66</v>
      </c>
    </row>
    <row r="16" spans="2:8" x14ac:dyDescent="0.25">
      <c r="B16" s="9" t="s">
        <v>6</v>
      </c>
      <c r="C16" s="6">
        <v>1263</v>
      </c>
      <c r="D16" s="25">
        <v>14937</v>
      </c>
    </row>
    <row r="17" spans="2:4" x14ac:dyDescent="0.25">
      <c r="B17" s="5" t="s">
        <v>12</v>
      </c>
      <c r="C17" s="7">
        <v>1</v>
      </c>
      <c r="D17" s="25">
        <v>44</v>
      </c>
    </row>
    <row r="18" spans="2:4" x14ac:dyDescent="0.25">
      <c r="B18" s="9" t="s">
        <v>7</v>
      </c>
      <c r="C18" s="6">
        <v>12085</v>
      </c>
      <c r="D18" s="25">
        <v>26002</v>
      </c>
    </row>
    <row r="19" spans="2:4" x14ac:dyDescent="0.25">
      <c r="B19" s="10" t="s">
        <v>8</v>
      </c>
      <c r="C19" s="8">
        <f>SUM(C14:C18)</f>
        <v>15842</v>
      </c>
      <c r="D19" s="4">
        <f>SUM(D14:D18)</f>
        <v>134905.21000000002</v>
      </c>
    </row>
    <row r="21" spans="2:4" x14ac:dyDescent="0.25">
      <c r="B21" s="27" t="s">
        <v>36</v>
      </c>
      <c r="C21" s="27"/>
      <c r="D21" s="27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1924</v>
      </c>
      <c r="D23" s="25">
        <v>36636.399999999994</v>
      </c>
    </row>
    <row r="24" spans="2:4" x14ac:dyDescent="0.25">
      <c r="B24" s="1" t="s">
        <v>5</v>
      </c>
      <c r="C24" s="6">
        <v>1308</v>
      </c>
      <c r="D24" s="25">
        <v>10163</v>
      </c>
    </row>
    <row r="25" spans="2:4" x14ac:dyDescent="0.25">
      <c r="B25" s="1" t="s">
        <v>6</v>
      </c>
      <c r="C25" s="6">
        <v>3527</v>
      </c>
      <c r="D25" s="25">
        <v>34456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18250</v>
      </c>
      <c r="D27" s="25">
        <v>31271.88</v>
      </c>
    </row>
    <row r="28" spans="2:4" x14ac:dyDescent="0.25">
      <c r="B28" s="3" t="s">
        <v>8</v>
      </c>
      <c r="C28" s="8">
        <f>SUM(C23:C27)</f>
        <v>25009</v>
      </c>
      <c r="D28" s="4">
        <f>SUM(D23:D27)</f>
        <v>112527.28</v>
      </c>
    </row>
    <row r="30" spans="2:4" x14ac:dyDescent="0.25">
      <c r="B30" s="27" t="s">
        <v>9</v>
      </c>
      <c r="C30" s="27"/>
      <c r="D30" s="27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541</v>
      </c>
      <c r="D32" s="25">
        <v>25147.01</v>
      </c>
    </row>
    <row r="33" spans="2:4" x14ac:dyDescent="0.25">
      <c r="B33" s="9" t="s">
        <v>5</v>
      </c>
      <c r="C33" s="6">
        <v>351</v>
      </c>
      <c r="D33" s="25">
        <v>27598</v>
      </c>
    </row>
    <row r="34" spans="2:4" x14ac:dyDescent="0.25">
      <c r="B34" s="9" t="s">
        <v>6</v>
      </c>
      <c r="C34" s="6">
        <v>297</v>
      </c>
      <c r="D34" s="25">
        <v>12598.48</v>
      </c>
    </row>
    <row r="35" spans="2:4" x14ac:dyDescent="0.25">
      <c r="B35" s="9" t="s">
        <v>7</v>
      </c>
      <c r="C35" s="6">
        <v>690</v>
      </c>
      <c r="D35" s="25">
        <v>2027</v>
      </c>
    </row>
    <row r="36" spans="2:4" x14ac:dyDescent="0.25">
      <c r="B36" s="10" t="s">
        <v>8</v>
      </c>
      <c r="C36" s="8">
        <f>SUM(C32:C35)</f>
        <v>1879</v>
      </c>
      <c r="D36" s="4">
        <f>SUM(D32:D35)</f>
        <v>67370.489999999991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809</v>
      </c>
      <c r="D40" s="25">
        <v>22620.48</v>
      </c>
    </row>
    <row r="41" spans="2:4" x14ac:dyDescent="0.25">
      <c r="B41" s="1" t="s">
        <v>5</v>
      </c>
      <c r="C41" s="6">
        <v>694</v>
      </c>
      <c r="D41" s="25">
        <v>2476</v>
      </c>
    </row>
    <row r="42" spans="2:4" x14ac:dyDescent="0.25">
      <c r="B42" s="1" t="s">
        <v>6</v>
      </c>
      <c r="C42" s="6">
        <v>1001</v>
      </c>
      <c r="D42" s="25">
        <v>2959</v>
      </c>
    </row>
    <row r="43" spans="2:4" x14ac:dyDescent="0.25">
      <c r="B43" s="1" t="s">
        <v>7</v>
      </c>
      <c r="C43" s="6">
        <v>419</v>
      </c>
      <c r="D43" s="25">
        <v>2732</v>
      </c>
    </row>
    <row r="44" spans="2:4" x14ac:dyDescent="0.25">
      <c r="B44" s="3" t="s">
        <v>8</v>
      </c>
      <c r="C44" s="8">
        <f>SUM(C40:C43)</f>
        <v>2923</v>
      </c>
      <c r="D44" s="4">
        <f>SUM(D40:D43)</f>
        <v>30787.48</v>
      </c>
    </row>
    <row r="46" spans="2:4" x14ac:dyDescent="0.25">
      <c r="B46" s="27" t="s">
        <v>30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579</v>
      </c>
      <c r="D48" s="25">
        <v>12433</v>
      </c>
    </row>
    <row r="49" spans="2:4" x14ac:dyDescent="0.25">
      <c r="B49" s="1" t="s">
        <v>5</v>
      </c>
      <c r="C49" s="6">
        <v>5</v>
      </c>
      <c r="D49" s="26">
        <v>0</v>
      </c>
    </row>
    <row r="50" spans="2:4" x14ac:dyDescent="0.25">
      <c r="B50" s="1" t="s">
        <v>6</v>
      </c>
      <c r="C50" s="6">
        <v>529</v>
      </c>
      <c r="D50" s="25">
        <v>1320</v>
      </c>
    </row>
    <row r="51" spans="2:4" x14ac:dyDescent="0.25">
      <c r="B51" s="1" t="s">
        <v>7</v>
      </c>
      <c r="C51" s="6">
        <v>2296</v>
      </c>
      <c r="D51" s="25">
        <v>2358</v>
      </c>
    </row>
    <row r="52" spans="2:4" x14ac:dyDescent="0.25">
      <c r="B52" s="3" t="s">
        <v>8</v>
      </c>
      <c r="C52" s="8">
        <f>SUM(C48:C51)</f>
        <v>3409</v>
      </c>
      <c r="D52" s="4">
        <f>SUM(D48:D51)</f>
        <v>16111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1251</v>
      </c>
      <c r="D56" s="25">
        <v>12811.99</v>
      </c>
    </row>
    <row r="57" spans="2:4" x14ac:dyDescent="0.25">
      <c r="B57" s="10" t="s">
        <v>8</v>
      </c>
      <c r="C57" s="8">
        <f>SUM(C56:C56)</f>
        <v>1251</v>
      </c>
      <c r="D57" s="4">
        <f>SUM(D56:D56)</f>
        <v>12811.99</v>
      </c>
    </row>
    <row r="59" spans="2:4" x14ac:dyDescent="0.25">
      <c r="B59" s="27" t="s">
        <v>38</v>
      </c>
      <c r="C59" s="27"/>
      <c r="D59" s="27"/>
    </row>
    <row r="60" spans="2:4" x14ac:dyDescent="0.25">
      <c r="B60" s="2" t="s">
        <v>1</v>
      </c>
      <c r="C60" s="2" t="s">
        <v>2</v>
      </c>
      <c r="D60" s="2" t="s">
        <v>3</v>
      </c>
    </row>
    <row r="61" spans="2:4" x14ac:dyDescent="0.25">
      <c r="B61" s="9" t="s">
        <v>4</v>
      </c>
      <c r="C61" s="6">
        <v>1016</v>
      </c>
      <c r="D61" s="25">
        <v>3688</v>
      </c>
    </row>
    <row r="62" spans="2:4" x14ac:dyDescent="0.25">
      <c r="B62" s="1" t="s">
        <v>5</v>
      </c>
      <c r="C62" s="6">
        <v>1076</v>
      </c>
      <c r="D62" s="26">
        <v>0</v>
      </c>
    </row>
    <row r="63" spans="2:4" x14ac:dyDescent="0.25">
      <c r="B63" s="3" t="s">
        <v>8</v>
      </c>
      <c r="C63" s="8">
        <f>SUM(C61:C62)</f>
        <v>2092</v>
      </c>
      <c r="D63" s="4">
        <f>SUM(D61:D62)</f>
        <v>3688</v>
      </c>
    </row>
    <row r="65" spans="2:4" x14ac:dyDescent="0.25">
      <c r="B65" s="12" t="s">
        <v>13</v>
      </c>
      <c r="C65" s="13">
        <f>SUMIF(B:B, "Total general", C:C)</f>
        <v>89341</v>
      </c>
      <c r="D65" s="13">
        <f>SUMIF(B:B, "Total general", D:D)</f>
        <v>1020216.56</v>
      </c>
    </row>
  </sheetData>
  <mergeCells count="8">
    <mergeCell ref="B3:D3"/>
    <mergeCell ref="B12:D12"/>
    <mergeCell ref="B30:D30"/>
    <mergeCell ref="B59:D59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68"/>
  <sheetViews>
    <sheetView showGridLines="0" tabSelected="1" zoomScaleNormal="100" workbookViewId="0">
      <selection activeCell="B1" sqref="B1:D6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7" t="s">
        <v>39</v>
      </c>
      <c r="C1" s="27"/>
      <c r="D1" s="27"/>
    </row>
    <row r="3" spans="2:8" x14ac:dyDescent="0.25">
      <c r="B3" s="27" t="s">
        <v>37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11272</v>
      </c>
      <c r="D5" s="25">
        <v>92584.41</v>
      </c>
    </row>
    <row r="6" spans="2:8" x14ac:dyDescent="0.25">
      <c r="B6" s="1" t="s">
        <v>5</v>
      </c>
      <c r="C6" s="6">
        <v>6832</v>
      </c>
      <c r="D6" s="25">
        <v>10525.26</v>
      </c>
    </row>
    <row r="7" spans="2:8" x14ac:dyDescent="0.25">
      <c r="B7" s="1" t="s">
        <v>6</v>
      </c>
      <c r="C7" s="6">
        <v>9565</v>
      </c>
      <c r="D7" s="25">
        <v>14698</v>
      </c>
    </row>
    <row r="8" spans="2:8" x14ac:dyDescent="0.25">
      <c r="B8" s="5" t="s">
        <v>12</v>
      </c>
      <c r="C8" s="7">
        <v>2739</v>
      </c>
      <c r="D8" s="26">
        <v>0</v>
      </c>
    </row>
    <row r="9" spans="2:8" x14ac:dyDescent="0.25">
      <c r="B9" s="1" t="s">
        <v>7</v>
      </c>
      <c r="C9" s="6">
        <v>100690</v>
      </c>
      <c r="D9" s="25">
        <v>517</v>
      </c>
      <c r="E9" s="14"/>
      <c r="F9" s="7"/>
    </row>
    <row r="10" spans="2:8" x14ac:dyDescent="0.25">
      <c r="B10" s="3" t="s">
        <v>8</v>
      </c>
      <c r="C10" s="8">
        <f>SUM(C5:C9)</f>
        <v>131098</v>
      </c>
      <c r="D10" s="4">
        <f>SUM(D5:D9)</f>
        <v>118324.67</v>
      </c>
      <c r="E10" s="11" t="s">
        <v>14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809</v>
      </c>
      <c r="D14" s="25">
        <v>22620.48</v>
      </c>
    </row>
    <row r="15" spans="2:8" x14ac:dyDescent="0.25">
      <c r="B15" s="1" t="s">
        <v>5</v>
      </c>
      <c r="C15" s="6">
        <v>694</v>
      </c>
      <c r="D15" s="25">
        <v>2476</v>
      </c>
    </row>
    <row r="16" spans="2:8" x14ac:dyDescent="0.25">
      <c r="B16" s="1" t="s">
        <v>6</v>
      </c>
      <c r="C16" s="6">
        <v>1001</v>
      </c>
      <c r="D16" s="25">
        <v>2959</v>
      </c>
    </row>
    <row r="17" spans="2:4" x14ac:dyDescent="0.25">
      <c r="B17" s="1" t="s">
        <v>7</v>
      </c>
      <c r="C17" s="6">
        <v>419</v>
      </c>
      <c r="D17" s="25">
        <v>2732</v>
      </c>
    </row>
    <row r="18" spans="2:4" x14ac:dyDescent="0.25">
      <c r="B18" s="3" t="s">
        <v>8</v>
      </c>
      <c r="C18" s="8">
        <f>SUM(C14:C17)</f>
        <v>2923</v>
      </c>
      <c r="D18" s="4">
        <f>SUM(D14:D17)</f>
        <v>30787.48</v>
      </c>
    </row>
    <row r="20" spans="2:4" x14ac:dyDescent="0.25">
      <c r="B20" s="27" t="s">
        <v>0</v>
      </c>
      <c r="C20" s="27"/>
      <c r="D20" s="27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6">
        <v>14</v>
      </c>
      <c r="D22" s="25">
        <v>2932</v>
      </c>
    </row>
    <row r="23" spans="2:4" x14ac:dyDescent="0.25">
      <c r="B23" s="1" t="s">
        <v>5</v>
      </c>
      <c r="C23" s="6">
        <v>7</v>
      </c>
      <c r="D23" s="25">
        <v>2461</v>
      </c>
    </row>
    <row r="24" spans="2:4" x14ac:dyDescent="0.25">
      <c r="B24" s="1" t="s">
        <v>6</v>
      </c>
      <c r="C24" s="6">
        <v>81</v>
      </c>
      <c r="D24" s="26">
        <v>0</v>
      </c>
    </row>
    <row r="25" spans="2:4" x14ac:dyDescent="0.25">
      <c r="B25" s="5" t="s">
        <v>12</v>
      </c>
      <c r="C25" s="7">
        <v>1</v>
      </c>
      <c r="D25" s="26">
        <v>0</v>
      </c>
    </row>
    <row r="26" spans="2:4" x14ac:dyDescent="0.25">
      <c r="B26" s="1" t="s">
        <v>7</v>
      </c>
      <c r="C26" s="6">
        <v>302</v>
      </c>
      <c r="D26" s="25">
        <v>6283</v>
      </c>
    </row>
    <row r="27" spans="2:4" x14ac:dyDescent="0.25">
      <c r="B27" s="3" t="s">
        <v>8</v>
      </c>
      <c r="C27" s="8">
        <f>SUM(C22:C26)</f>
        <v>405</v>
      </c>
      <c r="D27" s="4">
        <f>SUM(D22:D26)</f>
        <v>11676</v>
      </c>
    </row>
    <row r="29" spans="2:4" x14ac:dyDescent="0.25">
      <c r="B29" s="28" t="s">
        <v>10</v>
      </c>
      <c r="C29" s="28"/>
      <c r="D29" s="28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6">
        <v>5</v>
      </c>
      <c r="D31" s="25">
        <v>339</v>
      </c>
    </row>
    <row r="32" spans="2:4" x14ac:dyDescent="0.25">
      <c r="B32" s="9" t="s">
        <v>5</v>
      </c>
      <c r="C32" s="6">
        <v>3</v>
      </c>
      <c r="D32" s="25">
        <v>119</v>
      </c>
    </row>
    <row r="33" spans="2:4" x14ac:dyDescent="0.25">
      <c r="B33" s="9" t="s">
        <v>6</v>
      </c>
      <c r="C33" s="6">
        <v>28</v>
      </c>
      <c r="D33" s="25">
        <v>3696</v>
      </c>
    </row>
    <row r="34" spans="2:4" x14ac:dyDescent="0.25">
      <c r="B34" s="5" t="s">
        <v>12</v>
      </c>
      <c r="C34" s="7">
        <v>0</v>
      </c>
      <c r="D34" s="7">
        <v>0</v>
      </c>
    </row>
    <row r="35" spans="2:4" x14ac:dyDescent="0.25">
      <c r="B35" s="9" t="s">
        <v>7</v>
      </c>
      <c r="C35" s="6">
        <v>171</v>
      </c>
      <c r="D35" s="25">
        <v>600</v>
      </c>
    </row>
    <row r="36" spans="2:4" x14ac:dyDescent="0.25">
      <c r="B36" s="10" t="s">
        <v>8</v>
      </c>
      <c r="C36" s="8">
        <f>SUM(C31:C35)</f>
        <v>207</v>
      </c>
      <c r="D36" s="4">
        <f>SUM(D31:D35)</f>
        <v>4754</v>
      </c>
    </row>
    <row r="38" spans="2:4" x14ac:dyDescent="0.25">
      <c r="B38" s="27" t="s">
        <v>36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6">
        <v>4</v>
      </c>
      <c r="D40" s="26">
        <v>0</v>
      </c>
    </row>
    <row r="41" spans="2:4" x14ac:dyDescent="0.25">
      <c r="B41" s="1" t="s">
        <v>5</v>
      </c>
      <c r="C41" s="6">
        <v>4</v>
      </c>
      <c r="D41" s="26">
        <v>0</v>
      </c>
    </row>
    <row r="42" spans="2:4" x14ac:dyDescent="0.25">
      <c r="B42" s="1" t="s">
        <v>6</v>
      </c>
      <c r="C42" s="6">
        <v>44</v>
      </c>
      <c r="D42" s="26">
        <v>0</v>
      </c>
    </row>
    <row r="43" spans="2:4" x14ac:dyDescent="0.25">
      <c r="B43" s="5" t="s">
        <v>12</v>
      </c>
      <c r="C43" s="6">
        <v>0</v>
      </c>
      <c r="D43" s="26">
        <v>0</v>
      </c>
    </row>
    <row r="44" spans="2:4" x14ac:dyDescent="0.25">
      <c r="B44" s="1" t="s">
        <v>7</v>
      </c>
      <c r="C44" s="7">
        <v>336</v>
      </c>
      <c r="D44" s="25">
        <v>388</v>
      </c>
    </row>
    <row r="45" spans="2:4" x14ac:dyDescent="0.25">
      <c r="B45" s="3" t="s">
        <v>8</v>
      </c>
      <c r="C45" s="8">
        <f>SUM(C40:C44)</f>
        <v>388</v>
      </c>
      <c r="D45" s="4">
        <f>SUM(D40:D44)</f>
        <v>388</v>
      </c>
    </row>
    <row r="47" spans="2:4" x14ac:dyDescent="0.25">
      <c r="B47" s="27" t="s">
        <v>9</v>
      </c>
      <c r="C47" s="27"/>
      <c r="D47" s="27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6">
        <v>0</v>
      </c>
      <c r="D49" s="26">
        <v>0</v>
      </c>
    </row>
    <row r="50" spans="2:4" x14ac:dyDescent="0.25">
      <c r="B50" s="9" t="s">
        <v>5</v>
      </c>
      <c r="C50" s="6">
        <v>0</v>
      </c>
      <c r="D50" s="26">
        <v>0</v>
      </c>
    </row>
    <row r="51" spans="2:4" x14ac:dyDescent="0.25">
      <c r="B51" s="9" t="s">
        <v>6</v>
      </c>
      <c r="C51" s="6">
        <v>5</v>
      </c>
      <c r="D51" s="26">
        <v>0</v>
      </c>
    </row>
    <row r="52" spans="2:4" x14ac:dyDescent="0.25">
      <c r="B52" s="9" t="s">
        <v>7</v>
      </c>
      <c r="C52" s="6">
        <v>61</v>
      </c>
      <c r="D52" s="26">
        <v>0</v>
      </c>
    </row>
    <row r="53" spans="2:4" x14ac:dyDescent="0.25">
      <c r="B53" s="10" t="s">
        <v>8</v>
      </c>
      <c r="C53" s="8">
        <f>SUM(C49:C52)</f>
        <v>66</v>
      </c>
      <c r="D53" s="4">
        <f>SUM(D49:D52)</f>
        <v>0</v>
      </c>
    </row>
    <row r="55" spans="2:4" x14ac:dyDescent="0.25">
      <c r="B55" s="27" t="s">
        <v>30</v>
      </c>
      <c r="C55" s="27"/>
      <c r="D55" s="27"/>
    </row>
    <row r="56" spans="2:4" x14ac:dyDescent="0.25">
      <c r="B56" s="2" t="s">
        <v>1</v>
      </c>
      <c r="C56" s="2" t="s">
        <v>2</v>
      </c>
      <c r="D56" s="2" t="s">
        <v>3</v>
      </c>
    </row>
    <row r="57" spans="2:4" x14ac:dyDescent="0.25">
      <c r="B57" s="9" t="s">
        <v>4</v>
      </c>
      <c r="C57" s="6">
        <v>2</v>
      </c>
      <c r="D57" s="26">
        <v>0</v>
      </c>
    </row>
    <row r="58" spans="2:4" x14ac:dyDescent="0.25">
      <c r="B58" s="1" t="s">
        <v>5</v>
      </c>
      <c r="C58" s="6">
        <v>1</v>
      </c>
      <c r="D58" s="26">
        <v>0</v>
      </c>
    </row>
    <row r="59" spans="2:4" x14ac:dyDescent="0.25">
      <c r="B59" s="1" t="s">
        <v>6</v>
      </c>
      <c r="C59" s="6">
        <v>10</v>
      </c>
      <c r="D59" s="26">
        <v>0</v>
      </c>
    </row>
    <row r="60" spans="2:4" x14ac:dyDescent="0.25">
      <c r="B60" s="1" t="s">
        <v>7</v>
      </c>
      <c r="C60" s="6">
        <v>64</v>
      </c>
      <c r="D60" s="26">
        <v>0</v>
      </c>
    </row>
    <row r="61" spans="2:4" x14ac:dyDescent="0.25">
      <c r="B61" s="3" t="s">
        <v>8</v>
      </c>
      <c r="C61" s="8">
        <f>SUM(C57:C60)</f>
        <v>77</v>
      </c>
      <c r="D61" s="4">
        <f>SUM(D57:D60)</f>
        <v>0</v>
      </c>
    </row>
    <row r="63" spans="2:4" x14ac:dyDescent="0.25">
      <c r="B63" s="28" t="s">
        <v>11</v>
      </c>
      <c r="C63" s="28"/>
      <c r="D63" s="28"/>
    </row>
    <row r="64" spans="2:4" x14ac:dyDescent="0.25">
      <c r="B64" s="4" t="s">
        <v>1</v>
      </c>
      <c r="C64" s="4" t="s">
        <v>2</v>
      </c>
      <c r="D64" s="4" t="s">
        <v>3</v>
      </c>
    </row>
    <row r="65" spans="2:4" x14ac:dyDescent="0.25">
      <c r="B65" s="9" t="s">
        <v>4</v>
      </c>
      <c r="C65" s="6">
        <v>3</v>
      </c>
      <c r="D65" s="26">
        <v>0</v>
      </c>
    </row>
    <row r="66" spans="2:4" x14ac:dyDescent="0.25">
      <c r="B66" s="10" t="s">
        <v>8</v>
      </c>
      <c r="C66" s="8">
        <f>SUM(C65:C65)</f>
        <v>3</v>
      </c>
      <c r="D66" s="4">
        <f>SUM(D65:D65)</f>
        <v>0</v>
      </c>
    </row>
    <row r="68" spans="2:4" x14ac:dyDescent="0.25">
      <c r="B68" s="12" t="s">
        <v>13</v>
      </c>
      <c r="C68" s="13">
        <f>SUMIF(B:B, "Total general", C:C)</f>
        <v>135167</v>
      </c>
      <c r="D68" s="13">
        <f>SUMIF(B:B, "Total general", D:D)</f>
        <v>165930.15</v>
      </c>
    </row>
  </sheetData>
  <mergeCells count="9">
    <mergeCell ref="B47:D47"/>
    <mergeCell ref="B55:D55"/>
    <mergeCell ref="B63:D63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13036</v>
      </c>
      <c r="E6" s="16">
        <f>SUMIF('REPORTE DIARIO'!B:B,'EPR 26 JUN'!C6, 'REPORTE DIARIO'!D:D)</f>
        <v>502400.20999999996</v>
      </c>
      <c r="F6" s="16">
        <f>J6*D6</f>
        <v>819405.7142857142</v>
      </c>
      <c r="G6" s="16">
        <f>+E6-F6</f>
        <v>-317005.50428571424</v>
      </c>
      <c r="H6" s="15">
        <f>ABS(G6/F6)</f>
        <v>0.38687245983151552</v>
      </c>
      <c r="I6" s="16">
        <f>E6/D6</f>
        <v>38.539445382019018</v>
      </c>
      <c r="J6" s="16">
        <f>(220/7)*2</f>
        <v>62.857142857142854</v>
      </c>
      <c r="K6" s="16">
        <f>+I6-J6</f>
        <v>-24.317697475123836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7729</v>
      </c>
      <c r="E7" s="16">
        <f>SUMIF('REPORTE DIARIO'!B:B,'EPR 26 JUN'!C7, 'REPORTE DIARIO'!D:D)</f>
        <v>134348.15</v>
      </c>
      <c r="F7" s="16">
        <f>J7*D7</f>
        <v>242911.42857142855</v>
      </c>
      <c r="G7" s="16">
        <f>+E7-F7</f>
        <v>-108563.27857142856</v>
      </c>
      <c r="H7" s="15">
        <f>ABS(G7/F7)</f>
        <v>0.4469253637422223</v>
      </c>
      <c r="I7" s="16">
        <f>E7/D7</f>
        <v>17.382345710958727</v>
      </c>
      <c r="J7" s="16">
        <f>(110/7)*2</f>
        <v>31.428571428571427</v>
      </c>
      <c r="K7" s="16">
        <f t="shared" ref="K7:K9" si="0">+I7-J7</f>
        <v>-14.0462257176127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13371</v>
      </c>
      <c r="E8" s="16">
        <f>SUMIF('REPORTE DIARIO'!B:B,'EPR 26 JUN'!C8, 'REPORTE DIARIO'!D:D)</f>
        <v>136745.22</v>
      </c>
      <c r="F8" s="16">
        <f>J8*D8</f>
        <v>171912.85714285716</v>
      </c>
      <c r="G8" s="16">
        <f>+E8-F8</f>
        <v>-35167.637142857158</v>
      </c>
      <c r="H8" s="15">
        <f>ABS(G8/F8)</f>
        <v>0.20456664921596496</v>
      </c>
      <c r="I8" s="16">
        <f>E8/D8</f>
        <v>10.227000224366165</v>
      </c>
      <c r="J8" s="16">
        <f>(45/7)*2</f>
        <v>12.857142857142858</v>
      </c>
      <c r="K8" s="16">
        <f t="shared" si="0"/>
        <v>-2.6301426327766926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55193</v>
      </c>
      <c r="E9" s="16">
        <f>SUMIF('REPORTE DIARIO'!B:B,'EPR 26 JUN'!C9, 'REPORTE DIARIO'!D:D)</f>
        <v>246678.98</v>
      </c>
      <c r="F9" s="16">
        <f>J9*D9</f>
        <v>236541.42857142855</v>
      </c>
      <c r="G9" s="16">
        <f>+E9-F9</f>
        <v>10137.55142857146</v>
      </c>
      <c r="H9" s="15">
        <f>ABS(G9/F9)</f>
        <v>4.2857403414684365E-2</v>
      </c>
      <c r="I9" s="16">
        <f>E9/D9</f>
        <v>4.4693888717772179</v>
      </c>
      <c r="J9" s="16">
        <f>(15/7)*2</f>
        <v>4.2857142857142856</v>
      </c>
      <c r="K9" s="16">
        <f t="shared" si="0"/>
        <v>0.1836745860629323</v>
      </c>
    </row>
    <row r="10" spans="2:12" x14ac:dyDescent="0.25">
      <c r="B10" s="16"/>
      <c r="C10" s="19" t="s">
        <v>17</v>
      </c>
      <c r="D10" s="24">
        <f>SUM(D6:D9)</f>
        <v>89329</v>
      </c>
      <c r="E10" s="20">
        <f>SUM(E6:E9)</f>
        <v>1020172.5599999999</v>
      </c>
      <c r="F10" s="20">
        <f>SUM(F6:F9)</f>
        <v>1470771.4285714286</v>
      </c>
      <c r="G10" s="20">
        <f>+E10-F10</f>
        <v>-450598.8685714287</v>
      </c>
      <c r="H10" s="21">
        <f>ABS(G10/F10)</f>
        <v>0.30636906579637513</v>
      </c>
      <c r="I10" s="20">
        <f>E10/D10</f>
        <v>11.420396063988179</v>
      </c>
      <c r="J10" s="20">
        <f>F10/D10</f>
        <v>16.464657933833678</v>
      </c>
      <c r="K10" s="20">
        <f>I10-J10</f>
        <v>-5.0442618698454993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2025-08-06T02:11:01Z</cp:lastPrinted>
  <dcterms:created xsi:type="dcterms:W3CDTF">2025-01-27T15:11:28Z</dcterms:created>
  <dcterms:modified xsi:type="dcterms:W3CDTF">2025-08-06T15:50:21Z</dcterms:modified>
</cp:coreProperties>
</file>