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6\5 SEP\TARDE2\"/>
    </mc:Choice>
  </mc:AlternateContent>
  <xr:revisionPtr revIDLastSave="0" documentId="13_ncr:1_{B8ABFCF7-F499-423F-B7CA-1BBE2BDB84C3}" xr6:coauthVersionLast="47" xr6:coauthVersionMax="47" xr10:uidLastSave="{00000000-0000-0000-0000-000000000000}"/>
  <bookViews>
    <workbookView xWindow="-108" yWindow="-108" windowWidth="23256" windowHeight="12456" activeTab="2" xr2:uid="{653551AD-79D4-4437-9507-AF3BD443E47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1" i="2"/>
  <c r="D9" i="2" s="1"/>
  <c r="B1" i="1"/>
  <c r="D7" i="1" s="1"/>
</calcChain>
</file>

<file path=xl/sharedStrings.xml><?xml version="1.0" encoding="utf-8"?>
<sst xmlns="http://schemas.openxmlformats.org/spreadsheetml/2006/main" count="139" uniqueCount="23">
  <si>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</si>
  <si>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</si>
  <si>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</si>
  <si>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</si>
  <si>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</si>
  <si>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</si>
  <si>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</si>
  <si>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</si>
  <si>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</si>
  <si>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</si>
  <si>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</si>
  <si>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</si>
  <si>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</si>
  <si>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</si>
  <si>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</si>
  <si>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</si>
  <si>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</si>
  <si>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</si>
  <si>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</si>
  <si>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</si>
  <si>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</si>
  <si>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</si>
  <si>
    <t>NANCY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</si>
</sst>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6F1B-B798-4F58-A21E-6B5F51019C1E}">
  <dimension ref="B1:D46"/>
  <sheetViews>
    <sheetView topLeftCell="A25" workbookViewId="0">
      <selection activeCell="B1" sqref="B1:D4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1" spans="2:4" x14ac:dyDescent="0.3">
      <c r="B1" s="6" t="str">
        <f ca="1" xml:space="preserve"> "COBRANZA INTERNOS " &amp; TEXT(TODAY(), " dd/mm/aaaa ") &amp; TEXT(NOW(), " hh:mm ")</f>
        <v xml:space="preserve">COBRANZA INTERNOS  05/09/2025  16:33 </v>
      </c>
      <c r="C1" s="6"/>
    </row>
    <row r="2" spans="2:4" x14ac:dyDescent="0.3">
      <c r="B2" s="6" t="s">
        <v>5</v>
      </c>
      <c r="C2" s="6"/>
    </row>
    <row r="3" spans="2:4" x14ac:dyDescent="0.3">
      <c r="B3" s="1" t="s">
        <v>14</v>
      </c>
      <c r="C3" s="1" t="s">
        <v>0</v>
      </c>
    </row>
    <row r="4" spans="2:4" x14ac:dyDescent="0.3">
      <c r="B4" s="2" t="s">
        <v>1</v>
      </c>
      <c r="C4" s="3">
        <v>81289</v>
      </c>
    </row>
    <row r="5" spans="2:4" x14ac:dyDescent="0.3">
      <c r="B5" s="2" t="s">
        <v>2</v>
      </c>
      <c r="C5" s="3">
        <v>18007</v>
      </c>
    </row>
    <row r="6" spans="2:4" ht="15" thickBot="1" x14ac:dyDescent="0.35">
      <c r="B6" s="2" t="s">
        <v>3</v>
      </c>
      <c r="C6" s="3">
        <v>23503.17</v>
      </c>
      <c r="D6" s="1" t="s">
        <v>13</v>
      </c>
    </row>
    <row r="7" spans="2:4" ht="15" thickTop="1" x14ac:dyDescent="0.3">
      <c r="B7" s="4" t="s">
        <v>4</v>
      </c>
      <c r="C7" s="5">
        <v>122799.17</v>
      </c>
      <c r="D7" s="5">
        <f ca="1">SUMIF(B:B, "Total general", C:C)</f>
        <v>224070.61</v>
      </c>
    </row>
    <row r="9" spans="2:4" x14ac:dyDescent="0.3">
      <c r="B9" s="6" t="s">
        <v>6</v>
      </c>
      <c r="C9" s="6"/>
    </row>
    <row r="10" spans="2:4" x14ac:dyDescent="0.3">
      <c r="B10" s="1" t="s">
        <v>14</v>
      </c>
      <c r="C10" s="1" t="s">
        <v>0</v>
      </c>
    </row>
    <row r="11" spans="2:4" x14ac:dyDescent="0.3">
      <c r="B11" s="2" t="s">
        <v>1</v>
      </c>
      <c r="C11" s="3">
        <v>27424</v>
      </c>
    </row>
    <row r="12" spans="2:4" x14ac:dyDescent="0.3">
      <c r="B12" s="2" t="s">
        <v>2</v>
      </c>
      <c r="C12" s="3">
        <v>7770</v>
      </c>
    </row>
    <row r="13" spans="2:4" ht="15" thickBot="1" x14ac:dyDescent="0.35">
      <c r="B13" s="2" t="s">
        <v>3</v>
      </c>
      <c r="C13" s="3">
        <v>10031</v>
      </c>
    </row>
    <row r="14" spans="2:4" ht="15" thickTop="1" x14ac:dyDescent="0.3">
      <c r="B14" s="4" t="s">
        <v>4</v>
      </c>
      <c r="C14" s="5">
        <v>45225</v>
      </c>
    </row>
    <row r="16" spans="2:4" x14ac:dyDescent="0.3">
      <c r="B16" s="6" t="s">
        <v>7</v>
      </c>
      <c r="C16" s="6"/>
    </row>
    <row r="17" spans="2:3" x14ac:dyDescent="0.3">
      <c r="B17" s="1" t="s">
        <v>14</v>
      </c>
      <c r="C17" s="1" t="s">
        <v>0</v>
      </c>
    </row>
    <row r="18" spans="2:3" x14ac:dyDescent="0.3">
      <c r="B18" s="2" t="s">
        <v>1</v>
      </c>
      <c r="C18" s="3">
        <v>15137.380000000001</v>
      </c>
    </row>
    <row r="19" spans="2:3" x14ac:dyDescent="0.3">
      <c r="B19" s="2" t="s">
        <v>2</v>
      </c>
      <c r="C19" s="3">
        <v>2886</v>
      </c>
    </row>
    <row r="20" spans="2:3" ht="15" thickBot="1" x14ac:dyDescent="0.35">
      <c r="B20" s="2" t="s">
        <v>3</v>
      </c>
      <c r="C20" s="3">
        <v>6103.58</v>
      </c>
    </row>
    <row r="21" spans="2:3" ht="15" thickTop="1" x14ac:dyDescent="0.3">
      <c r="B21" s="4" t="s">
        <v>4</v>
      </c>
      <c r="C21" s="5">
        <v>24126.959999999999</v>
      </c>
    </row>
    <row r="23" spans="2:3" x14ac:dyDescent="0.3">
      <c r="B23" s="6" t="s">
        <v>12</v>
      </c>
      <c r="C23" s="6"/>
    </row>
    <row r="24" spans="2:3" x14ac:dyDescent="0.3">
      <c r="B24" s="1" t="s">
        <v>14</v>
      </c>
      <c r="C24" s="1" t="s">
        <v>0</v>
      </c>
    </row>
    <row r="25" spans="2:3" x14ac:dyDescent="0.3">
      <c r="B25" s="2" t="s">
        <v>1</v>
      </c>
      <c r="C25" s="3">
        <v>10328.48</v>
      </c>
    </row>
    <row r="26" spans="2:3" x14ac:dyDescent="0.3">
      <c r="B26" s="2" t="s">
        <v>2</v>
      </c>
      <c r="C26" s="3">
        <v>2487</v>
      </c>
    </row>
    <row r="27" spans="2:3" ht="15" thickBot="1" x14ac:dyDescent="0.35">
      <c r="B27" s="2" t="s">
        <v>3</v>
      </c>
      <c r="C27" s="3">
        <v>523</v>
      </c>
    </row>
    <row r="28" spans="2:3" ht="15" thickTop="1" x14ac:dyDescent="0.3">
      <c r="B28" s="4" t="s">
        <v>4</v>
      </c>
      <c r="C28" s="5">
        <v>13338.48</v>
      </c>
    </row>
    <row r="30" spans="2:3" x14ac:dyDescent="0.3">
      <c r="B30" s="6" t="s">
        <v>9</v>
      </c>
      <c r="C30" s="6"/>
    </row>
    <row r="31" spans="2:3" x14ac:dyDescent="0.3">
      <c r="B31" s="1" t="s">
        <v>14</v>
      </c>
      <c r="C31" s="1" t="s">
        <v>0</v>
      </c>
    </row>
    <row r="32" spans="2:3" x14ac:dyDescent="0.3">
      <c r="B32" s="2" t="s">
        <v>10</v>
      </c>
      <c r="C32" s="3">
        <v>7488</v>
      </c>
    </row>
    <row r="33" spans="2:3" x14ac:dyDescent="0.3">
      <c r="B33" s="2" t="s">
        <v>1</v>
      </c>
      <c r="C33" s="3">
        <v>2298</v>
      </c>
    </row>
    <row r="34" spans="2:3" ht="15" thickBot="1" x14ac:dyDescent="0.35">
      <c r="B34" s="2" t="s">
        <v>2</v>
      </c>
      <c r="C34" s="3">
        <v>1600</v>
      </c>
    </row>
    <row r="35" spans="2:3" ht="15" thickTop="1" x14ac:dyDescent="0.3">
      <c r="B35" s="4" t="s">
        <v>4</v>
      </c>
      <c r="C35" s="5">
        <v>11386</v>
      </c>
    </row>
    <row r="37" spans="2:3" x14ac:dyDescent="0.3">
      <c r="B37" s="6" t="s">
        <v>8</v>
      </c>
      <c r="C37" s="6"/>
    </row>
    <row r="38" spans="2:3" x14ac:dyDescent="0.3">
      <c r="B38" s="1" t="s">
        <v>14</v>
      </c>
      <c r="C38" s="1" t="s">
        <v>0</v>
      </c>
    </row>
    <row r="39" spans="2:3" x14ac:dyDescent="0.3">
      <c r="B39" s="2" t="s">
        <v>1</v>
      </c>
      <c r="C39" s="3">
        <v>4695</v>
      </c>
    </row>
    <row r="40" spans="2:3" ht="15" thickBot="1" x14ac:dyDescent="0.35">
      <c r="B40" s="2" t="s">
        <v>3</v>
      </c>
      <c r="C40" s="3">
        <v>2000</v>
      </c>
    </row>
    <row r="41" spans="2:3" ht="15" thickTop="1" x14ac:dyDescent="0.3">
      <c r="B41" s="4" t="s">
        <v>4</v>
      </c>
      <c r="C41" s="5">
        <v>6695</v>
      </c>
    </row>
    <row r="43" spans="2:3" x14ac:dyDescent="0.3">
      <c r="B43" s="6" t="s">
        <v>11</v>
      </c>
      <c r="C43" s="6"/>
    </row>
    <row r="44" spans="2:3" x14ac:dyDescent="0.3">
      <c r="B44" s="1" t="s">
        <v>14</v>
      </c>
      <c r="C44" s="1" t="s">
        <v>0</v>
      </c>
    </row>
    <row r="45" spans="2:3" ht="15" thickBot="1" x14ac:dyDescent="0.35">
      <c r="B45" s="2" t="s">
        <v>3</v>
      </c>
      <c r="C45" s="3">
        <v>500</v>
      </c>
    </row>
    <row r="46" spans="2:3" ht="15" thickTop="1" x14ac:dyDescent="0.3">
      <c r="B46" s="4" t="s">
        <v>4</v>
      </c>
      <c r="C46" s="5">
        <v>500</v>
      </c>
    </row>
  </sheetData>
  <mergeCells count="8">
    <mergeCell ref="B23:C23"/>
    <mergeCell ref="B1:C1"/>
    <mergeCell ref="B2:C2"/>
    <mergeCell ref="B9:C9"/>
    <mergeCell ref="B16:C16"/>
    <mergeCell ref="B37:C37"/>
    <mergeCell ref="B30:C30"/>
    <mergeCell ref="B43:C43"/>
  </mergeCells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618C-1E32-4586-9285-3CA9B51F55FA}">
  <dimension ref="B1:D48"/>
  <sheetViews>
    <sheetView topLeftCell="A30" workbookViewId="0">
      <selection activeCell="B1" sqref="B1:D48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1" spans="2:4" x14ac:dyDescent="0.3">
      <c r="B1" s="6" t="str">
        <f ca="1" xml:space="preserve"> "COBRANZA INTERNOS " &amp; TEXT(TODAY(), " dd/mm/aaaa ") &amp; TEXT(NOW(), " hh:mm ")</f>
        <v xml:space="preserve">COBRANZA INTERNOS  05/09/2025  16:33 </v>
      </c>
      <c r="C1" s="6"/>
    </row>
    <row r="2" spans="2:4" x14ac:dyDescent="0.3">
      <c r="B2" s="6" t="s">
        <v>5</v>
      </c>
      <c r="C2" s="6"/>
    </row>
    <row r="3" spans="2:4" x14ac:dyDescent="0.3">
      <c r="B3" s="1" t="s">
        <v>20</v>
      </c>
      <c r="C3" s="1" t="s">
        <v>0</v>
      </c>
    </row>
    <row r="4" spans="2:4" x14ac:dyDescent="0.3">
      <c r="B4" s="2" t="s">
        <v>15</v>
      </c>
      <c r="C4" s="3">
        <v>11944</v>
      </c>
    </row>
    <row r="5" spans="2:4" x14ac:dyDescent="0.3">
      <c r="B5" s="2" t="s">
        <v>16</v>
      </c>
      <c r="C5" s="3">
        <v>2395</v>
      </c>
    </row>
    <row r="6" spans="2:4" x14ac:dyDescent="0.3">
      <c r="B6" s="2" t="s">
        <v>17</v>
      </c>
      <c r="C6" s="3">
        <v>1180</v>
      </c>
    </row>
    <row r="7" spans="2:4" x14ac:dyDescent="0.3">
      <c r="B7" s="2" t="s">
        <v>18</v>
      </c>
      <c r="C7" s="3">
        <v>7960</v>
      </c>
    </row>
    <row r="8" spans="2:4" ht="15" thickBot="1" x14ac:dyDescent="0.35">
      <c r="B8" s="2" t="s">
        <v>19</v>
      </c>
      <c r="C8" s="3">
        <v>99320.17</v>
      </c>
      <c r="D8" s="1" t="s">
        <v>13</v>
      </c>
    </row>
    <row r="9" spans="2:4" ht="15" thickTop="1" x14ac:dyDescent="0.3">
      <c r="B9" s="4" t="s">
        <v>4</v>
      </c>
      <c r="C9" s="5">
        <v>122799.17</v>
      </c>
      <c r="D9" s="5">
        <f ca="1">SUMIF(B:B, "Total general", C:C)</f>
        <v>224070.61</v>
      </c>
    </row>
    <row r="11" spans="2:4" x14ac:dyDescent="0.3">
      <c r="B11" s="6" t="s">
        <v>6</v>
      </c>
      <c r="C11" s="6"/>
    </row>
    <row r="12" spans="2:4" x14ac:dyDescent="0.3">
      <c r="B12" s="1" t="s">
        <v>20</v>
      </c>
      <c r="C12" s="1" t="s">
        <v>0</v>
      </c>
    </row>
    <row r="13" spans="2:4" x14ac:dyDescent="0.3">
      <c r="B13" s="2" t="s">
        <v>15</v>
      </c>
      <c r="C13" s="3">
        <v>2154</v>
      </c>
    </row>
    <row r="14" spans="2:4" x14ac:dyDescent="0.3">
      <c r="B14" s="2" t="s">
        <v>16</v>
      </c>
      <c r="C14" s="3">
        <v>3162</v>
      </c>
    </row>
    <row r="15" spans="2:4" x14ac:dyDescent="0.3">
      <c r="B15" s="2" t="s">
        <v>18</v>
      </c>
      <c r="C15" s="3">
        <v>21960</v>
      </c>
    </row>
    <row r="16" spans="2:4" ht="15" thickBot="1" x14ac:dyDescent="0.35">
      <c r="B16" s="2" t="s">
        <v>19</v>
      </c>
      <c r="C16" s="3">
        <v>17949</v>
      </c>
    </row>
    <row r="17" spans="2:3" ht="15" thickTop="1" x14ac:dyDescent="0.3">
      <c r="B17" s="4" t="s">
        <v>4</v>
      </c>
      <c r="C17" s="5">
        <v>45225</v>
      </c>
    </row>
    <row r="19" spans="2:3" x14ac:dyDescent="0.3">
      <c r="B19" s="6" t="s">
        <v>7</v>
      </c>
      <c r="C19" s="6"/>
    </row>
    <row r="20" spans="2:3" x14ac:dyDescent="0.3">
      <c r="B20" s="1" t="s">
        <v>20</v>
      </c>
      <c r="C20" s="1" t="s">
        <v>0</v>
      </c>
    </row>
    <row r="21" spans="2:3" ht="15" thickBot="1" x14ac:dyDescent="0.35">
      <c r="B21" s="2" t="s">
        <v>19</v>
      </c>
      <c r="C21" s="3">
        <v>24126.960000000003</v>
      </c>
    </row>
    <row r="22" spans="2:3" ht="15" thickTop="1" x14ac:dyDescent="0.3">
      <c r="B22" s="4" t="s">
        <v>4</v>
      </c>
      <c r="C22" s="5">
        <v>24126.960000000003</v>
      </c>
    </row>
    <row r="24" spans="2:3" x14ac:dyDescent="0.3">
      <c r="B24" s="6" t="s">
        <v>12</v>
      </c>
      <c r="C24" s="6"/>
    </row>
    <row r="25" spans="2:3" x14ac:dyDescent="0.3">
      <c r="B25" s="1" t="s">
        <v>20</v>
      </c>
      <c r="C25" s="1" t="s">
        <v>0</v>
      </c>
    </row>
    <row r="26" spans="2:3" x14ac:dyDescent="0.3">
      <c r="B26" s="2" t="s">
        <v>16</v>
      </c>
      <c r="C26" s="3">
        <v>2000</v>
      </c>
    </row>
    <row r="27" spans="2:3" ht="15" thickBot="1" x14ac:dyDescent="0.35">
      <c r="B27" s="2" t="s">
        <v>19</v>
      </c>
      <c r="C27" s="3">
        <v>11338.48</v>
      </c>
    </row>
    <row r="28" spans="2:3" ht="15" thickTop="1" x14ac:dyDescent="0.3">
      <c r="B28" s="4" t="s">
        <v>4</v>
      </c>
      <c r="C28" s="5">
        <v>13338.48</v>
      </c>
    </row>
    <row r="30" spans="2:3" x14ac:dyDescent="0.3">
      <c r="B30" s="6" t="s">
        <v>9</v>
      </c>
      <c r="C30" s="6"/>
    </row>
    <row r="31" spans="2:3" x14ac:dyDescent="0.3">
      <c r="B31" s="1" t="s">
        <v>20</v>
      </c>
      <c r="C31" s="1" t="s">
        <v>0</v>
      </c>
    </row>
    <row r="32" spans="2:3" x14ac:dyDescent="0.3">
      <c r="B32" s="2" t="s">
        <v>15</v>
      </c>
      <c r="C32" s="3">
        <v>950</v>
      </c>
    </row>
    <row r="33" spans="2:3" x14ac:dyDescent="0.3">
      <c r="B33" s="2" t="s">
        <v>16</v>
      </c>
      <c r="C33" s="3">
        <v>335</v>
      </c>
    </row>
    <row r="34" spans="2:3" x14ac:dyDescent="0.3">
      <c r="B34" s="2" t="s">
        <v>17</v>
      </c>
      <c r="C34" s="3">
        <v>6770</v>
      </c>
    </row>
    <row r="35" spans="2:3" x14ac:dyDescent="0.3">
      <c r="B35" s="2" t="s">
        <v>18</v>
      </c>
      <c r="C35" s="3">
        <v>988</v>
      </c>
    </row>
    <row r="36" spans="2:3" ht="15" thickBot="1" x14ac:dyDescent="0.35">
      <c r="B36" s="2" t="s">
        <v>19</v>
      </c>
      <c r="C36" s="3">
        <v>2343</v>
      </c>
    </row>
    <row r="37" spans="2:3" ht="15" thickTop="1" x14ac:dyDescent="0.3">
      <c r="B37" s="4" t="s">
        <v>4</v>
      </c>
      <c r="C37" s="5">
        <v>11386</v>
      </c>
    </row>
    <row r="39" spans="2:3" x14ac:dyDescent="0.3">
      <c r="B39" s="6" t="s">
        <v>8</v>
      </c>
      <c r="C39" s="6"/>
    </row>
    <row r="40" spans="2:3" x14ac:dyDescent="0.3">
      <c r="B40" s="1" t="s">
        <v>20</v>
      </c>
      <c r="C40" s="1" t="s">
        <v>0</v>
      </c>
    </row>
    <row r="41" spans="2:3" x14ac:dyDescent="0.3">
      <c r="B41" s="2" t="s">
        <v>18</v>
      </c>
      <c r="C41" s="3">
        <v>882</v>
      </c>
    </row>
    <row r="42" spans="2:3" ht="15" thickBot="1" x14ac:dyDescent="0.35">
      <c r="B42" s="2" t="s">
        <v>19</v>
      </c>
      <c r="C42" s="3">
        <v>5813</v>
      </c>
    </row>
    <row r="43" spans="2:3" ht="15" thickTop="1" x14ac:dyDescent="0.3">
      <c r="B43" s="4" t="s">
        <v>4</v>
      </c>
      <c r="C43" s="5">
        <v>6695</v>
      </c>
    </row>
    <row r="45" spans="2:3" x14ac:dyDescent="0.3">
      <c r="B45" s="6" t="s">
        <v>11</v>
      </c>
      <c r="C45" s="6"/>
    </row>
    <row r="46" spans="2:3" x14ac:dyDescent="0.3">
      <c r="B46" s="1" t="s">
        <v>20</v>
      </c>
      <c r="C46" s="1" t="s">
        <v>0</v>
      </c>
    </row>
    <row r="47" spans="2:3" ht="15" thickBot="1" x14ac:dyDescent="0.35">
      <c r="B47" s="2" t="s">
        <v>15</v>
      </c>
      <c r="C47" s="3">
        <v>500</v>
      </c>
    </row>
    <row r="48" spans="2:3" ht="15" thickTop="1" x14ac:dyDescent="0.3">
      <c r="B48" s="4" t="s">
        <v>4</v>
      </c>
      <c r="C48" s="5">
        <v>500</v>
      </c>
    </row>
  </sheetData>
  <mergeCells count="8">
    <mergeCell ref="B39:C39"/>
    <mergeCell ref="B45:C45"/>
    <mergeCell ref="B1:C1"/>
    <mergeCell ref="B2:C2"/>
    <mergeCell ref="B11:C11"/>
    <mergeCell ref="B19:C19"/>
    <mergeCell ref="B24:C24"/>
    <mergeCell ref="B30:C30"/>
  </mergeCells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35EEA-F37A-4D5A-8F9B-FAEDD677A831}">
  <dimension ref="B2:D43"/>
  <sheetViews>
    <sheetView tabSelected="1" topLeftCell="A31" workbookViewId="0">
      <selection activeCell="B2" sqref="B2:D43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"ETIQUETA PROYECTO CDC" &amp; TEXT(TODAY(), " dd/mm/aaaa ") &amp; TEXT(NOW(), " hh:mm")</f>
        <v>ETIQUETA PROYECTO CDC 05/09/2025  16:33</v>
      </c>
      <c r="C2" s="6"/>
    </row>
    <row r="3" spans="2:4" x14ac:dyDescent="0.3">
      <c r="B3" s="6" t="s">
        <v>21</v>
      </c>
      <c r="C3" s="6"/>
    </row>
    <row r="4" spans="2:4" x14ac:dyDescent="0.3">
      <c r="B4" s="1" t="s">
        <v>14</v>
      </c>
      <c r="C4" s="1" t="s">
        <v>0</v>
      </c>
    </row>
    <row r="5" spans="2:4" x14ac:dyDescent="0.3">
      <c r="B5" s="2" t="s">
        <v>1</v>
      </c>
      <c r="C5" s="3">
        <v>35864</v>
      </c>
    </row>
    <row r="6" spans="2:4" x14ac:dyDescent="0.3">
      <c r="B6" s="2" t="s">
        <v>2</v>
      </c>
      <c r="C6" s="3">
        <v>2302.0299999999997</v>
      </c>
    </row>
    <row r="7" spans="2:4" ht="15" thickBot="1" x14ac:dyDescent="0.35">
      <c r="B7" s="2" t="s">
        <v>3</v>
      </c>
      <c r="C7" s="3">
        <v>1366</v>
      </c>
      <c r="D7" s="1" t="s">
        <v>13</v>
      </c>
    </row>
    <row r="8" spans="2:4" ht="15" thickTop="1" x14ac:dyDescent="0.3">
      <c r="B8" s="4" t="s">
        <v>4</v>
      </c>
      <c r="C8" s="5">
        <v>39532.03</v>
      </c>
      <c r="D8" s="5">
        <f ca="1">SUMIF(B:B, "Total general", C:C)</f>
        <v>60162.03</v>
      </c>
    </row>
    <row r="10" spans="2:4" x14ac:dyDescent="0.3">
      <c r="B10" s="6" t="s">
        <v>22</v>
      </c>
      <c r="C10" s="6"/>
    </row>
    <row r="11" spans="2:4" x14ac:dyDescent="0.3">
      <c r="B11" s="1" t="s">
        <v>14</v>
      </c>
      <c r="C11" s="1" t="s">
        <v>0</v>
      </c>
    </row>
    <row r="12" spans="2:4" x14ac:dyDescent="0.3">
      <c r="B12" s="2" t="s">
        <v>10</v>
      </c>
      <c r="C12" s="3">
        <v>540</v>
      </c>
    </row>
    <row r="13" spans="2:4" x14ac:dyDescent="0.3">
      <c r="B13" s="2" t="s">
        <v>1</v>
      </c>
      <c r="C13" s="3">
        <v>9500</v>
      </c>
    </row>
    <row r="14" spans="2:4" ht="15" thickBot="1" x14ac:dyDescent="0.35">
      <c r="B14" s="2" t="s">
        <v>2</v>
      </c>
      <c r="C14" s="3">
        <v>1500</v>
      </c>
    </row>
    <row r="15" spans="2:4" ht="15" thickTop="1" x14ac:dyDescent="0.3">
      <c r="B15" s="4" t="s">
        <v>4</v>
      </c>
      <c r="C15" s="5">
        <v>11540</v>
      </c>
    </row>
    <row r="17" spans="2:3" x14ac:dyDescent="0.3">
      <c r="B17" s="6" t="s">
        <v>9</v>
      </c>
      <c r="C17" s="6"/>
    </row>
    <row r="18" spans="2:3" x14ac:dyDescent="0.3">
      <c r="B18" s="1" t="s">
        <v>14</v>
      </c>
      <c r="C18" s="1" t="s">
        <v>0</v>
      </c>
    </row>
    <row r="19" spans="2:3" x14ac:dyDescent="0.3">
      <c r="B19" s="2" t="s">
        <v>10</v>
      </c>
      <c r="C19" s="3">
        <v>1952</v>
      </c>
    </row>
    <row r="20" spans="2:3" x14ac:dyDescent="0.3">
      <c r="B20" s="2" t="s">
        <v>1</v>
      </c>
      <c r="C20" s="3">
        <v>1798</v>
      </c>
    </row>
    <row r="21" spans="2:3" ht="15" thickBot="1" x14ac:dyDescent="0.35">
      <c r="B21" s="2" t="s">
        <v>2</v>
      </c>
      <c r="C21" s="3">
        <v>1000</v>
      </c>
    </row>
    <row r="22" spans="2:3" ht="15" thickTop="1" x14ac:dyDescent="0.3">
      <c r="B22" s="4" t="s">
        <v>4</v>
      </c>
      <c r="C22" s="5">
        <v>4750</v>
      </c>
    </row>
    <row r="24" spans="2:3" x14ac:dyDescent="0.3">
      <c r="B24" s="6" t="s">
        <v>5</v>
      </c>
      <c r="C24" s="6"/>
    </row>
    <row r="25" spans="2:3" x14ac:dyDescent="0.3">
      <c r="B25" s="1" t="s">
        <v>14</v>
      </c>
      <c r="C25" s="1" t="s">
        <v>0</v>
      </c>
    </row>
    <row r="26" spans="2:3" x14ac:dyDescent="0.3">
      <c r="B26" s="2" t="s">
        <v>1</v>
      </c>
      <c r="C26" s="3">
        <v>1521</v>
      </c>
    </row>
    <row r="27" spans="2:3" ht="15" thickBot="1" x14ac:dyDescent="0.35">
      <c r="B27" s="2" t="s">
        <v>3</v>
      </c>
      <c r="C27" s="3">
        <v>937</v>
      </c>
    </row>
    <row r="28" spans="2:3" ht="15" thickTop="1" x14ac:dyDescent="0.3">
      <c r="B28" s="4" t="s">
        <v>4</v>
      </c>
      <c r="C28" s="5">
        <v>2458</v>
      </c>
    </row>
    <row r="30" spans="2:3" x14ac:dyDescent="0.3">
      <c r="B30" s="6" t="s">
        <v>8</v>
      </c>
      <c r="C30" s="6"/>
    </row>
    <row r="31" spans="2:3" x14ac:dyDescent="0.3">
      <c r="B31" s="1" t="s">
        <v>14</v>
      </c>
      <c r="C31" s="1" t="s">
        <v>0</v>
      </c>
    </row>
    <row r="32" spans="2:3" ht="15" thickBot="1" x14ac:dyDescent="0.35">
      <c r="B32" s="2" t="s">
        <v>1</v>
      </c>
      <c r="C32" s="3">
        <v>882</v>
      </c>
    </row>
    <row r="33" spans="2:3" ht="15" thickTop="1" x14ac:dyDescent="0.3">
      <c r="B33" s="4" t="s">
        <v>4</v>
      </c>
      <c r="C33" s="5">
        <v>882</v>
      </c>
    </row>
    <row r="35" spans="2:3" x14ac:dyDescent="0.3">
      <c r="B35" s="6" t="s">
        <v>11</v>
      </c>
      <c r="C35" s="6"/>
    </row>
    <row r="36" spans="2:3" x14ac:dyDescent="0.3">
      <c r="B36" s="1" t="s">
        <v>14</v>
      </c>
      <c r="C36" s="1" t="s">
        <v>0</v>
      </c>
    </row>
    <row r="37" spans="2:3" ht="15" thickBot="1" x14ac:dyDescent="0.35">
      <c r="B37" s="2" t="s">
        <v>3</v>
      </c>
      <c r="C37" s="3">
        <v>500</v>
      </c>
    </row>
    <row r="38" spans="2:3" ht="15" thickTop="1" x14ac:dyDescent="0.3">
      <c r="B38" s="4" t="s">
        <v>4</v>
      </c>
      <c r="C38" s="5">
        <v>500</v>
      </c>
    </row>
    <row r="40" spans="2:3" x14ac:dyDescent="0.3">
      <c r="B40" s="6" t="s">
        <v>7</v>
      </c>
      <c r="C40" s="6"/>
    </row>
    <row r="41" spans="2:3" x14ac:dyDescent="0.3">
      <c r="B41" s="1" t="s">
        <v>14</v>
      </c>
      <c r="C41" s="1" t="s">
        <v>0</v>
      </c>
    </row>
    <row r="42" spans="2:3" ht="15" thickBot="1" x14ac:dyDescent="0.35">
      <c r="B42" s="2" t="s">
        <v>3</v>
      </c>
      <c r="C42" s="3">
        <v>500</v>
      </c>
    </row>
    <row r="43" spans="2:3" ht="15" thickTop="1" x14ac:dyDescent="0.3">
      <c r="B43" s="4" t="s">
        <v>4</v>
      </c>
      <c r="C43" s="5">
        <v>500</v>
      </c>
    </row>
  </sheetData>
  <mergeCells count="8">
    <mergeCell ref="B35:C35"/>
    <mergeCell ref="B24:C24"/>
    <mergeCell ref="B3:C3"/>
    <mergeCell ref="B2:C2"/>
    <mergeCell ref="B40:C40"/>
    <mergeCell ref="B30:C30"/>
    <mergeCell ref="B17:C17"/>
    <mergeCell ref="B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2025-09-05T22:33:32Z</cp:lastPrinted>
  <dcterms:created xsi:type="dcterms:W3CDTF">2025-09-05T22:23:21Z</dcterms:created>
  <dcterms:modified xsi:type="dcterms:W3CDTF">2025-09-05T22:33:33Z</dcterms:modified>
</cp:coreProperties>
</file>