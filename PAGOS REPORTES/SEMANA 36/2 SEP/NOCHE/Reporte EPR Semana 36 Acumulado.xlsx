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6\2 SEP\NOCHE\"/>
    </mc:Choice>
  </mc:AlternateContent>
  <xr:revisionPtr revIDLastSave="0" documentId="13_ncr:1_{64CE7B95-AF0C-45C6-888E-A0F70FC285B5}" xr6:coauthVersionLast="47" xr6:coauthVersionMax="47" xr10:uidLastSave="{00000000-0000-0000-0000-000000000000}"/>
  <bookViews>
    <workbookView xWindow="27090" yWindow="1380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5" l="1"/>
  <c r="D60" i="5"/>
  <c r="C60" i="5"/>
  <c r="D7" i="6"/>
  <c r="D6" i="6"/>
  <c r="D5" i="6"/>
  <c r="D4" i="6"/>
  <c r="D3" i="6"/>
  <c r="C7" i="6"/>
  <c r="C6" i="6"/>
  <c r="C5" i="6"/>
  <c r="C4" i="6"/>
  <c r="C3" i="6"/>
  <c r="D52" i="5"/>
  <c r="D43" i="5"/>
  <c r="C43" i="5"/>
  <c r="D59" i="1"/>
  <c r="C59" i="1"/>
  <c r="D68" i="5"/>
  <c r="C68" i="5"/>
  <c r="C52" i="5"/>
  <c r="D36" i="5"/>
  <c r="C36" i="5"/>
  <c r="C27" i="5"/>
  <c r="D65" i="1"/>
  <c r="C65" i="1"/>
  <c r="D10" i="5"/>
  <c r="D18" i="5"/>
  <c r="C18" i="5"/>
  <c r="C10" i="5"/>
  <c r="J9" i="3"/>
  <c r="J8" i="3"/>
  <c r="J7" i="3"/>
  <c r="J6" i="3"/>
  <c r="C52" i="1"/>
  <c r="C70" i="5" l="1"/>
  <c r="D8" i="6"/>
  <c r="C8" i="6"/>
  <c r="D70" i="5"/>
  <c r="C19" i="1"/>
  <c r="D19" i="1"/>
  <c r="D28" i="1"/>
  <c r="C28" i="1"/>
  <c r="D6" i="3"/>
  <c r="D36" i="1"/>
  <c r="C36" i="1"/>
  <c r="D52" i="1"/>
  <c r="D44" i="1" l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<sst xmlns="http://schemas.openxmlformats.org/spreadsheetml/2006/main" count="187" uniqueCount="40">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</sst>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43" fontId="0" fillId="0" borderId="1" xfId="0" applyNumberFormat="1" applyFon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31" zoomScaleNormal="100" workbookViewId="0">
      <selection activeCell="C58" sqref="C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21</v>
      </c>
      <c r="D5" s="25">
        <v>-4672</v>
      </c>
    </row>
    <row r="6" spans="2:8" x14ac:dyDescent="0.25">
      <c r="B6" s="1" t="s">
        <v>5</v>
      </c>
      <c r="C6" s="6">
        <v>8949</v>
      </c>
      <c r="D6" s="25">
        <v>220462.15000000002</v>
      </c>
    </row>
    <row r="7" spans="2:8" x14ac:dyDescent="0.25">
      <c r="B7" s="1" t="s">
        <v>6</v>
      </c>
      <c r="C7" s="6">
        <v>7560</v>
      </c>
      <c r="D7" s="25">
        <v>94303.76</v>
      </c>
    </row>
    <row r="8" spans="2:8" x14ac:dyDescent="0.25">
      <c r="B8" s="5" t="s">
        <v>12</v>
      </c>
      <c r="C8" s="7">
        <v>1232</v>
      </c>
      <c r="D8" s="26">
        <v>0</v>
      </c>
    </row>
    <row r="9" spans="2:8" x14ac:dyDescent="0.25">
      <c r="B9" s="1" t="s">
        <v>7</v>
      </c>
      <c r="C9" s="6">
        <v>34262</v>
      </c>
      <c r="D9" s="25">
        <v>135560.88999999998</v>
      </c>
      <c r="E9" s="14"/>
      <c r="F9" s="7"/>
    </row>
    <row r="10" spans="2:8" x14ac:dyDescent="0.25">
      <c r="B10" s="3" t="s">
        <v>8</v>
      </c>
      <c r="C10" s="8">
        <f>SUM(C5:C9)</f>
        <v>52024</v>
      </c>
      <c r="D10" s="4">
        <f>SUM(D5:D9)</f>
        <v>445654.80000000005</v>
      </c>
      <c r="E10" s="11" t="s">
        <v>14</v>
      </c>
    </row>
    <row r="12" spans="2:8" x14ac:dyDescent="0.25">
      <c r="B12" s="29" t="s">
        <v>36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0</v>
      </c>
      <c r="D14" s="26">
        <v>0</v>
      </c>
    </row>
    <row r="15" spans="2:8" x14ac:dyDescent="0.25">
      <c r="B15" s="1" t="s">
        <v>5</v>
      </c>
      <c r="C15" s="6">
        <v>2296</v>
      </c>
      <c r="D15" s="25">
        <v>70756.02</v>
      </c>
    </row>
    <row r="16" spans="2:8" x14ac:dyDescent="0.25">
      <c r="B16" s="1" t="s">
        <v>6</v>
      </c>
      <c r="C16" s="6">
        <v>2978</v>
      </c>
      <c r="D16" s="25">
        <v>27651</v>
      </c>
    </row>
    <row r="17" spans="2:4" x14ac:dyDescent="0.25">
      <c r="B17" s="5" t="s">
        <v>12</v>
      </c>
      <c r="C17" s="6">
        <v>0</v>
      </c>
      <c r="D17" s="11">
        <v>0</v>
      </c>
    </row>
    <row r="18" spans="2:4" x14ac:dyDescent="0.25">
      <c r="B18" s="1" t="s">
        <v>7</v>
      </c>
      <c r="C18" s="7">
        <v>18139</v>
      </c>
      <c r="D18" s="25">
        <v>47046.69</v>
      </c>
    </row>
    <row r="19" spans="2:4" x14ac:dyDescent="0.25">
      <c r="B19" s="3" t="s">
        <v>8</v>
      </c>
      <c r="C19" s="8">
        <f>SUM(C14:C18)</f>
        <v>23413</v>
      </c>
      <c r="D19" s="4">
        <f>SUM(D14:D18)</f>
        <v>145453.71000000002</v>
      </c>
    </row>
    <row r="21" spans="2:4" x14ac:dyDescent="0.25">
      <c r="B21" s="30" t="s">
        <v>10</v>
      </c>
      <c r="C21" s="30"/>
      <c r="D21" s="30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8</v>
      </c>
      <c r="D23" s="26">
        <v>0</v>
      </c>
    </row>
    <row r="24" spans="2:4" x14ac:dyDescent="0.25">
      <c r="B24" s="9" t="s">
        <v>5</v>
      </c>
      <c r="C24" s="6">
        <v>2742</v>
      </c>
      <c r="D24" s="25">
        <v>62961.54</v>
      </c>
    </row>
    <row r="25" spans="2:4" x14ac:dyDescent="0.25">
      <c r="B25" s="9" t="s">
        <v>6</v>
      </c>
      <c r="C25" s="6">
        <v>883</v>
      </c>
      <c r="D25" s="25">
        <v>10570.1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12970</v>
      </c>
      <c r="D27" s="25">
        <v>21512.73</v>
      </c>
    </row>
    <row r="28" spans="2:4" x14ac:dyDescent="0.25">
      <c r="B28" s="10" t="s">
        <v>8</v>
      </c>
      <c r="C28" s="8">
        <f>SUM(C23:C27)</f>
        <v>16604</v>
      </c>
      <c r="D28" s="4">
        <f>SUM(D23:D27)</f>
        <v>95044.37</v>
      </c>
    </row>
    <row r="30" spans="2:4" x14ac:dyDescent="0.25">
      <c r="B30" s="29" t="s">
        <v>31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>
        <v>1269</v>
      </c>
      <c r="D32" s="25">
        <v>23035.16</v>
      </c>
    </row>
    <row r="33" spans="2:4" x14ac:dyDescent="0.25">
      <c r="B33" s="1" t="s">
        <v>5</v>
      </c>
      <c r="C33">
        <v>3418</v>
      </c>
      <c r="D33" s="25">
        <v>23772</v>
      </c>
    </row>
    <row r="34" spans="2:4" x14ac:dyDescent="0.25">
      <c r="B34" s="1" t="s">
        <v>6</v>
      </c>
      <c r="C34">
        <v>1967</v>
      </c>
      <c r="D34" s="25">
        <v>15547</v>
      </c>
    </row>
    <row r="35" spans="2:4" x14ac:dyDescent="0.25">
      <c r="B35" s="1" t="s">
        <v>7</v>
      </c>
      <c r="C35">
        <v>369</v>
      </c>
      <c r="D35" s="25">
        <v>1940</v>
      </c>
    </row>
    <row r="36" spans="2:4" x14ac:dyDescent="0.25">
      <c r="B36" s="3" t="s">
        <v>8</v>
      </c>
      <c r="C36" s="8">
        <f>SUM(C32:C35)</f>
        <v>7023</v>
      </c>
      <c r="D36" s="4">
        <f>SUM(D32:D35)</f>
        <v>64294.16</v>
      </c>
    </row>
    <row r="38" spans="2:4" x14ac:dyDescent="0.25">
      <c r="B38" s="29" t="s">
        <v>9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0</v>
      </c>
      <c r="D40" s="26">
        <v>0</v>
      </c>
    </row>
    <row r="41" spans="2:4" x14ac:dyDescent="0.25">
      <c r="B41" s="9" t="s">
        <v>5</v>
      </c>
      <c r="C41" s="6">
        <v>1679</v>
      </c>
      <c r="D41" s="25">
        <v>30859.75</v>
      </c>
    </row>
    <row r="42" spans="2:4" x14ac:dyDescent="0.25">
      <c r="B42" s="9" t="s">
        <v>6</v>
      </c>
      <c r="C42" s="6">
        <v>1673</v>
      </c>
      <c r="D42" s="25">
        <v>17247</v>
      </c>
    </row>
    <row r="43" spans="2:4" x14ac:dyDescent="0.25">
      <c r="B43" s="9" t="s">
        <v>7</v>
      </c>
      <c r="C43" s="6">
        <v>3229</v>
      </c>
      <c r="D43" s="25">
        <v>2416</v>
      </c>
    </row>
    <row r="44" spans="2:4" x14ac:dyDescent="0.25">
      <c r="B44" s="10" t="s">
        <v>8</v>
      </c>
      <c r="C44" s="8">
        <f>SUM(C40:C43)</f>
        <v>6581</v>
      </c>
      <c r="D44" s="4">
        <f>SUM(D40:D43)</f>
        <v>50522.75</v>
      </c>
    </row>
    <row r="46" spans="2:4" x14ac:dyDescent="0.25">
      <c r="B46" s="29" t="s">
        <v>30</v>
      </c>
      <c r="C46" s="29"/>
      <c r="D46" s="29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0</v>
      </c>
      <c r="D48" s="25">
        <v>8494.25</v>
      </c>
    </row>
    <row r="49" spans="2:4" x14ac:dyDescent="0.25">
      <c r="B49" s="1" t="s">
        <v>5</v>
      </c>
      <c r="C49" s="6">
        <v>564</v>
      </c>
      <c r="D49" s="25">
        <v>7523</v>
      </c>
    </row>
    <row r="50" spans="2:4" x14ac:dyDescent="0.25">
      <c r="B50" s="1" t="s">
        <v>6</v>
      </c>
      <c r="C50" s="6">
        <v>254</v>
      </c>
      <c r="D50" s="11">
        <v>0</v>
      </c>
    </row>
    <row r="51" spans="2:4" x14ac:dyDescent="0.25">
      <c r="B51" s="1" t="s">
        <v>7</v>
      </c>
      <c r="C51" s="6">
        <v>1241</v>
      </c>
      <c r="D51" s="25">
        <v>4156</v>
      </c>
    </row>
    <row r="52" spans="2:4" x14ac:dyDescent="0.25">
      <c r="B52" s="3" t="s">
        <v>8</v>
      </c>
      <c r="C52" s="8">
        <f>SUM(C48:C51)</f>
        <v>2059</v>
      </c>
      <c r="D52" s="4">
        <f>SUM(D48:D51)</f>
        <v>20173.25</v>
      </c>
    </row>
    <row r="54" spans="2:4" x14ac:dyDescent="0.25">
      <c r="B54" s="30" t="s">
        <v>11</v>
      </c>
      <c r="C54" s="30"/>
      <c r="D54" s="30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1678</v>
      </c>
      <c r="D56" s="25">
        <v>3519</v>
      </c>
    </row>
    <row r="57" spans="2:4" x14ac:dyDescent="0.25">
      <c r="B57" s="1" t="s">
        <v>5</v>
      </c>
      <c r="C57" s="6">
        <v>2347</v>
      </c>
      <c r="D57" s="25">
        <v>8419.5400000000009</v>
      </c>
    </row>
    <row r="58" spans="2:4" x14ac:dyDescent="0.25">
      <c r="B58" s="1" t="s">
        <v>6</v>
      </c>
      <c r="C58" s="6">
        <v>1073</v>
      </c>
      <c r="D58" s="25">
        <v>4532</v>
      </c>
    </row>
    <row r="59" spans="2:4" x14ac:dyDescent="0.25">
      <c r="B59" s="10" t="s">
        <v>8</v>
      </c>
      <c r="C59" s="8">
        <f>SUM(C56:C58)</f>
        <v>5098</v>
      </c>
      <c r="D59" s="4">
        <f>SUM(D56:D58)</f>
        <v>16470.54</v>
      </c>
    </row>
    <row r="60" spans="2:4" hidden="1" x14ac:dyDescent="0.25"/>
    <row r="61" spans="2:4" hidden="1" x14ac:dyDescent="0.25">
      <c r="B61" s="29" t="s">
        <v>38</v>
      </c>
      <c r="C61" s="29"/>
      <c r="D61" s="29"/>
    </row>
    <row r="62" spans="2:4" hidden="1" x14ac:dyDescent="0.25">
      <c r="B62" s="2" t="s">
        <v>1</v>
      </c>
      <c r="C62" s="2" t="s">
        <v>2</v>
      </c>
      <c r="D62" s="2" t="s">
        <v>3</v>
      </c>
    </row>
    <row r="63" spans="2:4" hidden="1" x14ac:dyDescent="0.25">
      <c r="B63" s="9" t="s">
        <v>4</v>
      </c>
      <c r="C63" s="6">
        <v>0</v>
      </c>
      <c r="D63" s="26">
        <v>0</v>
      </c>
    </row>
    <row r="64" spans="2:4" hidden="1" x14ac:dyDescent="0.25">
      <c r="B64" s="1" t="s">
        <v>5</v>
      </c>
      <c r="C64" s="6">
        <v>0</v>
      </c>
      <c r="D64" s="26">
        <v>0</v>
      </c>
    </row>
    <row r="65" spans="2:4" hidden="1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112802</v>
      </c>
      <c r="D67" s="13">
        <f>SUMIF(B:B, "Total general", D:D)</f>
        <v>837613.58000000007</v>
      </c>
    </row>
  </sheetData>
  <mergeCells count="8">
    <mergeCell ref="B3:D3"/>
    <mergeCell ref="B21:D21"/>
    <mergeCell ref="B38:D38"/>
    <mergeCell ref="B61:D61"/>
    <mergeCell ref="B54:D54"/>
    <mergeCell ref="B30:D30"/>
    <mergeCell ref="B12:D12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9" t="s">
        <v>39</v>
      </c>
      <c r="C1" s="29"/>
      <c r="D1" s="29"/>
    </row>
    <row r="3" spans="2:8" x14ac:dyDescent="0.25">
      <c r="B3" s="29" t="s">
        <v>37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432</v>
      </c>
      <c r="D5" s="25">
        <v>2000</v>
      </c>
      <c r="E5" s="11"/>
    </row>
    <row r="6" spans="2:8" x14ac:dyDescent="0.25">
      <c r="B6" s="1" t="s">
        <v>5</v>
      </c>
      <c r="C6" s="27">
        <v>14693</v>
      </c>
      <c r="D6" s="25">
        <v>104596.03</v>
      </c>
    </row>
    <row r="7" spans="2:8" x14ac:dyDescent="0.25">
      <c r="B7" s="1" t="s">
        <v>6</v>
      </c>
      <c r="C7" s="27">
        <v>8285</v>
      </c>
      <c r="D7" s="25">
        <v>26675.02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63614</v>
      </c>
      <c r="D9" s="25">
        <v>8609</v>
      </c>
      <c r="E9" s="14"/>
      <c r="F9" s="7"/>
    </row>
    <row r="10" spans="2:8" x14ac:dyDescent="0.25">
      <c r="B10" s="3" t="s">
        <v>8</v>
      </c>
      <c r="C10" s="8">
        <f>SUM(C5:C9)</f>
        <v>89763</v>
      </c>
      <c r="D10" s="4">
        <f>SUM(D5:D9)</f>
        <v>141880.04999999999</v>
      </c>
      <c r="E10" s="11" t="s">
        <v>14</v>
      </c>
    </row>
    <row r="12" spans="2:8" x14ac:dyDescent="0.25">
      <c r="B12" s="29" t="s">
        <v>31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1269</v>
      </c>
      <c r="D14" s="25">
        <v>23035.16</v>
      </c>
    </row>
    <row r="15" spans="2:8" x14ac:dyDescent="0.25">
      <c r="B15" s="1" t="s">
        <v>5</v>
      </c>
      <c r="C15">
        <v>3429</v>
      </c>
      <c r="D15" s="25">
        <v>23772</v>
      </c>
    </row>
    <row r="16" spans="2:8" x14ac:dyDescent="0.25">
      <c r="B16" s="1" t="s">
        <v>6</v>
      </c>
      <c r="C16">
        <v>1969</v>
      </c>
      <c r="D16" s="25">
        <v>15547</v>
      </c>
    </row>
    <row r="17" spans="2:4" x14ac:dyDescent="0.25">
      <c r="B17" s="1" t="s">
        <v>7</v>
      </c>
      <c r="C17">
        <v>369</v>
      </c>
      <c r="D17" s="25">
        <v>1940</v>
      </c>
    </row>
    <row r="18" spans="2:4" x14ac:dyDescent="0.25">
      <c r="B18" s="3" t="s">
        <v>8</v>
      </c>
      <c r="C18" s="8">
        <f>SUM(C14:C17)</f>
        <v>7036</v>
      </c>
      <c r="D18" s="4">
        <f>SUM(D14:D17)</f>
        <v>64294.16</v>
      </c>
    </row>
    <row r="20" spans="2:4" x14ac:dyDescent="0.25">
      <c r="B20" s="29" t="s">
        <v>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27">
        <v>0</v>
      </c>
      <c r="D22" s="26">
        <v>0</v>
      </c>
    </row>
    <row r="23" spans="2:4" x14ac:dyDescent="0.25">
      <c r="B23" s="1" t="s">
        <v>5</v>
      </c>
      <c r="C23">
        <v>17</v>
      </c>
      <c r="D23" s="25">
        <v>2806</v>
      </c>
    </row>
    <row r="24" spans="2:4" x14ac:dyDescent="0.25">
      <c r="B24" s="1" t="s">
        <v>6</v>
      </c>
      <c r="C24">
        <v>70</v>
      </c>
      <c r="D24" s="25">
        <v>16637.02</v>
      </c>
    </row>
    <row r="25" spans="2:4" x14ac:dyDescent="0.25">
      <c r="B25" s="5" t="s">
        <v>12</v>
      </c>
      <c r="C25">
        <v>1</v>
      </c>
      <c r="D25" s="26">
        <v>0</v>
      </c>
    </row>
    <row r="26" spans="2:4" x14ac:dyDescent="0.25">
      <c r="B26" s="1" t="s">
        <v>7</v>
      </c>
      <c r="C26">
        <v>304</v>
      </c>
      <c r="D26" s="25">
        <v>5866</v>
      </c>
    </row>
    <row r="27" spans="2:4" x14ac:dyDescent="0.25">
      <c r="B27" s="3" t="s">
        <v>8</v>
      </c>
      <c r="C27" s="8">
        <f>SUM(C22:C26)</f>
        <v>392</v>
      </c>
      <c r="D27" s="4">
        <f>SUM(D22:D26)</f>
        <v>25309.02</v>
      </c>
    </row>
    <row r="29" spans="2:4" x14ac:dyDescent="0.25">
      <c r="B29" s="30" t="s">
        <v>10</v>
      </c>
      <c r="C29" s="30"/>
      <c r="D29" s="30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11">
        <v>0</v>
      </c>
      <c r="D31" s="7">
        <v>0</v>
      </c>
    </row>
    <row r="32" spans="2:4" x14ac:dyDescent="0.25">
      <c r="B32" s="9" t="s">
        <v>5</v>
      </c>
      <c r="C32">
        <v>4</v>
      </c>
      <c r="D32" s="25">
        <v>10334</v>
      </c>
    </row>
    <row r="33" spans="2:4" x14ac:dyDescent="0.25">
      <c r="B33" s="9" t="s">
        <v>6</v>
      </c>
      <c r="C33">
        <v>3</v>
      </c>
      <c r="D33" s="26">
        <v>0</v>
      </c>
    </row>
    <row r="34" spans="2:4" x14ac:dyDescent="0.25">
      <c r="B34" s="5" t="s">
        <v>12</v>
      </c>
      <c r="C34" s="7">
        <v>0</v>
      </c>
      <c r="D34" s="7">
        <v>0</v>
      </c>
    </row>
    <row r="35" spans="2:4" x14ac:dyDescent="0.25">
      <c r="B35" s="9" t="s">
        <v>7</v>
      </c>
      <c r="C35">
        <v>167</v>
      </c>
      <c r="D35" s="26">
        <v>0</v>
      </c>
    </row>
    <row r="36" spans="2:4" x14ac:dyDescent="0.25">
      <c r="B36" s="10" t="s">
        <v>8</v>
      </c>
      <c r="C36" s="8">
        <f>SUM(C31:C35)</f>
        <v>174</v>
      </c>
      <c r="D36" s="4">
        <f>SUM(D31:D35)</f>
        <v>10334</v>
      </c>
    </row>
    <row r="38" spans="2:4" x14ac:dyDescent="0.25">
      <c r="B38" s="30" t="s">
        <v>11</v>
      </c>
      <c r="C38" s="30"/>
      <c r="D38" s="30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11">
        <v>0</v>
      </c>
      <c r="D40" s="25">
        <v>3519</v>
      </c>
    </row>
    <row r="41" spans="2:4" x14ac:dyDescent="0.25">
      <c r="B41" s="1" t="s">
        <v>5</v>
      </c>
      <c r="C41">
        <v>1</v>
      </c>
      <c r="D41" s="25">
        <v>1080.54</v>
      </c>
    </row>
    <row r="42" spans="2:4" x14ac:dyDescent="0.25">
      <c r="B42" s="1" t="s">
        <v>6</v>
      </c>
      <c r="C42" s="11">
        <v>0</v>
      </c>
      <c r="D42" s="25">
        <v>4532</v>
      </c>
    </row>
    <row r="43" spans="2:4" x14ac:dyDescent="0.25">
      <c r="B43" s="10" t="s">
        <v>8</v>
      </c>
      <c r="C43" s="8">
        <f>SUM(C40:C42)</f>
        <v>1</v>
      </c>
      <c r="D43" s="4">
        <f>SUM(D40:D42)</f>
        <v>9131.5400000000009</v>
      </c>
    </row>
    <row r="45" spans="2:4" x14ac:dyDescent="0.25">
      <c r="B45" s="29" t="s">
        <v>36</v>
      </c>
      <c r="C45" s="29"/>
      <c r="D45" s="29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1" t="s">
        <v>4</v>
      </c>
      <c r="C47" s="11">
        <v>0</v>
      </c>
      <c r="D47" s="26">
        <v>0</v>
      </c>
    </row>
    <row r="48" spans="2:4" x14ac:dyDescent="0.25">
      <c r="B48" s="1" t="s">
        <v>5</v>
      </c>
      <c r="C48">
        <v>4</v>
      </c>
      <c r="D48" s="28">
        <v>0</v>
      </c>
    </row>
    <row r="49" spans="2:4" x14ac:dyDescent="0.25">
      <c r="B49" s="1" t="s">
        <v>6</v>
      </c>
      <c r="C49">
        <v>37</v>
      </c>
      <c r="D49" s="28">
        <v>0</v>
      </c>
    </row>
    <row r="50" spans="2:4" x14ac:dyDescent="0.25">
      <c r="B50" s="5" t="s">
        <v>12</v>
      </c>
      <c r="C50" s="11">
        <v>0</v>
      </c>
      <c r="D50" s="26">
        <v>0</v>
      </c>
    </row>
    <row r="51" spans="2:4" x14ac:dyDescent="0.25">
      <c r="B51" s="1" t="s">
        <v>7</v>
      </c>
      <c r="C51">
        <v>332</v>
      </c>
      <c r="D51" s="25">
        <v>2788</v>
      </c>
    </row>
    <row r="52" spans="2:4" x14ac:dyDescent="0.25">
      <c r="B52" s="3" t="s">
        <v>8</v>
      </c>
      <c r="C52" s="8">
        <f>SUM(C47:C51)</f>
        <v>373</v>
      </c>
      <c r="D52" s="4">
        <f>SUM(D47:D51)</f>
        <v>2788</v>
      </c>
    </row>
    <row r="54" spans="2:4" x14ac:dyDescent="0.25">
      <c r="B54" s="29" t="s">
        <v>30</v>
      </c>
      <c r="C54" s="29"/>
      <c r="D54" s="29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2</v>
      </c>
      <c r="D58" s="26">
        <v>0</v>
      </c>
    </row>
    <row r="59" spans="2:4" x14ac:dyDescent="0.25">
      <c r="B59" s="1" t="s">
        <v>7</v>
      </c>
      <c r="C59">
        <v>64</v>
      </c>
      <c r="D59" s="26">
        <v>0</v>
      </c>
    </row>
    <row r="60" spans="2:4" x14ac:dyDescent="0.25">
      <c r="B60" s="3" t="s">
        <v>8</v>
      </c>
      <c r="C60" s="8">
        <f>SUM(C56:C59)</f>
        <v>69</v>
      </c>
      <c r="D60" s="4">
        <f>SUM(D56:D59)</f>
        <v>0</v>
      </c>
    </row>
    <row r="62" spans="2:4" x14ac:dyDescent="0.25">
      <c r="B62" s="29" t="s">
        <v>9</v>
      </c>
      <c r="C62" s="29"/>
      <c r="D62" s="29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97871</v>
      </c>
      <c r="D70" s="13">
        <f>SUMIF(B:B, "Total general", D:D)</f>
        <v>253736.77</v>
      </c>
    </row>
  </sheetData>
  <mergeCells count="9">
    <mergeCell ref="B62:D62"/>
    <mergeCell ref="B54:D54"/>
    <mergeCell ref="B38:D38"/>
    <mergeCell ref="B1:D1"/>
    <mergeCell ref="B3:D3"/>
    <mergeCell ref="B12:D12"/>
    <mergeCell ref="B20:D20"/>
    <mergeCell ref="B29:D29"/>
    <mergeCell ref="B45:D45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9" t="s">
        <v>39</v>
      </c>
      <c r="C1" s="29"/>
      <c r="D1" s="29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1701</v>
      </c>
      <c r="D3" s="14">
        <f>SUMIF('CDC-OLGUIN'!B:B, "Extrajudicial - 0 a 28 semanas de atraso", 'CDC-OLGUIN'!D:D)</f>
        <v>28554.16</v>
      </c>
    </row>
    <row r="4" spans="2:6" x14ac:dyDescent="0.25">
      <c r="B4" s="1" t="s">
        <v>5</v>
      </c>
      <c r="C4" s="6">
        <f>SUMIF('CDC-OLGUIN'!B:B, "Extrajudicial - 29 a 39 semanas de atraso", 'CDC-OLGUIN'!C:C)</f>
        <v>18151</v>
      </c>
      <c r="D4" s="14">
        <f>SUMIF('CDC-OLGUIN'!B:B, "Extrajudicial - 29 a 39 semanas de atraso", 'CDC-OLGUIN'!D:D)</f>
        <v>142588.57</v>
      </c>
    </row>
    <row r="5" spans="2:6" x14ac:dyDescent="0.25">
      <c r="B5" s="1" t="s">
        <v>6</v>
      </c>
      <c r="C5" s="6">
        <f>SUMIF('CDC-OLGUIN'!B:B, "Extrajudicial - 40 a 55 semanas de atraso", 'CDC-OLGUIN'!C:C)</f>
        <v>10368</v>
      </c>
      <c r="D5" s="14">
        <f>SUMIF('CDC-OLGUIN'!B:B, "Extrajudicial - 40 a 55 semanas de atraso", 'CDC-OLGUIN'!D:D)</f>
        <v>63391.040000000008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64911</v>
      </c>
      <c r="D7" s="6">
        <f>SUMIF('CDC-OLGUIN'!B:B, "Mas 55 semanas de atraso", 'CDC-OLGUIN'!D:D)</f>
        <v>19203</v>
      </c>
      <c r="E7" s="14"/>
      <c r="F7" s="7"/>
    </row>
    <row r="8" spans="2:6" x14ac:dyDescent="0.25">
      <c r="B8" s="3" t="s">
        <v>8</v>
      </c>
      <c r="C8" s="8">
        <f>SUM(C3:C7)</f>
        <v>97871</v>
      </c>
      <c r="D8" s="4">
        <f>SUM(D3:D7)</f>
        <v>253736.77000000002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2976</v>
      </c>
      <c r="E6" s="16">
        <f>SUMIF('REPORTE DIARIO'!B:B,'EPR 26 JUN'!C6, 'REPORTE DIARIO'!D:D)</f>
        <v>30376.41</v>
      </c>
      <c r="F6" s="16">
        <f>J6*D6</f>
        <v>187062.85714285713</v>
      </c>
      <c r="G6" s="16">
        <f>+E6-F6</f>
        <v>-156686.44714285713</v>
      </c>
      <c r="H6" s="15">
        <f>ABS(G6/F6)</f>
        <v>0.83761388837976536</v>
      </c>
      <c r="I6" s="16">
        <f>E6/D6</f>
        <v>10.207127016129032</v>
      </c>
      <c r="J6" s="16">
        <f>(220/7)*2</f>
        <v>62.857142857142854</v>
      </c>
      <c r="K6" s="16">
        <f>+I6-J6</f>
        <v>-52.650015841013825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21995</v>
      </c>
      <c r="E7" s="16">
        <f>SUMIF('REPORTE DIARIO'!B:B,'EPR 26 JUN'!C7, 'REPORTE DIARIO'!D:D)</f>
        <v>424754</v>
      </c>
      <c r="F7" s="16">
        <f>J7*D7</f>
        <v>691271.42857142852</v>
      </c>
      <c r="G7" s="16">
        <f>+E7-F7</f>
        <v>-266517.42857142852</v>
      </c>
      <c r="H7" s="15">
        <f>ABS(G7/F7)</f>
        <v>0.38554671516253691</v>
      </c>
      <c r="I7" s="16">
        <f>E7/D7</f>
        <v>19.311388952034552</v>
      </c>
      <c r="J7" s="16">
        <f>(110/7)*2</f>
        <v>31.428571428571427</v>
      </c>
      <c r="K7" s="16">
        <f t="shared" ref="K7:K9" si="0">+I7-J7</f>
        <v>-12.117182476536875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16388</v>
      </c>
      <c r="E8" s="16">
        <f>SUMIF('REPORTE DIARIO'!B:B,'EPR 26 JUN'!C8, 'REPORTE DIARIO'!D:D)</f>
        <v>169850.86</v>
      </c>
      <c r="F8" s="16">
        <f>J8*D8</f>
        <v>210702.85714285716</v>
      </c>
      <c r="G8" s="16">
        <f>+E8-F8</f>
        <v>-40851.997142857173</v>
      </c>
      <c r="H8" s="15">
        <f>ABS(G8/F8)</f>
        <v>0.19388440050985828</v>
      </c>
      <c r="I8" s="16">
        <f>E8/D8</f>
        <v>10.364343422016109</v>
      </c>
      <c r="J8" s="16">
        <f>(45/7)*2</f>
        <v>12.857142857142858</v>
      </c>
      <c r="K8" s="16">
        <f t="shared" si="0"/>
        <v>-2.4927994351267486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70210</v>
      </c>
      <c r="E9" s="16">
        <f>SUMIF('REPORTE DIARIO'!B:B,'EPR 26 JUN'!C9, 'REPORTE DIARIO'!D:D)</f>
        <v>212632.31</v>
      </c>
      <c r="F9" s="16">
        <f>J9*D9</f>
        <v>300900</v>
      </c>
      <c r="G9" s="16">
        <f>+E9-F9</f>
        <v>-88267.69</v>
      </c>
      <c r="H9" s="15">
        <f>ABS(G9/F9)</f>
        <v>0.29334559654370224</v>
      </c>
      <c r="I9" s="16">
        <f>E9/D9</f>
        <v>3.028518871955562</v>
      </c>
      <c r="J9" s="16">
        <f>(15/7)*2</f>
        <v>4.2857142857142856</v>
      </c>
      <c r="K9" s="16">
        <f t="shared" si="0"/>
        <v>-1.2571954137587236</v>
      </c>
    </row>
    <row r="10" spans="2:12" x14ac:dyDescent="0.25">
      <c r="B10" s="16"/>
      <c r="C10" s="19" t="s">
        <v>17</v>
      </c>
      <c r="D10" s="24">
        <f>SUM(D6:D9)</f>
        <v>111569</v>
      </c>
      <c r="E10" s="20">
        <f>SUM(E6:E9)</f>
        <v>837613.58000000007</v>
      </c>
      <c r="F10" s="20">
        <f>SUM(F6:F9)</f>
        <v>1389937.1428571427</v>
      </c>
      <c r="G10" s="20">
        <f>+E10-F10</f>
        <v>-552323.56285714265</v>
      </c>
      <c r="H10" s="21">
        <f>ABS(G10/F10)</f>
        <v>0.39737305078544138</v>
      </c>
      <c r="I10" s="20">
        <f>E10/D10</f>
        <v>7.507583468526204</v>
      </c>
      <c r="J10" s="20">
        <f>F10/D10</f>
        <v>12.458094478368926</v>
      </c>
      <c r="K10" s="20">
        <f>I10-J10</f>
        <v>-4.9505110098427219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2025-09-02T15:40:40Z</cp:lastPrinted>
  <dcterms:created xsi:type="dcterms:W3CDTF">2025-01-27T15:11:28Z</dcterms:created>
  <dcterms:modified xsi:type="dcterms:W3CDTF">2025-09-03T02:46:00Z</dcterms:modified>
</cp:coreProperties>
</file>