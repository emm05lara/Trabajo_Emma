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6\2 SEP\MAÑANA\"/>
    </mc:Choice>
  </mc:AlternateContent>
  <xr:revisionPtr revIDLastSave="0" documentId="13_ncr:1_{0FDA05AE-FFB6-4195-98EB-A38643121A32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34" i="5"/>
  <c r="C34" i="5"/>
  <c r="D51" i="1"/>
  <c r="C51" i="1"/>
  <c r="D68" i="5"/>
  <c r="C68" i="5"/>
  <c r="C43" i="5"/>
  <c r="D52" i="5"/>
  <c r="C52" i="5"/>
  <c r="C27" i="5"/>
  <c r="D65" i="1"/>
  <c r="C65" i="1"/>
  <c r="D10" i="5"/>
  <c r="D18" i="5"/>
  <c r="C18" i="5"/>
  <c r="C10" i="5"/>
  <c r="J9" i="3"/>
  <c r="J8" i="3"/>
  <c r="J7" i="3"/>
  <c r="J6" i="3"/>
  <c r="C59" i="1"/>
  <c r="C70" i="5" l="1"/>
  <c r="D8" i="6"/>
  <c r="C8" i="6"/>
  <c r="D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<sst xmlns="http://schemas.openxmlformats.org/spreadsheetml/2006/main" count="187" uniqueCount="40">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</sst>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1" xfId="0" applyNumberFormat="1" applyFon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5">
        <v>-4672</v>
      </c>
    </row>
    <row r="6" spans="2:8" x14ac:dyDescent="0.3">
      <c r="B6" s="1" t="s">
        <v>5</v>
      </c>
      <c r="C6" s="6">
        <v>8944</v>
      </c>
      <c r="D6" s="25">
        <v>191757.15000000002</v>
      </c>
    </row>
    <row r="7" spans="2:8" x14ac:dyDescent="0.3">
      <c r="B7" s="1" t="s">
        <v>6</v>
      </c>
      <c r="C7" s="6">
        <v>7510</v>
      </c>
      <c r="D7" s="25">
        <v>72830.759999999995</v>
      </c>
    </row>
    <row r="8" spans="2:8" x14ac:dyDescent="0.3">
      <c r="B8" s="5" t="s">
        <v>12</v>
      </c>
      <c r="C8" s="7">
        <v>1232</v>
      </c>
      <c r="D8" s="26">
        <v>0</v>
      </c>
    </row>
    <row r="9" spans="2:8" x14ac:dyDescent="0.3">
      <c r="B9" s="1" t="s">
        <v>7</v>
      </c>
      <c r="C9" s="6">
        <v>34145</v>
      </c>
      <c r="D9" s="25">
        <v>92968.669999999984</v>
      </c>
      <c r="E9" s="14"/>
      <c r="F9" s="7"/>
    </row>
    <row r="10" spans="2:8" x14ac:dyDescent="0.3">
      <c r="B10" s="3" t="s">
        <v>8</v>
      </c>
      <c r="C10" s="8">
        <f>SUM(C5:C9)</f>
        <v>51832</v>
      </c>
      <c r="D10" s="4">
        <f>SUM(D5:D9)</f>
        <v>352884.58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5</v>
      </c>
      <c r="D14" s="26">
        <v>0</v>
      </c>
    </row>
    <row r="15" spans="2:8" x14ac:dyDescent="0.3">
      <c r="B15" s="9" t="s">
        <v>5</v>
      </c>
      <c r="C15" s="6">
        <v>2737</v>
      </c>
      <c r="D15" s="25">
        <v>54306.54</v>
      </c>
    </row>
    <row r="16" spans="2:8" x14ac:dyDescent="0.3">
      <c r="B16" s="9" t="s">
        <v>6</v>
      </c>
      <c r="C16" s="6">
        <v>883</v>
      </c>
      <c r="D16" s="25">
        <v>8570.1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12959</v>
      </c>
      <c r="D18" s="25">
        <v>15970.73</v>
      </c>
    </row>
    <row r="19" spans="2:4" x14ac:dyDescent="0.3">
      <c r="B19" s="10" t="s">
        <v>8</v>
      </c>
      <c r="C19" s="8">
        <f>SUM(C14:C18)</f>
        <v>16585</v>
      </c>
      <c r="D19" s="4">
        <f>SUM(D14:D18)</f>
        <v>78847.37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6">
        <v>0</v>
      </c>
    </row>
    <row r="24" spans="2:4" x14ac:dyDescent="0.3">
      <c r="B24" s="1" t="s">
        <v>5</v>
      </c>
      <c r="C24" s="6">
        <v>2296</v>
      </c>
      <c r="D24" s="25">
        <v>27004.73</v>
      </c>
    </row>
    <row r="25" spans="2:4" x14ac:dyDescent="0.3">
      <c r="B25" s="1" t="s">
        <v>6</v>
      </c>
      <c r="C25" s="6">
        <v>2978</v>
      </c>
      <c r="D25" s="25">
        <v>21122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18139</v>
      </c>
      <c r="D27" s="25">
        <v>16428.25</v>
      </c>
    </row>
    <row r="28" spans="2:4" x14ac:dyDescent="0.3">
      <c r="B28" s="3" t="s">
        <v>8</v>
      </c>
      <c r="C28" s="8">
        <f>SUM(C23:C27)</f>
        <v>23413</v>
      </c>
      <c r="D28" s="4">
        <f>SUM(D23:D27)</f>
        <v>64554.979999999996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0</v>
      </c>
      <c r="D32" s="26">
        <v>0</v>
      </c>
    </row>
    <row r="33" spans="2:4" x14ac:dyDescent="0.3">
      <c r="B33" s="9" t="s">
        <v>5</v>
      </c>
      <c r="C33" s="6">
        <v>1671</v>
      </c>
      <c r="D33" s="25">
        <v>20809.75</v>
      </c>
    </row>
    <row r="34" spans="2:4" x14ac:dyDescent="0.3">
      <c r="B34" s="9" t="s">
        <v>6</v>
      </c>
      <c r="C34" s="6">
        <v>1673</v>
      </c>
      <c r="D34" s="25">
        <v>12750</v>
      </c>
    </row>
    <row r="35" spans="2:4" x14ac:dyDescent="0.3">
      <c r="B35" s="9" t="s">
        <v>7</v>
      </c>
      <c r="C35" s="6">
        <v>3229</v>
      </c>
      <c r="D35" s="25">
        <v>2197</v>
      </c>
    </row>
    <row r="36" spans="2:4" x14ac:dyDescent="0.3">
      <c r="B36" s="10" t="s">
        <v>8</v>
      </c>
      <c r="C36" s="8">
        <f>SUM(C32:C35)</f>
        <v>6573</v>
      </c>
      <c r="D36" s="4">
        <f>SUM(D32:D35)</f>
        <v>35756.75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>
        <v>1269</v>
      </c>
      <c r="D40" s="25">
        <v>5224.16</v>
      </c>
    </row>
    <row r="41" spans="2:4" x14ac:dyDescent="0.3">
      <c r="B41" s="1" t="s">
        <v>5</v>
      </c>
      <c r="C41">
        <v>3431</v>
      </c>
      <c r="D41" s="25">
        <v>9424</v>
      </c>
    </row>
    <row r="42" spans="2:4" x14ac:dyDescent="0.3">
      <c r="B42" s="1" t="s">
        <v>6</v>
      </c>
      <c r="C42">
        <v>1970</v>
      </c>
      <c r="D42" s="25">
        <v>15547</v>
      </c>
    </row>
    <row r="43" spans="2:4" x14ac:dyDescent="0.3">
      <c r="B43" s="1" t="s">
        <v>7</v>
      </c>
      <c r="C43">
        <v>369</v>
      </c>
      <c r="D43" s="25">
        <v>1640</v>
      </c>
    </row>
    <row r="44" spans="2:4" x14ac:dyDescent="0.3">
      <c r="B44" s="3" t="s">
        <v>8</v>
      </c>
      <c r="C44" s="8">
        <f>SUM(C40:C43)</f>
        <v>7039</v>
      </c>
      <c r="D44" s="4">
        <f>SUM(D40:D43)</f>
        <v>31835.16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1580</v>
      </c>
      <c r="D48" s="25">
        <v>3159</v>
      </c>
    </row>
    <row r="49" spans="2:4" x14ac:dyDescent="0.3">
      <c r="B49" s="1" t="s">
        <v>5</v>
      </c>
      <c r="C49" s="6">
        <v>2347</v>
      </c>
      <c r="D49" s="25">
        <v>1878.54</v>
      </c>
    </row>
    <row r="50" spans="2:4" x14ac:dyDescent="0.3">
      <c r="B50" s="1" t="s">
        <v>6</v>
      </c>
      <c r="C50" s="6">
        <v>1005</v>
      </c>
      <c r="D50" s="25">
        <v>2697</v>
      </c>
    </row>
    <row r="51" spans="2:4" x14ac:dyDescent="0.3">
      <c r="B51" s="10" t="s">
        <v>8</v>
      </c>
      <c r="C51" s="8">
        <f>SUM(C48:C50)</f>
        <v>4932</v>
      </c>
      <c r="D51" s="4">
        <f>SUM(D48:D50)</f>
        <v>7734.54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564</v>
      </c>
      <c r="D56" s="25">
        <v>3662.25</v>
      </c>
    </row>
    <row r="57" spans="2:4" x14ac:dyDescent="0.3">
      <c r="B57" s="1" t="s">
        <v>6</v>
      </c>
      <c r="C57" s="6">
        <v>254</v>
      </c>
      <c r="D57" s="26">
        <v>0</v>
      </c>
    </row>
    <row r="58" spans="2:4" x14ac:dyDescent="0.3">
      <c r="B58" s="1" t="s">
        <v>7</v>
      </c>
      <c r="C58" s="6">
        <v>1241</v>
      </c>
      <c r="D58" s="25">
        <v>2646</v>
      </c>
    </row>
    <row r="59" spans="2:4" x14ac:dyDescent="0.3">
      <c r="B59" s="3" t="s">
        <v>8</v>
      </c>
      <c r="C59" s="8">
        <f>SUM(C55:C58)</f>
        <v>2059</v>
      </c>
      <c r="D59" s="4">
        <f>SUM(D55:D58)</f>
        <v>6308.25</v>
      </c>
    </row>
    <row r="60" spans="2:4" hidden="1" x14ac:dyDescent="0.3"/>
    <row r="61" spans="2:4" hidden="1" x14ac:dyDescent="0.3">
      <c r="B61" s="28" t="s">
        <v>38</v>
      </c>
      <c r="C61" s="28"/>
      <c r="D61" s="28"/>
    </row>
    <row r="62" spans="2:4" hidden="1" x14ac:dyDescent="0.3">
      <c r="B62" s="2" t="s">
        <v>1</v>
      </c>
      <c r="C62" s="2" t="s">
        <v>2</v>
      </c>
      <c r="D62" s="2" t="s">
        <v>3</v>
      </c>
    </row>
    <row r="63" spans="2:4" hidden="1" x14ac:dyDescent="0.3">
      <c r="B63" s="9" t="s">
        <v>4</v>
      </c>
      <c r="C63" s="6">
        <v>0</v>
      </c>
      <c r="D63" s="26">
        <v>0</v>
      </c>
    </row>
    <row r="64" spans="2:4" hidden="1" x14ac:dyDescent="0.3">
      <c r="B64" s="1" t="s">
        <v>5</v>
      </c>
      <c r="C64" s="6">
        <v>0</v>
      </c>
      <c r="D64" s="26">
        <v>0</v>
      </c>
    </row>
    <row r="65" spans="2:4" hidden="1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112433</v>
      </c>
      <c r="D67" s="13">
        <f>SUMIF(B:B, "Total general", D:D)</f>
        <v>577921.63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B3" sqref="B3:D3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334</v>
      </c>
      <c r="D5" s="26">
        <v>0</v>
      </c>
      <c r="E5" s="11"/>
    </row>
    <row r="6" spans="2:8" x14ac:dyDescent="0.3">
      <c r="B6" s="1" t="s">
        <v>5</v>
      </c>
      <c r="C6" s="27">
        <v>14692</v>
      </c>
      <c r="D6" s="25">
        <v>83201.73</v>
      </c>
    </row>
    <row r="7" spans="2:8" x14ac:dyDescent="0.3">
      <c r="B7" s="1" t="s">
        <v>6</v>
      </c>
      <c r="C7" s="27">
        <v>8212</v>
      </c>
      <c r="D7" s="25">
        <v>7795.02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63496</v>
      </c>
      <c r="D9" s="25">
        <v>8210</v>
      </c>
      <c r="E9" s="14"/>
      <c r="F9" s="7"/>
    </row>
    <row r="10" spans="2:8" x14ac:dyDescent="0.3">
      <c r="B10" s="3" t="s">
        <v>8</v>
      </c>
      <c r="C10" s="8">
        <f>SUM(C5:C9)</f>
        <v>89473</v>
      </c>
      <c r="D10" s="4">
        <f>SUM(D5:D9)</f>
        <v>99206.75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1269</v>
      </c>
      <c r="D14" s="25">
        <v>5224.16</v>
      </c>
    </row>
    <row r="15" spans="2:8" x14ac:dyDescent="0.3">
      <c r="B15" s="1" t="s">
        <v>5</v>
      </c>
      <c r="C15">
        <v>3429</v>
      </c>
      <c r="D15" s="25">
        <v>9424</v>
      </c>
    </row>
    <row r="16" spans="2:8" x14ac:dyDescent="0.3">
      <c r="B16" s="1" t="s">
        <v>6</v>
      </c>
      <c r="C16">
        <v>1969</v>
      </c>
      <c r="D16" s="25">
        <v>15547</v>
      </c>
    </row>
    <row r="17" spans="2:4" x14ac:dyDescent="0.3">
      <c r="B17" s="1" t="s">
        <v>7</v>
      </c>
      <c r="C17">
        <v>369</v>
      </c>
      <c r="D17" s="25">
        <v>1640</v>
      </c>
    </row>
    <row r="18" spans="2:4" x14ac:dyDescent="0.3">
      <c r="B18" s="3" t="s">
        <v>8</v>
      </c>
      <c r="C18" s="8">
        <f>SUM(C14:C17)</f>
        <v>7036</v>
      </c>
      <c r="D18" s="4">
        <f>SUM(D14:D17)</f>
        <v>31835.16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17</v>
      </c>
      <c r="D23" s="25">
        <v>2806</v>
      </c>
    </row>
    <row r="24" spans="2:4" x14ac:dyDescent="0.3">
      <c r="B24" s="1" t="s">
        <v>6</v>
      </c>
      <c r="C24">
        <v>70</v>
      </c>
      <c r="D24" s="25">
        <v>16637.02</v>
      </c>
    </row>
    <row r="25" spans="2:4" x14ac:dyDescent="0.3">
      <c r="B25" s="5" t="s">
        <v>12</v>
      </c>
      <c r="C25">
        <v>1</v>
      </c>
      <c r="D25" s="26">
        <v>0</v>
      </c>
    </row>
    <row r="26" spans="2:4" x14ac:dyDescent="0.3">
      <c r="B26" s="1" t="s">
        <v>7</v>
      </c>
      <c r="C26">
        <v>304</v>
      </c>
      <c r="D26" s="25">
        <v>5866</v>
      </c>
    </row>
    <row r="27" spans="2:4" x14ac:dyDescent="0.3">
      <c r="B27" s="3" t="s">
        <v>8</v>
      </c>
      <c r="C27" s="8">
        <f>SUM(C22:C26)</f>
        <v>392</v>
      </c>
      <c r="D27" s="4">
        <f>SUM(D22:D26)</f>
        <v>25309.02</v>
      </c>
    </row>
    <row r="29" spans="2:4" x14ac:dyDescent="0.3">
      <c r="B29" s="29" t="s">
        <v>11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11">
        <v>0</v>
      </c>
      <c r="D31" s="25">
        <v>3159</v>
      </c>
    </row>
    <row r="32" spans="2:4" x14ac:dyDescent="0.3">
      <c r="B32" s="1" t="s">
        <v>5</v>
      </c>
      <c r="C32">
        <v>1</v>
      </c>
      <c r="D32" s="25">
        <v>1080.54</v>
      </c>
    </row>
    <row r="33" spans="2:4" x14ac:dyDescent="0.3">
      <c r="B33" s="1" t="s">
        <v>6</v>
      </c>
      <c r="C33" s="11">
        <v>0</v>
      </c>
      <c r="D33" s="25">
        <v>2697</v>
      </c>
    </row>
    <row r="34" spans="2:4" x14ac:dyDescent="0.3">
      <c r="B34" s="10" t="s">
        <v>8</v>
      </c>
      <c r="C34" s="8">
        <f>SUM(C31:C33)</f>
        <v>1</v>
      </c>
      <c r="D34" s="4">
        <f>SUM(D31:D33)</f>
        <v>6936.54</v>
      </c>
    </row>
    <row r="36" spans="2:4" x14ac:dyDescent="0.3">
      <c r="B36" s="28" t="s">
        <v>36</v>
      </c>
      <c r="C36" s="28"/>
      <c r="D36" s="28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1" t="s">
        <v>4</v>
      </c>
      <c r="C38" s="11">
        <v>0</v>
      </c>
      <c r="D38" s="26">
        <v>0</v>
      </c>
    </row>
    <row r="39" spans="2:4" x14ac:dyDescent="0.3">
      <c r="B39" s="1" t="s">
        <v>5</v>
      </c>
      <c r="C39">
        <v>4</v>
      </c>
      <c r="D39" s="30">
        <v>0</v>
      </c>
    </row>
    <row r="40" spans="2:4" x14ac:dyDescent="0.3">
      <c r="B40" s="1" t="s">
        <v>6</v>
      </c>
      <c r="C40">
        <v>37</v>
      </c>
      <c r="D40" s="30">
        <v>0</v>
      </c>
    </row>
    <row r="41" spans="2:4" x14ac:dyDescent="0.3">
      <c r="B41" s="5" t="s">
        <v>12</v>
      </c>
      <c r="C41" s="11">
        <v>0</v>
      </c>
      <c r="D41" s="26">
        <v>0</v>
      </c>
    </row>
    <row r="42" spans="2:4" x14ac:dyDescent="0.3">
      <c r="B42" s="1" t="s">
        <v>7</v>
      </c>
      <c r="C42">
        <v>332</v>
      </c>
      <c r="D42" s="25">
        <v>2788</v>
      </c>
    </row>
    <row r="43" spans="2:4" x14ac:dyDescent="0.3">
      <c r="B43" s="3" t="s">
        <v>8</v>
      </c>
      <c r="C43" s="8">
        <f>SUM(C38:C42)</f>
        <v>373</v>
      </c>
      <c r="D43" s="4">
        <f>SUM(D38:D42)</f>
        <v>2788</v>
      </c>
    </row>
    <row r="45" spans="2:4" x14ac:dyDescent="0.3">
      <c r="B45" s="29" t="s">
        <v>10</v>
      </c>
      <c r="C45" s="29"/>
      <c r="D45" s="29"/>
    </row>
    <row r="46" spans="2:4" x14ac:dyDescent="0.3">
      <c r="B46" s="4" t="s">
        <v>1</v>
      </c>
      <c r="C46" s="4" t="s">
        <v>2</v>
      </c>
      <c r="D46" s="4" t="s">
        <v>3</v>
      </c>
    </row>
    <row r="47" spans="2:4" x14ac:dyDescent="0.3">
      <c r="B47" s="9" t="s">
        <v>4</v>
      </c>
      <c r="C47" s="11">
        <v>0</v>
      </c>
      <c r="D47" s="7">
        <v>0</v>
      </c>
    </row>
    <row r="48" spans="2:4" x14ac:dyDescent="0.3">
      <c r="B48" s="9" t="s">
        <v>5</v>
      </c>
      <c r="C48">
        <v>4</v>
      </c>
      <c r="D48" s="25">
        <v>10334</v>
      </c>
    </row>
    <row r="49" spans="2:4" x14ac:dyDescent="0.3">
      <c r="B49" s="9" t="s">
        <v>6</v>
      </c>
      <c r="C49">
        <v>3</v>
      </c>
      <c r="D49" s="26">
        <v>0</v>
      </c>
    </row>
    <row r="50" spans="2:4" x14ac:dyDescent="0.3">
      <c r="B50" s="5" t="s">
        <v>12</v>
      </c>
      <c r="C50" s="7">
        <v>0</v>
      </c>
      <c r="D50" s="7">
        <v>0</v>
      </c>
    </row>
    <row r="51" spans="2:4" x14ac:dyDescent="0.3">
      <c r="B51" s="9" t="s">
        <v>7</v>
      </c>
      <c r="C51">
        <v>167</v>
      </c>
      <c r="D51" s="26">
        <v>0</v>
      </c>
    </row>
    <row r="52" spans="2:4" x14ac:dyDescent="0.3">
      <c r="B52" s="10" t="s">
        <v>8</v>
      </c>
      <c r="C52" s="8">
        <f>SUM(C47:C51)</f>
        <v>174</v>
      </c>
      <c r="D52" s="4">
        <f>SUM(D47:D51)</f>
        <v>10334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2</v>
      </c>
      <c r="D58" s="26">
        <v>0</v>
      </c>
    </row>
    <row r="59" spans="2:4" x14ac:dyDescent="0.3">
      <c r="B59" s="1" t="s">
        <v>7</v>
      </c>
      <c r="C59">
        <v>64</v>
      </c>
      <c r="D59" s="26">
        <v>0</v>
      </c>
    </row>
    <row r="60" spans="2:4" x14ac:dyDescent="0.3">
      <c r="B60" s="3" t="s">
        <v>8</v>
      </c>
      <c r="C60" s="8">
        <f>SUM(C56:C59)</f>
        <v>69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97581</v>
      </c>
      <c r="D70" s="13">
        <f>SUMIF(B:B, "Total general", D:D)</f>
        <v>176409.47</v>
      </c>
    </row>
  </sheetData>
  <mergeCells count="9">
    <mergeCell ref="B62:D62"/>
    <mergeCell ref="B54:D54"/>
    <mergeCell ref="B29:D29"/>
    <mergeCell ref="B1:D1"/>
    <mergeCell ref="B3:D3"/>
    <mergeCell ref="B12:D12"/>
    <mergeCell ref="B20:D20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1603</v>
      </c>
      <c r="D3" s="14">
        <f>SUMIF('CDC-OLGUIN'!B:B, "Extrajudicial - 0 a 28 semanas de atraso", 'CDC-OLGUIN'!D:D)</f>
        <v>8383.16</v>
      </c>
    </row>
    <row r="4" spans="2:6" x14ac:dyDescent="0.3">
      <c r="B4" s="1" t="s">
        <v>5</v>
      </c>
      <c r="C4" s="6">
        <f>SUMIF('CDC-OLGUIN'!B:B, "Extrajudicial - 29 a 39 semanas de atraso", 'CDC-OLGUIN'!C:C)</f>
        <v>18150</v>
      </c>
      <c r="D4" s="14">
        <f>SUMIF('CDC-OLGUIN'!B:B, "Extrajudicial - 29 a 39 semanas de atraso", 'CDC-OLGUIN'!D:D)</f>
        <v>106846.26999999999</v>
      </c>
    </row>
    <row r="5" spans="2:6" x14ac:dyDescent="0.3">
      <c r="B5" s="1" t="s">
        <v>6</v>
      </c>
      <c r="C5" s="6">
        <f>SUMIF('CDC-OLGUIN'!B:B, "Extrajudicial - 40 a 55 semanas de atraso", 'CDC-OLGUIN'!C:C)</f>
        <v>10295</v>
      </c>
      <c r="D5" s="14">
        <f>SUMIF('CDC-OLGUIN'!B:B, "Extrajudicial - 40 a 55 semanas de atraso", 'CDC-OLGUIN'!D:D)</f>
        <v>42676.04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64793</v>
      </c>
      <c r="D7" s="6">
        <f>SUMIF('CDC-OLGUIN'!B:B, "Mas 55 semanas de atraso", 'CDC-OLGUIN'!D:D)</f>
        <v>18504</v>
      </c>
      <c r="E7" s="14"/>
      <c r="F7" s="7"/>
    </row>
    <row r="8" spans="2:6" x14ac:dyDescent="0.3">
      <c r="B8" s="3" t="s">
        <v>8</v>
      </c>
      <c r="C8" s="8">
        <f>SUM(C3:C7)</f>
        <v>97581</v>
      </c>
      <c r="D8" s="4">
        <f>SUM(D3:D7)</f>
        <v>176409.47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2855</v>
      </c>
      <c r="E6" s="16">
        <f>SUMIF('REPORTE DIARIO'!B:B,'EPR 26 JUN'!C6, 'REPORTE DIARIO'!D:D)</f>
        <v>3711.16</v>
      </c>
      <c r="F6" s="16">
        <f>J6*D6</f>
        <v>179457.14285714284</v>
      </c>
      <c r="G6" s="16">
        <f>+E6-F6</f>
        <v>-175745.98285714284</v>
      </c>
      <c r="H6" s="15">
        <f>ABS(G6/F6)</f>
        <v>0.97932007642095209</v>
      </c>
      <c r="I6" s="16">
        <f>E6/D6</f>
        <v>1.2998809106830123</v>
      </c>
      <c r="J6" s="16">
        <f>(220/7)*2</f>
        <v>62.857142857142854</v>
      </c>
      <c r="K6" s="16">
        <f>+I6-J6</f>
        <v>-61.557261946459839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21990</v>
      </c>
      <c r="E7" s="16">
        <f>SUMIF('REPORTE DIARIO'!B:B,'EPR 26 JUN'!C7, 'REPORTE DIARIO'!D:D)</f>
        <v>308842.96000000002</v>
      </c>
      <c r="F7" s="16">
        <f>J7*D7</f>
        <v>691114.28571428568</v>
      </c>
      <c r="G7" s="16">
        <f>+E7-F7</f>
        <v>-382271.32571428566</v>
      </c>
      <c r="H7" s="15">
        <f>ABS(G7/F7)</f>
        <v>0.55312317168961089</v>
      </c>
      <c r="I7" s="16">
        <f>E7/D7</f>
        <v>14.044700318326512</v>
      </c>
      <c r="J7" s="16">
        <f>(110/7)*2</f>
        <v>31.428571428571427</v>
      </c>
      <c r="K7" s="16">
        <f t="shared" ref="K7:K9" si="0">+I7-J7</f>
        <v>-17.383871110244915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16273</v>
      </c>
      <c r="E8" s="16">
        <f>SUMIF('REPORTE DIARIO'!B:B,'EPR 26 JUN'!C8, 'REPORTE DIARIO'!D:D)</f>
        <v>133516.85999999999</v>
      </c>
      <c r="F8" s="16">
        <f>J8*D8</f>
        <v>209224.28571428571</v>
      </c>
      <c r="G8" s="16">
        <f>+E8-F8</f>
        <v>-75707.425714285724</v>
      </c>
      <c r="H8" s="15">
        <f>ABS(G8/F8)</f>
        <v>0.36184817386673229</v>
      </c>
      <c r="I8" s="16">
        <f>E8/D8</f>
        <v>8.2048091931420135</v>
      </c>
      <c r="J8" s="16">
        <f>(45/7)*2</f>
        <v>12.857142857142858</v>
      </c>
      <c r="K8" s="16">
        <f t="shared" si="0"/>
        <v>-4.6523336640008441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70082</v>
      </c>
      <c r="E9" s="16">
        <f>SUMIF('REPORTE DIARIO'!B:B,'EPR 26 JUN'!C9, 'REPORTE DIARIO'!D:D)</f>
        <v>131850.64999999997</v>
      </c>
      <c r="F9" s="16">
        <f>J9*D9</f>
        <v>300351.42857142858</v>
      </c>
      <c r="G9" s="16">
        <f>+E9-F9</f>
        <v>-168500.77857142861</v>
      </c>
      <c r="H9" s="15">
        <f>ABS(G9/F9)</f>
        <v>0.56101207632963301</v>
      </c>
      <c r="I9" s="16">
        <f>E9/D9</f>
        <v>1.8813768157301443</v>
      </c>
      <c r="J9" s="16">
        <f>(15/7)*2</f>
        <v>4.2857142857142856</v>
      </c>
      <c r="K9" s="16">
        <f t="shared" si="0"/>
        <v>-2.4043374699841413</v>
      </c>
    </row>
    <row r="10" spans="2:12" x14ac:dyDescent="0.3">
      <c r="B10" s="16"/>
      <c r="C10" s="19" t="s">
        <v>17</v>
      </c>
      <c r="D10" s="24">
        <f>SUM(D6:D9)</f>
        <v>111200</v>
      </c>
      <c r="E10" s="20">
        <f>SUM(E6:E9)</f>
        <v>577921.62999999989</v>
      </c>
      <c r="F10" s="20">
        <f>SUM(F6:F9)</f>
        <v>1380147.142857143</v>
      </c>
      <c r="G10" s="20">
        <f>+E10-F10</f>
        <v>-802225.51285714307</v>
      </c>
      <c r="H10" s="21">
        <f>ABS(G10/F10)</f>
        <v>0.58126085831427921</v>
      </c>
      <c r="I10" s="20">
        <f>E10/D10</f>
        <v>5.1971369604316537</v>
      </c>
      <c r="J10" s="20">
        <f>F10/D10</f>
        <v>12.411395169578624</v>
      </c>
      <c r="K10" s="20">
        <f>I10-J10</f>
        <v>-7.21425820914697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2025-09-02T15:40:40Z</cp:lastPrinted>
  <dcterms:created xsi:type="dcterms:W3CDTF">2025-01-27T15:11:28Z</dcterms:created>
  <dcterms:modified xsi:type="dcterms:W3CDTF">2025-09-02T15:41:13Z</dcterms:modified>
</cp:coreProperties>
</file>