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6\7 SEP\NOCHE\"/>
    </mc:Choice>
  </mc:AlternateContent>
  <xr:revisionPtr revIDLastSave="0" documentId="13_ncr:1_{C528F3C9-AD99-468C-AB95-00017DC8D19B}" xr6:coauthVersionLast="47" xr6:coauthVersionMax="47" xr10:uidLastSave="{00000000-0000-0000-0000-000000000000}"/>
  <bookViews>
    <workbookView xWindow="12210" yWindow="12210" windowWidth="11130" windowHeight="6570" activeTab="2" xr2:uid="{C7E9656A-D0D8-4EA4-800E-5213F7340A68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10" i="2" s="1"/>
  <c r="B1" i="1"/>
  <c r="D7" i="1" s="1"/>
</calcChain>
</file>

<file path=xl/sharedStrings.xml><?xml version="1.0" encoding="utf-8"?>
<sst xmlns="http://schemas.openxmlformats.org/spreadsheetml/2006/main" count="130" uniqueCount="24">
  <si>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</si>
  <si>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</si>
  <si>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</si>
  <si>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</si>
  <si>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</si>
  <si>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</si>
  <si>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</si>
  <si>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</si>
  <si>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Extrajudicial - 0 a 28 semanas de atraso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</si>
  <si>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</si>
  <si>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</si>
  <si>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</si>
  <si>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</si>
  <si>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</si>
  <si>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</si>
  <si>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</si>
  <si>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</si>
  <si>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</si>
  <si>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TOR</t>
  </si>
  <si>
    <t>MAZ</t>
  </si>
  <si>
    <t>Producto</t>
  </si>
  <si>
    <t>CDC 100</t>
  </si>
  <si>
    <t>ANA KAREN CECILIA</t>
  </si>
  <si>
    <t>NANCY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</si>
</sst>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4A47-7765-43C2-8829-92778B6B6251}">
  <sheetPr codeName="Hoja1"/>
  <dimension ref="B1:D43"/>
  <sheetViews>
    <sheetView workbookViewId="0">
      <selection activeCell="B1" sqref="B1:D43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1" spans="2:4" x14ac:dyDescent="0.25">
      <c r="B1" s="6" t="str">
        <f ca="1" xml:space="preserve"> " COBRANZA INTERNOS " &amp; TEXT(TODAY(), " dd/mm/aaaa ") &amp; TEXT(NOW(), " hh:mm")</f>
        <v xml:space="preserve"> COBRANZA INTERNOS  07/09/2025  21:54</v>
      </c>
      <c r="C1" s="6"/>
    </row>
    <row r="2" spans="2:4" x14ac:dyDescent="0.25">
      <c r="B2" s="6" t="s">
        <v>5</v>
      </c>
      <c r="C2" s="6"/>
    </row>
    <row r="3" spans="2:4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118123.15</v>
      </c>
    </row>
    <row r="5" spans="2:4" x14ac:dyDescent="0.25">
      <c r="B5" s="2" t="s">
        <v>2</v>
      </c>
      <c r="C5" s="3">
        <v>33584</v>
      </c>
    </row>
    <row r="6" spans="2:4" ht="15.75" thickBot="1" x14ac:dyDescent="0.3">
      <c r="B6" s="2" t="s">
        <v>3</v>
      </c>
      <c r="C6" s="3">
        <v>67211.839999999997</v>
      </c>
      <c r="D6" s="1" t="s">
        <v>12</v>
      </c>
    </row>
    <row r="7" spans="2:4" ht="15.75" thickTop="1" x14ac:dyDescent="0.25">
      <c r="B7" s="4" t="s">
        <v>4</v>
      </c>
      <c r="C7" s="5">
        <v>218918.99</v>
      </c>
      <c r="D7" s="5">
        <f ca="1">SUMIF(B:B, "Total general", C:C)</f>
        <v>393447.6</v>
      </c>
    </row>
    <row r="9" spans="2:4" x14ac:dyDescent="0.25">
      <c r="B9" s="6" t="s">
        <v>10</v>
      </c>
      <c r="C9" s="6"/>
    </row>
    <row r="10" spans="2:4" x14ac:dyDescent="0.25">
      <c r="B10" s="1" t="s">
        <v>13</v>
      </c>
      <c r="C10" s="1" t="s">
        <v>0</v>
      </c>
    </row>
    <row r="11" spans="2:4" x14ac:dyDescent="0.25">
      <c r="B11" s="2" t="s">
        <v>8</v>
      </c>
      <c r="C11" s="3">
        <v>25498.71</v>
      </c>
    </row>
    <row r="12" spans="2:4" x14ac:dyDescent="0.25">
      <c r="B12" s="2" t="s">
        <v>1</v>
      </c>
      <c r="C12" s="3">
        <v>29942</v>
      </c>
    </row>
    <row r="13" spans="2:4" ht="15.75" thickBot="1" x14ac:dyDescent="0.3">
      <c r="B13" s="2" t="s">
        <v>2</v>
      </c>
      <c r="C13" s="3">
        <v>1021</v>
      </c>
    </row>
    <row r="14" spans="2:4" ht="15.75" thickTop="1" x14ac:dyDescent="0.25">
      <c r="B14" s="4" t="s">
        <v>4</v>
      </c>
      <c r="C14" s="5">
        <v>56461.71</v>
      </c>
    </row>
    <row r="16" spans="2:4" x14ac:dyDescent="0.25">
      <c r="B16" s="6" t="s">
        <v>6</v>
      </c>
      <c r="C16" s="6"/>
    </row>
    <row r="17" spans="2:3" x14ac:dyDescent="0.25">
      <c r="B17" s="1" t="s">
        <v>13</v>
      </c>
      <c r="C17" s="1" t="s">
        <v>0</v>
      </c>
    </row>
    <row r="18" spans="2:3" x14ac:dyDescent="0.25">
      <c r="B18" s="2" t="s">
        <v>1</v>
      </c>
      <c r="C18" s="3">
        <v>24427</v>
      </c>
    </row>
    <row r="19" spans="2:3" x14ac:dyDescent="0.25">
      <c r="B19" s="2" t="s">
        <v>2</v>
      </c>
      <c r="C19" s="3">
        <v>11514</v>
      </c>
    </row>
    <row r="20" spans="2:3" ht="15.75" thickBot="1" x14ac:dyDescent="0.3">
      <c r="B20" s="2" t="s">
        <v>3</v>
      </c>
      <c r="C20" s="3">
        <v>8088</v>
      </c>
    </row>
    <row r="21" spans="2:3" ht="15.75" thickTop="1" x14ac:dyDescent="0.25">
      <c r="B21" s="4" t="s">
        <v>4</v>
      </c>
      <c r="C21" s="5">
        <v>44029</v>
      </c>
    </row>
    <row r="23" spans="2:3" x14ac:dyDescent="0.25">
      <c r="B23" s="6" t="s">
        <v>7</v>
      </c>
      <c r="C23" s="6"/>
    </row>
    <row r="24" spans="2:3" x14ac:dyDescent="0.25">
      <c r="B24" s="1" t="s">
        <v>13</v>
      </c>
      <c r="C24" s="1" t="s">
        <v>0</v>
      </c>
    </row>
    <row r="25" spans="2:3" x14ac:dyDescent="0.25">
      <c r="B25" s="2" t="s">
        <v>8</v>
      </c>
      <c r="C25" s="3">
        <v>1911.56</v>
      </c>
    </row>
    <row r="26" spans="2:3" x14ac:dyDescent="0.25">
      <c r="B26" s="2" t="s">
        <v>1</v>
      </c>
      <c r="C26" s="3">
        <v>16330.6</v>
      </c>
    </row>
    <row r="27" spans="2:3" x14ac:dyDescent="0.25">
      <c r="B27" s="2" t="s">
        <v>2</v>
      </c>
      <c r="C27" s="3">
        <v>3402.27</v>
      </c>
    </row>
    <row r="28" spans="2:3" ht="15.75" thickBot="1" x14ac:dyDescent="0.3">
      <c r="B28" s="2" t="s">
        <v>3</v>
      </c>
      <c r="C28" s="3">
        <v>12338</v>
      </c>
    </row>
    <row r="29" spans="2:3" ht="15.75" thickTop="1" x14ac:dyDescent="0.25">
      <c r="B29" s="4" t="s">
        <v>4</v>
      </c>
      <c r="C29" s="5">
        <v>33982.43</v>
      </c>
    </row>
    <row r="31" spans="2:3" x14ac:dyDescent="0.25">
      <c r="B31" s="6" t="s">
        <v>11</v>
      </c>
      <c r="C31" s="6"/>
    </row>
    <row r="32" spans="2:3" x14ac:dyDescent="0.25">
      <c r="B32" s="1" t="s">
        <v>13</v>
      </c>
      <c r="C32" s="1" t="s">
        <v>0</v>
      </c>
    </row>
    <row r="33" spans="2:3" x14ac:dyDescent="0.25">
      <c r="B33" s="2" t="s">
        <v>8</v>
      </c>
      <c r="C33" s="3">
        <v>1644</v>
      </c>
    </row>
    <row r="34" spans="2:3" x14ac:dyDescent="0.25">
      <c r="B34" s="2" t="s">
        <v>1</v>
      </c>
      <c r="C34" s="3">
        <v>15539</v>
      </c>
    </row>
    <row r="35" spans="2:3" x14ac:dyDescent="0.25">
      <c r="B35" s="2" t="s">
        <v>2</v>
      </c>
      <c r="C35" s="3">
        <v>9487.4700000000012</v>
      </c>
    </row>
    <row r="36" spans="2:3" ht="15.75" thickBot="1" x14ac:dyDescent="0.3">
      <c r="B36" s="2" t="s">
        <v>3</v>
      </c>
      <c r="C36" s="3">
        <v>2646</v>
      </c>
    </row>
    <row r="37" spans="2:3" ht="15.75" thickTop="1" x14ac:dyDescent="0.25">
      <c r="B37" s="4" t="s">
        <v>4</v>
      </c>
      <c r="C37" s="5">
        <v>29316.47</v>
      </c>
    </row>
    <row r="39" spans="2:3" x14ac:dyDescent="0.25">
      <c r="B39" s="6" t="s">
        <v>9</v>
      </c>
      <c r="C39" s="6"/>
    </row>
    <row r="40" spans="2:3" x14ac:dyDescent="0.25">
      <c r="B40" s="1" t="s">
        <v>13</v>
      </c>
      <c r="C40" s="1" t="s">
        <v>0</v>
      </c>
    </row>
    <row r="41" spans="2:3" x14ac:dyDescent="0.25">
      <c r="B41" s="2" t="s">
        <v>1</v>
      </c>
      <c r="C41" s="3">
        <v>9366</v>
      </c>
    </row>
    <row r="42" spans="2:3" ht="15.75" thickBot="1" x14ac:dyDescent="0.3">
      <c r="B42" s="2" t="s">
        <v>3</v>
      </c>
      <c r="C42" s="3">
        <v>1373</v>
      </c>
    </row>
    <row r="43" spans="2:3" ht="15.75" thickTop="1" x14ac:dyDescent="0.25">
      <c r="B43" s="4" t="s">
        <v>4</v>
      </c>
      <c r="C43" s="5">
        <v>10739</v>
      </c>
    </row>
  </sheetData>
  <mergeCells count="7">
    <mergeCell ref="B1:C1"/>
    <mergeCell ref="B2:C2"/>
    <mergeCell ref="B16:C16"/>
    <mergeCell ref="B23:C23"/>
    <mergeCell ref="B39:C39"/>
    <mergeCell ref="B9:C9"/>
    <mergeCell ref="B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974B-1B83-45BB-BD3E-B837223D223E}">
  <sheetPr codeName="Hoja2"/>
  <dimension ref="B2:D46"/>
  <sheetViews>
    <sheetView workbookViewId="0">
      <selection activeCell="B2" sqref="B2:C2"/>
    </sheetView>
  </sheetViews>
  <sheetFormatPr baseColWidth="10" defaultRowHeight="15" x14ac:dyDescent="0.25"/>
  <cols>
    <col min="2" max="2" width="14.425781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hh:mm")</f>
        <v xml:space="preserve"> COBRANZA INTERNOS  07/09/2025  21:54</v>
      </c>
      <c r="C2" s="6"/>
    </row>
    <row r="3" spans="2:4" x14ac:dyDescent="0.25">
      <c r="B3" s="6" t="s">
        <v>5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14</v>
      </c>
      <c r="C5" s="3">
        <v>25013.93</v>
      </c>
    </row>
    <row r="6" spans="2:4" x14ac:dyDescent="0.25">
      <c r="B6" s="2" t="s">
        <v>15</v>
      </c>
      <c r="C6" s="3">
        <v>14036</v>
      </c>
    </row>
    <row r="7" spans="2:4" x14ac:dyDescent="0.25">
      <c r="B7" s="2" t="s">
        <v>16</v>
      </c>
      <c r="C7" s="3">
        <v>4092</v>
      </c>
    </row>
    <row r="8" spans="2:4" x14ac:dyDescent="0.25">
      <c r="B8" s="2" t="s">
        <v>17</v>
      </c>
      <c r="C8" s="3">
        <v>10238</v>
      </c>
    </row>
    <row r="9" spans="2:4" ht="15.75" thickBot="1" x14ac:dyDescent="0.3">
      <c r="B9" s="2" t="s">
        <v>18</v>
      </c>
      <c r="C9" s="3">
        <v>165539.06</v>
      </c>
      <c r="D9" s="1" t="s">
        <v>12</v>
      </c>
    </row>
    <row r="10" spans="2:4" ht="15.75" thickTop="1" x14ac:dyDescent="0.25">
      <c r="B10" s="4" t="s">
        <v>4</v>
      </c>
      <c r="C10" s="5">
        <v>218918.99</v>
      </c>
      <c r="D10" s="5">
        <f ca="1">SUMIF(B:B, "Total general", C:C)</f>
        <v>393447.6</v>
      </c>
    </row>
    <row r="12" spans="2:4" x14ac:dyDescent="0.25">
      <c r="B12" s="6" t="s">
        <v>10</v>
      </c>
      <c r="C12" s="6"/>
    </row>
    <row r="13" spans="2:4" x14ac:dyDescent="0.25">
      <c r="B13" s="1" t="s">
        <v>20</v>
      </c>
      <c r="C13" s="1" t="s">
        <v>0</v>
      </c>
    </row>
    <row r="14" spans="2:4" x14ac:dyDescent="0.25">
      <c r="B14" s="2" t="s">
        <v>14</v>
      </c>
      <c r="C14" s="3">
        <v>5986</v>
      </c>
    </row>
    <row r="15" spans="2:4" x14ac:dyDescent="0.25">
      <c r="B15" s="2" t="s">
        <v>15</v>
      </c>
      <c r="C15" s="3">
        <v>17591</v>
      </c>
    </row>
    <row r="16" spans="2:4" x14ac:dyDescent="0.25">
      <c r="B16" s="2" t="s">
        <v>16</v>
      </c>
      <c r="C16" s="3">
        <v>19389.71</v>
      </c>
    </row>
    <row r="17" spans="2:3" x14ac:dyDescent="0.25">
      <c r="B17" s="2" t="s">
        <v>17</v>
      </c>
      <c r="C17" s="3">
        <v>4734</v>
      </c>
    </row>
    <row r="18" spans="2:3" ht="15.75" thickBot="1" x14ac:dyDescent="0.3">
      <c r="B18" s="2" t="s">
        <v>18</v>
      </c>
      <c r="C18" s="3">
        <v>8761</v>
      </c>
    </row>
    <row r="19" spans="2:3" ht="15.75" thickTop="1" x14ac:dyDescent="0.25">
      <c r="B19" s="4" t="s">
        <v>4</v>
      </c>
      <c r="C19" s="5">
        <v>56461.71</v>
      </c>
    </row>
    <row r="21" spans="2:3" x14ac:dyDescent="0.25">
      <c r="B21" s="6" t="s">
        <v>6</v>
      </c>
      <c r="C21" s="6"/>
    </row>
    <row r="22" spans="2:3" x14ac:dyDescent="0.25">
      <c r="B22" s="1" t="s">
        <v>20</v>
      </c>
      <c r="C22" s="1" t="s">
        <v>0</v>
      </c>
    </row>
    <row r="23" spans="2:3" x14ac:dyDescent="0.25">
      <c r="B23" s="2" t="s">
        <v>14</v>
      </c>
      <c r="C23" s="3">
        <v>4649</v>
      </c>
    </row>
    <row r="24" spans="2:3" x14ac:dyDescent="0.25">
      <c r="B24" s="2" t="s">
        <v>15</v>
      </c>
      <c r="C24" s="3">
        <v>1085</v>
      </c>
    </row>
    <row r="25" spans="2:3" x14ac:dyDescent="0.25">
      <c r="B25" s="2" t="s">
        <v>19</v>
      </c>
      <c r="C25" s="3">
        <v>484</v>
      </c>
    </row>
    <row r="26" spans="2:3" x14ac:dyDescent="0.25">
      <c r="B26" s="2" t="s">
        <v>17</v>
      </c>
      <c r="C26" s="3">
        <v>4000</v>
      </c>
    </row>
    <row r="27" spans="2:3" ht="15.75" thickBot="1" x14ac:dyDescent="0.3">
      <c r="B27" s="2" t="s">
        <v>18</v>
      </c>
      <c r="C27" s="3">
        <v>33811</v>
      </c>
    </row>
    <row r="28" spans="2:3" ht="15.75" thickTop="1" x14ac:dyDescent="0.25">
      <c r="B28" s="4" t="s">
        <v>4</v>
      </c>
      <c r="C28" s="5">
        <v>44029</v>
      </c>
    </row>
    <row r="30" spans="2:3" x14ac:dyDescent="0.25">
      <c r="B30" s="6" t="s">
        <v>7</v>
      </c>
      <c r="C30" s="6"/>
    </row>
    <row r="31" spans="2:3" x14ac:dyDescent="0.25">
      <c r="B31" s="1" t="s">
        <v>20</v>
      </c>
      <c r="C31" s="1" t="s">
        <v>0</v>
      </c>
    </row>
    <row r="32" spans="2:3" ht="15.75" thickBot="1" x14ac:dyDescent="0.3">
      <c r="B32" s="2" t="s">
        <v>18</v>
      </c>
      <c r="C32" s="3">
        <v>33982.43</v>
      </c>
    </row>
    <row r="33" spans="2:3" ht="15.75" thickTop="1" x14ac:dyDescent="0.25">
      <c r="B33" s="4" t="s">
        <v>4</v>
      </c>
      <c r="C33" s="5">
        <v>33982.43</v>
      </c>
    </row>
    <row r="35" spans="2:3" x14ac:dyDescent="0.25">
      <c r="B35" s="6" t="s">
        <v>11</v>
      </c>
      <c r="C35" s="6"/>
    </row>
    <row r="36" spans="2:3" x14ac:dyDescent="0.25">
      <c r="B36" s="1" t="s">
        <v>20</v>
      </c>
      <c r="C36" s="1" t="s">
        <v>0</v>
      </c>
    </row>
    <row r="37" spans="2:3" x14ac:dyDescent="0.25">
      <c r="B37" s="2" t="s">
        <v>14</v>
      </c>
      <c r="C37" s="3">
        <v>650</v>
      </c>
    </row>
    <row r="38" spans="2:3" x14ac:dyDescent="0.25">
      <c r="B38" s="2" t="s">
        <v>17</v>
      </c>
      <c r="C38" s="3">
        <v>1650</v>
      </c>
    </row>
    <row r="39" spans="2:3" ht="15.75" thickBot="1" x14ac:dyDescent="0.3">
      <c r="B39" s="2" t="s">
        <v>18</v>
      </c>
      <c r="C39" s="3">
        <v>27016.47</v>
      </c>
    </row>
    <row r="40" spans="2:3" ht="15.75" thickTop="1" x14ac:dyDescent="0.25">
      <c r="B40" s="4" t="s">
        <v>4</v>
      </c>
      <c r="C40" s="5">
        <v>29316.47</v>
      </c>
    </row>
    <row r="42" spans="2:3" x14ac:dyDescent="0.25">
      <c r="B42" s="6" t="s">
        <v>9</v>
      </c>
      <c r="C42" s="6"/>
    </row>
    <row r="43" spans="2:3" x14ac:dyDescent="0.25">
      <c r="B43" s="1" t="s">
        <v>20</v>
      </c>
      <c r="C43" s="1" t="s">
        <v>0</v>
      </c>
    </row>
    <row r="44" spans="2:3" x14ac:dyDescent="0.25">
      <c r="B44" s="2" t="s">
        <v>17</v>
      </c>
      <c r="C44" s="3">
        <v>1580</v>
      </c>
    </row>
    <row r="45" spans="2:3" ht="15.75" thickBot="1" x14ac:dyDescent="0.3">
      <c r="B45" s="2" t="s">
        <v>18</v>
      </c>
      <c r="C45" s="3">
        <v>9159</v>
      </c>
    </row>
    <row r="46" spans="2:3" ht="15.75" thickTop="1" x14ac:dyDescent="0.25">
      <c r="B46" s="4" t="s">
        <v>4</v>
      </c>
      <c r="C46" s="5">
        <v>10739</v>
      </c>
    </row>
  </sheetData>
  <mergeCells count="7">
    <mergeCell ref="B42:C42"/>
    <mergeCell ref="B2:C2"/>
    <mergeCell ref="B3:C3"/>
    <mergeCell ref="B12:C12"/>
    <mergeCell ref="B21:C21"/>
    <mergeCell ref="B30:C30"/>
    <mergeCell ref="B35:C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7E24-485C-4184-8253-243060C5CB0C}">
  <sheetPr codeName="Hoja3"/>
  <dimension ref="B2:D40"/>
  <sheetViews>
    <sheetView tabSelected="1" workbookViewId="0">
      <selection activeCell="B2" sqref="B2:D4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hh:mm")</f>
        <v xml:space="preserve"> ETIQUETA PROYECTO CDC  07/09/2025  21:54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13</v>
      </c>
      <c r="C4" s="1" t="s">
        <v>0</v>
      </c>
    </row>
    <row r="5" spans="2:4" x14ac:dyDescent="0.25">
      <c r="B5" s="2" t="s">
        <v>8</v>
      </c>
      <c r="C5" s="3">
        <v>4494</v>
      </c>
    </row>
    <row r="6" spans="2:4" x14ac:dyDescent="0.25">
      <c r="B6" s="2" t="s">
        <v>1</v>
      </c>
      <c r="C6" s="3">
        <v>62118.740000000005</v>
      </c>
    </row>
    <row r="7" spans="2:4" x14ac:dyDescent="0.25">
      <c r="B7" s="2" t="s">
        <v>2</v>
      </c>
      <c r="C7" s="3">
        <v>6534.6</v>
      </c>
    </row>
    <row r="8" spans="2:4" ht="15.75" thickBot="1" x14ac:dyDescent="0.3">
      <c r="B8" s="2" t="s">
        <v>3</v>
      </c>
      <c r="C8" s="3">
        <v>4678</v>
      </c>
      <c r="D8" s="1" t="s">
        <v>12</v>
      </c>
    </row>
    <row r="9" spans="2:4" ht="15.75" thickTop="1" x14ac:dyDescent="0.25">
      <c r="B9" s="4" t="s">
        <v>4</v>
      </c>
      <c r="C9" s="5">
        <v>77825.340000000011</v>
      </c>
      <c r="D9" s="5">
        <f ca="1">SUMIF(B:B, "Total general", C:C)</f>
        <v>170001.61000000002</v>
      </c>
    </row>
    <row r="11" spans="2:4" x14ac:dyDescent="0.25">
      <c r="B11" s="6" t="s">
        <v>10</v>
      </c>
      <c r="C11" s="6"/>
    </row>
    <row r="12" spans="2:4" x14ac:dyDescent="0.25">
      <c r="B12" s="1" t="s">
        <v>13</v>
      </c>
      <c r="C12" s="1" t="s">
        <v>0</v>
      </c>
    </row>
    <row r="13" spans="2:4" x14ac:dyDescent="0.25">
      <c r="B13" s="2" t="s">
        <v>8</v>
      </c>
      <c r="C13" s="3">
        <v>25498.71</v>
      </c>
    </row>
    <row r="14" spans="2:4" x14ac:dyDescent="0.25">
      <c r="B14" s="2" t="s">
        <v>1</v>
      </c>
      <c r="C14" s="3">
        <v>27818</v>
      </c>
    </row>
    <row r="15" spans="2:4" ht="15.75" thickBot="1" x14ac:dyDescent="0.3">
      <c r="B15" s="2" t="s">
        <v>2</v>
      </c>
      <c r="C15" s="3">
        <v>4119</v>
      </c>
    </row>
    <row r="16" spans="2:4" ht="15.75" thickTop="1" x14ac:dyDescent="0.25">
      <c r="B16" s="4" t="s">
        <v>4</v>
      </c>
      <c r="C16" s="5">
        <v>57435.71</v>
      </c>
    </row>
    <row r="18" spans="2:3" x14ac:dyDescent="0.25">
      <c r="B18" s="6" t="s">
        <v>22</v>
      </c>
      <c r="C18" s="6"/>
    </row>
    <row r="19" spans="2:3" x14ac:dyDescent="0.25">
      <c r="B19" s="1" t="s">
        <v>13</v>
      </c>
      <c r="C19" s="1" t="s">
        <v>0</v>
      </c>
    </row>
    <row r="20" spans="2:3" x14ac:dyDescent="0.25">
      <c r="B20" s="2" t="s">
        <v>8</v>
      </c>
      <c r="C20" s="3">
        <v>16443.120000000003</v>
      </c>
    </row>
    <row r="21" spans="2:3" x14ac:dyDescent="0.25">
      <c r="B21" s="2" t="s">
        <v>1</v>
      </c>
      <c r="C21" s="3">
        <v>1726</v>
      </c>
    </row>
    <row r="22" spans="2:3" ht="15.75" thickBot="1" x14ac:dyDescent="0.3">
      <c r="B22" s="2" t="s">
        <v>2</v>
      </c>
      <c r="C22" s="3">
        <v>1472</v>
      </c>
    </row>
    <row r="23" spans="2:3" ht="15.75" thickTop="1" x14ac:dyDescent="0.25">
      <c r="B23" s="4" t="s">
        <v>4</v>
      </c>
      <c r="C23" s="5">
        <v>19641.120000000003</v>
      </c>
    </row>
    <row r="25" spans="2:3" x14ac:dyDescent="0.25">
      <c r="B25" s="6" t="s">
        <v>23</v>
      </c>
      <c r="C25" s="6"/>
    </row>
    <row r="26" spans="2:3" x14ac:dyDescent="0.25">
      <c r="B26" s="1" t="s">
        <v>13</v>
      </c>
      <c r="C26" s="1" t="s">
        <v>0</v>
      </c>
    </row>
    <row r="27" spans="2:3" x14ac:dyDescent="0.25">
      <c r="B27" s="2" t="s">
        <v>8</v>
      </c>
      <c r="C27" s="3">
        <v>4600</v>
      </c>
    </row>
    <row r="28" spans="2:3" ht="15.75" thickBot="1" x14ac:dyDescent="0.3">
      <c r="B28" s="2" t="s">
        <v>1</v>
      </c>
      <c r="C28" s="3">
        <v>9085.44</v>
      </c>
    </row>
    <row r="29" spans="2:3" ht="15.75" thickTop="1" x14ac:dyDescent="0.25">
      <c r="B29" s="4" t="s">
        <v>4</v>
      </c>
      <c r="C29" s="5">
        <v>13685.44</v>
      </c>
    </row>
    <row r="31" spans="2:3" x14ac:dyDescent="0.25">
      <c r="B31" s="6" t="s">
        <v>5</v>
      </c>
      <c r="C31" s="6"/>
    </row>
    <row r="32" spans="2:3" x14ac:dyDescent="0.25">
      <c r="B32" s="1" t="s">
        <v>13</v>
      </c>
      <c r="C32" s="1" t="s">
        <v>0</v>
      </c>
    </row>
    <row r="33" spans="2:3" x14ac:dyDescent="0.25">
      <c r="B33" s="2" t="s">
        <v>1</v>
      </c>
      <c r="C33" s="3">
        <v>314</v>
      </c>
    </row>
    <row r="34" spans="2:3" ht="15.75" thickBot="1" x14ac:dyDescent="0.3">
      <c r="B34" s="2" t="s">
        <v>3</v>
      </c>
      <c r="C34" s="3">
        <v>600</v>
      </c>
    </row>
    <row r="35" spans="2:3" ht="15.75" thickTop="1" x14ac:dyDescent="0.25">
      <c r="B35" s="4" t="s">
        <v>4</v>
      </c>
      <c r="C35" s="5">
        <v>914</v>
      </c>
    </row>
    <row r="37" spans="2:3" x14ac:dyDescent="0.25">
      <c r="B37" s="6" t="s">
        <v>6</v>
      </c>
      <c r="C37" s="6"/>
    </row>
    <row r="38" spans="2:3" x14ac:dyDescent="0.25">
      <c r="B38" s="1" t="s">
        <v>13</v>
      </c>
      <c r="C38" s="1" t="s">
        <v>0</v>
      </c>
    </row>
    <row r="39" spans="2:3" ht="15.75" thickBot="1" x14ac:dyDescent="0.3">
      <c r="B39" s="2" t="s">
        <v>3</v>
      </c>
      <c r="C39" s="3">
        <v>500</v>
      </c>
    </row>
    <row r="40" spans="2:3" ht="15.75" thickTop="1" x14ac:dyDescent="0.25">
      <c r="B40" s="4" t="s">
        <v>4</v>
      </c>
      <c r="C40" s="5">
        <v>500</v>
      </c>
    </row>
  </sheetData>
  <mergeCells count="7">
    <mergeCell ref="B2:C2"/>
    <mergeCell ref="B3:C3"/>
    <mergeCell ref="B18:C18"/>
    <mergeCell ref="B37:C37"/>
    <mergeCell ref="B11:C11"/>
    <mergeCell ref="B25:C25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2025-09-08T01:48:00Z</dcterms:created>
  <dcterms:modified xsi:type="dcterms:W3CDTF">2025-09-08T03:54:26Z</dcterms:modified>
</cp:coreProperties>
</file>