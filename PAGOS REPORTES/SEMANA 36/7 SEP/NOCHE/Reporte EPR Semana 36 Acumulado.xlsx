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6\7 SEP\NOCHE\"/>
    </mc:Choice>
  </mc:AlternateContent>
  <xr:revisionPtr revIDLastSave="0" documentId="13_ncr:1_{616E6D7A-E614-47A1-A6DD-3395F2786FF2}" xr6:coauthVersionLast="47" xr6:coauthVersionMax="47" xr10:uidLastSave="{00000000-0000-0000-0000-000000000000}"/>
  <bookViews>
    <workbookView xWindow="11520" yWindow="1152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3" i="5" l="1"/>
  <c r="D33" i="5" l="1"/>
  <c r="D66" i="1"/>
  <c r="C66" i="1"/>
  <c r="D18" i="5"/>
  <c r="C18" i="5"/>
  <c r="D44" i="1"/>
  <c r="C44" i="1"/>
  <c r="D52" i="1"/>
  <c r="C52" i="1"/>
  <c r="D41" i="5"/>
  <c r="C41" i="5"/>
  <c r="C26" i="5"/>
  <c r="D26" i="5"/>
  <c r="D10" i="5"/>
  <c r="D50" i="5"/>
  <c r="D76" i="5"/>
  <c r="C76" i="5"/>
  <c r="D7" i="6"/>
  <c r="D6" i="6"/>
  <c r="D5" i="6"/>
  <c r="D4" i="6"/>
  <c r="D3" i="6"/>
  <c r="C7" i="6"/>
  <c r="C6" i="6"/>
  <c r="C5" i="6"/>
  <c r="C4" i="6"/>
  <c r="C3" i="6"/>
  <c r="D68" i="5"/>
  <c r="D84" i="5"/>
  <c r="C84" i="5"/>
  <c r="C68" i="5"/>
  <c r="D59" i="5"/>
  <c r="C59" i="5"/>
  <c r="C50" i="5"/>
  <c r="C10" i="5"/>
  <c r="J9" i="3"/>
  <c r="J8" i="3"/>
  <c r="J7" i="3"/>
  <c r="J6" i="3"/>
  <c r="C60" i="1"/>
  <c r="C86" i="5" l="1"/>
  <c r="D8" i="6"/>
  <c r="C8" i="6"/>
  <c r="D86" i="5"/>
  <c r="C19" i="1"/>
  <c r="D19" i="1"/>
  <c r="D28" i="1"/>
  <c r="C28" i="1"/>
  <c r="D6" i="3"/>
  <c r="D60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8" i="1" l="1"/>
  <c r="D6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<sst xmlns="http://schemas.openxmlformats.org/spreadsheetml/2006/main" count="206" uniqueCount="42">
  <si>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</si>
  <si>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</si>
  <si>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</si>
  <si>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</si>
  <si>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</si>
  <si>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</si>
  <si>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</si>
  <si>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</si>
  <si>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</si>
  <si>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</si>
  <si>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</si>
  <si>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</si>
  <si>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</si>
  <si>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</si>
  <si>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</si>
  <si>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</si>
  <si>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</si>
  <si>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</si>
  <si>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</si>
  <si>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</si>
  <si>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</si>
  <si>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</si>
  <si>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</si>
  <si>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</si>
  <si>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</si>
  <si>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</si>
  <si>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</si>
  <si>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</si>
  <si>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</si>
  <si>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</si>
  <si>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</si>
  <si>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</si>
  <si>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</si>
  <si>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</si>
  <si>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</si>
  <si>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</si>
  <si>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</si>
  <si>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</si>
  <si>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</si>
  <si>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</si>
  <si>
    <t>COBRANZA GENERAL  NANCY PAOLA</t>
  </si>
  <si>
    <t>COBRANZA GENERAL  ANA KAREN CECILIA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</si>
</sst>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8"/>
  <sheetViews>
    <sheetView showGridLines="0" zoomScaleNormal="100" workbookViewId="0">
      <selection activeCell="C45" sqref="C4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28</v>
      </c>
      <c r="D5" s="25">
        <v>-4596</v>
      </c>
    </row>
    <row r="6" spans="2:8" x14ac:dyDescent="0.25">
      <c r="B6" s="1" t="s">
        <v>5</v>
      </c>
      <c r="C6" s="6">
        <v>8176</v>
      </c>
      <c r="D6" s="25">
        <v>810742.69</v>
      </c>
    </row>
    <row r="7" spans="2:8" x14ac:dyDescent="0.25">
      <c r="B7" s="1" t="s">
        <v>6</v>
      </c>
      <c r="C7" s="6">
        <v>7722</v>
      </c>
      <c r="D7" s="25">
        <v>328488.76</v>
      </c>
    </row>
    <row r="8" spans="2:8" x14ac:dyDescent="0.25">
      <c r="B8" s="5" t="s">
        <v>12</v>
      </c>
      <c r="C8" s="7">
        <v>1232</v>
      </c>
      <c r="D8" s="26">
        <v>0</v>
      </c>
    </row>
    <row r="9" spans="2:8" x14ac:dyDescent="0.25">
      <c r="B9" s="1" t="s">
        <v>7</v>
      </c>
      <c r="C9" s="6">
        <v>34716</v>
      </c>
      <c r="D9" s="25">
        <v>460590.15</v>
      </c>
      <c r="E9" s="14"/>
      <c r="F9" s="7"/>
    </row>
    <row r="10" spans="2:8" x14ac:dyDescent="0.25">
      <c r="B10" s="3" t="s">
        <v>8</v>
      </c>
      <c r="C10" s="8">
        <f>SUM(C5:C9)</f>
        <v>51874</v>
      </c>
      <c r="D10" s="4">
        <f>SUM(D5:D9)</f>
        <v>1595225.6</v>
      </c>
      <c r="E10" s="11" t="s">
        <v>14</v>
      </c>
    </row>
    <row r="12" spans="2:8" x14ac:dyDescent="0.25">
      <c r="B12" s="29" t="s">
        <v>36</v>
      </c>
      <c r="C12" s="29"/>
      <c r="D12" s="29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0</v>
      </c>
      <c r="D14" s="26">
        <v>0</v>
      </c>
    </row>
    <row r="15" spans="2:8" x14ac:dyDescent="0.25">
      <c r="B15" s="1" t="s">
        <v>5</v>
      </c>
      <c r="C15" s="6">
        <v>2126</v>
      </c>
      <c r="D15" s="25">
        <v>241202.07000000004</v>
      </c>
    </row>
    <row r="16" spans="2:8" x14ac:dyDescent="0.25">
      <c r="B16" s="1" t="s">
        <v>6</v>
      </c>
      <c r="C16" s="6">
        <v>2739</v>
      </c>
      <c r="D16" s="25">
        <v>118312.53</v>
      </c>
    </row>
    <row r="17" spans="2:4" x14ac:dyDescent="0.25">
      <c r="B17" s="5" t="s">
        <v>12</v>
      </c>
      <c r="C17" s="6">
        <v>0</v>
      </c>
      <c r="D17" s="11">
        <v>0</v>
      </c>
    </row>
    <row r="18" spans="2:4" x14ac:dyDescent="0.25">
      <c r="B18" s="1" t="s">
        <v>7</v>
      </c>
      <c r="C18" s="7">
        <v>18136</v>
      </c>
      <c r="D18" s="25">
        <v>116672.72</v>
      </c>
    </row>
    <row r="19" spans="2:4" x14ac:dyDescent="0.25">
      <c r="B19" s="3" t="s">
        <v>8</v>
      </c>
      <c r="C19" s="8">
        <f>SUM(C14:C18)</f>
        <v>23001</v>
      </c>
      <c r="D19" s="4">
        <f>SUM(D14:D18)</f>
        <v>476187.32000000007</v>
      </c>
    </row>
    <row r="21" spans="2:4" x14ac:dyDescent="0.25">
      <c r="B21" s="30" t="s">
        <v>10</v>
      </c>
      <c r="C21" s="30"/>
      <c r="D21" s="30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8</v>
      </c>
      <c r="D23" s="25">
        <v>1911.56</v>
      </c>
    </row>
    <row r="24" spans="2:4" x14ac:dyDescent="0.25">
      <c r="B24" s="9" t="s">
        <v>5</v>
      </c>
      <c r="C24" s="6">
        <v>2247</v>
      </c>
      <c r="D24" s="25">
        <v>188770.34</v>
      </c>
    </row>
    <row r="25" spans="2:4" x14ac:dyDescent="0.25">
      <c r="B25" s="9" t="s">
        <v>6</v>
      </c>
      <c r="C25" s="6">
        <v>873</v>
      </c>
      <c r="D25" s="25">
        <v>39337.889999999992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12964</v>
      </c>
      <c r="D27" s="25">
        <v>70267.31</v>
      </c>
    </row>
    <row r="28" spans="2:4" x14ac:dyDescent="0.25">
      <c r="B28" s="10" t="s">
        <v>8</v>
      </c>
      <c r="C28" s="8">
        <f>SUM(C23:C27)</f>
        <v>16093</v>
      </c>
      <c r="D28" s="4">
        <f>SUM(D23:D27)</f>
        <v>300287.09999999998</v>
      </c>
    </row>
    <row r="30" spans="2:4" x14ac:dyDescent="0.25">
      <c r="B30" s="29" t="s">
        <v>9</v>
      </c>
      <c r="C30" s="29"/>
      <c r="D30" s="29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0</v>
      </c>
      <c r="D32" s="25">
        <v>3157</v>
      </c>
    </row>
    <row r="33" spans="2:4" x14ac:dyDescent="0.25">
      <c r="B33" s="9" t="s">
        <v>5</v>
      </c>
      <c r="C33" s="6">
        <v>1629</v>
      </c>
      <c r="D33" s="25">
        <v>108912.43</v>
      </c>
    </row>
    <row r="34" spans="2:4" x14ac:dyDescent="0.25">
      <c r="B34" s="9" t="s">
        <v>6</v>
      </c>
      <c r="C34" s="6">
        <v>1634</v>
      </c>
      <c r="D34" s="25">
        <v>53992.72</v>
      </c>
    </row>
    <row r="35" spans="2:4" x14ac:dyDescent="0.25">
      <c r="B35" s="9" t="s">
        <v>7</v>
      </c>
      <c r="C35" s="6">
        <v>3215</v>
      </c>
      <c r="D35" s="25">
        <v>26544</v>
      </c>
    </row>
    <row r="36" spans="2:4" x14ac:dyDescent="0.25">
      <c r="B36" s="10" t="s">
        <v>8</v>
      </c>
      <c r="C36" s="8">
        <f>SUM(C32:C35)</f>
        <v>6478</v>
      </c>
      <c r="D36" s="4">
        <f>SUM(D32:D35)</f>
        <v>192606.15</v>
      </c>
    </row>
    <row r="38" spans="2:4" x14ac:dyDescent="0.25">
      <c r="B38" s="30" t="s">
        <v>11</v>
      </c>
      <c r="C38" s="30"/>
      <c r="D38" s="30"/>
    </row>
    <row r="39" spans="2:4" x14ac:dyDescent="0.25">
      <c r="B39" s="4" t="s">
        <v>1</v>
      </c>
      <c r="C39" s="4" t="s">
        <v>2</v>
      </c>
      <c r="D39" s="4" t="s">
        <v>3</v>
      </c>
    </row>
    <row r="40" spans="2:4" x14ac:dyDescent="0.25">
      <c r="B40" s="9" t="s">
        <v>4</v>
      </c>
      <c r="C40" s="6">
        <v>2166</v>
      </c>
      <c r="D40" s="25">
        <v>77179.579999999987</v>
      </c>
    </row>
    <row r="41" spans="2:4" x14ac:dyDescent="0.25">
      <c r="B41" s="1" t="s">
        <v>5</v>
      </c>
      <c r="C41" s="6">
        <v>2334</v>
      </c>
      <c r="D41" s="25">
        <v>90367.35</v>
      </c>
    </row>
    <row r="42" spans="2:4" x14ac:dyDescent="0.25">
      <c r="B42" s="1" t="s">
        <v>6</v>
      </c>
      <c r="C42" s="6">
        <v>1898</v>
      </c>
      <c r="D42" s="25">
        <v>20988.86</v>
      </c>
    </row>
    <row r="43" spans="2:4" x14ac:dyDescent="0.25">
      <c r="B43" s="1" t="s">
        <v>7</v>
      </c>
      <c r="C43" s="6">
        <v>26</v>
      </c>
      <c r="D43" s="25">
        <v>500</v>
      </c>
    </row>
    <row r="44" spans="2:4" x14ac:dyDescent="0.25">
      <c r="B44" s="10" t="s">
        <v>8</v>
      </c>
      <c r="C44" s="8">
        <f>SUM(C40:C43)</f>
        <v>6424</v>
      </c>
      <c r="D44" s="4">
        <f>SUM(D40:D43)</f>
        <v>189035.78999999998</v>
      </c>
    </row>
    <row r="46" spans="2:4" x14ac:dyDescent="0.25">
      <c r="B46" s="29" t="s">
        <v>31</v>
      </c>
      <c r="C46" s="29"/>
      <c r="D46" s="29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11">
        <v>0</v>
      </c>
      <c r="D48" s="25">
        <v>23035.16</v>
      </c>
    </row>
    <row r="49" spans="2:4" x14ac:dyDescent="0.25">
      <c r="B49" s="1" t="s">
        <v>5</v>
      </c>
      <c r="C49" s="11">
        <v>0</v>
      </c>
      <c r="D49" s="25">
        <v>24486</v>
      </c>
    </row>
    <row r="50" spans="2:4" x14ac:dyDescent="0.25">
      <c r="B50" s="1" t="s">
        <v>6</v>
      </c>
      <c r="C50" s="11">
        <v>0</v>
      </c>
      <c r="D50" s="25">
        <v>16324</v>
      </c>
    </row>
    <row r="51" spans="2:4" x14ac:dyDescent="0.25">
      <c r="B51" s="1" t="s">
        <v>7</v>
      </c>
      <c r="C51" s="11">
        <v>0</v>
      </c>
      <c r="D51" s="25">
        <v>3253</v>
      </c>
    </row>
    <row r="52" spans="2:4" x14ac:dyDescent="0.25">
      <c r="B52" s="3" t="s">
        <v>8</v>
      </c>
      <c r="C52" s="8">
        <f>SUM(C48:C51)</f>
        <v>0</v>
      </c>
      <c r="D52" s="4">
        <f>SUM(D48:D51)</f>
        <v>67098.16</v>
      </c>
    </row>
    <row r="54" spans="2:4" x14ac:dyDescent="0.25">
      <c r="B54" s="29" t="s">
        <v>30</v>
      </c>
      <c r="C54" s="29"/>
      <c r="D54" s="29"/>
    </row>
    <row r="55" spans="2:4" x14ac:dyDescent="0.25">
      <c r="B55" s="2" t="s">
        <v>1</v>
      </c>
      <c r="C55" s="2" t="s">
        <v>2</v>
      </c>
      <c r="D55" s="2" t="s">
        <v>3</v>
      </c>
    </row>
    <row r="56" spans="2:4" x14ac:dyDescent="0.25">
      <c r="B56" s="9" t="s">
        <v>4</v>
      </c>
      <c r="C56" s="6">
        <v>0</v>
      </c>
      <c r="D56" s="26">
        <v>0</v>
      </c>
    </row>
    <row r="57" spans="2:4" x14ac:dyDescent="0.25">
      <c r="B57" s="1" t="s">
        <v>5</v>
      </c>
      <c r="C57" s="6">
        <v>563</v>
      </c>
      <c r="D57" s="25">
        <v>44395.25</v>
      </c>
    </row>
    <row r="58" spans="2:4" x14ac:dyDescent="0.25">
      <c r="B58" s="1" t="s">
        <v>6</v>
      </c>
      <c r="C58" s="6">
        <v>120</v>
      </c>
      <c r="D58" s="25">
        <v>8827</v>
      </c>
    </row>
    <row r="59" spans="2:4" x14ac:dyDescent="0.25">
      <c r="B59" s="1" t="s">
        <v>7</v>
      </c>
      <c r="C59" s="6">
        <v>1241</v>
      </c>
      <c r="D59" s="25">
        <v>9327</v>
      </c>
    </row>
    <row r="60" spans="2:4" hidden="1" x14ac:dyDescent="0.25">
      <c r="B60" s="3" t="s">
        <v>8</v>
      </c>
      <c r="C60" s="8">
        <f>SUM(C56:C59)</f>
        <v>1924</v>
      </c>
      <c r="D60" s="4">
        <f>SUM(D56:D59)</f>
        <v>62549.25</v>
      </c>
    </row>
    <row r="61" spans="2:4" hidden="1" x14ac:dyDescent="0.25"/>
    <row r="62" spans="2:4" hidden="1" x14ac:dyDescent="0.25">
      <c r="B62" s="29" t="s">
        <v>38</v>
      </c>
      <c r="C62" s="29"/>
      <c r="D62" s="29"/>
    </row>
    <row r="63" spans="2:4" hidden="1" x14ac:dyDescent="0.25">
      <c r="B63" s="2" t="s">
        <v>1</v>
      </c>
      <c r="C63" s="2" t="s">
        <v>2</v>
      </c>
      <c r="D63" s="2" t="s">
        <v>3</v>
      </c>
    </row>
    <row r="64" spans="2:4" hidden="1" x14ac:dyDescent="0.25">
      <c r="B64" s="9" t="s">
        <v>4</v>
      </c>
      <c r="C64" s="6">
        <v>0</v>
      </c>
      <c r="D64" s="26">
        <v>0</v>
      </c>
    </row>
    <row r="65" spans="2:4" hidden="1" x14ac:dyDescent="0.25">
      <c r="B65" s="1" t="s">
        <v>5</v>
      </c>
      <c r="C65" s="6">
        <v>0</v>
      </c>
      <c r="D65" s="26">
        <v>0</v>
      </c>
    </row>
    <row r="66" spans="2:4" x14ac:dyDescent="0.25">
      <c r="B66" s="3" t="s">
        <v>8</v>
      </c>
      <c r="C66" s="8">
        <f>SUM(C56:C59)</f>
        <v>1924</v>
      </c>
      <c r="D66" s="4">
        <f>SUM(D56:D59)</f>
        <v>62549.25</v>
      </c>
    </row>
    <row r="68" spans="2:4" x14ac:dyDescent="0.25">
      <c r="B68" s="12" t="s">
        <v>13</v>
      </c>
      <c r="C68" s="13">
        <f>SUMIF(B:B, "Total general", C:C)</f>
        <v>107718</v>
      </c>
      <c r="D68" s="13">
        <f>SUMIF(B:B, "Total general", D:D)</f>
        <v>2945538.62</v>
      </c>
    </row>
  </sheetData>
  <mergeCells count="8">
    <mergeCell ref="B3:D3"/>
    <mergeCell ref="B21:D21"/>
    <mergeCell ref="B30:D30"/>
    <mergeCell ref="B62:D62"/>
    <mergeCell ref="B38:D38"/>
    <mergeCell ref="B46:D46"/>
    <mergeCell ref="B12:D12"/>
    <mergeCell ref="B54:D54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86"/>
  <sheetViews>
    <sheetView showGridLines="0" tabSelected="1" zoomScaleNormal="100" workbookViewId="0"/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9" t="s">
        <v>39</v>
      </c>
      <c r="C1" s="29"/>
      <c r="D1" s="29"/>
    </row>
    <row r="3" spans="2:8" x14ac:dyDescent="0.25">
      <c r="B3" s="29" t="s">
        <v>37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8">
        <v>782</v>
      </c>
      <c r="D5" s="25">
        <v>18031.68</v>
      </c>
      <c r="E5" s="11"/>
    </row>
    <row r="6" spans="2:8" x14ac:dyDescent="0.25">
      <c r="B6" s="1" t="s">
        <v>5</v>
      </c>
      <c r="C6" s="28">
        <v>14524</v>
      </c>
      <c r="D6" s="25">
        <v>498159.95</v>
      </c>
    </row>
    <row r="7" spans="2:8" x14ac:dyDescent="0.25">
      <c r="B7" s="1" t="s">
        <v>6</v>
      </c>
      <c r="C7" s="28">
        <v>8302</v>
      </c>
      <c r="D7" s="25">
        <v>98251.409999999989</v>
      </c>
    </row>
    <row r="8" spans="2:8" x14ac:dyDescent="0.25">
      <c r="B8" s="5" t="s">
        <v>12</v>
      </c>
      <c r="C8" s="28">
        <v>2739</v>
      </c>
      <c r="D8" s="26">
        <v>0</v>
      </c>
    </row>
    <row r="9" spans="2:8" x14ac:dyDescent="0.25">
      <c r="B9" s="1" t="s">
        <v>7</v>
      </c>
      <c r="C9" s="28">
        <v>63611</v>
      </c>
      <c r="D9" s="25">
        <v>79503.520000000004</v>
      </c>
      <c r="E9" s="14"/>
      <c r="F9" s="7"/>
    </row>
    <row r="10" spans="2:8" x14ac:dyDescent="0.25">
      <c r="B10" s="3" t="s">
        <v>8</v>
      </c>
      <c r="C10" s="8">
        <f>SUM(C5:C9)</f>
        <v>89958</v>
      </c>
      <c r="D10" s="4">
        <f>SUM(D5:D9)</f>
        <v>693946.56</v>
      </c>
      <c r="E10" s="11" t="s">
        <v>14</v>
      </c>
    </row>
    <row r="12" spans="2:8" x14ac:dyDescent="0.25">
      <c r="B12" s="30" t="s">
        <v>11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>
        <v>2063</v>
      </c>
      <c r="D14" s="25">
        <v>77179.579999999987</v>
      </c>
    </row>
    <row r="15" spans="2:8" x14ac:dyDescent="0.25">
      <c r="B15" s="1" t="s">
        <v>5</v>
      </c>
      <c r="C15">
        <v>1320</v>
      </c>
      <c r="D15" s="25">
        <v>54920.56</v>
      </c>
    </row>
    <row r="16" spans="2:8" x14ac:dyDescent="0.25">
      <c r="B16" s="1" t="s">
        <v>6</v>
      </c>
      <c r="C16">
        <v>1735</v>
      </c>
      <c r="D16" s="25">
        <v>24086.86</v>
      </c>
    </row>
    <row r="17" spans="2:4" x14ac:dyDescent="0.25">
      <c r="B17" s="9" t="s">
        <v>7</v>
      </c>
      <c r="C17">
        <v>26</v>
      </c>
      <c r="D17" s="25">
        <v>500</v>
      </c>
    </row>
    <row r="18" spans="2:4" x14ac:dyDescent="0.25">
      <c r="B18" s="10" t="s">
        <v>8</v>
      </c>
      <c r="C18" s="8">
        <f>SUM(C14:C17)</f>
        <v>5144</v>
      </c>
      <c r="D18" s="4">
        <f>SUM(D14:D17)</f>
        <v>156687</v>
      </c>
    </row>
    <row r="20" spans="2:4" x14ac:dyDescent="0.25">
      <c r="B20" s="29" t="s">
        <v>31</v>
      </c>
      <c r="C20" s="29"/>
      <c r="D20" s="29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 s="11">
        <v>0</v>
      </c>
      <c r="D22" s="25">
        <v>23035.16</v>
      </c>
    </row>
    <row r="23" spans="2:4" x14ac:dyDescent="0.25">
      <c r="B23" s="1" t="s">
        <v>5</v>
      </c>
      <c r="C23" s="11">
        <v>0</v>
      </c>
      <c r="D23" s="25">
        <v>24484</v>
      </c>
    </row>
    <row r="24" spans="2:4" x14ac:dyDescent="0.25">
      <c r="B24" s="1" t="s">
        <v>6</v>
      </c>
      <c r="C24" s="11">
        <v>0</v>
      </c>
      <c r="D24" s="25">
        <v>16324</v>
      </c>
    </row>
    <row r="25" spans="2:4" x14ac:dyDescent="0.25">
      <c r="B25" s="1" t="s">
        <v>7</v>
      </c>
      <c r="C25" s="11">
        <v>0</v>
      </c>
      <c r="D25" s="25">
        <v>3253</v>
      </c>
    </row>
    <row r="26" spans="2:4" x14ac:dyDescent="0.25">
      <c r="B26" s="3" t="s">
        <v>8</v>
      </c>
      <c r="C26" s="8">
        <f>SUM(C22:C25)</f>
        <v>0</v>
      </c>
      <c r="D26" s="4">
        <f>SUM(D22:D25)</f>
        <v>67096.160000000003</v>
      </c>
    </row>
    <row r="28" spans="2:4" x14ac:dyDescent="0.25">
      <c r="B28" s="29" t="s">
        <v>41</v>
      </c>
      <c r="C28" s="29"/>
      <c r="D28" s="29"/>
    </row>
    <row r="29" spans="2:4" x14ac:dyDescent="0.25">
      <c r="B29" s="2" t="s">
        <v>1</v>
      </c>
      <c r="C29" s="2" t="s">
        <v>2</v>
      </c>
      <c r="D29" s="2" t="s">
        <v>3</v>
      </c>
    </row>
    <row r="30" spans="2:4" x14ac:dyDescent="0.25">
      <c r="B30" s="9" t="s">
        <v>4</v>
      </c>
      <c r="C30" s="28">
        <v>1254</v>
      </c>
      <c r="D30" s="25">
        <v>27083.120000000003</v>
      </c>
    </row>
    <row r="31" spans="2:4" x14ac:dyDescent="0.25">
      <c r="B31" s="1" t="s">
        <v>5</v>
      </c>
      <c r="C31" s="28">
        <v>771</v>
      </c>
      <c r="D31" s="25">
        <v>14941.27</v>
      </c>
    </row>
    <row r="32" spans="2:4" x14ac:dyDescent="0.25">
      <c r="B32" s="9" t="s">
        <v>6</v>
      </c>
      <c r="C32" s="28">
        <v>949</v>
      </c>
      <c r="D32" s="25">
        <v>10766</v>
      </c>
    </row>
    <row r="33" spans="2:4" x14ac:dyDescent="0.25">
      <c r="B33" s="10" t="s">
        <v>8</v>
      </c>
      <c r="C33" s="8">
        <f>SUM(C30:C32)</f>
        <v>2974</v>
      </c>
      <c r="D33" s="4">
        <f>SUM(D30:D32)</f>
        <v>52790.39</v>
      </c>
    </row>
    <row r="35" spans="2:4" x14ac:dyDescent="0.25">
      <c r="B35" s="29" t="s">
        <v>40</v>
      </c>
      <c r="C35" s="29"/>
      <c r="D35" s="29"/>
    </row>
    <row r="36" spans="2:4" x14ac:dyDescent="0.25">
      <c r="B36" s="2" t="s">
        <v>1</v>
      </c>
      <c r="C36" s="2" t="s">
        <v>2</v>
      </c>
      <c r="D36" s="2" t="s">
        <v>3</v>
      </c>
    </row>
    <row r="37" spans="2:4" x14ac:dyDescent="0.25">
      <c r="B37" s="9" t="s">
        <v>4</v>
      </c>
      <c r="C37" s="28">
        <v>1129</v>
      </c>
      <c r="D37" s="25">
        <v>12407.93</v>
      </c>
    </row>
    <row r="38" spans="2:4" x14ac:dyDescent="0.25">
      <c r="B38" s="1" t="s">
        <v>5</v>
      </c>
      <c r="C38" s="28">
        <v>2698</v>
      </c>
      <c r="D38" s="25">
        <v>32724.99</v>
      </c>
    </row>
    <row r="39" spans="2:4" x14ac:dyDescent="0.25">
      <c r="B39" s="9" t="s">
        <v>6</v>
      </c>
      <c r="C39" s="28">
        <v>1644</v>
      </c>
      <c r="D39" s="25">
        <v>1500</v>
      </c>
    </row>
    <row r="40" spans="2:4" x14ac:dyDescent="0.25">
      <c r="B40" s="9" t="s">
        <v>7</v>
      </c>
      <c r="C40" s="28">
        <v>357</v>
      </c>
      <c r="D40" s="11">
        <v>0</v>
      </c>
    </row>
    <row r="41" spans="2:4" x14ac:dyDescent="0.25">
      <c r="B41" s="10" t="s">
        <v>8</v>
      </c>
      <c r="C41" s="8">
        <f>SUM(C37:C40)</f>
        <v>5828</v>
      </c>
      <c r="D41" s="4">
        <f>SUM(D37:D40)</f>
        <v>46632.92</v>
      </c>
    </row>
    <row r="43" spans="2:4" x14ac:dyDescent="0.25">
      <c r="B43" s="29" t="s">
        <v>0</v>
      </c>
      <c r="C43" s="29"/>
      <c r="D43" s="29"/>
    </row>
    <row r="44" spans="2:4" x14ac:dyDescent="0.25">
      <c r="B44" s="2" t="s">
        <v>1</v>
      </c>
      <c r="C44" s="2" t="s">
        <v>2</v>
      </c>
      <c r="D44" s="2" t="s">
        <v>3</v>
      </c>
    </row>
    <row r="45" spans="2:4" x14ac:dyDescent="0.25">
      <c r="B45" s="1" t="s">
        <v>4</v>
      </c>
      <c r="C45" s="27">
        <v>0</v>
      </c>
      <c r="D45" s="26">
        <v>0</v>
      </c>
    </row>
    <row r="46" spans="2:4" x14ac:dyDescent="0.25">
      <c r="B46" s="1" t="s">
        <v>5</v>
      </c>
      <c r="C46">
        <v>16</v>
      </c>
      <c r="D46" s="25">
        <v>7496</v>
      </c>
    </row>
    <row r="47" spans="2:4" x14ac:dyDescent="0.25">
      <c r="B47" s="1" t="s">
        <v>6</v>
      </c>
      <c r="C47">
        <v>64</v>
      </c>
      <c r="D47" s="25">
        <v>16964.02</v>
      </c>
    </row>
    <row r="48" spans="2:4" x14ac:dyDescent="0.25">
      <c r="B48" s="5" t="s">
        <v>12</v>
      </c>
      <c r="C48">
        <v>1</v>
      </c>
      <c r="D48" s="26">
        <v>0</v>
      </c>
    </row>
    <row r="49" spans="2:4" x14ac:dyDescent="0.25">
      <c r="B49" s="1" t="s">
        <v>7</v>
      </c>
      <c r="C49">
        <v>303</v>
      </c>
      <c r="D49" s="25">
        <v>10350</v>
      </c>
    </row>
    <row r="50" spans="2:4" x14ac:dyDescent="0.25">
      <c r="B50" s="3" t="s">
        <v>8</v>
      </c>
      <c r="C50" s="8">
        <f>SUM(C45:C49)</f>
        <v>384</v>
      </c>
      <c r="D50" s="4">
        <f>SUM(D45:D49)</f>
        <v>34810.020000000004</v>
      </c>
    </row>
    <row r="52" spans="2:4" x14ac:dyDescent="0.25">
      <c r="B52" s="30" t="s">
        <v>10</v>
      </c>
      <c r="C52" s="30"/>
      <c r="D52" s="30"/>
    </row>
    <row r="53" spans="2:4" x14ac:dyDescent="0.25">
      <c r="B53" s="4" t="s">
        <v>1</v>
      </c>
      <c r="C53" s="4" t="s">
        <v>2</v>
      </c>
      <c r="D53" s="4" t="s">
        <v>3</v>
      </c>
    </row>
    <row r="54" spans="2:4" x14ac:dyDescent="0.25">
      <c r="B54" s="9" t="s">
        <v>4</v>
      </c>
      <c r="C54" s="11">
        <v>0</v>
      </c>
      <c r="D54" s="7">
        <v>0</v>
      </c>
    </row>
    <row r="55" spans="2:4" x14ac:dyDescent="0.25">
      <c r="B55" s="9" t="s">
        <v>5</v>
      </c>
      <c r="C55">
        <v>3</v>
      </c>
      <c r="D55" s="25">
        <v>10334</v>
      </c>
    </row>
    <row r="56" spans="2:4" x14ac:dyDescent="0.25">
      <c r="B56" s="9" t="s">
        <v>6</v>
      </c>
      <c r="C56">
        <v>2</v>
      </c>
      <c r="D56" s="26">
        <v>0</v>
      </c>
    </row>
    <row r="57" spans="2:4" x14ac:dyDescent="0.25">
      <c r="B57" s="5" t="s">
        <v>12</v>
      </c>
      <c r="C57" s="7">
        <v>0</v>
      </c>
      <c r="D57" s="7">
        <v>0</v>
      </c>
    </row>
    <row r="58" spans="2:4" x14ac:dyDescent="0.25">
      <c r="B58" s="9" t="s">
        <v>7</v>
      </c>
      <c r="C58">
        <v>167</v>
      </c>
      <c r="D58" s="25">
        <v>1900</v>
      </c>
    </row>
    <row r="59" spans="2:4" x14ac:dyDescent="0.25">
      <c r="B59" s="10" t="s">
        <v>8</v>
      </c>
      <c r="C59" s="8">
        <f>SUM(C54:C58)</f>
        <v>172</v>
      </c>
      <c r="D59" s="4">
        <f>SUM(D54:D58)</f>
        <v>12234</v>
      </c>
    </row>
    <row r="61" spans="2:4" x14ac:dyDescent="0.25">
      <c r="B61" s="29" t="s">
        <v>36</v>
      </c>
      <c r="C61" s="29"/>
      <c r="D61" s="29"/>
    </row>
    <row r="62" spans="2:4" x14ac:dyDescent="0.25">
      <c r="B62" s="2" t="s">
        <v>1</v>
      </c>
      <c r="C62" s="2" t="s">
        <v>2</v>
      </c>
      <c r="D62" s="2" t="s">
        <v>3</v>
      </c>
    </row>
    <row r="63" spans="2:4" x14ac:dyDescent="0.25">
      <c r="B63" s="1" t="s">
        <v>4</v>
      </c>
      <c r="C63" s="11">
        <v>0</v>
      </c>
      <c r="D63" s="26">
        <v>0</v>
      </c>
    </row>
    <row r="64" spans="2:4" x14ac:dyDescent="0.25">
      <c r="B64" s="1" t="s">
        <v>5</v>
      </c>
      <c r="C64">
        <v>4</v>
      </c>
      <c r="D64" s="25">
        <v>742</v>
      </c>
    </row>
    <row r="65" spans="2:4" x14ac:dyDescent="0.25">
      <c r="B65" s="1" t="s">
        <v>6</v>
      </c>
      <c r="C65">
        <v>37</v>
      </c>
      <c r="D65" s="26">
        <v>0</v>
      </c>
    </row>
    <row r="66" spans="2:4" x14ac:dyDescent="0.25">
      <c r="B66" s="5" t="s">
        <v>12</v>
      </c>
      <c r="C66" s="11">
        <v>0</v>
      </c>
      <c r="D66" s="26">
        <v>0</v>
      </c>
    </row>
    <row r="67" spans="2:4" x14ac:dyDescent="0.25">
      <c r="B67" s="1" t="s">
        <v>7</v>
      </c>
      <c r="C67">
        <v>332</v>
      </c>
      <c r="D67" s="25">
        <v>5328</v>
      </c>
    </row>
    <row r="68" spans="2:4" x14ac:dyDescent="0.25">
      <c r="B68" s="3" t="s">
        <v>8</v>
      </c>
      <c r="C68" s="8">
        <f>SUM(C63:C67)</f>
        <v>373</v>
      </c>
      <c r="D68" s="4">
        <f>SUM(D63:D67)</f>
        <v>6070</v>
      </c>
    </row>
    <row r="70" spans="2:4" x14ac:dyDescent="0.25">
      <c r="B70" s="29" t="s">
        <v>30</v>
      </c>
      <c r="C70" s="29"/>
      <c r="D70" s="29"/>
    </row>
    <row r="71" spans="2:4" x14ac:dyDescent="0.25">
      <c r="B71" s="2" t="s">
        <v>1</v>
      </c>
      <c r="C71" s="2" t="s">
        <v>2</v>
      </c>
      <c r="D71" s="2" t="s">
        <v>3</v>
      </c>
    </row>
    <row r="72" spans="2:4" x14ac:dyDescent="0.25">
      <c r="B72" s="9" t="s">
        <v>4</v>
      </c>
      <c r="C72" s="26">
        <v>0</v>
      </c>
      <c r="D72" s="26">
        <v>0</v>
      </c>
    </row>
    <row r="73" spans="2:4" x14ac:dyDescent="0.25">
      <c r="B73" s="1" t="s">
        <v>5</v>
      </c>
      <c r="C73">
        <v>3</v>
      </c>
      <c r="D73" s="25">
        <v>882</v>
      </c>
    </row>
    <row r="74" spans="2:4" x14ac:dyDescent="0.25">
      <c r="B74" s="1" t="s">
        <v>6</v>
      </c>
      <c r="C74" s="11">
        <v>0</v>
      </c>
      <c r="D74" s="26">
        <v>0</v>
      </c>
    </row>
    <row r="75" spans="2:4" x14ac:dyDescent="0.25">
      <c r="B75" s="1" t="s">
        <v>7</v>
      </c>
      <c r="C75">
        <v>64</v>
      </c>
      <c r="D75" s="25">
        <v>557</v>
      </c>
    </row>
    <row r="76" spans="2:4" x14ac:dyDescent="0.25">
      <c r="B76" s="3" t="s">
        <v>8</v>
      </c>
      <c r="C76" s="8">
        <f>SUM(C72:C75)</f>
        <v>67</v>
      </c>
      <c r="D76" s="4">
        <f>SUM(D72:D75)</f>
        <v>1439</v>
      </c>
    </row>
    <row r="78" spans="2:4" x14ac:dyDescent="0.25">
      <c r="B78" s="29" t="s">
        <v>9</v>
      </c>
      <c r="C78" s="29"/>
      <c r="D78" s="29"/>
    </row>
    <row r="79" spans="2:4" x14ac:dyDescent="0.25">
      <c r="B79" s="2" t="s">
        <v>1</v>
      </c>
      <c r="C79" s="2" t="s">
        <v>2</v>
      </c>
      <c r="D79" s="2" t="s">
        <v>3</v>
      </c>
    </row>
    <row r="80" spans="2:4" x14ac:dyDescent="0.25">
      <c r="B80" s="9" t="s">
        <v>4</v>
      </c>
      <c r="C80" s="6">
        <v>0</v>
      </c>
      <c r="D80" s="26">
        <v>0</v>
      </c>
    </row>
    <row r="81" spans="2:4" x14ac:dyDescent="0.25">
      <c r="B81" s="9" t="s">
        <v>5</v>
      </c>
      <c r="C81" s="6">
        <v>0</v>
      </c>
      <c r="D81" s="26">
        <v>0</v>
      </c>
    </row>
    <row r="82" spans="2:4" x14ac:dyDescent="0.25">
      <c r="B82" s="9" t="s">
        <v>6</v>
      </c>
      <c r="C82">
        <v>2</v>
      </c>
      <c r="D82" s="26">
        <v>0</v>
      </c>
    </row>
    <row r="83" spans="2:4" x14ac:dyDescent="0.25">
      <c r="B83" s="9" t="s">
        <v>7</v>
      </c>
      <c r="C83">
        <v>61</v>
      </c>
      <c r="D83" s="26">
        <v>0</v>
      </c>
    </row>
    <row r="84" spans="2:4" x14ac:dyDescent="0.25">
      <c r="B84" s="10" t="s">
        <v>8</v>
      </c>
      <c r="C84" s="8">
        <f>SUM(C80:C83)</f>
        <v>63</v>
      </c>
      <c r="D84" s="4">
        <f>SUM(D80:D83)</f>
        <v>0</v>
      </c>
    </row>
    <row r="86" spans="2:4" x14ac:dyDescent="0.25">
      <c r="B86" s="12" t="s">
        <v>13</v>
      </c>
      <c r="C86" s="13">
        <f>SUMIF(B:B, "Total general", C:C)</f>
        <v>104963</v>
      </c>
      <c r="D86" s="13">
        <f>SUMIF(B:B, "Total general", D:D)</f>
        <v>1071706.05</v>
      </c>
    </row>
  </sheetData>
  <mergeCells count="11">
    <mergeCell ref="B78:D78"/>
    <mergeCell ref="B70:D70"/>
    <mergeCell ref="B12:D12"/>
    <mergeCell ref="B61:D61"/>
    <mergeCell ref="B1:D1"/>
    <mergeCell ref="B3:D3"/>
    <mergeCell ref="B20:D20"/>
    <mergeCell ref="B43:D43"/>
    <mergeCell ref="B52:D52"/>
    <mergeCell ref="B28:D28"/>
    <mergeCell ref="B35:D35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E4" sqref="E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9" t="s">
        <v>39</v>
      </c>
      <c r="C1" s="29"/>
      <c r="D1" s="29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5228</v>
      </c>
      <c r="D3" s="14">
        <f>SUMIF('CDC-OLGUIN'!B:B, "Extrajudicial - 0 a 28 semanas de atraso", 'CDC-OLGUIN'!D:D)</f>
        <v>157737.46999999997</v>
      </c>
    </row>
    <row r="4" spans="2:6" x14ac:dyDescent="0.25">
      <c r="B4" s="1" t="s">
        <v>5</v>
      </c>
      <c r="C4" s="6">
        <f>SUMIF('CDC-OLGUIN'!B:B, "Extrajudicial - 29 a 39 semanas de atraso", 'CDC-OLGUIN'!C:C)</f>
        <v>19339</v>
      </c>
      <c r="D4" s="14">
        <f>SUMIF('CDC-OLGUIN'!B:B, "Extrajudicial - 29 a 39 semanas de atraso", 'CDC-OLGUIN'!D:D)</f>
        <v>644684.77</v>
      </c>
    </row>
    <row r="5" spans="2:6" x14ac:dyDescent="0.25">
      <c r="B5" s="1" t="s">
        <v>6</v>
      </c>
      <c r="C5" s="6">
        <f>SUMIF('CDC-OLGUIN'!B:B, "Extrajudicial - 40 a 55 semanas de atraso", 'CDC-OLGUIN'!C:C)</f>
        <v>12735</v>
      </c>
      <c r="D5" s="14">
        <f>SUMIF('CDC-OLGUIN'!B:B, "Extrajudicial - 40 a 55 semanas de atraso", 'CDC-OLGUIN'!D:D)</f>
        <v>167892.28999999998</v>
      </c>
    </row>
    <row r="6" spans="2:6" x14ac:dyDescent="0.25">
      <c r="B6" s="5" t="s">
        <v>12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64921</v>
      </c>
      <c r="D7" s="6">
        <f>SUMIF('CDC-OLGUIN'!B:B, "Mas 55 semanas de atraso", 'CDC-OLGUIN'!D:D)</f>
        <v>101391.52</v>
      </c>
      <c r="E7" s="14"/>
      <c r="F7" s="7"/>
    </row>
    <row r="8" spans="2:6" x14ac:dyDescent="0.25">
      <c r="B8" s="3" t="s">
        <v>8</v>
      </c>
      <c r="C8" s="8">
        <f>SUM(C3:C7)</f>
        <v>104963</v>
      </c>
      <c r="D8" s="4">
        <f>SUM(D3:D7)</f>
        <v>1071706.05</v>
      </c>
      <c r="E8" s="11" t="s">
        <v>14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2202</v>
      </c>
      <c r="E6" s="16">
        <f>SUMIF('REPORTE DIARIO'!B:B,'EPR 26 JUN'!C6, 'REPORTE DIARIO'!D:D)</f>
        <v>100687.29999999999</v>
      </c>
      <c r="F6" s="16">
        <f>J6*D6</f>
        <v>138411.42857142855</v>
      </c>
      <c r="G6" s="16">
        <f>+E6-F6</f>
        <v>-37724.128571428562</v>
      </c>
      <c r="H6" s="15">
        <f>ABS(G6/F6)</f>
        <v>0.27255067707043179</v>
      </c>
      <c r="I6" s="16">
        <f>E6/D6</f>
        <v>45.72538601271571</v>
      </c>
      <c r="J6" s="16">
        <f>(220/7)*2</f>
        <v>62.857142857142854</v>
      </c>
      <c r="K6" s="16">
        <f>+I6-J6</f>
        <v>-17.131756844427144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17075</v>
      </c>
      <c r="E7" s="16">
        <f>SUMIF('REPORTE DIARIO'!B:B,'EPR 26 JUN'!C7, 'REPORTE DIARIO'!D:D)</f>
        <v>1508876.1300000001</v>
      </c>
      <c r="F7" s="16">
        <f>J7*D7</f>
        <v>536642.85714285716</v>
      </c>
      <c r="G7" s="16">
        <f>+E7-F7</f>
        <v>972233.27285714296</v>
      </c>
      <c r="H7" s="15">
        <f>ABS(G7/F7)</f>
        <v>1.8116951710368696</v>
      </c>
      <c r="I7" s="16">
        <f>E7/D7</f>
        <v>88.367562518301611</v>
      </c>
      <c r="J7" s="16">
        <f>(110/7)*2</f>
        <v>31.428571428571427</v>
      </c>
      <c r="K7" s="16">
        <f t="shared" ref="K7:K9" si="0">+I7-J7</f>
        <v>56.93899108973018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14986</v>
      </c>
      <c r="E8" s="16">
        <f>SUMIF('REPORTE DIARIO'!B:B,'EPR 26 JUN'!C8, 'REPORTE DIARIO'!D:D)</f>
        <v>586271.76</v>
      </c>
      <c r="F8" s="16">
        <f>J8*D8</f>
        <v>192677.14285714287</v>
      </c>
      <c r="G8" s="16">
        <f>+E8-F8</f>
        <v>393594.61714285717</v>
      </c>
      <c r="H8" s="15">
        <f>ABS(G8/F8)</f>
        <v>2.0427675608345566</v>
      </c>
      <c r="I8" s="16">
        <f>E8/D8</f>
        <v>39.121297210730013</v>
      </c>
      <c r="J8" s="16">
        <f>(45/7)*2</f>
        <v>12.857142857142858</v>
      </c>
      <c r="K8" s="16">
        <f t="shared" si="0"/>
        <v>26.264154353587156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70298</v>
      </c>
      <c r="E9" s="16">
        <f>SUMIF('REPORTE DIARIO'!B:B,'EPR 26 JUN'!C9, 'REPORTE DIARIO'!D:D)</f>
        <v>687154.17999999993</v>
      </c>
      <c r="F9" s="16">
        <f>J9*D9</f>
        <v>301277.14285714284</v>
      </c>
      <c r="G9" s="16">
        <f>+E9-F9</f>
        <v>385877.03714285709</v>
      </c>
      <c r="H9" s="15">
        <f>ABS(G9/F9)</f>
        <v>1.2808042239229185</v>
      </c>
      <c r="I9" s="16">
        <f>E9/D9</f>
        <v>9.7748752453839352</v>
      </c>
      <c r="J9" s="16">
        <f>(15/7)*2</f>
        <v>4.2857142857142856</v>
      </c>
      <c r="K9" s="16">
        <f t="shared" si="0"/>
        <v>5.4891609596696496</v>
      </c>
    </row>
    <row r="10" spans="2:12" x14ac:dyDescent="0.25">
      <c r="B10" s="16"/>
      <c r="C10" s="19" t="s">
        <v>17</v>
      </c>
      <c r="D10" s="24">
        <f>SUM(D6:D9)</f>
        <v>104561</v>
      </c>
      <c r="E10" s="20">
        <f>SUM(E6:E9)</f>
        <v>2882989.37</v>
      </c>
      <c r="F10" s="20">
        <f>SUM(F6:F9)</f>
        <v>1169008.5714285714</v>
      </c>
      <c r="G10" s="20">
        <f>+E10-F10</f>
        <v>1713980.7985714287</v>
      </c>
      <c r="H10" s="21">
        <f>ABS(G10/F10)</f>
        <v>1.4661832602962708</v>
      </c>
      <c r="I10" s="20">
        <f>E10/D10</f>
        <v>27.572320176738938</v>
      </c>
      <c r="J10" s="20">
        <f>F10/D10</f>
        <v>11.180158677026533</v>
      </c>
      <c r="K10" s="20">
        <f>I10-J10</f>
        <v>16.392161499712405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2025-09-05T16:07:37Z</cp:lastPrinted>
  <dcterms:created xsi:type="dcterms:W3CDTF">2025-01-27T15:11:28Z</dcterms:created>
  <dcterms:modified xsi:type="dcterms:W3CDTF">2025-09-08T03:44:13Z</dcterms:modified>
</cp:coreProperties>
</file>