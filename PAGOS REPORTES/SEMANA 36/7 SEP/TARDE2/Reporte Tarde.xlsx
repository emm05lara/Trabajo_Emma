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7 SEP\TARDE2\"/>
    </mc:Choice>
  </mc:AlternateContent>
  <xr:revisionPtr revIDLastSave="0" documentId="8_{53B20105-748C-40F0-BB36-25BD5E944B22}" xr6:coauthVersionLast="47" xr6:coauthVersionMax="47" xr10:uidLastSave="{00000000-0000-0000-0000-000000000000}"/>
  <bookViews>
    <workbookView xWindow="-120" yWindow="-120" windowWidth="51840" windowHeight="21120" xr2:uid="{480F7668-9EE9-4989-8C33-AF9CA52AB4D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1" i="1"/>
  <c r="D7" i="1" s="1"/>
</calcChain>
</file>

<file path=xl/sharedStrings.xml><?xml version="1.0" encoding="utf-8"?>
<sst xmlns="http://schemas.openxmlformats.org/spreadsheetml/2006/main" count="127" uniqueCount="24">
  <si>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</si>
  <si>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</si>
  <si>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</si>
  <si>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</si>
  <si>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</si>
  <si>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</si>
  <si>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</si>
  <si>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</si>
  <si>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Extrajudicial - 0 a 28 semanas de atraso</t>
  </si>
  <si>
    <t>FEDERICO</t>
  </si>
  <si>
    <t>FERNANDO</t>
  </si>
  <si>
    <t>SOFIA</t>
  </si>
  <si>
    <t>TOTAL COBRADO</t>
  </si>
  <si>
    <t>Segmento</t>
  </si>
  <si>
    <t>CONSUMO</t>
  </si>
  <si>
    <t>CREDIMAX</t>
  </si>
  <si>
    <t>REESTRUCTURA</t>
  </si>
  <si>
    <t>TOR</t>
  </si>
  <si>
    <t>ITALIKA</t>
  </si>
  <si>
    <t>MAZ</t>
  </si>
  <si>
    <t>Producto</t>
  </si>
  <si>
    <t>CDC 100</t>
  </si>
  <si>
    <t>ANA KAREN CECILIA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</si>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</sst>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F27A-563E-488E-80CE-14C2AA33446B}">
  <dimension ref="B1:D43"/>
  <sheetViews>
    <sheetView tabSelected="1" workbookViewId="0">
      <selection activeCell="B1" sqref="B1:D4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1" spans="2:4" x14ac:dyDescent="0.25">
      <c r="B1" s="6" t="str">
        <f ca="1" xml:space="preserve">  " COBRANZA INTERNOS " &amp; TEXT(TODAY(), " dd/mm/aaaa ") &amp; TEXT(NOW(), " hh:mm ")</f>
        <v xml:space="preserve"> COBRANZA INTERNOS  07/09/2025  16:36 </v>
      </c>
      <c r="C1" s="6"/>
    </row>
    <row r="2" spans="2:4" x14ac:dyDescent="0.25">
      <c r="B2" s="6" t="s">
        <v>5</v>
      </c>
      <c r="C2" s="6"/>
    </row>
    <row r="3" spans="2:4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90716.15</v>
      </c>
    </row>
    <row r="5" spans="2:4" x14ac:dyDescent="0.25">
      <c r="B5" s="2" t="s">
        <v>2</v>
      </c>
      <c r="C5" s="3">
        <v>22113</v>
      </c>
    </row>
    <row r="6" spans="2:4" ht="15.75" thickBot="1" x14ac:dyDescent="0.3">
      <c r="B6" s="2" t="s">
        <v>3</v>
      </c>
      <c r="C6" s="3">
        <v>40449.839999999997</v>
      </c>
      <c r="D6" s="1" t="s">
        <v>12</v>
      </c>
    </row>
    <row r="7" spans="2:4" ht="15.75" thickTop="1" x14ac:dyDescent="0.25">
      <c r="B7" s="4" t="s">
        <v>4</v>
      </c>
      <c r="C7" s="5">
        <v>153278.99</v>
      </c>
      <c r="D7" s="5">
        <f ca="1">SUMIF(B:B,"Total general", C:C)</f>
        <v>267763.59999999998</v>
      </c>
    </row>
    <row r="9" spans="2:4" x14ac:dyDescent="0.25">
      <c r="B9" s="6" t="s">
        <v>10</v>
      </c>
      <c r="C9" s="6"/>
    </row>
    <row r="10" spans="2:4" x14ac:dyDescent="0.25">
      <c r="B10" s="1" t="s">
        <v>13</v>
      </c>
      <c r="C10" s="1" t="s">
        <v>0</v>
      </c>
    </row>
    <row r="11" spans="2:4" x14ac:dyDescent="0.25">
      <c r="B11" s="2" t="s">
        <v>8</v>
      </c>
      <c r="C11" s="3">
        <v>22204.71</v>
      </c>
    </row>
    <row r="12" spans="2:4" x14ac:dyDescent="0.25">
      <c r="B12" s="2" t="s">
        <v>1</v>
      </c>
      <c r="C12" s="3">
        <v>9359</v>
      </c>
    </row>
    <row r="13" spans="2:4" ht="15.75" thickBot="1" x14ac:dyDescent="0.3">
      <c r="B13" s="2" t="s">
        <v>2</v>
      </c>
      <c r="C13" s="3">
        <v>1021</v>
      </c>
    </row>
    <row r="14" spans="2:4" ht="15.75" thickTop="1" x14ac:dyDescent="0.25">
      <c r="B14" s="4" t="s">
        <v>4</v>
      </c>
      <c r="C14" s="5">
        <v>32584.71</v>
      </c>
    </row>
    <row r="16" spans="2:4" x14ac:dyDescent="0.25">
      <c r="B16" s="6" t="s">
        <v>7</v>
      </c>
      <c r="C16" s="6"/>
    </row>
    <row r="17" spans="2:3" x14ac:dyDescent="0.25">
      <c r="B17" s="1" t="s">
        <v>13</v>
      </c>
      <c r="C17" s="1" t="s">
        <v>0</v>
      </c>
    </row>
    <row r="18" spans="2:3" x14ac:dyDescent="0.25">
      <c r="B18" s="2" t="s">
        <v>8</v>
      </c>
      <c r="C18" s="3">
        <v>1911.56</v>
      </c>
    </row>
    <row r="19" spans="2:3" x14ac:dyDescent="0.25">
      <c r="B19" s="2" t="s">
        <v>1</v>
      </c>
      <c r="C19" s="3">
        <v>12815.6</v>
      </c>
    </row>
    <row r="20" spans="2:3" x14ac:dyDescent="0.25">
      <c r="B20" s="2" t="s">
        <v>2</v>
      </c>
      <c r="C20" s="3">
        <v>2454.27</v>
      </c>
    </row>
    <row r="21" spans="2:3" ht="15.75" thickBot="1" x14ac:dyDescent="0.3">
      <c r="B21" s="2" t="s">
        <v>3</v>
      </c>
      <c r="C21" s="3">
        <v>9317</v>
      </c>
    </row>
    <row r="22" spans="2:3" ht="15.75" thickTop="1" x14ac:dyDescent="0.25">
      <c r="B22" s="4" t="s">
        <v>4</v>
      </c>
      <c r="C22" s="5">
        <v>26498.43</v>
      </c>
    </row>
    <row r="24" spans="2:3" x14ac:dyDescent="0.25">
      <c r="B24" s="6" t="s">
        <v>6</v>
      </c>
      <c r="C24" s="6"/>
    </row>
    <row r="25" spans="2:3" x14ac:dyDescent="0.25">
      <c r="B25" s="1" t="s">
        <v>13</v>
      </c>
      <c r="C25" s="1" t="s">
        <v>0</v>
      </c>
    </row>
    <row r="26" spans="2:3" x14ac:dyDescent="0.25">
      <c r="B26" s="2" t="s">
        <v>1</v>
      </c>
      <c r="C26" s="3">
        <v>7898</v>
      </c>
    </row>
    <row r="27" spans="2:3" x14ac:dyDescent="0.25">
      <c r="B27" s="2" t="s">
        <v>2</v>
      </c>
      <c r="C27" s="3">
        <v>10640</v>
      </c>
    </row>
    <row r="28" spans="2:3" ht="15.75" thickBot="1" x14ac:dyDescent="0.3">
      <c r="B28" s="2" t="s">
        <v>3</v>
      </c>
      <c r="C28" s="3">
        <v>6378</v>
      </c>
    </row>
    <row r="29" spans="2:3" ht="15.75" thickTop="1" x14ac:dyDescent="0.25">
      <c r="B29" s="4" t="s">
        <v>4</v>
      </c>
      <c r="C29" s="5">
        <v>24916</v>
      </c>
    </row>
    <row r="31" spans="2:3" x14ac:dyDescent="0.25">
      <c r="B31" s="6" t="s">
        <v>11</v>
      </c>
      <c r="C31" s="6"/>
    </row>
    <row r="32" spans="2:3" x14ac:dyDescent="0.25">
      <c r="B32" s="1" t="s">
        <v>13</v>
      </c>
      <c r="C32" s="1" t="s">
        <v>0</v>
      </c>
    </row>
    <row r="33" spans="2:3" x14ac:dyDescent="0.25">
      <c r="B33" s="2" t="s">
        <v>8</v>
      </c>
      <c r="C33" s="3">
        <v>1644</v>
      </c>
    </row>
    <row r="34" spans="2:3" x14ac:dyDescent="0.25">
      <c r="B34" s="2" t="s">
        <v>1</v>
      </c>
      <c r="C34" s="3">
        <v>11446</v>
      </c>
    </row>
    <row r="35" spans="2:3" x14ac:dyDescent="0.25">
      <c r="B35" s="2" t="s">
        <v>2</v>
      </c>
      <c r="C35" s="3">
        <v>5616.47</v>
      </c>
    </row>
    <row r="36" spans="2:3" ht="15.75" thickBot="1" x14ac:dyDescent="0.3">
      <c r="B36" s="2" t="s">
        <v>3</v>
      </c>
      <c r="C36" s="3">
        <v>2259</v>
      </c>
    </row>
    <row r="37" spans="2:3" ht="15.75" thickTop="1" x14ac:dyDescent="0.25">
      <c r="B37" s="4" t="s">
        <v>4</v>
      </c>
      <c r="C37" s="5">
        <v>20965.47</v>
      </c>
    </row>
    <row r="39" spans="2:3" x14ac:dyDescent="0.25">
      <c r="B39" s="6" t="s">
        <v>9</v>
      </c>
      <c r="C39" s="6"/>
    </row>
    <row r="40" spans="2:3" x14ac:dyDescent="0.25">
      <c r="B40" s="1" t="s">
        <v>13</v>
      </c>
      <c r="C40" s="1" t="s">
        <v>0</v>
      </c>
    </row>
    <row r="41" spans="2:3" x14ac:dyDescent="0.25">
      <c r="B41" s="2" t="s">
        <v>1</v>
      </c>
      <c r="C41" s="3">
        <v>8147</v>
      </c>
    </row>
    <row r="42" spans="2:3" ht="15.75" thickBot="1" x14ac:dyDescent="0.3">
      <c r="B42" s="2" t="s">
        <v>3</v>
      </c>
      <c r="C42" s="3">
        <v>1373</v>
      </c>
    </row>
    <row r="43" spans="2:3" ht="15.75" thickTop="1" x14ac:dyDescent="0.25">
      <c r="B43" s="4" t="s">
        <v>4</v>
      </c>
      <c r="C43" s="5">
        <v>9520</v>
      </c>
    </row>
  </sheetData>
  <mergeCells count="7">
    <mergeCell ref="B1:C1"/>
    <mergeCell ref="B2:C2"/>
    <mergeCell ref="B24:C24"/>
    <mergeCell ref="B16:C16"/>
    <mergeCell ref="B39:C39"/>
    <mergeCell ref="B9:C9"/>
    <mergeCell ref="B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BC8C-038E-48C0-8C70-C1C2CDDE6366}">
  <dimension ref="B2:D44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 " COBRANZA INTERNOS " &amp; TEXT(TODAY(), " dd/mm/aaaa ") &amp; TEXT(NOW(), " hh:mm ")</f>
        <v xml:space="preserve"> COBRANZA INTERNOS  07/09/2025  16:36 </v>
      </c>
      <c r="C2" s="6"/>
    </row>
    <row r="3" spans="2:4" x14ac:dyDescent="0.25">
      <c r="B3" s="6" t="s">
        <v>5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14</v>
      </c>
      <c r="C5" s="3">
        <v>24281.93</v>
      </c>
    </row>
    <row r="6" spans="2:4" x14ac:dyDescent="0.25">
      <c r="B6" s="2" t="s">
        <v>15</v>
      </c>
      <c r="C6" s="3">
        <v>12237</v>
      </c>
    </row>
    <row r="7" spans="2:4" x14ac:dyDescent="0.25">
      <c r="B7" s="2" t="s">
        <v>16</v>
      </c>
      <c r="C7" s="3">
        <v>7041</v>
      </c>
    </row>
    <row r="8" spans="2:4" ht="15.75" thickBot="1" x14ac:dyDescent="0.3">
      <c r="B8" s="2" t="s">
        <v>17</v>
      </c>
      <c r="C8" s="3">
        <v>109719.06</v>
      </c>
      <c r="D8" s="1" t="s">
        <v>12</v>
      </c>
    </row>
    <row r="9" spans="2:4" ht="15.75" thickTop="1" x14ac:dyDescent="0.25">
      <c r="B9" s="4" t="s">
        <v>4</v>
      </c>
      <c r="C9" s="5">
        <v>153278.99</v>
      </c>
      <c r="D9" s="5">
        <f ca="1">SUMIF(B:B, "Total general", C:C)</f>
        <v>267763.59999999998</v>
      </c>
    </row>
    <row r="11" spans="2:4" x14ac:dyDescent="0.25">
      <c r="B11" s="6" t="s">
        <v>10</v>
      </c>
      <c r="C11" s="6"/>
    </row>
    <row r="12" spans="2:4" x14ac:dyDescent="0.25">
      <c r="B12" s="1" t="s">
        <v>20</v>
      </c>
      <c r="C12" s="1" t="s">
        <v>0</v>
      </c>
    </row>
    <row r="13" spans="2:4" x14ac:dyDescent="0.25">
      <c r="B13" s="2" t="s">
        <v>14</v>
      </c>
      <c r="C13" s="3">
        <v>3184</v>
      </c>
    </row>
    <row r="14" spans="2:4" x14ac:dyDescent="0.25">
      <c r="B14" s="2" t="s">
        <v>15</v>
      </c>
      <c r="C14" s="3">
        <v>2968</v>
      </c>
    </row>
    <row r="15" spans="2:4" x14ac:dyDescent="0.25">
      <c r="B15" s="2" t="s">
        <v>18</v>
      </c>
      <c r="C15" s="3">
        <v>19389.71</v>
      </c>
    </row>
    <row r="16" spans="2:4" x14ac:dyDescent="0.25">
      <c r="B16" s="2" t="s">
        <v>16</v>
      </c>
      <c r="C16" s="3">
        <v>3276</v>
      </c>
    </row>
    <row r="17" spans="2:3" ht="15.75" thickBot="1" x14ac:dyDescent="0.3">
      <c r="B17" s="2" t="s">
        <v>17</v>
      </c>
      <c r="C17" s="3">
        <v>3767</v>
      </c>
    </row>
    <row r="18" spans="2:3" ht="15.75" thickTop="1" x14ac:dyDescent="0.25">
      <c r="B18" s="4" t="s">
        <v>4</v>
      </c>
      <c r="C18" s="5">
        <v>32584.71</v>
      </c>
    </row>
    <row r="20" spans="2:3" x14ac:dyDescent="0.25">
      <c r="B20" s="6" t="s">
        <v>7</v>
      </c>
      <c r="C20" s="6"/>
    </row>
    <row r="21" spans="2:3" x14ac:dyDescent="0.25">
      <c r="B21" s="1" t="s">
        <v>20</v>
      </c>
      <c r="C21" s="1" t="s">
        <v>0</v>
      </c>
    </row>
    <row r="22" spans="2:3" ht="15.75" thickBot="1" x14ac:dyDescent="0.3">
      <c r="B22" s="2" t="s">
        <v>17</v>
      </c>
      <c r="C22" s="3">
        <v>26498.43</v>
      </c>
    </row>
    <row r="23" spans="2:3" ht="15.75" thickTop="1" x14ac:dyDescent="0.25">
      <c r="B23" s="4" t="s">
        <v>4</v>
      </c>
      <c r="C23" s="5">
        <v>26498.43</v>
      </c>
    </row>
    <row r="25" spans="2:3" x14ac:dyDescent="0.25">
      <c r="B25" s="6" t="s">
        <v>6</v>
      </c>
      <c r="C25" s="6"/>
    </row>
    <row r="26" spans="2:3" x14ac:dyDescent="0.25">
      <c r="B26" s="1" t="s">
        <v>20</v>
      </c>
      <c r="C26" s="1" t="s">
        <v>0</v>
      </c>
    </row>
    <row r="27" spans="2:3" x14ac:dyDescent="0.25">
      <c r="B27" s="2" t="s">
        <v>14</v>
      </c>
      <c r="C27" s="3">
        <v>4071</v>
      </c>
    </row>
    <row r="28" spans="2:3" x14ac:dyDescent="0.25">
      <c r="B28" s="2" t="s">
        <v>15</v>
      </c>
      <c r="C28" s="3">
        <v>1085</v>
      </c>
    </row>
    <row r="29" spans="2:3" x14ac:dyDescent="0.25">
      <c r="B29" s="2" t="s">
        <v>19</v>
      </c>
      <c r="C29" s="3">
        <v>484</v>
      </c>
    </row>
    <row r="30" spans="2:3" x14ac:dyDescent="0.25">
      <c r="B30" s="2" t="s">
        <v>16</v>
      </c>
      <c r="C30" s="3">
        <v>4000</v>
      </c>
    </row>
    <row r="31" spans="2:3" ht="15.75" thickBot="1" x14ac:dyDescent="0.3">
      <c r="B31" s="2" t="s">
        <v>17</v>
      </c>
      <c r="C31" s="3">
        <v>15276</v>
      </c>
    </row>
    <row r="32" spans="2:3" ht="15.75" thickTop="1" x14ac:dyDescent="0.25">
      <c r="B32" s="4" t="s">
        <v>4</v>
      </c>
      <c r="C32" s="5">
        <v>24916</v>
      </c>
    </row>
    <row r="34" spans="2:3" x14ac:dyDescent="0.25">
      <c r="B34" s="6" t="s">
        <v>11</v>
      </c>
      <c r="C34" s="6"/>
    </row>
    <row r="35" spans="2:3" x14ac:dyDescent="0.25">
      <c r="B35" s="1" t="s">
        <v>20</v>
      </c>
      <c r="C35" s="1" t="s">
        <v>0</v>
      </c>
    </row>
    <row r="36" spans="2:3" x14ac:dyDescent="0.25">
      <c r="B36" s="2" t="s">
        <v>16</v>
      </c>
      <c r="C36" s="3">
        <v>1650</v>
      </c>
    </row>
    <row r="37" spans="2:3" ht="15.75" thickBot="1" x14ac:dyDescent="0.3">
      <c r="B37" s="2" t="s">
        <v>17</v>
      </c>
      <c r="C37" s="3">
        <v>19315.47</v>
      </c>
    </row>
    <row r="38" spans="2:3" ht="15.75" thickTop="1" x14ac:dyDescent="0.25">
      <c r="B38" s="4" t="s">
        <v>4</v>
      </c>
      <c r="C38" s="5">
        <v>20965.47</v>
      </c>
    </row>
    <row r="40" spans="2:3" x14ac:dyDescent="0.25">
      <c r="B40" s="6" t="s">
        <v>9</v>
      </c>
      <c r="C40" s="6"/>
    </row>
    <row r="41" spans="2:3" x14ac:dyDescent="0.25">
      <c r="B41" s="1" t="s">
        <v>20</v>
      </c>
      <c r="C41" s="1" t="s">
        <v>0</v>
      </c>
    </row>
    <row r="42" spans="2:3" x14ac:dyDescent="0.25">
      <c r="B42" s="2" t="s">
        <v>16</v>
      </c>
      <c r="C42" s="3">
        <v>1580</v>
      </c>
    </row>
    <row r="43" spans="2:3" ht="15.75" thickBot="1" x14ac:dyDescent="0.3">
      <c r="B43" s="2" t="s">
        <v>17</v>
      </c>
      <c r="C43" s="3">
        <v>7940</v>
      </c>
    </row>
    <row r="44" spans="2:3" ht="15.75" thickTop="1" x14ac:dyDescent="0.25">
      <c r="B44" s="4" t="s">
        <v>4</v>
      </c>
      <c r="C44" s="5">
        <v>9520</v>
      </c>
    </row>
  </sheetData>
  <mergeCells count="7">
    <mergeCell ref="B40:C40"/>
    <mergeCell ref="B2:C2"/>
    <mergeCell ref="B3:C3"/>
    <mergeCell ref="B11:C11"/>
    <mergeCell ref="B20:C20"/>
    <mergeCell ref="B25:C25"/>
    <mergeCell ref="B34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3BBC-3048-4193-815C-2D0922EEDB5C}">
  <dimension ref="B2:D39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 " ETIQUETA PROYECTO CDC" &amp; TEXT(TODAY(), " dd/mm/aaaa ") &amp; TEXT(NOW(), " hh:mm ")</f>
        <v xml:space="preserve"> ETIQUETA PROYECTO CDC 07/09/2025  16:36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8</v>
      </c>
      <c r="C5" s="3">
        <v>618</v>
      </c>
    </row>
    <row r="6" spans="2:4" x14ac:dyDescent="0.25">
      <c r="B6" s="2" t="s">
        <v>1</v>
      </c>
      <c r="C6" s="3">
        <v>43443.87</v>
      </c>
    </row>
    <row r="7" spans="2:4" x14ac:dyDescent="0.25">
      <c r="B7" s="2" t="s">
        <v>2</v>
      </c>
      <c r="C7" s="3">
        <v>2812.6</v>
      </c>
    </row>
    <row r="8" spans="2:4" ht="15.75" thickBot="1" x14ac:dyDescent="0.3">
      <c r="B8" s="2" t="s">
        <v>3</v>
      </c>
      <c r="C8" s="3">
        <v>1750</v>
      </c>
      <c r="D8" s="1" t="s">
        <v>12</v>
      </c>
    </row>
    <row r="9" spans="2:4" ht="15.75" thickTop="1" x14ac:dyDescent="0.25">
      <c r="B9" s="4" t="s">
        <v>4</v>
      </c>
      <c r="C9" s="5">
        <v>48624.47</v>
      </c>
      <c r="D9" s="5">
        <f ca="1">SUMIF(B:B, "Total general", C:C)</f>
        <v>98297.739999999991</v>
      </c>
    </row>
    <row r="11" spans="2:4" x14ac:dyDescent="0.25">
      <c r="B11" s="6" t="s">
        <v>10</v>
      </c>
      <c r="C11" s="6"/>
    </row>
    <row r="12" spans="2:4" x14ac:dyDescent="0.25">
      <c r="B12" s="1" t="s">
        <v>13</v>
      </c>
      <c r="C12" s="1" t="s">
        <v>0</v>
      </c>
    </row>
    <row r="13" spans="2:4" x14ac:dyDescent="0.25">
      <c r="B13" s="2" t="s">
        <v>8</v>
      </c>
      <c r="C13" s="3">
        <v>22204.71</v>
      </c>
    </row>
    <row r="14" spans="2:4" x14ac:dyDescent="0.25">
      <c r="B14" s="2" t="s">
        <v>1</v>
      </c>
      <c r="C14" s="3">
        <v>5114</v>
      </c>
    </row>
    <row r="15" spans="2:4" ht="15.75" thickBot="1" x14ac:dyDescent="0.3">
      <c r="B15" s="2" t="s">
        <v>2</v>
      </c>
      <c r="C15" s="3">
        <v>1021</v>
      </c>
    </row>
    <row r="16" spans="2:4" ht="15.75" thickTop="1" x14ac:dyDescent="0.25">
      <c r="B16" s="4" t="s">
        <v>4</v>
      </c>
      <c r="C16" s="5">
        <v>28339.71</v>
      </c>
    </row>
    <row r="18" spans="2:3" x14ac:dyDescent="0.25">
      <c r="B18" s="6" t="s">
        <v>22</v>
      </c>
      <c r="C18" s="6"/>
    </row>
    <row r="19" spans="2:3" x14ac:dyDescent="0.25">
      <c r="B19" s="1" t="s">
        <v>13</v>
      </c>
      <c r="C19" s="1" t="s">
        <v>0</v>
      </c>
    </row>
    <row r="20" spans="2:3" x14ac:dyDescent="0.25">
      <c r="B20" s="2" t="s">
        <v>8</v>
      </c>
      <c r="C20" s="3">
        <v>13353.12</v>
      </c>
    </row>
    <row r="21" spans="2:3" x14ac:dyDescent="0.25">
      <c r="B21" s="2" t="s">
        <v>1</v>
      </c>
      <c r="C21" s="3">
        <v>1245</v>
      </c>
    </row>
    <row r="22" spans="2:3" ht="15.75" thickBot="1" x14ac:dyDescent="0.3">
      <c r="B22" s="2" t="s">
        <v>2</v>
      </c>
      <c r="C22" s="3">
        <v>789</v>
      </c>
    </row>
    <row r="23" spans="2:3" ht="15.75" thickTop="1" x14ac:dyDescent="0.25">
      <c r="B23" s="4" t="s">
        <v>4</v>
      </c>
      <c r="C23" s="5">
        <v>15387.12</v>
      </c>
    </row>
    <row r="25" spans="2:3" x14ac:dyDescent="0.25">
      <c r="B25" s="6" t="s">
        <v>23</v>
      </c>
      <c r="C25" s="6"/>
    </row>
    <row r="26" spans="2:3" x14ac:dyDescent="0.25">
      <c r="B26" s="1" t="s">
        <v>13</v>
      </c>
      <c r="C26" s="1" t="s">
        <v>0</v>
      </c>
    </row>
    <row r="27" spans="2:3" x14ac:dyDescent="0.25">
      <c r="B27" s="2" t="s">
        <v>8</v>
      </c>
      <c r="C27" s="3">
        <v>1300</v>
      </c>
    </row>
    <row r="28" spans="2:3" ht="15.75" thickBot="1" x14ac:dyDescent="0.3">
      <c r="B28" s="2" t="s">
        <v>1</v>
      </c>
      <c r="C28" s="3">
        <v>3832.44</v>
      </c>
    </row>
    <row r="29" spans="2:3" ht="15.75" thickTop="1" x14ac:dyDescent="0.25">
      <c r="B29" s="4" t="s">
        <v>4</v>
      </c>
      <c r="C29" s="5">
        <v>5132.4400000000005</v>
      </c>
    </row>
    <row r="31" spans="2:3" x14ac:dyDescent="0.25">
      <c r="B31" s="6" t="s">
        <v>6</v>
      </c>
      <c r="C31" s="6"/>
    </row>
    <row r="32" spans="2:3" x14ac:dyDescent="0.25">
      <c r="B32" s="1" t="s">
        <v>13</v>
      </c>
      <c r="C32" s="1" t="s">
        <v>0</v>
      </c>
    </row>
    <row r="33" spans="2:3" ht="15.75" thickBot="1" x14ac:dyDescent="0.3">
      <c r="B33" s="2" t="s">
        <v>3</v>
      </c>
      <c r="C33" s="3">
        <v>500</v>
      </c>
    </row>
    <row r="34" spans="2:3" ht="15.75" thickTop="1" x14ac:dyDescent="0.25">
      <c r="B34" s="4" t="s">
        <v>4</v>
      </c>
      <c r="C34" s="5">
        <v>500</v>
      </c>
    </row>
    <row r="36" spans="2:3" x14ac:dyDescent="0.25">
      <c r="B36" s="6" t="s">
        <v>5</v>
      </c>
      <c r="C36" s="6"/>
    </row>
    <row r="37" spans="2:3" x14ac:dyDescent="0.25">
      <c r="B37" s="1" t="s">
        <v>13</v>
      </c>
      <c r="C37" s="1" t="s">
        <v>0</v>
      </c>
    </row>
    <row r="38" spans="2:3" ht="15.75" thickBot="1" x14ac:dyDescent="0.3">
      <c r="B38" s="2" t="s">
        <v>1</v>
      </c>
      <c r="C38" s="3">
        <v>314</v>
      </c>
    </row>
    <row r="39" spans="2:3" ht="15.75" thickTop="1" x14ac:dyDescent="0.25">
      <c r="B39" s="4" t="s">
        <v>4</v>
      </c>
      <c r="C39" s="5">
        <v>314</v>
      </c>
    </row>
  </sheetData>
  <mergeCells count="7">
    <mergeCell ref="B2:C2"/>
    <mergeCell ref="B3:C3"/>
    <mergeCell ref="B18:C18"/>
    <mergeCell ref="B31:C31"/>
    <mergeCell ref="B11:C11"/>
    <mergeCell ref="B25:C25"/>
    <mergeCell ref="B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2025-09-07T22:29:38Z</dcterms:created>
  <dcterms:modified xsi:type="dcterms:W3CDTF">2025-09-07T22:37:03Z</dcterms:modified>
</cp:coreProperties>
</file>