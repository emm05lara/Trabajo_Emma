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6\6 SEP\TARDE1\"/>
    </mc:Choice>
  </mc:AlternateContent>
  <xr:revisionPtr revIDLastSave="0" documentId="8_{07613C91-DB77-47C5-802F-5D42463A7605}" xr6:coauthVersionLast="47" xr6:coauthVersionMax="47" xr10:uidLastSave="{00000000-0000-0000-0000-000000000000}"/>
  <bookViews>
    <workbookView xWindow="-108" yWindow="-108" windowWidth="23256" windowHeight="12456" activeTab="2" xr2:uid="{15E64F9D-44AF-402C-BC40-6C790881848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1" i="2" s="1"/>
  <c r="B1" i="1"/>
  <c r="D7" i="1" s="1"/>
</calcChain>
</file>

<file path=xl/sharedStrings.xml><?xml version="1.0" encoding="utf-8"?>
<sst xmlns="http://schemas.openxmlformats.org/spreadsheetml/2006/main" count="106" uniqueCount="22">
  <si>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</si>
  <si>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</si>
  <si>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</si>
  <si>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</si>
  <si>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</si>
  <si>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</si>
  <si>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</si>
  <si>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</si>
  <si>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FERNANDO</t>
  </si>
  <si>
    <t>Extrajudicial - 0 a 28 semanas de atraso</t>
  </si>
  <si>
    <t>SOFIA</t>
  </si>
  <si>
    <t>TOTAL COBRADO</t>
  </si>
  <si>
    <t>Segmento</t>
  </si>
  <si>
    <t>CONSUMO</t>
  </si>
  <si>
    <t>CREDIMAX</t>
  </si>
  <si>
    <t>ITALIKA</t>
  </si>
  <si>
    <t>REESTRUCTURA</t>
  </si>
  <si>
    <t>TAZ</t>
  </si>
  <si>
    <t>TOR</t>
  </si>
  <si>
    <t>Producto</t>
  </si>
  <si>
    <t>CDC 100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</si>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</sst>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A2CD-8D13-498A-92A0-A3B0F6061FF8}">
  <dimension ref="B1:D35"/>
  <sheetViews>
    <sheetView topLeftCell="A14" workbookViewId="0">
      <selection activeCell="B1" sqref="B1:C3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1" spans="2:4" x14ac:dyDescent="0.3">
      <c r="B1" s="6" t="str">
        <f ca="1" xml:space="preserve"> "COBRANZA INTERNOS " &amp; TEXT(TODAY(), "dd/mm/aaaa") &amp; TEXT(NOW(), " HH:MM")</f>
        <v>COBRANZA INTERNOS 06/09/2025 14:07</v>
      </c>
      <c r="C1" s="6"/>
    </row>
    <row r="2" spans="2:4" x14ac:dyDescent="0.3">
      <c r="B2" s="6" t="s">
        <v>5</v>
      </c>
      <c r="C2" s="6"/>
    </row>
    <row r="3" spans="2:4" x14ac:dyDescent="0.3">
      <c r="B3" s="1" t="s">
        <v>12</v>
      </c>
      <c r="C3" s="1" t="s">
        <v>0</v>
      </c>
    </row>
    <row r="4" spans="2:4" x14ac:dyDescent="0.3">
      <c r="B4" s="2" t="s">
        <v>1</v>
      </c>
      <c r="C4" s="3">
        <v>53571.64</v>
      </c>
    </row>
    <row r="5" spans="2:4" x14ac:dyDescent="0.3">
      <c r="B5" s="2" t="s">
        <v>2</v>
      </c>
      <c r="C5" s="3">
        <v>33574</v>
      </c>
    </row>
    <row r="6" spans="2:4" ht="15" thickBot="1" x14ac:dyDescent="0.35">
      <c r="B6" s="2" t="s">
        <v>3</v>
      </c>
      <c r="C6" s="3">
        <v>41999.040000000001</v>
      </c>
      <c r="D6" s="1" t="s">
        <v>11</v>
      </c>
    </row>
    <row r="7" spans="2:4" ht="15" thickTop="1" x14ac:dyDescent="0.3">
      <c r="B7" s="4" t="s">
        <v>4</v>
      </c>
      <c r="C7" s="5">
        <v>129144.68</v>
      </c>
      <c r="D7" s="5">
        <f ca="1">SUMIF(B:B, "Total general", C:C)</f>
        <v>199396.2</v>
      </c>
    </row>
    <row r="9" spans="2:4" x14ac:dyDescent="0.3">
      <c r="B9" s="6" t="s">
        <v>8</v>
      </c>
      <c r="C9" s="6"/>
    </row>
    <row r="10" spans="2:4" x14ac:dyDescent="0.3">
      <c r="B10" s="1" t="s">
        <v>12</v>
      </c>
      <c r="C10" s="1" t="s">
        <v>0</v>
      </c>
    </row>
    <row r="11" spans="2:4" x14ac:dyDescent="0.3">
      <c r="B11" s="2" t="s">
        <v>9</v>
      </c>
      <c r="C11" s="3">
        <v>21760.12</v>
      </c>
    </row>
    <row r="12" spans="2:4" x14ac:dyDescent="0.3">
      <c r="B12" s="2" t="s">
        <v>1</v>
      </c>
      <c r="C12" s="3">
        <v>2196</v>
      </c>
    </row>
    <row r="13" spans="2:4" ht="15" thickBot="1" x14ac:dyDescent="0.35">
      <c r="B13" s="2" t="s">
        <v>2</v>
      </c>
      <c r="C13" s="3">
        <v>1653</v>
      </c>
    </row>
    <row r="14" spans="2:4" ht="15" thickTop="1" x14ac:dyDescent="0.3">
      <c r="B14" s="4" t="s">
        <v>4</v>
      </c>
      <c r="C14" s="5">
        <v>25609.119999999999</v>
      </c>
    </row>
    <row r="16" spans="2:4" x14ac:dyDescent="0.3">
      <c r="B16" s="6" t="s">
        <v>6</v>
      </c>
      <c r="C16" s="6"/>
    </row>
    <row r="17" spans="2:3" x14ac:dyDescent="0.3">
      <c r="B17" s="1" t="s">
        <v>12</v>
      </c>
      <c r="C17" s="1" t="s">
        <v>0</v>
      </c>
    </row>
    <row r="18" spans="2:3" x14ac:dyDescent="0.3">
      <c r="B18" s="2" t="s">
        <v>1</v>
      </c>
      <c r="C18" s="3">
        <v>12979.1</v>
      </c>
    </row>
    <row r="19" spans="2:3" x14ac:dyDescent="0.3">
      <c r="B19" s="2" t="s">
        <v>2</v>
      </c>
      <c r="C19" s="3">
        <v>2244</v>
      </c>
    </row>
    <row r="20" spans="2:3" ht="15" thickBot="1" x14ac:dyDescent="0.35">
      <c r="B20" s="2" t="s">
        <v>3</v>
      </c>
      <c r="C20" s="3">
        <v>5162</v>
      </c>
    </row>
    <row r="21" spans="2:3" ht="15" thickTop="1" x14ac:dyDescent="0.3">
      <c r="B21" s="4" t="s">
        <v>4</v>
      </c>
      <c r="C21" s="5">
        <v>20385.099999999999</v>
      </c>
    </row>
    <row r="23" spans="2:3" x14ac:dyDescent="0.3">
      <c r="B23" s="6" t="s">
        <v>10</v>
      </c>
      <c r="C23" s="6"/>
    </row>
    <row r="24" spans="2:3" x14ac:dyDescent="0.3">
      <c r="B24" s="1" t="s">
        <v>12</v>
      </c>
      <c r="C24" s="1" t="s">
        <v>0</v>
      </c>
    </row>
    <row r="25" spans="2:3" x14ac:dyDescent="0.3">
      <c r="B25" s="2" t="s">
        <v>1</v>
      </c>
      <c r="C25" s="3">
        <v>5226.01</v>
      </c>
    </row>
    <row r="26" spans="2:3" x14ac:dyDescent="0.3">
      <c r="B26" s="2" t="s">
        <v>2</v>
      </c>
      <c r="C26" s="3">
        <v>5375.78</v>
      </c>
    </row>
    <row r="27" spans="2:3" ht="15" thickBot="1" x14ac:dyDescent="0.35">
      <c r="B27" s="2" t="s">
        <v>3</v>
      </c>
      <c r="C27" s="3">
        <v>2659</v>
      </c>
    </row>
    <row r="28" spans="2:3" ht="15" thickTop="1" x14ac:dyDescent="0.3">
      <c r="B28" s="4" t="s">
        <v>4</v>
      </c>
      <c r="C28" s="5">
        <v>13260.79</v>
      </c>
    </row>
    <row r="30" spans="2:3" x14ac:dyDescent="0.3">
      <c r="B30" s="6" t="s">
        <v>7</v>
      </c>
      <c r="C30" s="6"/>
    </row>
    <row r="31" spans="2:3" x14ac:dyDescent="0.3">
      <c r="B31" s="1" t="s">
        <v>12</v>
      </c>
      <c r="C31" s="1" t="s">
        <v>0</v>
      </c>
    </row>
    <row r="32" spans="2:3" x14ac:dyDescent="0.3">
      <c r="B32" s="2" t="s">
        <v>1</v>
      </c>
      <c r="C32" s="3">
        <v>7197.51</v>
      </c>
    </row>
    <row r="33" spans="2:3" x14ac:dyDescent="0.3">
      <c r="B33" s="2" t="s">
        <v>2</v>
      </c>
      <c r="C33" s="3">
        <v>1141</v>
      </c>
    </row>
    <row r="34" spans="2:3" ht="15" thickBot="1" x14ac:dyDescent="0.35">
      <c r="B34" s="2" t="s">
        <v>3</v>
      </c>
      <c r="C34" s="3">
        <v>2658</v>
      </c>
    </row>
    <row r="35" spans="2:3" ht="15" thickTop="1" x14ac:dyDescent="0.3">
      <c r="B35" s="4" t="s">
        <v>4</v>
      </c>
      <c r="C35" s="5">
        <v>10996.51</v>
      </c>
    </row>
  </sheetData>
  <mergeCells count="6">
    <mergeCell ref="B2:C2"/>
    <mergeCell ref="B16:C16"/>
    <mergeCell ref="B30:C30"/>
    <mergeCell ref="B9:C9"/>
    <mergeCell ref="B23:C23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168F-EF6A-4157-873F-666DC3AB75B1}">
  <dimension ref="B2:D38"/>
  <sheetViews>
    <sheetView workbookViewId="0">
      <selection activeCell="B2" sqref="B2:C2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"COBRANZA INTERNOS " &amp; TEXT(TODAY(), "dd/mm/aaaa") &amp; TEXT(NOW(), " HH:MM")</f>
        <v>COBRANZA INTERNOS 06/09/2025 14:07</v>
      </c>
      <c r="C2" s="6"/>
    </row>
    <row r="3" spans="2:4" x14ac:dyDescent="0.3">
      <c r="B3" s="6" t="s">
        <v>5</v>
      </c>
      <c r="C3" s="6"/>
    </row>
    <row r="4" spans="2:4" x14ac:dyDescent="0.3">
      <c r="B4" s="1" t="s">
        <v>19</v>
      </c>
      <c r="C4" s="1" t="s">
        <v>0</v>
      </c>
    </row>
    <row r="5" spans="2:4" x14ac:dyDescent="0.3">
      <c r="B5" s="2" t="s">
        <v>13</v>
      </c>
      <c r="C5" s="3">
        <v>20481.04</v>
      </c>
    </row>
    <row r="6" spans="2:4" x14ac:dyDescent="0.3">
      <c r="B6" s="2" t="s">
        <v>14</v>
      </c>
      <c r="C6" s="3">
        <v>1454</v>
      </c>
    </row>
    <row r="7" spans="2:4" x14ac:dyDescent="0.3">
      <c r="B7" s="2" t="s">
        <v>15</v>
      </c>
      <c r="C7" s="3">
        <v>300</v>
      </c>
    </row>
    <row r="8" spans="2:4" x14ac:dyDescent="0.3">
      <c r="B8" s="2" t="s">
        <v>16</v>
      </c>
      <c r="C8" s="3">
        <v>7765</v>
      </c>
    </row>
    <row r="9" spans="2:4" x14ac:dyDescent="0.3">
      <c r="B9" s="2" t="s">
        <v>17</v>
      </c>
      <c r="C9" s="3">
        <v>1373</v>
      </c>
    </row>
    <row r="10" spans="2:4" ht="15" thickBot="1" x14ac:dyDescent="0.35">
      <c r="B10" s="2" t="s">
        <v>18</v>
      </c>
      <c r="C10" s="3">
        <v>97771.64</v>
      </c>
      <c r="D10" s="1" t="s">
        <v>11</v>
      </c>
    </row>
    <row r="11" spans="2:4" ht="15" thickTop="1" x14ac:dyDescent="0.3">
      <c r="B11" s="4" t="s">
        <v>4</v>
      </c>
      <c r="C11" s="5">
        <v>129144.68</v>
      </c>
      <c r="D11" s="5">
        <f ca="1">SUMIF(B:B, "Total general", C:C)</f>
        <v>199396.2</v>
      </c>
    </row>
    <row r="13" spans="2:4" x14ac:dyDescent="0.3">
      <c r="B13" s="6" t="s">
        <v>8</v>
      </c>
      <c r="C13" s="6"/>
    </row>
    <row r="14" spans="2:4" x14ac:dyDescent="0.3">
      <c r="B14" s="1" t="s">
        <v>19</v>
      </c>
      <c r="C14" s="1" t="s">
        <v>0</v>
      </c>
    </row>
    <row r="15" spans="2:4" x14ac:dyDescent="0.3">
      <c r="B15" s="2" t="s">
        <v>13</v>
      </c>
      <c r="C15" s="3">
        <v>22400.12</v>
      </c>
    </row>
    <row r="16" spans="2:4" x14ac:dyDescent="0.3">
      <c r="B16" s="2" t="s">
        <v>16</v>
      </c>
      <c r="C16" s="3">
        <v>1750</v>
      </c>
    </row>
    <row r="17" spans="2:3" ht="15" thickBot="1" x14ac:dyDescent="0.35">
      <c r="B17" s="2" t="s">
        <v>18</v>
      </c>
      <c r="C17" s="3">
        <v>1459</v>
      </c>
    </row>
    <row r="18" spans="2:3" ht="15" thickTop="1" x14ac:dyDescent="0.3">
      <c r="B18" s="4" t="s">
        <v>4</v>
      </c>
      <c r="C18" s="5">
        <v>25609.119999999999</v>
      </c>
    </row>
    <row r="20" spans="2:3" x14ac:dyDescent="0.3">
      <c r="B20" s="6" t="s">
        <v>6</v>
      </c>
      <c r="C20" s="6"/>
    </row>
    <row r="21" spans="2:3" x14ac:dyDescent="0.3">
      <c r="B21" s="1" t="s">
        <v>19</v>
      </c>
      <c r="C21" s="1" t="s">
        <v>0</v>
      </c>
    </row>
    <row r="22" spans="2:3" x14ac:dyDescent="0.3">
      <c r="B22" s="2" t="s">
        <v>13</v>
      </c>
      <c r="C22" s="3">
        <v>1215</v>
      </c>
    </row>
    <row r="23" spans="2:3" x14ac:dyDescent="0.3">
      <c r="B23" s="2" t="s">
        <v>14</v>
      </c>
      <c r="C23" s="3">
        <v>2861</v>
      </c>
    </row>
    <row r="24" spans="2:3" x14ac:dyDescent="0.3">
      <c r="B24" s="2" t="s">
        <v>16</v>
      </c>
      <c r="C24" s="3">
        <v>6775</v>
      </c>
    </row>
    <row r="25" spans="2:3" ht="15" thickBot="1" x14ac:dyDescent="0.35">
      <c r="B25" s="2" t="s">
        <v>18</v>
      </c>
      <c r="C25" s="3">
        <v>9534.1</v>
      </c>
    </row>
    <row r="26" spans="2:3" ht="15" thickTop="1" x14ac:dyDescent="0.3">
      <c r="B26" s="4" t="s">
        <v>4</v>
      </c>
      <c r="C26" s="5">
        <v>20385.099999999999</v>
      </c>
    </row>
    <row r="28" spans="2:3" x14ac:dyDescent="0.3">
      <c r="B28" s="6" t="s">
        <v>10</v>
      </c>
      <c r="C28" s="6"/>
    </row>
    <row r="29" spans="2:3" x14ac:dyDescent="0.3">
      <c r="B29" s="1" t="s">
        <v>19</v>
      </c>
      <c r="C29" s="1" t="s">
        <v>0</v>
      </c>
    </row>
    <row r="30" spans="2:3" x14ac:dyDescent="0.3">
      <c r="B30" s="2" t="s">
        <v>13</v>
      </c>
      <c r="C30" s="3">
        <v>50</v>
      </c>
    </row>
    <row r="31" spans="2:3" x14ac:dyDescent="0.3">
      <c r="B31" s="2" t="s">
        <v>16</v>
      </c>
      <c r="C31" s="3">
        <v>1000</v>
      </c>
    </row>
    <row r="32" spans="2:3" ht="15" thickBot="1" x14ac:dyDescent="0.35">
      <c r="B32" s="2" t="s">
        <v>18</v>
      </c>
      <c r="C32" s="3">
        <v>12210.79</v>
      </c>
    </row>
    <row r="33" spans="2:3" ht="15" thickTop="1" x14ac:dyDescent="0.3">
      <c r="B33" s="4" t="s">
        <v>4</v>
      </c>
      <c r="C33" s="5">
        <v>13260.79</v>
      </c>
    </row>
    <row r="35" spans="2:3" x14ac:dyDescent="0.3">
      <c r="B35" s="6" t="s">
        <v>7</v>
      </c>
      <c r="C35" s="6"/>
    </row>
    <row r="36" spans="2:3" x14ac:dyDescent="0.3">
      <c r="B36" s="1" t="s">
        <v>19</v>
      </c>
      <c r="C36" s="1" t="s">
        <v>0</v>
      </c>
    </row>
    <row r="37" spans="2:3" ht="15" thickBot="1" x14ac:dyDescent="0.35">
      <c r="B37" s="2" t="s">
        <v>18</v>
      </c>
      <c r="C37" s="3">
        <v>10996.51</v>
      </c>
    </row>
    <row r="38" spans="2:3" ht="15" thickTop="1" x14ac:dyDescent="0.3">
      <c r="B38" s="4" t="s">
        <v>4</v>
      </c>
      <c r="C38" s="5">
        <v>10996.51</v>
      </c>
    </row>
  </sheetData>
  <mergeCells count="6">
    <mergeCell ref="B2:C2"/>
    <mergeCell ref="B3:C3"/>
    <mergeCell ref="B13:C13"/>
    <mergeCell ref="B20:C20"/>
    <mergeCell ref="B28:C28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FA14-7083-4604-91E4-78BBEF769306}">
  <dimension ref="B2:D32"/>
  <sheetViews>
    <sheetView tabSelected="1" workbookViewId="0">
      <selection activeCell="B4" sqref="B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"ETIQUETA PROYECTO CDC " &amp; TEXT(TODAY(), "dd/mm/aaaa") &amp; TEXT(NOW(), " HH:MM")</f>
        <v>ETIQUETA PROYECTO CDC 06/09/2025 14:07</v>
      </c>
      <c r="C2" s="6"/>
    </row>
    <row r="3" spans="2:4" x14ac:dyDescent="0.3">
      <c r="B3" s="6" t="s">
        <v>20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9</v>
      </c>
      <c r="C5" s="3">
        <v>519</v>
      </c>
    </row>
    <row r="6" spans="2:4" x14ac:dyDescent="0.3">
      <c r="B6" s="2" t="s">
        <v>1</v>
      </c>
      <c r="C6" s="3">
        <v>53377.54</v>
      </c>
    </row>
    <row r="7" spans="2:4" x14ac:dyDescent="0.3">
      <c r="B7" s="2" t="s">
        <v>2</v>
      </c>
      <c r="C7" s="3">
        <v>19519.75</v>
      </c>
    </row>
    <row r="8" spans="2:4" ht="15" thickBot="1" x14ac:dyDescent="0.35">
      <c r="B8" s="2" t="s">
        <v>3</v>
      </c>
      <c r="C8" s="3">
        <v>6179.77</v>
      </c>
      <c r="D8" s="1" t="s">
        <v>11</v>
      </c>
    </row>
    <row r="9" spans="2:4" ht="15" thickTop="1" x14ac:dyDescent="0.3">
      <c r="B9" s="4" t="s">
        <v>4</v>
      </c>
      <c r="C9" s="5">
        <v>79596.060000000012</v>
      </c>
      <c r="D9" s="5">
        <f ca="1">SUMIF(B:B, "Total general", C:C)</f>
        <v>107954.18000000001</v>
      </c>
    </row>
    <row r="11" spans="2:4" x14ac:dyDescent="0.3">
      <c r="B11" s="6" t="s">
        <v>8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9</v>
      </c>
      <c r="C13" s="3">
        <v>21760.12</v>
      </c>
    </row>
    <row r="14" spans="2:4" x14ac:dyDescent="0.3">
      <c r="B14" s="2" t="s">
        <v>1</v>
      </c>
      <c r="C14" s="3">
        <v>2196</v>
      </c>
    </row>
    <row r="15" spans="2:4" ht="15" thickBot="1" x14ac:dyDescent="0.35">
      <c r="B15" s="2" t="s">
        <v>2</v>
      </c>
      <c r="C15" s="3">
        <v>1653</v>
      </c>
    </row>
    <row r="16" spans="2:4" ht="15" thickTop="1" x14ac:dyDescent="0.3">
      <c r="B16" s="4" t="s">
        <v>4</v>
      </c>
      <c r="C16" s="5">
        <v>25609.119999999999</v>
      </c>
    </row>
    <row r="18" spans="2:3" x14ac:dyDescent="0.3">
      <c r="B18" s="6" t="s">
        <v>21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9</v>
      </c>
      <c r="C20" s="3">
        <v>270</v>
      </c>
    </row>
    <row r="21" spans="2:3" ht="15" thickBot="1" x14ac:dyDescent="0.35">
      <c r="B21" s="2" t="s">
        <v>1</v>
      </c>
      <c r="C21" s="3">
        <v>1500</v>
      </c>
    </row>
    <row r="22" spans="2:3" ht="15" thickTop="1" x14ac:dyDescent="0.3">
      <c r="B22" s="4" t="s">
        <v>4</v>
      </c>
      <c r="C22" s="5">
        <v>1770</v>
      </c>
    </row>
    <row r="24" spans="2:3" x14ac:dyDescent="0.3">
      <c r="B24" s="6" t="s">
        <v>6</v>
      </c>
      <c r="C24" s="6"/>
    </row>
    <row r="25" spans="2:3" x14ac:dyDescent="0.3">
      <c r="B25" s="1" t="s">
        <v>12</v>
      </c>
      <c r="C25" s="1" t="s">
        <v>0</v>
      </c>
    </row>
    <row r="26" spans="2:3" ht="15" thickBot="1" x14ac:dyDescent="0.35">
      <c r="B26" s="2" t="s">
        <v>3</v>
      </c>
      <c r="C26" s="3">
        <v>652</v>
      </c>
    </row>
    <row r="27" spans="2:3" ht="15" thickTop="1" x14ac:dyDescent="0.3">
      <c r="B27" s="4" t="s">
        <v>4</v>
      </c>
      <c r="C27" s="5">
        <v>652</v>
      </c>
    </row>
    <row r="29" spans="2:3" x14ac:dyDescent="0.3">
      <c r="B29" s="6" t="s">
        <v>5</v>
      </c>
      <c r="C29" s="6"/>
    </row>
    <row r="30" spans="2:3" x14ac:dyDescent="0.3">
      <c r="B30" s="1" t="s">
        <v>12</v>
      </c>
      <c r="C30" s="1" t="s">
        <v>0</v>
      </c>
    </row>
    <row r="31" spans="2:3" ht="15" thickBot="1" x14ac:dyDescent="0.35">
      <c r="B31" s="2" t="s">
        <v>2</v>
      </c>
      <c r="C31" s="3">
        <v>327</v>
      </c>
    </row>
    <row r="32" spans="2:3" ht="15" thickTop="1" x14ac:dyDescent="0.3">
      <c r="B32" s="4" t="s">
        <v>4</v>
      </c>
      <c r="C32" s="5">
        <v>327</v>
      </c>
    </row>
  </sheetData>
  <mergeCells count="6">
    <mergeCell ref="B3:C3"/>
    <mergeCell ref="B2:C2"/>
    <mergeCell ref="B24:C24"/>
    <mergeCell ref="B11:C11"/>
    <mergeCell ref="B18:C18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2025-09-06T20:01:17Z</dcterms:created>
  <dcterms:modified xsi:type="dcterms:W3CDTF">2025-09-06T20:07:39Z</dcterms:modified>
</cp:coreProperties>
</file>