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6 SEP\NOCHE\"/>
    </mc:Choice>
  </mc:AlternateContent>
  <xr:revisionPtr revIDLastSave="0" documentId="8_{A71E0285-B31B-45DA-8166-936E6BCF69A5}" xr6:coauthVersionLast="47" xr6:coauthVersionMax="47" xr10:uidLastSave="{00000000-0000-0000-0000-000000000000}"/>
  <bookViews>
    <workbookView xWindow="-120" yWindow="-120" windowWidth="51840" windowHeight="21120" xr2:uid="{D33B586C-050C-4ABF-81D4-4C772D02A66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2" i="2" s="1"/>
  <c r="B1" i="1"/>
  <c r="D7" i="1" s="1"/>
</calcChain>
</file>

<file path=xl/sharedStrings.xml><?xml version="1.0" encoding="utf-8"?>
<sst xmlns="http://schemas.openxmlformats.org/spreadsheetml/2006/main" count="136" uniqueCount="26">
  <si>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</si>
  <si>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</si>
  <si>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</si>
  <si>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</si>
  <si>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</si>
  <si>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</si>
  <si>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</si>
  <si>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</si>
  <si>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</si>
  <si>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</si>
  <si>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</si>
  <si>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SOFIA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</si>
  <si>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</si>
  <si>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</si>
  <si>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</si>
  <si>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</si>
  <si>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</si>
  <si>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</si>
  <si>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</si>
  <si>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</si>
  <si>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</si>
  <si>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</si>
  <si>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</si>
  <si>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</si>
  <si>
    <t>ANA KAREN CECILIA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</si>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</sst>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1629-AF81-43FD-A3E2-0D5B99227226}">
  <dimension ref="B1:D42"/>
  <sheetViews>
    <sheetView tabSelected="1" workbookViewId="0">
      <selection activeCell="B1" sqref="B1:C4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1" spans="2:4" x14ac:dyDescent="0.25">
      <c r="B1" s="6" t="str">
        <f ca="1">" COBRANZA INTERNOS" &amp; TEXT(TODAY(), " dd/mm/aaaa ") &amp; TEXT(NOW(), "  hh:mm ")</f>
        <v xml:space="preserve"> COBRANZA INTERNOS 06/09/2025   20:00 </v>
      </c>
      <c r="C1" s="6"/>
    </row>
    <row r="2" spans="2:4" x14ac:dyDescent="0.25">
      <c r="B2" s="6" t="s">
        <v>5</v>
      </c>
      <c r="C2" s="6"/>
    </row>
    <row r="3" spans="2:4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110661.64</v>
      </c>
    </row>
    <row r="5" spans="2:4" x14ac:dyDescent="0.25">
      <c r="B5" s="2" t="s">
        <v>2</v>
      </c>
      <c r="C5" s="3">
        <v>55591</v>
      </c>
    </row>
    <row r="6" spans="2:4" ht="15.75" thickBot="1" x14ac:dyDescent="0.3">
      <c r="B6" s="2" t="s">
        <v>3</v>
      </c>
      <c r="C6" s="3">
        <v>95364.040000000008</v>
      </c>
      <c r="D6" s="1" t="s">
        <v>12</v>
      </c>
    </row>
    <row r="7" spans="2:4" ht="15.75" thickTop="1" x14ac:dyDescent="0.25">
      <c r="B7" s="4" t="s">
        <v>4</v>
      </c>
      <c r="C7" s="5">
        <v>261616.68000000002</v>
      </c>
      <c r="D7" s="5">
        <f ca="1">SUMIF(B:B, "Total general", C:C)</f>
        <v>447610.10000000003</v>
      </c>
    </row>
    <row r="9" spans="2:4" x14ac:dyDescent="0.25">
      <c r="B9" s="6" t="s">
        <v>6</v>
      </c>
      <c r="C9" s="6"/>
    </row>
    <row r="10" spans="2:4" x14ac:dyDescent="0.25">
      <c r="B10" s="1" t="s">
        <v>13</v>
      </c>
      <c r="C10" s="1" t="s">
        <v>0</v>
      </c>
    </row>
    <row r="11" spans="2:4" x14ac:dyDescent="0.25">
      <c r="B11" s="2" t="s">
        <v>1</v>
      </c>
      <c r="C11" s="3">
        <v>36062.1</v>
      </c>
    </row>
    <row r="12" spans="2:4" x14ac:dyDescent="0.25">
      <c r="B12" s="2" t="s">
        <v>2</v>
      </c>
      <c r="C12" s="3">
        <v>12368.53</v>
      </c>
    </row>
    <row r="13" spans="2:4" ht="15.75" thickBot="1" x14ac:dyDescent="0.3">
      <c r="B13" s="2" t="s">
        <v>3</v>
      </c>
      <c r="C13" s="3">
        <v>30716</v>
      </c>
    </row>
    <row r="14" spans="2:4" ht="15.75" thickTop="1" x14ac:dyDescent="0.25">
      <c r="B14" s="4" t="s">
        <v>4</v>
      </c>
      <c r="C14" s="5">
        <v>79146.63</v>
      </c>
    </row>
    <row r="16" spans="2:4" x14ac:dyDescent="0.25">
      <c r="B16" s="6" t="s">
        <v>11</v>
      </c>
      <c r="C16" s="6"/>
    </row>
    <row r="17" spans="2:3" x14ac:dyDescent="0.25">
      <c r="B17" s="1" t="s">
        <v>13</v>
      </c>
      <c r="C17" s="1" t="s">
        <v>0</v>
      </c>
    </row>
    <row r="18" spans="2:3" x14ac:dyDescent="0.25">
      <c r="B18" s="2" t="s">
        <v>10</v>
      </c>
      <c r="C18" s="3">
        <v>1001</v>
      </c>
    </row>
    <row r="19" spans="2:3" x14ac:dyDescent="0.25">
      <c r="B19" s="2" t="s">
        <v>1</v>
      </c>
      <c r="C19" s="3">
        <v>16640.14</v>
      </c>
    </row>
    <row r="20" spans="2:3" x14ac:dyDescent="0.25">
      <c r="B20" s="2" t="s">
        <v>2</v>
      </c>
      <c r="C20" s="3">
        <v>10691.78</v>
      </c>
    </row>
    <row r="21" spans="2:3" ht="15.75" thickBot="1" x14ac:dyDescent="0.3">
      <c r="B21" s="2" t="s">
        <v>3</v>
      </c>
      <c r="C21" s="3">
        <v>11463</v>
      </c>
    </row>
    <row r="22" spans="2:3" ht="15.75" thickTop="1" x14ac:dyDescent="0.25">
      <c r="B22" s="4" t="s">
        <v>4</v>
      </c>
      <c r="C22" s="5">
        <v>39795.919999999998</v>
      </c>
    </row>
    <row r="24" spans="2:3" x14ac:dyDescent="0.25">
      <c r="B24" s="6" t="s">
        <v>9</v>
      </c>
      <c r="C24" s="6"/>
    </row>
    <row r="25" spans="2:3" x14ac:dyDescent="0.25">
      <c r="B25" s="1" t="s">
        <v>13</v>
      </c>
      <c r="C25" s="1" t="s">
        <v>0</v>
      </c>
    </row>
    <row r="26" spans="2:3" x14ac:dyDescent="0.25">
      <c r="B26" s="2" t="s">
        <v>10</v>
      </c>
      <c r="C26" s="3">
        <v>22681.119999999999</v>
      </c>
    </row>
    <row r="27" spans="2:3" x14ac:dyDescent="0.25">
      <c r="B27" s="2" t="s">
        <v>1</v>
      </c>
      <c r="C27" s="3">
        <v>8603</v>
      </c>
    </row>
    <row r="28" spans="2:3" ht="15.75" thickBot="1" x14ac:dyDescent="0.3">
      <c r="B28" s="2" t="s">
        <v>2</v>
      </c>
      <c r="C28" s="3">
        <v>3966</v>
      </c>
    </row>
    <row r="29" spans="2:3" ht="15.75" thickTop="1" x14ac:dyDescent="0.25">
      <c r="B29" s="4" t="s">
        <v>4</v>
      </c>
      <c r="C29" s="5">
        <v>35250.119999999995</v>
      </c>
    </row>
    <row r="31" spans="2:3" x14ac:dyDescent="0.25">
      <c r="B31" s="6" t="s">
        <v>7</v>
      </c>
      <c r="C31" s="6"/>
    </row>
    <row r="32" spans="2:3" x14ac:dyDescent="0.25">
      <c r="B32" s="1" t="s">
        <v>13</v>
      </c>
      <c r="C32" s="1" t="s">
        <v>0</v>
      </c>
    </row>
    <row r="33" spans="2:3" x14ac:dyDescent="0.25">
      <c r="B33" s="2" t="s">
        <v>1</v>
      </c>
      <c r="C33" s="3">
        <v>15600.75</v>
      </c>
    </row>
    <row r="34" spans="2:3" x14ac:dyDescent="0.25">
      <c r="B34" s="2" t="s">
        <v>2</v>
      </c>
      <c r="C34" s="3">
        <v>2596</v>
      </c>
    </row>
    <row r="35" spans="2:3" ht="15.75" thickBot="1" x14ac:dyDescent="0.3">
      <c r="B35" s="2" t="s">
        <v>3</v>
      </c>
      <c r="C35" s="3">
        <v>6709</v>
      </c>
    </row>
    <row r="36" spans="2:3" ht="15.75" thickTop="1" x14ac:dyDescent="0.25">
      <c r="B36" s="4" t="s">
        <v>4</v>
      </c>
      <c r="C36" s="5">
        <v>24905.75</v>
      </c>
    </row>
    <row r="38" spans="2:3" x14ac:dyDescent="0.25">
      <c r="B38" s="6" t="s">
        <v>8</v>
      </c>
      <c r="C38" s="6"/>
    </row>
    <row r="39" spans="2:3" x14ac:dyDescent="0.25">
      <c r="B39" s="1" t="s">
        <v>13</v>
      </c>
      <c r="C39" s="1" t="s">
        <v>0</v>
      </c>
    </row>
    <row r="40" spans="2:3" x14ac:dyDescent="0.25">
      <c r="B40" s="2" t="s">
        <v>1</v>
      </c>
      <c r="C40" s="3">
        <v>5487</v>
      </c>
    </row>
    <row r="41" spans="2:3" ht="15.75" thickBot="1" x14ac:dyDescent="0.3">
      <c r="B41" s="2" t="s">
        <v>3</v>
      </c>
      <c r="C41" s="3">
        <v>1408</v>
      </c>
    </row>
    <row r="42" spans="2:3" ht="15.75" thickTop="1" x14ac:dyDescent="0.25">
      <c r="B42" s="4" t="s">
        <v>4</v>
      </c>
      <c r="C42" s="5">
        <v>6895</v>
      </c>
    </row>
  </sheetData>
  <mergeCells count="7">
    <mergeCell ref="B1:C1"/>
    <mergeCell ref="B2:C2"/>
    <mergeCell ref="B9:C9"/>
    <mergeCell ref="B31:C31"/>
    <mergeCell ref="B38:C38"/>
    <mergeCell ref="B24:C24"/>
    <mergeCell ref="B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2CA1-B904-42A3-B202-5C0F225EBE76}">
  <dimension ref="B2:D47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>" COBRANZA INTERNOS" &amp; TEXT(TODAY(), " dd/mm/aaaa ") &amp; TEXT(NOW(), "  hh:mm ")</f>
        <v xml:space="preserve"> COBRANZA INTERNOS 06/09/2025   20:00 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22</v>
      </c>
      <c r="C4" s="1" t="s">
        <v>0</v>
      </c>
    </row>
    <row r="5" spans="2:4" x14ac:dyDescent="0.25">
      <c r="B5" s="2" t="s">
        <v>14</v>
      </c>
      <c r="C5" s="3">
        <v>25354.04</v>
      </c>
    </row>
    <row r="6" spans="2:4" x14ac:dyDescent="0.25">
      <c r="B6" s="2" t="s">
        <v>15</v>
      </c>
      <c r="C6" s="3">
        <v>10358</v>
      </c>
    </row>
    <row r="7" spans="2:4" x14ac:dyDescent="0.25">
      <c r="B7" s="2" t="s">
        <v>16</v>
      </c>
      <c r="C7" s="3">
        <v>300</v>
      </c>
    </row>
    <row r="8" spans="2:4" x14ac:dyDescent="0.25">
      <c r="B8" s="2" t="s">
        <v>17</v>
      </c>
      <c r="C8" s="3">
        <v>121</v>
      </c>
    </row>
    <row r="9" spans="2:4" x14ac:dyDescent="0.25">
      <c r="B9" s="2" t="s">
        <v>18</v>
      </c>
      <c r="C9" s="3">
        <v>19277</v>
      </c>
    </row>
    <row r="10" spans="2:4" x14ac:dyDescent="0.25">
      <c r="B10" s="2" t="s">
        <v>19</v>
      </c>
      <c r="C10" s="3">
        <v>1373</v>
      </c>
    </row>
    <row r="11" spans="2:4" ht="15.75" thickBot="1" x14ac:dyDescent="0.3">
      <c r="B11" s="2" t="s">
        <v>20</v>
      </c>
      <c r="C11" s="3">
        <v>204833.64</v>
      </c>
      <c r="D11" s="1" t="s">
        <v>12</v>
      </c>
    </row>
    <row r="12" spans="2:4" ht="15.75" thickTop="1" x14ac:dyDescent="0.25">
      <c r="B12" s="4" t="s">
        <v>4</v>
      </c>
      <c r="C12" s="5">
        <v>261616.68000000002</v>
      </c>
      <c r="D12" s="5">
        <f ca="1">SUMIF(B:B, "Total general", C:C)</f>
        <v>447610.10000000003</v>
      </c>
    </row>
    <row r="14" spans="2:4" x14ac:dyDescent="0.25">
      <c r="B14" s="6" t="s">
        <v>6</v>
      </c>
      <c r="C14" s="6"/>
    </row>
    <row r="15" spans="2:4" x14ac:dyDescent="0.25">
      <c r="B15" s="1" t="s">
        <v>22</v>
      </c>
      <c r="C15" s="1" t="s">
        <v>0</v>
      </c>
    </row>
    <row r="16" spans="2:4" x14ac:dyDescent="0.25">
      <c r="B16" s="2" t="s">
        <v>14</v>
      </c>
      <c r="C16" s="3">
        <v>4709</v>
      </c>
    </row>
    <row r="17" spans="2:3" x14ac:dyDescent="0.25">
      <c r="B17" s="2" t="s">
        <v>15</v>
      </c>
      <c r="C17" s="3">
        <v>27968</v>
      </c>
    </row>
    <row r="18" spans="2:3" x14ac:dyDescent="0.25">
      <c r="B18" s="2" t="s">
        <v>21</v>
      </c>
      <c r="C18" s="3">
        <v>886</v>
      </c>
    </row>
    <row r="19" spans="2:3" x14ac:dyDescent="0.25">
      <c r="B19" s="2" t="s">
        <v>18</v>
      </c>
      <c r="C19" s="3">
        <v>14795</v>
      </c>
    </row>
    <row r="20" spans="2:3" ht="15.75" thickBot="1" x14ac:dyDescent="0.3">
      <c r="B20" s="2" t="s">
        <v>20</v>
      </c>
      <c r="C20" s="3">
        <v>30788.629999999997</v>
      </c>
    </row>
    <row r="21" spans="2:3" ht="15.75" thickTop="1" x14ac:dyDescent="0.25">
      <c r="B21" s="4" t="s">
        <v>4</v>
      </c>
      <c r="C21" s="5">
        <v>79146.63</v>
      </c>
    </row>
    <row r="23" spans="2:3" x14ac:dyDescent="0.25">
      <c r="B23" s="6" t="s">
        <v>11</v>
      </c>
      <c r="C23" s="6"/>
    </row>
    <row r="24" spans="2:3" x14ac:dyDescent="0.25">
      <c r="B24" s="1" t="s">
        <v>22</v>
      </c>
      <c r="C24" s="1" t="s">
        <v>0</v>
      </c>
    </row>
    <row r="25" spans="2:3" x14ac:dyDescent="0.25">
      <c r="B25" s="2" t="s">
        <v>14</v>
      </c>
      <c r="C25" s="3">
        <v>50</v>
      </c>
    </row>
    <row r="26" spans="2:3" x14ac:dyDescent="0.25">
      <c r="B26" s="2" t="s">
        <v>18</v>
      </c>
      <c r="C26" s="3">
        <v>2500</v>
      </c>
    </row>
    <row r="27" spans="2:3" ht="15.75" thickBot="1" x14ac:dyDescent="0.3">
      <c r="B27" s="2" t="s">
        <v>20</v>
      </c>
      <c r="C27" s="3">
        <v>37245.920000000006</v>
      </c>
    </row>
    <row r="28" spans="2:3" ht="15.75" thickTop="1" x14ac:dyDescent="0.25">
      <c r="B28" s="4" t="s">
        <v>4</v>
      </c>
      <c r="C28" s="5">
        <v>39795.920000000006</v>
      </c>
    </row>
    <row r="30" spans="2:3" x14ac:dyDescent="0.25">
      <c r="B30" s="6" t="s">
        <v>9</v>
      </c>
      <c r="C30" s="6"/>
    </row>
    <row r="31" spans="2:3" x14ac:dyDescent="0.25">
      <c r="B31" s="1" t="s">
        <v>22</v>
      </c>
      <c r="C31" s="1" t="s">
        <v>0</v>
      </c>
    </row>
    <row r="32" spans="2:3" x14ac:dyDescent="0.25">
      <c r="B32" s="2" t="s">
        <v>14</v>
      </c>
      <c r="C32" s="3">
        <v>25456.12</v>
      </c>
    </row>
    <row r="33" spans="2:3" x14ac:dyDescent="0.25">
      <c r="B33" s="2" t="s">
        <v>15</v>
      </c>
      <c r="C33" s="3">
        <v>1477</v>
      </c>
    </row>
    <row r="34" spans="2:3" x14ac:dyDescent="0.25">
      <c r="B34" s="2" t="s">
        <v>18</v>
      </c>
      <c r="C34" s="3">
        <v>4394</v>
      </c>
    </row>
    <row r="35" spans="2:3" ht="15.75" thickBot="1" x14ac:dyDescent="0.3">
      <c r="B35" s="2" t="s">
        <v>20</v>
      </c>
      <c r="C35" s="3">
        <v>3923</v>
      </c>
    </row>
    <row r="36" spans="2:3" ht="15.75" thickTop="1" x14ac:dyDescent="0.25">
      <c r="B36" s="4" t="s">
        <v>4</v>
      </c>
      <c r="C36" s="5">
        <v>35250.119999999995</v>
      </c>
    </row>
    <row r="38" spans="2:3" x14ac:dyDescent="0.25">
      <c r="B38" s="6" t="s">
        <v>7</v>
      </c>
      <c r="C38" s="6"/>
    </row>
    <row r="39" spans="2:3" x14ac:dyDescent="0.25">
      <c r="B39" s="1" t="s">
        <v>22</v>
      </c>
      <c r="C39" s="1" t="s">
        <v>0</v>
      </c>
    </row>
    <row r="40" spans="2:3" ht="15.75" thickBot="1" x14ac:dyDescent="0.3">
      <c r="B40" s="2" t="s">
        <v>20</v>
      </c>
      <c r="C40" s="3">
        <v>24905.75</v>
      </c>
    </row>
    <row r="41" spans="2:3" ht="15.75" thickTop="1" x14ac:dyDescent="0.25">
      <c r="B41" s="4" t="s">
        <v>4</v>
      </c>
      <c r="C41" s="5">
        <v>24905.75</v>
      </c>
    </row>
    <row r="43" spans="2:3" x14ac:dyDescent="0.25">
      <c r="B43" s="6" t="s">
        <v>8</v>
      </c>
      <c r="C43" s="6"/>
    </row>
    <row r="44" spans="2:3" x14ac:dyDescent="0.25">
      <c r="B44" s="1" t="s">
        <v>22</v>
      </c>
      <c r="C44" s="1" t="s">
        <v>0</v>
      </c>
    </row>
    <row r="45" spans="2:3" x14ac:dyDescent="0.25">
      <c r="B45" s="2" t="s">
        <v>18</v>
      </c>
      <c r="C45" s="3">
        <v>1408</v>
      </c>
    </row>
    <row r="46" spans="2:3" ht="15.75" thickBot="1" x14ac:dyDescent="0.3">
      <c r="B46" s="2" t="s">
        <v>20</v>
      </c>
      <c r="C46" s="3">
        <v>5487</v>
      </c>
    </row>
    <row r="47" spans="2:3" ht="15.75" thickTop="1" x14ac:dyDescent="0.25">
      <c r="B47" s="4" t="s">
        <v>4</v>
      </c>
      <c r="C47" s="5">
        <v>6895</v>
      </c>
    </row>
  </sheetData>
  <mergeCells count="7">
    <mergeCell ref="B43:C43"/>
    <mergeCell ref="B2:C2"/>
    <mergeCell ref="B3:C3"/>
    <mergeCell ref="B14:C14"/>
    <mergeCell ref="B23:C23"/>
    <mergeCell ref="B30:C30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F87C-EE26-49D5-875E-0B5CE6E1F2EC}">
  <dimension ref="B2:D46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>" ETIQUETA PROYECTO CDC " &amp; TEXT(TODAY(), " dd/mm/aaaa ") &amp; TEXT(NOW(), "  hh:mm ")</f>
        <v xml:space="preserve"> ETIQUETA PROYECTO CDC  06/09/2025   20:00 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10</v>
      </c>
      <c r="C5" s="3">
        <v>4131</v>
      </c>
    </row>
    <row r="6" spans="2:4" x14ac:dyDescent="0.25">
      <c r="B6" s="2" t="s">
        <v>1</v>
      </c>
      <c r="C6" s="3">
        <v>78892.540000000008</v>
      </c>
    </row>
    <row r="7" spans="2:4" x14ac:dyDescent="0.25">
      <c r="B7" s="2" t="s">
        <v>2</v>
      </c>
      <c r="C7" s="3">
        <v>24145.75</v>
      </c>
    </row>
    <row r="8" spans="2:4" ht="15.75" thickBot="1" x14ac:dyDescent="0.3">
      <c r="B8" s="2" t="s">
        <v>3</v>
      </c>
      <c r="C8" s="3">
        <v>15310.77</v>
      </c>
      <c r="D8" s="1" t="s">
        <v>12</v>
      </c>
    </row>
    <row r="9" spans="2:4" ht="15.75" thickTop="1" x14ac:dyDescent="0.25">
      <c r="B9" s="4" t="s">
        <v>4</v>
      </c>
      <c r="C9" s="5">
        <v>122480.06000000001</v>
      </c>
      <c r="D9" s="5">
        <f ca="1">SUMIF(B:B, "Total general", C:C)</f>
        <v>164393.18000000002</v>
      </c>
    </row>
    <row r="11" spans="2:4" x14ac:dyDescent="0.25">
      <c r="B11" s="6" t="s">
        <v>9</v>
      </c>
      <c r="C11" s="6"/>
    </row>
    <row r="12" spans="2:4" x14ac:dyDescent="0.25">
      <c r="B12" s="1" t="s">
        <v>13</v>
      </c>
      <c r="C12" s="1" t="s">
        <v>0</v>
      </c>
    </row>
    <row r="13" spans="2:4" x14ac:dyDescent="0.25">
      <c r="B13" s="2" t="s">
        <v>10</v>
      </c>
      <c r="C13" s="3">
        <v>22681.119999999999</v>
      </c>
    </row>
    <row r="14" spans="2:4" x14ac:dyDescent="0.25">
      <c r="B14" s="2" t="s">
        <v>1</v>
      </c>
      <c r="C14" s="3">
        <v>4296</v>
      </c>
    </row>
    <row r="15" spans="2:4" ht="15.75" thickBot="1" x14ac:dyDescent="0.3">
      <c r="B15" s="2" t="s">
        <v>2</v>
      </c>
      <c r="C15" s="3">
        <v>3966</v>
      </c>
    </row>
    <row r="16" spans="2:4" ht="15.75" thickTop="1" x14ac:dyDescent="0.25">
      <c r="B16" s="4" t="s">
        <v>4</v>
      </c>
      <c r="C16" s="5">
        <v>30943.119999999999</v>
      </c>
    </row>
    <row r="18" spans="2:3" x14ac:dyDescent="0.25">
      <c r="B18" s="6" t="s">
        <v>24</v>
      </c>
      <c r="C18" s="6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10</v>
      </c>
      <c r="C20" s="3">
        <v>1300</v>
      </c>
    </row>
    <row r="21" spans="2:3" x14ac:dyDescent="0.25">
      <c r="B21" s="2" t="s">
        <v>1</v>
      </c>
      <c r="C21" s="3">
        <v>1402</v>
      </c>
    </row>
    <row r="22" spans="2:3" ht="15.75" thickBot="1" x14ac:dyDescent="0.3">
      <c r="B22" s="2" t="s">
        <v>2</v>
      </c>
      <c r="C22" s="3">
        <v>802</v>
      </c>
    </row>
    <row r="23" spans="2:3" ht="15.75" thickTop="1" x14ac:dyDescent="0.25">
      <c r="B23" s="4" t="s">
        <v>4</v>
      </c>
      <c r="C23" s="5">
        <v>3504</v>
      </c>
    </row>
    <row r="25" spans="2:3" x14ac:dyDescent="0.25">
      <c r="B25" s="6" t="s">
        <v>25</v>
      </c>
      <c r="C25" s="6"/>
    </row>
    <row r="26" spans="2:3" x14ac:dyDescent="0.25">
      <c r="B26" s="1" t="s">
        <v>13</v>
      </c>
      <c r="C26" s="1" t="s">
        <v>0</v>
      </c>
    </row>
    <row r="27" spans="2:3" x14ac:dyDescent="0.25">
      <c r="B27" s="2" t="s">
        <v>10</v>
      </c>
      <c r="C27" s="3">
        <v>1761</v>
      </c>
    </row>
    <row r="28" spans="2:3" ht="15.75" thickBot="1" x14ac:dyDescent="0.3">
      <c r="B28" s="2" t="s">
        <v>1</v>
      </c>
      <c r="C28" s="3">
        <v>1500</v>
      </c>
    </row>
    <row r="29" spans="2:3" ht="15.75" thickTop="1" x14ac:dyDescent="0.25">
      <c r="B29" s="4" t="s">
        <v>4</v>
      </c>
      <c r="C29" s="5">
        <v>3261</v>
      </c>
    </row>
    <row r="31" spans="2:3" x14ac:dyDescent="0.25">
      <c r="B31" s="6" t="s">
        <v>6</v>
      </c>
      <c r="C31" s="6"/>
    </row>
    <row r="32" spans="2:3" x14ac:dyDescent="0.25">
      <c r="B32" s="1" t="s">
        <v>13</v>
      </c>
      <c r="C32" s="1" t="s">
        <v>0</v>
      </c>
    </row>
    <row r="33" spans="2:3" ht="15.75" thickBot="1" x14ac:dyDescent="0.3">
      <c r="B33" s="2" t="s">
        <v>3</v>
      </c>
      <c r="C33" s="3">
        <v>1530</v>
      </c>
    </row>
    <row r="34" spans="2:3" ht="15.75" thickTop="1" x14ac:dyDescent="0.25">
      <c r="B34" s="4" t="s">
        <v>4</v>
      </c>
      <c r="C34" s="5">
        <v>1530</v>
      </c>
    </row>
    <row r="36" spans="2:3" x14ac:dyDescent="0.25">
      <c r="B36" s="6" t="s">
        <v>5</v>
      </c>
      <c r="C36" s="6"/>
    </row>
    <row r="37" spans="2:3" x14ac:dyDescent="0.25">
      <c r="B37" s="1" t="s">
        <v>13</v>
      </c>
      <c r="C37" s="1" t="s">
        <v>0</v>
      </c>
    </row>
    <row r="38" spans="2:3" x14ac:dyDescent="0.25">
      <c r="B38" s="2" t="s">
        <v>1</v>
      </c>
      <c r="C38" s="3">
        <v>148</v>
      </c>
    </row>
    <row r="39" spans="2:3" x14ac:dyDescent="0.25">
      <c r="B39" s="2" t="s">
        <v>2</v>
      </c>
      <c r="C39" s="3">
        <v>327</v>
      </c>
    </row>
    <row r="40" spans="2:3" ht="15.75" thickBot="1" x14ac:dyDescent="0.3">
      <c r="B40" s="2" t="s">
        <v>3</v>
      </c>
      <c r="C40" s="3">
        <v>1000</v>
      </c>
    </row>
    <row r="41" spans="2:3" ht="15.75" thickTop="1" x14ac:dyDescent="0.25">
      <c r="B41" s="4" t="s">
        <v>4</v>
      </c>
      <c r="C41" s="5">
        <v>1475</v>
      </c>
    </row>
    <row r="43" spans="2:3" x14ac:dyDescent="0.25">
      <c r="B43" s="6" t="s">
        <v>7</v>
      </c>
      <c r="C43" s="6"/>
    </row>
    <row r="44" spans="2:3" x14ac:dyDescent="0.25">
      <c r="B44" s="1" t="s">
        <v>13</v>
      </c>
      <c r="C44" s="1" t="s">
        <v>0</v>
      </c>
    </row>
    <row r="45" spans="2:3" ht="15.75" thickBot="1" x14ac:dyDescent="0.3">
      <c r="B45" s="2" t="s">
        <v>3</v>
      </c>
      <c r="C45" s="3">
        <v>1200</v>
      </c>
    </row>
    <row r="46" spans="2:3" ht="15.75" thickTop="1" x14ac:dyDescent="0.25">
      <c r="B46" s="4" t="s">
        <v>4</v>
      </c>
      <c r="C46" s="5">
        <v>1200</v>
      </c>
    </row>
  </sheetData>
  <mergeCells count="8">
    <mergeCell ref="B25:C25"/>
    <mergeCell ref="B36:C36"/>
    <mergeCell ref="B3:C3"/>
    <mergeCell ref="B2:C2"/>
    <mergeCell ref="B18:C18"/>
    <mergeCell ref="B31:C31"/>
    <mergeCell ref="B43:C43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2025-09-07T01:53:08Z</dcterms:created>
  <dcterms:modified xsi:type="dcterms:W3CDTF">2025-09-07T02:00:37Z</dcterms:modified>
</cp:coreProperties>
</file>