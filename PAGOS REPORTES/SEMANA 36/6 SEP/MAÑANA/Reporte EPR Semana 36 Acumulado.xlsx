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6 SEP\MAÑANA\"/>
    </mc:Choice>
  </mc:AlternateContent>
  <xr:revisionPtr revIDLastSave="0" documentId="13_ncr:1_{D86DA77C-4B46-4408-AA87-6E7827CD604B}" xr6:coauthVersionLast="47" xr6:coauthVersionMax="47" xr10:uidLastSave="{00000000-0000-0000-0000-000000000000}"/>
  <bookViews>
    <workbookView xWindow="4275" yWindow="427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6" i="1" l="1"/>
  <c r="C66" i="1"/>
  <c r="D26" i="5"/>
  <c r="C26" i="5"/>
  <c r="D44" i="1"/>
  <c r="C44" i="1"/>
  <c r="D52" i="1"/>
  <c r="C52" i="1"/>
  <c r="D34" i="5"/>
  <c r="C34" i="5"/>
  <c r="C18" i="5"/>
  <c r="D18" i="5"/>
  <c r="D10" i="5"/>
  <c r="D43" i="5"/>
  <c r="D69" i="5"/>
  <c r="C69" i="5"/>
  <c r="D7" i="6"/>
  <c r="D6" i="6"/>
  <c r="D5" i="6"/>
  <c r="D4" i="6"/>
  <c r="D3" i="6"/>
  <c r="C7" i="6"/>
  <c r="C6" i="6"/>
  <c r="C5" i="6"/>
  <c r="C4" i="6"/>
  <c r="C3" i="6"/>
  <c r="D61" i="5"/>
  <c r="D77" i="5"/>
  <c r="C77" i="5"/>
  <c r="C61" i="5"/>
  <c r="D52" i="5"/>
  <c r="C52" i="5"/>
  <c r="C43" i="5"/>
  <c r="C10" i="5"/>
  <c r="J9" i="3"/>
  <c r="J8" i="3"/>
  <c r="J7" i="3"/>
  <c r="J6" i="3"/>
  <c r="C60" i="1"/>
  <c r="C79" i="5" l="1"/>
  <c r="D8" i="6"/>
  <c r="C8" i="6"/>
  <c r="D79" i="5"/>
  <c r="C19" i="1"/>
  <c r="D19" i="1"/>
  <c r="D28" i="1"/>
  <c r="C28" i="1"/>
  <c r="D6" i="3"/>
  <c r="D60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8" i="1" l="1"/>
  <c r="D6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<sst xmlns="http://schemas.openxmlformats.org/spreadsheetml/2006/main" count="198" uniqueCount="41">
  <si>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</si>
  <si>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</si>
  <si>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</si>
  <si>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</si>
  <si>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</si>
  <si>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</si>
  <si>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</si>
  <si>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</si>
  <si>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</si>
  <si>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</si>
  <si>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</si>
  <si>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</si>
  <si>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</si>
  <si>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</si>
  <si>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</si>
  <si>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</si>
  <si>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</si>
  <si>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</si>
  <si>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</si>
  <si>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</si>
  <si>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</si>
  <si>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</si>
  <si>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</si>
  <si>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</si>
  <si>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</si>
  <si>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</si>
  <si>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</si>
  <si>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</si>
  <si>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</si>
  <si>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</si>
  <si>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</si>
  <si>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</si>
  <si>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</si>
  <si>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</si>
  <si>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</si>
  <si>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</si>
  <si>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</si>
  <si>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</si>
  <si>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</si>
  <si>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</si>
  <si>
    <t>COBRANZA GENERAL  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</si>
</sst>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8"/>
  <sheetViews>
    <sheetView showGridLines="0" zoomScaleNormal="100" workbookViewId="0">
      <selection activeCell="D1" sqref="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35</v>
      </c>
      <c r="D5" s="25">
        <v>-4596</v>
      </c>
    </row>
    <row r="6" spans="2:8" x14ac:dyDescent="0.25">
      <c r="B6" s="1" t="s">
        <v>5</v>
      </c>
      <c r="C6" s="6">
        <v>8890</v>
      </c>
      <c r="D6" s="25">
        <v>588283.96000000008</v>
      </c>
    </row>
    <row r="7" spans="2:8" x14ac:dyDescent="0.25">
      <c r="B7" s="1" t="s">
        <v>6</v>
      </c>
      <c r="C7" s="6">
        <v>7799</v>
      </c>
      <c r="D7" s="25">
        <v>237171.76</v>
      </c>
    </row>
    <row r="8" spans="2:8" x14ac:dyDescent="0.25">
      <c r="B8" s="5" t="s">
        <v>12</v>
      </c>
      <c r="C8" s="7">
        <v>1232</v>
      </c>
      <c r="D8" s="26">
        <v>0</v>
      </c>
    </row>
    <row r="9" spans="2:8" x14ac:dyDescent="0.25">
      <c r="B9" s="1" t="s">
        <v>7</v>
      </c>
      <c r="C9" s="6">
        <v>34316</v>
      </c>
      <c r="D9" s="25">
        <v>284769.46999999997</v>
      </c>
      <c r="E9" s="14"/>
      <c r="F9" s="7"/>
    </row>
    <row r="10" spans="2:8" x14ac:dyDescent="0.25">
      <c r="B10" s="3" t="s">
        <v>8</v>
      </c>
      <c r="C10" s="8">
        <f>SUM(C5:C9)</f>
        <v>52272</v>
      </c>
      <c r="D10" s="4">
        <f>SUM(D5:D9)</f>
        <v>1105629.19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0</v>
      </c>
      <c r="D14" s="26">
        <v>0</v>
      </c>
    </row>
    <row r="15" spans="2:8" x14ac:dyDescent="0.25">
      <c r="B15" s="1" t="s">
        <v>5</v>
      </c>
      <c r="C15" s="6">
        <v>2251</v>
      </c>
      <c r="D15" s="25">
        <v>176823.98000000004</v>
      </c>
    </row>
    <row r="16" spans="2:8" x14ac:dyDescent="0.25">
      <c r="B16" s="1" t="s">
        <v>6</v>
      </c>
      <c r="C16" s="6">
        <v>2935</v>
      </c>
      <c r="D16" s="25">
        <v>84532</v>
      </c>
    </row>
    <row r="17" spans="2:4" x14ac:dyDescent="0.25">
      <c r="B17" s="5" t="s">
        <v>12</v>
      </c>
      <c r="C17" s="6">
        <v>0</v>
      </c>
      <c r="D17" s="11">
        <v>0</v>
      </c>
    </row>
    <row r="18" spans="2:4" x14ac:dyDescent="0.25">
      <c r="B18" s="1" t="s">
        <v>7</v>
      </c>
      <c r="C18" s="7">
        <v>18138</v>
      </c>
      <c r="D18" s="25">
        <v>76309.72</v>
      </c>
    </row>
    <row r="19" spans="2:4" x14ac:dyDescent="0.25">
      <c r="B19" s="3" t="s">
        <v>8</v>
      </c>
      <c r="C19" s="8">
        <f>SUM(C14:C18)</f>
        <v>23324</v>
      </c>
      <c r="D19" s="4">
        <f>SUM(D14:D18)</f>
        <v>337665.70000000007</v>
      </c>
    </row>
    <row r="21" spans="2:4" x14ac:dyDescent="0.25">
      <c r="B21" s="29" t="s">
        <v>10</v>
      </c>
      <c r="C21" s="29"/>
      <c r="D21" s="29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13</v>
      </c>
      <c r="D23" s="26">
        <v>0</v>
      </c>
    </row>
    <row r="24" spans="2:4" x14ac:dyDescent="0.25">
      <c r="B24" s="9" t="s">
        <v>5</v>
      </c>
      <c r="C24" s="6">
        <v>2729</v>
      </c>
      <c r="D24" s="25">
        <v>154923.26999999999</v>
      </c>
    </row>
    <row r="25" spans="2:4" x14ac:dyDescent="0.25">
      <c r="B25" s="9" t="s">
        <v>6</v>
      </c>
      <c r="C25" s="6">
        <v>882</v>
      </c>
      <c r="D25" s="25">
        <v>32098.35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12976</v>
      </c>
      <c r="D27" s="25">
        <v>50292.310000000005</v>
      </c>
    </row>
    <row r="28" spans="2:4" x14ac:dyDescent="0.25">
      <c r="B28" s="10" t="s">
        <v>8</v>
      </c>
      <c r="C28" s="8">
        <f>SUM(C23:C27)</f>
        <v>16601</v>
      </c>
      <c r="D28" s="4">
        <f>SUM(D23:D27)</f>
        <v>237313.93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0</v>
      </c>
      <c r="D32" s="26">
        <v>0</v>
      </c>
    </row>
    <row r="33" spans="2:4" x14ac:dyDescent="0.25">
      <c r="B33" s="9" t="s">
        <v>5</v>
      </c>
      <c r="C33" s="6">
        <v>1632</v>
      </c>
      <c r="D33" s="25">
        <v>76584.31</v>
      </c>
    </row>
    <row r="34" spans="2:4" x14ac:dyDescent="0.25">
      <c r="B34" s="9" t="s">
        <v>6</v>
      </c>
      <c r="C34" s="6">
        <v>1674</v>
      </c>
      <c r="D34" s="25">
        <v>33637</v>
      </c>
    </row>
    <row r="35" spans="2:4" x14ac:dyDescent="0.25">
      <c r="B35" s="9" t="s">
        <v>7</v>
      </c>
      <c r="C35" s="6">
        <v>3214</v>
      </c>
      <c r="D35" s="25">
        <v>11997</v>
      </c>
    </row>
    <row r="36" spans="2:4" x14ac:dyDescent="0.25">
      <c r="B36" s="10" t="s">
        <v>8</v>
      </c>
      <c r="C36" s="8">
        <f>SUM(C32:C35)</f>
        <v>6520</v>
      </c>
      <c r="D36" s="4">
        <f>SUM(D32:D35)</f>
        <v>122218.31</v>
      </c>
    </row>
    <row r="38" spans="2:4" x14ac:dyDescent="0.25">
      <c r="B38" s="29" t="s">
        <v>11</v>
      </c>
      <c r="C38" s="29"/>
      <c r="D38" s="29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2063</v>
      </c>
      <c r="D40" s="25">
        <v>48552.869999999995</v>
      </c>
    </row>
    <row r="41" spans="2:4" x14ac:dyDescent="0.25">
      <c r="B41" s="1" t="s">
        <v>5</v>
      </c>
      <c r="C41" s="6">
        <v>2334</v>
      </c>
      <c r="D41" s="25">
        <v>51868.350000000006</v>
      </c>
    </row>
    <row r="42" spans="2:4" x14ac:dyDescent="0.25">
      <c r="B42" s="1" t="s">
        <v>6</v>
      </c>
      <c r="C42" s="6">
        <v>1809</v>
      </c>
      <c r="D42" s="25">
        <v>13764.86</v>
      </c>
    </row>
    <row r="43" spans="2:4" x14ac:dyDescent="0.25">
      <c r="B43" s="1" t="s">
        <v>7</v>
      </c>
      <c r="C43" s="6">
        <v>26</v>
      </c>
      <c r="D43" s="25">
        <v>500</v>
      </c>
    </row>
    <row r="44" spans="2:4" x14ac:dyDescent="0.25">
      <c r="B44" s="10" t="s">
        <v>8</v>
      </c>
      <c r="C44" s="8">
        <f>SUM(C40:C43)</f>
        <v>6232</v>
      </c>
      <c r="D44" s="4">
        <f>SUM(D40:D43)</f>
        <v>114686.08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11">
        <v>0</v>
      </c>
      <c r="D48" s="25">
        <v>23035.16</v>
      </c>
    </row>
    <row r="49" spans="2:4" x14ac:dyDescent="0.25">
      <c r="B49" s="1" t="s">
        <v>5</v>
      </c>
      <c r="C49" s="11">
        <v>0</v>
      </c>
      <c r="D49" s="25">
        <v>24484</v>
      </c>
    </row>
    <row r="50" spans="2:4" x14ac:dyDescent="0.25">
      <c r="B50" s="1" t="s">
        <v>6</v>
      </c>
      <c r="C50" s="11">
        <v>0</v>
      </c>
      <c r="D50" s="25">
        <v>16324</v>
      </c>
    </row>
    <row r="51" spans="2:4" x14ac:dyDescent="0.25">
      <c r="B51" s="1" t="s">
        <v>7</v>
      </c>
      <c r="C51" s="11">
        <v>0</v>
      </c>
      <c r="D51" s="25">
        <v>3253</v>
      </c>
    </row>
    <row r="52" spans="2:4" x14ac:dyDescent="0.25">
      <c r="B52" s="3" t="s">
        <v>8</v>
      </c>
      <c r="C52" s="8">
        <f>SUM(C48:C51)</f>
        <v>0</v>
      </c>
      <c r="D52" s="4">
        <f>SUM(D48:D51)</f>
        <v>67096.160000000003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6">
        <v>0</v>
      </c>
      <c r="D56" s="26">
        <v>0</v>
      </c>
    </row>
    <row r="57" spans="2:4" x14ac:dyDescent="0.25">
      <c r="B57" s="1" t="s">
        <v>5</v>
      </c>
      <c r="C57" s="6">
        <v>563</v>
      </c>
      <c r="D57" s="25">
        <v>25518.25</v>
      </c>
    </row>
    <row r="58" spans="2:4" x14ac:dyDescent="0.25">
      <c r="B58" s="1" t="s">
        <v>6</v>
      </c>
      <c r="C58" s="6">
        <v>217</v>
      </c>
      <c r="D58" s="25">
        <v>8827</v>
      </c>
    </row>
    <row r="59" spans="2:4" x14ac:dyDescent="0.25">
      <c r="B59" s="1" t="s">
        <v>7</v>
      </c>
      <c r="C59" s="6">
        <v>563</v>
      </c>
      <c r="D59" s="25">
        <v>6345</v>
      </c>
    </row>
    <row r="60" spans="2:4" hidden="1" x14ac:dyDescent="0.25">
      <c r="B60" s="3" t="s">
        <v>8</v>
      </c>
      <c r="C60" s="8">
        <f>SUM(C56:C59)</f>
        <v>1343</v>
      </c>
      <c r="D60" s="4">
        <f>SUM(D56:D59)</f>
        <v>40690.25</v>
      </c>
    </row>
    <row r="61" spans="2:4" hidden="1" x14ac:dyDescent="0.25"/>
    <row r="62" spans="2:4" hidden="1" x14ac:dyDescent="0.25">
      <c r="B62" s="28" t="s">
        <v>38</v>
      </c>
      <c r="C62" s="28"/>
      <c r="D62" s="28"/>
    </row>
    <row r="63" spans="2:4" hidden="1" x14ac:dyDescent="0.25">
      <c r="B63" s="2" t="s">
        <v>1</v>
      </c>
      <c r="C63" s="2" t="s">
        <v>2</v>
      </c>
      <c r="D63" s="2" t="s">
        <v>3</v>
      </c>
    </row>
    <row r="64" spans="2:4" hidden="1" x14ac:dyDescent="0.25">
      <c r="B64" s="9" t="s">
        <v>4</v>
      </c>
      <c r="C64" s="6">
        <v>0</v>
      </c>
      <c r="D64" s="26">
        <v>0</v>
      </c>
    </row>
    <row r="65" spans="2:4" hidden="1" x14ac:dyDescent="0.25">
      <c r="B65" s="1" t="s">
        <v>5</v>
      </c>
      <c r="C65" s="6">
        <v>0</v>
      </c>
      <c r="D65" s="26">
        <v>0</v>
      </c>
    </row>
    <row r="66" spans="2:4" x14ac:dyDescent="0.25">
      <c r="B66" s="3" t="s">
        <v>8</v>
      </c>
      <c r="C66" s="8">
        <f>SUM(C56:C59)</f>
        <v>1343</v>
      </c>
      <c r="D66" s="4">
        <f>SUM(D56:D59)</f>
        <v>40690.25</v>
      </c>
    </row>
    <row r="68" spans="2:4" x14ac:dyDescent="0.25">
      <c r="B68" s="12" t="s">
        <v>13</v>
      </c>
      <c r="C68" s="13">
        <f>SUMIF(B:B, "Total general", C:C)</f>
        <v>107635</v>
      </c>
      <c r="D68" s="13">
        <f>SUMIF(B:B, "Total general", D:D)</f>
        <v>2065989.87</v>
      </c>
    </row>
  </sheetData>
  <mergeCells count="8">
    <mergeCell ref="B3:D3"/>
    <mergeCell ref="B21:D21"/>
    <mergeCell ref="B30:D30"/>
    <mergeCell ref="B62:D62"/>
    <mergeCell ref="B38:D38"/>
    <mergeCell ref="B46:D46"/>
    <mergeCell ref="B12:D12"/>
    <mergeCell ref="B54:D54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9"/>
  <sheetViews>
    <sheetView showGridLines="0" tabSelected="1" topLeftCell="A55" zoomScaleNormal="100" workbookViewId="0">
      <selection activeCell="D67" sqref="D6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334</v>
      </c>
      <c r="D5" s="25">
        <v>8251.68</v>
      </c>
      <c r="E5" s="11"/>
    </row>
    <row r="6" spans="2:8" x14ac:dyDescent="0.25">
      <c r="B6" s="1" t="s">
        <v>5</v>
      </c>
      <c r="C6" s="27">
        <v>14547</v>
      </c>
      <c r="D6" s="25">
        <v>368658.2</v>
      </c>
    </row>
    <row r="7" spans="2:8" x14ac:dyDescent="0.25">
      <c r="B7" s="1" t="s">
        <v>6</v>
      </c>
      <c r="C7" s="27">
        <v>7972</v>
      </c>
      <c r="D7" s="25">
        <v>83599.81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62624</v>
      </c>
      <c r="D9" s="25">
        <v>63584.520000000004</v>
      </c>
      <c r="E9" s="14"/>
      <c r="F9" s="7"/>
    </row>
    <row r="10" spans="2:8" x14ac:dyDescent="0.25">
      <c r="B10" s="3" t="s">
        <v>8</v>
      </c>
      <c r="C10" s="8">
        <f>SUM(C5:C9)</f>
        <v>88216</v>
      </c>
      <c r="D10" s="4">
        <f>SUM(D5:D9)</f>
        <v>524094.21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11">
        <v>0</v>
      </c>
      <c r="D14" s="25">
        <v>23035.16</v>
      </c>
    </row>
    <row r="15" spans="2:8" x14ac:dyDescent="0.25">
      <c r="B15" s="1" t="s">
        <v>5</v>
      </c>
      <c r="C15" s="11">
        <v>0</v>
      </c>
      <c r="D15" s="25">
        <v>24484</v>
      </c>
    </row>
    <row r="16" spans="2:8" x14ac:dyDescent="0.25">
      <c r="B16" s="1" t="s">
        <v>6</v>
      </c>
      <c r="C16" s="11">
        <v>0</v>
      </c>
      <c r="D16" s="25">
        <v>16324</v>
      </c>
    </row>
    <row r="17" spans="2:4" x14ac:dyDescent="0.25">
      <c r="B17" s="1" t="s">
        <v>7</v>
      </c>
      <c r="C17" s="11">
        <v>0</v>
      </c>
      <c r="D17" s="25">
        <v>3253</v>
      </c>
    </row>
    <row r="18" spans="2:4" x14ac:dyDescent="0.25">
      <c r="B18" s="3" t="s">
        <v>8</v>
      </c>
      <c r="C18" s="8">
        <f>SUM(C14:C17)</f>
        <v>0</v>
      </c>
      <c r="D18" s="4">
        <f>SUM(D14:D17)</f>
        <v>67096.160000000003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27">
        <v>1717</v>
      </c>
      <c r="D22" s="25">
        <v>48552.869999999995</v>
      </c>
    </row>
    <row r="23" spans="2:4" x14ac:dyDescent="0.25">
      <c r="B23" s="1" t="s">
        <v>5</v>
      </c>
      <c r="C23" s="27">
        <v>1318</v>
      </c>
      <c r="D23" s="25">
        <v>22852.560000000001</v>
      </c>
    </row>
    <row r="24" spans="2:4" x14ac:dyDescent="0.25">
      <c r="B24" s="1" t="s">
        <v>6</v>
      </c>
      <c r="C24" s="27">
        <v>1347</v>
      </c>
      <c r="D24" s="25">
        <v>13764.86</v>
      </c>
    </row>
    <row r="25" spans="2:4" x14ac:dyDescent="0.25">
      <c r="B25" s="9" t="s">
        <v>7</v>
      </c>
      <c r="C25" s="27">
        <v>0</v>
      </c>
      <c r="D25" s="25">
        <v>500</v>
      </c>
    </row>
    <row r="26" spans="2:4" x14ac:dyDescent="0.25">
      <c r="B26" s="10" t="s">
        <v>8</v>
      </c>
      <c r="C26" s="8">
        <f>SUM(C22:C25)</f>
        <v>4382</v>
      </c>
      <c r="D26" s="4">
        <f>SUM(D22:D25)</f>
        <v>85670.29</v>
      </c>
    </row>
    <row r="28" spans="2:4" x14ac:dyDescent="0.25">
      <c r="B28" s="28" t="s">
        <v>40</v>
      </c>
      <c r="C28" s="28"/>
      <c r="D28" s="28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9" t="s">
        <v>4</v>
      </c>
      <c r="C30" s="27">
        <v>1131</v>
      </c>
      <c r="D30" s="25">
        <v>6046.93</v>
      </c>
    </row>
    <row r="31" spans="2:4" x14ac:dyDescent="0.25">
      <c r="B31" s="1" t="s">
        <v>5</v>
      </c>
      <c r="C31" s="27">
        <v>2709</v>
      </c>
      <c r="D31" s="25">
        <v>22139.55</v>
      </c>
    </row>
    <row r="32" spans="2:4" x14ac:dyDescent="0.25">
      <c r="B32" s="9" t="s">
        <v>6</v>
      </c>
      <c r="C32" s="27">
        <v>1642</v>
      </c>
      <c r="D32" s="25">
        <v>1500</v>
      </c>
    </row>
    <row r="33" spans="2:4" x14ac:dyDescent="0.25">
      <c r="B33" s="9" t="s">
        <v>7</v>
      </c>
      <c r="C33" s="27">
        <v>357</v>
      </c>
      <c r="D33" s="11">
        <v>0</v>
      </c>
    </row>
    <row r="34" spans="2:4" x14ac:dyDescent="0.25">
      <c r="B34" s="10" t="s">
        <v>8</v>
      </c>
      <c r="C34" s="8">
        <f>SUM(C30:C33)</f>
        <v>5839</v>
      </c>
      <c r="D34" s="4">
        <f>SUM(D30:D33)</f>
        <v>29686.48</v>
      </c>
    </row>
    <row r="36" spans="2:4" x14ac:dyDescent="0.25">
      <c r="B36" s="28" t="s">
        <v>0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27">
        <v>0</v>
      </c>
      <c r="D38" s="26">
        <v>0</v>
      </c>
    </row>
    <row r="39" spans="2:4" x14ac:dyDescent="0.25">
      <c r="B39" s="1" t="s">
        <v>5</v>
      </c>
      <c r="C39">
        <v>16</v>
      </c>
      <c r="D39" s="25">
        <v>7034</v>
      </c>
    </row>
    <row r="40" spans="2:4" x14ac:dyDescent="0.25">
      <c r="B40" s="1" t="s">
        <v>6</v>
      </c>
      <c r="C40">
        <v>68</v>
      </c>
      <c r="D40" s="25">
        <v>16637.02</v>
      </c>
    </row>
    <row r="41" spans="2:4" x14ac:dyDescent="0.25">
      <c r="B41" s="5" t="s">
        <v>12</v>
      </c>
      <c r="C41">
        <v>1</v>
      </c>
      <c r="D41" s="26">
        <v>0</v>
      </c>
    </row>
    <row r="42" spans="2:4" x14ac:dyDescent="0.25">
      <c r="B42" s="1" t="s">
        <v>7</v>
      </c>
      <c r="C42">
        <v>303</v>
      </c>
      <c r="D42" s="25">
        <v>8750</v>
      </c>
    </row>
    <row r="43" spans="2:4" x14ac:dyDescent="0.25">
      <c r="B43" s="3" t="s">
        <v>8</v>
      </c>
      <c r="C43" s="8">
        <f>SUM(C38:C42)</f>
        <v>388</v>
      </c>
      <c r="D43" s="4">
        <f>SUM(D38:D42)</f>
        <v>32421.02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11">
        <v>0</v>
      </c>
      <c r="D47" s="7">
        <v>0</v>
      </c>
    </row>
    <row r="48" spans="2:4" x14ac:dyDescent="0.25">
      <c r="B48" s="9" t="s">
        <v>5</v>
      </c>
      <c r="C48">
        <v>3</v>
      </c>
      <c r="D48" s="25">
        <v>10334</v>
      </c>
    </row>
    <row r="49" spans="2:4" x14ac:dyDescent="0.25">
      <c r="B49" s="9" t="s">
        <v>6</v>
      </c>
      <c r="C49">
        <v>3</v>
      </c>
      <c r="D49" s="26">
        <v>0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167</v>
      </c>
      <c r="D51" s="25">
        <v>500</v>
      </c>
    </row>
    <row r="52" spans="2:4" x14ac:dyDescent="0.25">
      <c r="B52" s="10" t="s">
        <v>8</v>
      </c>
      <c r="C52" s="8">
        <f>SUM(C47:C51)</f>
        <v>173</v>
      </c>
      <c r="D52" s="4">
        <f>SUM(D47:D51)</f>
        <v>10834</v>
      </c>
    </row>
    <row r="54" spans="2:4" x14ac:dyDescent="0.25">
      <c r="B54" s="28" t="s">
        <v>36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1" t="s">
        <v>4</v>
      </c>
      <c r="C56" s="11">
        <v>0</v>
      </c>
      <c r="D56" s="26">
        <v>0</v>
      </c>
    </row>
    <row r="57" spans="2:4" x14ac:dyDescent="0.25">
      <c r="B57" s="1" t="s">
        <v>5</v>
      </c>
      <c r="C57">
        <v>4</v>
      </c>
      <c r="D57" s="25">
        <v>742</v>
      </c>
    </row>
    <row r="58" spans="2:4" x14ac:dyDescent="0.25">
      <c r="B58" s="1" t="s">
        <v>6</v>
      </c>
      <c r="C58">
        <v>37</v>
      </c>
      <c r="D58" s="26">
        <v>0</v>
      </c>
    </row>
    <row r="59" spans="2:4" x14ac:dyDescent="0.25">
      <c r="B59" s="5" t="s">
        <v>12</v>
      </c>
      <c r="C59" s="11">
        <v>0</v>
      </c>
      <c r="D59" s="26">
        <v>0</v>
      </c>
    </row>
    <row r="60" spans="2:4" x14ac:dyDescent="0.25">
      <c r="B60" s="1" t="s">
        <v>7</v>
      </c>
      <c r="C60">
        <v>332</v>
      </c>
      <c r="D60" s="25">
        <v>3298</v>
      </c>
    </row>
    <row r="61" spans="2:4" x14ac:dyDescent="0.25">
      <c r="B61" s="3" t="s">
        <v>8</v>
      </c>
      <c r="C61" s="8">
        <f>SUM(C56:C60)</f>
        <v>373</v>
      </c>
      <c r="D61" s="4">
        <f>SUM(D56:D60)</f>
        <v>4040</v>
      </c>
    </row>
    <row r="63" spans="2:4" x14ac:dyDescent="0.25">
      <c r="B63" s="28" t="s">
        <v>30</v>
      </c>
      <c r="C63" s="28"/>
      <c r="D63" s="28"/>
    </row>
    <row r="64" spans="2:4" x14ac:dyDescent="0.25">
      <c r="B64" s="2" t="s">
        <v>1</v>
      </c>
      <c r="C64" s="2" t="s">
        <v>2</v>
      </c>
      <c r="D64" s="2" t="s">
        <v>3</v>
      </c>
    </row>
    <row r="65" spans="2:4" x14ac:dyDescent="0.25">
      <c r="B65" s="9" t="s">
        <v>4</v>
      </c>
      <c r="C65" s="26">
        <v>0</v>
      </c>
      <c r="D65" s="26">
        <v>0</v>
      </c>
    </row>
    <row r="66" spans="2:4" x14ac:dyDescent="0.25">
      <c r="B66" s="1" t="s">
        <v>5</v>
      </c>
      <c r="C66">
        <v>3</v>
      </c>
      <c r="D66" s="25">
        <v>882</v>
      </c>
    </row>
    <row r="67" spans="2:4" x14ac:dyDescent="0.25">
      <c r="B67" s="1" t="s">
        <v>6</v>
      </c>
      <c r="C67" s="11">
        <v>0</v>
      </c>
      <c r="D67" s="26">
        <v>0</v>
      </c>
    </row>
    <row r="68" spans="2:4" x14ac:dyDescent="0.25">
      <c r="B68" s="1" t="s">
        <v>7</v>
      </c>
      <c r="C68">
        <v>64</v>
      </c>
      <c r="D68" s="25">
        <v>557</v>
      </c>
    </row>
    <row r="69" spans="2:4" x14ac:dyDescent="0.25">
      <c r="B69" s="3" t="s">
        <v>8</v>
      </c>
      <c r="C69" s="8">
        <f>SUM(C65:C68)</f>
        <v>67</v>
      </c>
      <c r="D69" s="4">
        <f>SUM(D65:D68)</f>
        <v>1439</v>
      </c>
    </row>
    <row r="71" spans="2:4" x14ac:dyDescent="0.25">
      <c r="B71" s="28" t="s">
        <v>9</v>
      </c>
      <c r="C71" s="28"/>
      <c r="D71" s="28"/>
    </row>
    <row r="72" spans="2:4" x14ac:dyDescent="0.25">
      <c r="B72" s="2" t="s">
        <v>1</v>
      </c>
      <c r="C72" s="2" t="s">
        <v>2</v>
      </c>
      <c r="D72" s="2" t="s">
        <v>3</v>
      </c>
    </row>
    <row r="73" spans="2:4" x14ac:dyDescent="0.25">
      <c r="B73" s="9" t="s">
        <v>4</v>
      </c>
      <c r="C73" s="6">
        <v>0</v>
      </c>
      <c r="D73" s="26">
        <v>0</v>
      </c>
    </row>
    <row r="74" spans="2:4" x14ac:dyDescent="0.25">
      <c r="B74" s="9" t="s">
        <v>5</v>
      </c>
      <c r="C74" s="6">
        <v>0</v>
      </c>
      <c r="D74" s="26">
        <v>0</v>
      </c>
    </row>
    <row r="75" spans="2:4" x14ac:dyDescent="0.25">
      <c r="B75" s="9" t="s">
        <v>6</v>
      </c>
      <c r="C75">
        <v>2</v>
      </c>
      <c r="D75" s="26">
        <v>0</v>
      </c>
    </row>
    <row r="76" spans="2:4" x14ac:dyDescent="0.25">
      <c r="B76" s="9" t="s">
        <v>7</v>
      </c>
      <c r="C76">
        <v>61</v>
      </c>
      <c r="D76" s="26">
        <v>0</v>
      </c>
    </row>
    <row r="77" spans="2:4" x14ac:dyDescent="0.25">
      <c r="B77" s="10" t="s">
        <v>8</v>
      </c>
      <c r="C77" s="8">
        <f>SUM(C73:C76)</f>
        <v>63</v>
      </c>
      <c r="D77" s="4">
        <f>SUM(D73:D76)</f>
        <v>0</v>
      </c>
    </row>
    <row r="79" spans="2:4" x14ac:dyDescent="0.25">
      <c r="B79" s="12" t="s">
        <v>13</v>
      </c>
      <c r="C79" s="13">
        <f>SUMIF(B:B, "Total general", C:C)</f>
        <v>99501</v>
      </c>
      <c r="D79" s="13">
        <f>SUMIF(B:B, "Total general", D:D)</f>
        <v>755281.16</v>
      </c>
    </row>
  </sheetData>
  <mergeCells count="10">
    <mergeCell ref="B28:D28"/>
    <mergeCell ref="B71:D71"/>
    <mergeCell ref="B63:D63"/>
    <mergeCell ref="B20:D20"/>
    <mergeCell ref="B1:D1"/>
    <mergeCell ref="B3:D3"/>
    <mergeCell ref="B12:D12"/>
    <mergeCell ref="B36:D36"/>
    <mergeCell ref="B45:D45"/>
    <mergeCell ref="B54:D54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3182</v>
      </c>
      <c r="D3" s="14">
        <f>SUMIF('CDC-OLGUIN'!B:B, "Extrajudicial - 0 a 28 semanas de atraso", 'CDC-OLGUIN'!D:D)</f>
        <v>85886.639999999985</v>
      </c>
    </row>
    <row r="4" spans="2:6" x14ac:dyDescent="0.25">
      <c r="B4" s="1" t="s">
        <v>5</v>
      </c>
      <c r="C4" s="6">
        <f>SUMIF('CDC-OLGUIN'!B:B, "Extrajudicial - 29 a 39 semanas de atraso", 'CDC-OLGUIN'!C:C)</f>
        <v>18600</v>
      </c>
      <c r="D4" s="14">
        <f>SUMIF('CDC-OLGUIN'!B:B, "Extrajudicial - 29 a 39 semanas de atraso", 'CDC-OLGUIN'!D:D)</f>
        <v>457126.31</v>
      </c>
    </row>
    <row r="5" spans="2:6" x14ac:dyDescent="0.25">
      <c r="B5" s="1" t="s">
        <v>6</v>
      </c>
      <c r="C5" s="6">
        <f>SUMIF('CDC-OLGUIN'!B:B, "Extrajudicial - 40 a 55 semanas de atraso", 'CDC-OLGUIN'!C:C)</f>
        <v>11071</v>
      </c>
      <c r="D5" s="14">
        <f>SUMIF('CDC-OLGUIN'!B:B, "Extrajudicial - 40 a 55 semanas de atraso", 'CDC-OLGUIN'!D:D)</f>
        <v>131825.69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63908</v>
      </c>
      <c r="D7" s="6">
        <f>SUMIF('CDC-OLGUIN'!B:B, "Mas 55 semanas de atraso", 'CDC-OLGUIN'!D:D)</f>
        <v>80442.52</v>
      </c>
      <c r="E7" s="14"/>
      <c r="F7" s="7"/>
    </row>
    <row r="8" spans="2:6" x14ac:dyDescent="0.25">
      <c r="B8" s="3" t="s">
        <v>8</v>
      </c>
      <c r="C8" s="8">
        <f>SUM(C3:C7)</f>
        <v>99501</v>
      </c>
      <c r="D8" s="4">
        <f>SUM(D3:D7)</f>
        <v>755281.15999999992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2111</v>
      </c>
      <c r="E6" s="16">
        <f>SUMIF('REPORTE DIARIO'!B:B,'EPR 26 JUN'!C6, 'REPORTE DIARIO'!D:D)</f>
        <v>66992.03</v>
      </c>
      <c r="F6" s="16">
        <f>J6*D6</f>
        <v>132691.42857142855</v>
      </c>
      <c r="G6" s="16">
        <f>+E6-F6</f>
        <v>-65699.398571428552</v>
      </c>
      <c r="H6" s="15">
        <f>ABS(G6/F6)</f>
        <v>0.49512918263640665</v>
      </c>
      <c r="I6" s="16">
        <f>E6/D6</f>
        <v>31.734737091425863</v>
      </c>
      <c r="J6" s="16">
        <f>(220/7)*2</f>
        <v>62.857142857142854</v>
      </c>
      <c r="K6" s="16">
        <f>+I6-J6</f>
        <v>-31.122405765716991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18399</v>
      </c>
      <c r="E7" s="16">
        <f>SUMIF('REPORTE DIARIO'!B:B,'EPR 26 JUN'!C7, 'REPORTE DIARIO'!D:D)</f>
        <v>1098486.1200000001</v>
      </c>
      <c r="F7" s="16">
        <f>J7*D7</f>
        <v>578254.28571428568</v>
      </c>
      <c r="G7" s="16">
        <f>+E7-F7</f>
        <v>520231.83428571443</v>
      </c>
      <c r="H7" s="15">
        <f>ABS(G7/F7)</f>
        <v>0.89965927990157601</v>
      </c>
      <c r="I7" s="16">
        <f>E7/D7</f>
        <v>59.703577368335239</v>
      </c>
      <c r="J7" s="16">
        <f>(110/7)*2</f>
        <v>31.428571428571427</v>
      </c>
      <c r="K7" s="16">
        <f t="shared" ref="K7:K9" si="0">+I7-J7</f>
        <v>28.275005939763812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15316</v>
      </c>
      <c r="E8" s="16">
        <f>SUMIF('REPORTE DIARIO'!B:B,'EPR 26 JUN'!C8, 'REPORTE DIARIO'!D:D)</f>
        <v>426354.97</v>
      </c>
      <c r="F8" s="16">
        <f>J8*D8</f>
        <v>196920</v>
      </c>
      <c r="G8" s="16">
        <f>+E8-F8</f>
        <v>229434.96999999997</v>
      </c>
      <c r="H8" s="15">
        <f>ABS(G8/F8)</f>
        <v>1.1651176619947186</v>
      </c>
      <c r="I8" s="16">
        <f>E8/D8</f>
        <v>27.837227082789237</v>
      </c>
      <c r="J8" s="16">
        <f>(45/7)*2</f>
        <v>12.857142857142858</v>
      </c>
      <c r="K8" s="16">
        <f t="shared" si="0"/>
        <v>14.98008422564638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69233</v>
      </c>
      <c r="E9" s="16">
        <f>SUMIF('REPORTE DIARIO'!B:B,'EPR 26 JUN'!C9, 'REPORTE DIARIO'!D:D)</f>
        <v>433466.49999999994</v>
      </c>
      <c r="F9" s="16">
        <f>J9*D9</f>
        <v>296712.85714285716</v>
      </c>
      <c r="G9" s="16">
        <f>+E9-F9</f>
        <v>136753.64285714278</v>
      </c>
      <c r="H9" s="15">
        <f>ABS(G9/F9)</f>
        <v>0.46089557484629173</v>
      </c>
      <c r="I9" s="16">
        <f>E9/D9</f>
        <v>6.2609810350555364</v>
      </c>
      <c r="J9" s="16">
        <f>(15/7)*2</f>
        <v>4.2857142857142856</v>
      </c>
      <c r="K9" s="16">
        <f t="shared" si="0"/>
        <v>1.9752667493412508</v>
      </c>
    </row>
    <row r="10" spans="2:12" x14ac:dyDescent="0.25">
      <c r="B10" s="16"/>
      <c r="C10" s="19" t="s">
        <v>17</v>
      </c>
      <c r="D10" s="24">
        <f>SUM(D6:D9)</f>
        <v>105059</v>
      </c>
      <c r="E10" s="20">
        <f>SUM(E6:E9)</f>
        <v>2025299.62</v>
      </c>
      <c r="F10" s="20">
        <f>SUM(F6:F9)</f>
        <v>1204578.5714285714</v>
      </c>
      <c r="G10" s="20">
        <f>+E10-F10</f>
        <v>820721.04857142875</v>
      </c>
      <c r="H10" s="21">
        <f>ABS(G10/F10)</f>
        <v>0.68133459123226281</v>
      </c>
      <c r="I10" s="20">
        <f>E10/D10</f>
        <v>19.277735558114966</v>
      </c>
      <c r="J10" s="20">
        <f>F10/D10</f>
        <v>11.465734220091296</v>
      </c>
      <c r="K10" s="20">
        <f>I10-J10</f>
        <v>7.8120013380236699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2025-09-06T16:11:01Z</dcterms:modified>
</cp:coreProperties>
</file>