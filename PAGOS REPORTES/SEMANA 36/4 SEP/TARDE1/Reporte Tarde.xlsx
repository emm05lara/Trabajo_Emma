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6\4 SEP\TARDE1\"/>
    </mc:Choice>
  </mc:AlternateContent>
  <xr:revisionPtr revIDLastSave="0" documentId="8_{9352EAD3-5F0C-453F-BE43-1931857B1F07}" xr6:coauthVersionLast="47" xr6:coauthVersionMax="47" xr10:uidLastSave="{00000000-0000-0000-0000-000000000000}"/>
  <bookViews>
    <workbookView xWindow="-108" yWindow="-108" windowWidth="23256" windowHeight="12456" xr2:uid="{0D3D8E1C-BB32-49E9-900A-79555D1D241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9" i="2"/>
  <c r="D7" i="1"/>
</calcChain>
</file>

<file path=xl/sharedStrings.xml><?xml version="1.0" encoding="utf-8"?>
<sst xmlns="http://schemas.openxmlformats.org/spreadsheetml/2006/main" count="96" uniqueCount="23">
  <si>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</si>
  <si>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</si>
  <si>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</si>
  <si>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</si>
  <si>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</si>
  <si>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</si>
  <si>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</si>
  <si>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</si>
  <si>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</si>
  <si>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</si>
  <si>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</si>
  <si>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</si>
  <si>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</si>
  <si>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</si>
  <si>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</si>
  <si>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REESTRUCTURA</t>
  </si>
  <si>
    <t>TAZ</t>
  </si>
  <si>
    <t>TOR</t>
  </si>
  <si>
    <t>ITALIKA</t>
  </si>
  <si>
    <t>Producto</t>
  </si>
  <si>
    <t>Extrajudicial - 0 a 28 semanas de atraso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</si>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</sst>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137C-BB1A-43C2-A9C1-3581216609F0}">
  <dimension ref="B2:D39"/>
  <sheetViews>
    <sheetView tabSelected="1" topLeftCell="A39" workbookViewId="0">
      <selection activeCell="B2" sqref="B2:C3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12</v>
      </c>
      <c r="C3" s="1" t="s">
        <v>0</v>
      </c>
    </row>
    <row r="4" spans="2:4" x14ac:dyDescent="0.3">
      <c r="B4" s="2" t="s">
        <v>1</v>
      </c>
      <c r="C4" s="3">
        <v>22863</v>
      </c>
    </row>
    <row r="5" spans="2:4" x14ac:dyDescent="0.3">
      <c r="B5" s="2" t="s">
        <v>2</v>
      </c>
      <c r="C5" s="3">
        <v>8082</v>
      </c>
    </row>
    <row r="6" spans="2:4" ht="15" thickBot="1" x14ac:dyDescent="0.35">
      <c r="B6" s="2" t="s">
        <v>3</v>
      </c>
      <c r="C6" s="3">
        <v>7042.5</v>
      </c>
      <c r="D6" s="1" t="s">
        <v>11</v>
      </c>
    </row>
    <row r="7" spans="2:4" ht="15" thickTop="1" x14ac:dyDescent="0.3">
      <c r="B7" s="4" t="s">
        <v>4</v>
      </c>
      <c r="C7" s="5">
        <v>37987.5</v>
      </c>
      <c r="D7" s="5">
        <f>SUMIF(B:B, "Total general", C:C)</f>
        <v>97591.94</v>
      </c>
    </row>
    <row r="9" spans="2:4" x14ac:dyDescent="0.3">
      <c r="B9" s="6" t="s">
        <v>6</v>
      </c>
      <c r="C9" s="6"/>
    </row>
    <row r="10" spans="2:4" x14ac:dyDescent="0.3">
      <c r="B10" s="1" t="s">
        <v>12</v>
      </c>
      <c r="C10" s="1" t="s">
        <v>0</v>
      </c>
    </row>
    <row r="11" spans="2:4" x14ac:dyDescent="0.3">
      <c r="B11" s="2" t="s">
        <v>1</v>
      </c>
      <c r="C11" s="3">
        <v>16120</v>
      </c>
    </row>
    <row r="12" spans="2:4" x14ac:dyDescent="0.3">
      <c r="B12" s="2" t="s">
        <v>2</v>
      </c>
      <c r="C12" s="3">
        <v>1150</v>
      </c>
    </row>
    <row r="13" spans="2:4" ht="15" thickBot="1" x14ac:dyDescent="0.35">
      <c r="B13" s="2" t="s">
        <v>3</v>
      </c>
      <c r="C13" s="3">
        <v>261</v>
      </c>
    </row>
    <row r="14" spans="2:4" ht="15" thickTop="1" x14ac:dyDescent="0.3">
      <c r="B14" s="4" t="s">
        <v>4</v>
      </c>
      <c r="C14" s="5">
        <v>17531</v>
      </c>
    </row>
    <row r="16" spans="2:4" x14ac:dyDescent="0.3">
      <c r="B16" s="6" t="s">
        <v>9</v>
      </c>
      <c r="C16" s="6"/>
    </row>
    <row r="17" spans="2:3" x14ac:dyDescent="0.3">
      <c r="B17" s="1" t="s">
        <v>12</v>
      </c>
      <c r="C17" s="1" t="s">
        <v>0</v>
      </c>
    </row>
    <row r="18" spans="2:3" x14ac:dyDescent="0.3">
      <c r="B18" s="2" t="s">
        <v>1</v>
      </c>
      <c r="C18" s="3">
        <v>16238.79</v>
      </c>
    </row>
    <row r="19" spans="2:3" ht="15" thickBot="1" x14ac:dyDescent="0.35">
      <c r="B19" s="2" t="s">
        <v>2</v>
      </c>
      <c r="C19" s="3">
        <v>249</v>
      </c>
    </row>
    <row r="20" spans="2:3" ht="15" thickTop="1" x14ac:dyDescent="0.3">
      <c r="B20" s="4" t="s">
        <v>4</v>
      </c>
      <c r="C20" s="5">
        <v>16487.79</v>
      </c>
    </row>
    <row r="22" spans="2:3" x14ac:dyDescent="0.3">
      <c r="B22" s="6" t="s">
        <v>7</v>
      </c>
      <c r="C22" s="6"/>
    </row>
    <row r="23" spans="2:3" x14ac:dyDescent="0.3">
      <c r="B23" s="1" t="s">
        <v>12</v>
      </c>
      <c r="C23" s="1" t="s">
        <v>0</v>
      </c>
    </row>
    <row r="24" spans="2:3" x14ac:dyDescent="0.3">
      <c r="B24" s="2" t="s">
        <v>1</v>
      </c>
      <c r="C24" s="3">
        <v>9771.75</v>
      </c>
    </row>
    <row r="25" spans="2:3" x14ac:dyDescent="0.3">
      <c r="B25" s="2" t="s">
        <v>2</v>
      </c>
      <c r="C25" s="3">
        <v>2302</v>
      </c>
    </row>
    <row r="26" spans="2:3" ht="15" thickBot="1" x14ac:dyDescent="0.35">
      <c r="B26" s="2" t="s">
        <v>3</v>
      </c>
      <c r="C26" s="3">
        <v>1250</v>
      </c>
    </row>
    <row r="27" spans="2:3" ht="15" thickTop="1" x14ac:dyDescent="0.3">
      <c r="B27" s="4" t="s">
        <v>4</v>
      </c>
      <c r="C27" s="5">
        <v>13323.75</v>
      </c>
    </row>
    <row r="29" spans="2:3" x14ac:dyDescent="0.3">
      <c r="B29" s="6" t="s">
        <v>8</v>
      </c>
      <c r="C29" s="6"/>
    </row>
    <row r="30" spans="2:3" x14ac:dyDescent="0.3">
      <c r="B30" s="1" t="s">
        <v>12</v>
      </c>
      <c r="C30" s="1" t="s">
        <v>0</v>
      </c>
    </row>
    <row r="31" spans="2:3" x14ac:dyDescent="0.3">
      <c r="B31" s="2" t="s">
        <v>1</v>
      </c>
      <c r="C31" s="3">
        <v>5287</v>
      </c>
    </row>
    <row r="32" spans="2:3" ht="15" thickBot="1" x14ac:dyDescent="0.35">
      <c r="B32" s="2" t="s">
        <v>2</v>
      </c>
      <c r="C32" s="3">
        <v>970</v>
      </c>
    </row>
    <row r="33" spans="2:3" ht="15" thickTop="1" x14ac:dyDescent="0.3">
      <c r="B33" s="4" t="s">
        <v>4</v>
      </c>
      <c r="C33" s="5">
        <v>6257</v>
      </c>
    </row>
    <row r="35" spans="2:3" x14ac:dyDescent="0.3">
      <c r="B35" s="6" t="s">
        <v>10</v>
      </c>
      <c r="C35" s="6"/>
    </row>
    <row r="36" spans="2:3" x14ac:dyDescent="0.3">
      <c r="B36" s="1" t="s">
        <v>12</v>
      </c>
      <c r="C36" s="1" t="s">
        <v>0</v>
      </c>
    </row>
    <row r="37" spans="2:3" x14ac:dyDescent="0.3">
      <c r="B37" s="2" t="s">
        <v>1</v>
      </c>
      <c r="C37" s="3">
        <v>4949.8999999999996</v>
      </c>
    </row>
    <row r="38" spans="2:3" ht="15" thickBot="1" x14ac:dyDescent="0.35">
      <c r="B38" s="2" t="s">
        <v>3</v>
      </c>
      <c r="C38" s="3">
        <v>1055</v>
      </c>
    </row>
    <row r="39" spans="2:3" ht="15" thickTop="1" x14ac:dyDescent="0.3">
      <c r="B39" s="4" t="s">
        <v>4</v>
      </c>
      <c r="C39" s="5">
        <v>6004.9</v>
      </c>
    </row>
  </sheetData>
  <mergeCells count="6">
    <mergeCell ref="B2:C2"/>
    <mergeCell ref="B9:C9"/>
    <mergeCell ref="B22:C22"/>
    <mergeCell ref="B29:C29"/>
    <mergeCell ref="B16:C16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7279-7A62-4382-9597-13D76A974FBB}">
  <dimension ref="B2:D39"/>
  <sheetViews>
    <sheetView workbookViewId="0">
      <selection activeCell="C3" sqref="C3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19</v>
      </c>
      <c r="C3" s="1" t="s">
        <v>0</v>
      </c>
    </row>
    <row r="4" spans="2:4" x14ac:dyDescent="0.3">
      <c r="B4" s="2" t="s">
        <v>13</v>
      </c>
      <c r="C4" s="3">
        <v>2650</v>
      </c>
    </row>
    <row r="5" spans="2:4" x14ac:dyDescent="0.3">
      <c r="B5" s="2" t="s">
        <v>14</v>
      </c>
      <c r="C5" s="3">
        <v>7226</v>
      </c>
    </row>
    <row r="6" spans="2:4" x14ac:dyDescent="0.3">
      <c r="B6" s="2" t="s">
        <v>15</v>
      </c>
      <c r="C6" s="3">
        <v>3596</v>
      </c>
    </row>
    <row r="7" spans="2:4" x14ac:dyDescent="0.3">
      <c r="B7" s="2" t="s">
        <v>16</v>
      </c>
      <c r="C7" s="3">
        <v>1300</v>
      </c>
    </row>
    <row r="8" spans="2:4" ht="15" thickBot="1" x14ac:dyDescent="0.35">
      <c r="B8" s="2" t="s">
        <v>17</v>
      </c>
      <c r="C8" s="3">
        <v>23215.5</v>
      </c>
      <c r="D8" s="1" t="s">
        <v>11</v>
      </c>
    </row>
    <row r="9" spans="2:4" ht="15" thickTop="1" x14ac:dyDescent="0.3">
      <c r="B9" s="4" t="s">
        <v>4</v>
      </c>
      <c r="C9" s="5">
        <v>37987.5</v>
      </c>
      <c r="D9" s="5">
        <f>SUMIF(B:B, "Total general", C:C)</f>
        <v>97591.94</v>
      </c>
    </row>
    <row r="11" spans="2:4" x14ac:dyDescent="0.3">
      <c r="B11" s="6" t="s">
        <v>6</v>
      </c>
      <c r="C11" s="6"/>
    </row>
    <row r="12" spans="2:4" x14ac:dyDescent="0.3">
      <c r="B12" s="1" t="s">
        <v>19</v>
      </c>
      <c r="C12" s="1" t="s">
        <v>0</v>
      </c>
    </row>
    <row r="13" spans="2:4" x14ac:dyDescent="0.3">
      <c r="B13" s="2" t="s">
        <v>14</v>
      </c>
      <c r="C13" s="3">
        <v>30</v>
      </c>
    </row>
    <row r="14" spans="2:4" ht="15" thickBot="1" x14ac:dyDescent="0.35">
      <c r="B14" s="2" t="s">
        <v>17</v>
      </c>
      <c r="C14" s="3">
        <v>17501</v>
      </c>
    </row>
    <row r="15" spans="2:4" ht="15" thickTop="1" x14ac:dyDescent="0.3">
      <c r="B15" s="4" t="s">
        <v>4</v>
      </c>
      <c r="C15" s="5">
        <v>17531</v>
      </c>
    </row>
    <row r="17" spans="2:3" x14ac:dyDescent="0.3">
      <c r="B17" s="6" t="s">
        <v>9</v>
      </c>
      <c r="C17" s="6"/>
    </row>
    <row r="18" spans="2:3" x14ac:dyDescent="0.3">
      <c r="B18" s="1" t="s">
        <v>19</v>
      </c>
      <c r="C18" s="1" t="s">
        <v>0</v>
      </c>
    </row>
    <row r="19" spans="2:3" x14ac:dyDescent="0.3">
      <c r="B19" s="2" t="s">
        <v>14</v>
      </c>
      <c r="C19" s="3">
        <v>351</v>
      </c>
    </row>
    <row r="20" spans="2:3" x14ac:dyDescent="0.3">
      <c r="B20" s="2" t="s">
        <v>18</v>
      </c>
      <c r="C20" s="3">
        <v>14637.79</v>
      </c>
    </row>
    <row r="21" spans="2:3" x14ac:dyDescent="0.3">
      <c r="B21" s="2" t="s">
        <v>15</v>
      </c>
      <c r="C21" s="3">
        <v>1250</v>
      </c>
    </row>
    <row r="22" spans="2:3" ht="15" thickBot="1" x14ac:dyDescent="0.35">
      <c r="B22" s="2" t="s">
        <v>17</v>
      </c>
      <c r="C22" s="3">
        <v>249</v>
      </c>
    </row>
    <row r="23" spans="2:3" ht="15" thickTop="1" x14ac:dyDescent="0.3">
      <c r="B23" s="4" t="s">
        <v>4</v>
      </c>
      <c r="C23" s="5">
        <v>16487.79</v>
      </c>
    </row>
    <row r="25" spans="2:3" x14ac:dyDescent="0.3">
      <c r="B25" s="6" t="s">
        <v>7</v>
      </c>
      <c r="C25" s="6"/>
    </row>
    <row r="26" spans="2:3" x14ac:dyDescent="0.3">
      <c r="B26" s="1" t="s">
        <v>19</v>
      </c>
      <c r="C26" s="1" t="s">
        <v>0</v>
      </c>
    </row>
    <row r="27" spans="2:3" ht="15" thickBot="1" x14ac:dyDescent="0.35">
      <c r="B27" s="2" t="s">
        <v>17</v>
      </c>
      <c r="C27" s="3">
        <v>13323.75</v>
      </c>
    </row>
    <row r="28" spans="2:3" ht="15" thickTop="1" x14ac:dyDescent="0.3">
      <c r="B28" s="4" t="s">
        <v>4</v>
      </c>
      <c r="C28" s="5">
        <v>13323.75</v>
      </c>
    </row>
    <row r="30" spans="2:3" x14ac:dyDescent="0.3">
      <c r="B30" s="6" t="s">
        <v>8</v>
      </c>
      <c r="C30" s="6"/>
    </row>
    <row r="31" spans="2:3" x14ac:dyDescent="0.3">
      <c r="B31" s="1" t="s">
        <v>19</v>
      </c>
      <c r="C31" s="1" t="s">
        <v>0</v>
      </c>
    </row>
    <row r="32" spans="2:3" x14ac:dyDescent="0.3">
      <c r="B32" s="2" t="s">
        <v>14</v>
      </c>
      <c r="C32" s="3">
        <v>970</v>
      </c>
    </row>
    <row r="33" spans="2:3" ht="15" thickBot="1" x14ac:dyDescent="0.35">
      <c r="B33" s="2" t="s">
        <v>17</v>
      </c>
      <c r="C33" s="3">
        <v>5287</v>
      </c>
    </row>
    <row r="34" spans="2:3" ht="15" thickTop="1" x14ac:dyDescent="0.3">
      <c r="B34" s="4" t="s">
        <v>4</v>
      </c>
      <c r="C34" s="5">
        <v>6257</v>
      </c>
    </row>
    <row r="36" spans="2:3" x14ac:dyDescent="0.3">
      <c r="B36" s="6" t="s">
        <v>10</v>
      </c>
      <c r="C36" s="6"/>
    </row>
    <row r="37" spans="2:3" x14ac:dyDescent="0.3">
      <c r="B37" s="1" t="s">
        <v>19</v>
      </c>
      <c r="C37" s="1" t="s">
        <v>0</v>
      </c>
    </row>
    <row r="38" spans="2:3" ht="15" thickBot="1" x14ac:dyDescent="0.35">
      <c r="B38" s="2" t="s">
        <v>17</v>
      </c>
      <c r="C38" s="3">
        <v>6004.9</v>
      </c>
    </row>
    <row r="39" spans="2:3" ht="15" thickTop="1" x14ac:dyDescent="0.3">
      <c r="B39" s="4" t="s">
        <v>4</v>
      </c>
      <c r="C39" s="5">
        <v>6004.9</v>
      </c>
    </row>
  </sheetData>
  <mergeCells count="6">
    <mergeCell ref="B2:C2"/>
    <mergeCell ref="B11:C11"/>
    <mergeCell ref="B17:C17"/>
    <mergeCell ref="B25:C25"/>
    <mergeCell ref="B30:C30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C6E8-4DCE-4B7D-B724-2B206011C97E}">
  <dimension ref="B2:D15"/>
  <sheetViews>
    <sheetView workbookViewId="0">
      <selection activeCell="B2" sqref="B2:C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22</v>
      </c>
      <c r="C2" s="6"/>
    </row>
    <row r="3" spans="2:4" x14ac:dyDescent="0.3">
      <c r="B3" s="6" t="s">
        <v>21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20</v>
      </c>
      <c r="C5" s="3">
        <v>10</v>
      </c>
    </row>
    <row r="6" spans="2:4" x14ac:dyDescent="0.3">
      <c r="B6" s="2" t="s">
        <v>1</v>
      </c>
      <c r="C6" s="3">
        <v>18866</v>
      </c>
    </row>
    <row r="7" spans="2:4" x14ac:dyDescent="0.3">
      <c r="B7" s="2" t="s">
        <v>2</v>
      </c>
      <c r="C7" s="3">
        <v>15855.01</v>
      </c>
    </row>
    <row r="8" spans="2:4" ht="15" thickBot="1" x14ac:dyDescent="0.35">
      <c r="B8" s="2" t="s">
        <v>3</v>
      </c>
      <c r="C8" s="3">
        <v>22529.75</v>
      </c>
      <c r="D8" s="1" t="s">
        <v>11</v>
      </c>
    </row>
    <row r="9" spans="2:4" ht="15" thickTop="1" x14ac:dyDescent="0.3">
      <c r="B9" s="4" t="s">
        <v>4</v>
      </c>
      <c r="C9" s="5">
        <v>57260.76</v>
      </c>
      <c r="D9" s="5">
        <f>SUMIF(B:B, "Total general", C:C)</f>
        <v>59059.76</v>
      </c>
    </row>
    <row r="11" spans="2:4" x14ac:dyDescent="0.3">
      <c r="B11" s="6" t="s">
        <v>9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1550</v>
      </c>
    </row>
    <row r="14" spans="2:4" ht="15" thickBot="1" x14ac:dyDescent="0.35">
      <c r="B14" s="2" t="s">
        <v>2</v>
      </c>
      <c r="C14" s="3">
        <v>249</v>
      </c>
    </row>
    <row r="15" spans="2:4" ht="15" thickTop="1" x14ac:dyDescent="0.3">
      <c r="B15" s="4" t="s">
        <v>4</v>
      </c>
      <c r="C15" s="5">
        <v>1799</v>
      </c>
    </row>
  </sheetData>
  <mergeCells count="3">
    <mergeCell ref="B3:C3"/>
    <mergeCell ref="B2:C2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2025-09-04T19:28:31Z</dcterms:created>
  <dcterms:modified xsi:type="dcterms:W3CDTF">2025-09-04T19:34:17Z</dcterms:modified>
</cp:coreProperties>
</file>