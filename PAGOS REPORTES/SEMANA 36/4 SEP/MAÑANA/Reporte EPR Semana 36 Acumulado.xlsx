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6\4 SEP\MAÑANA\"/>
    </mc:Choice>
  </mc:AlternateContent>
  <xr:revisionPtr revIDLastSave="0" documentId="13_ncr:1_{084B7F3E-CA14-49E6-A852-2E89858B7200}" xr6:coauthVersionLast="47" xr6:coauthVersionMax="47" xr10:uidLastSave="{00000000-0000-0000-0000-000000000000}"/>
  <bookViews>
    <workbookView xWindow="-96" yWindow="0" windowWidth="11712" windowHeight="12336" firstSheet="1" activeTab="2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5" l="1"/>
  <c r="D18" i="5"/>
  <c r="D10" i="5"/>
  <c r="D27" i="5"/>
  <c r="D60" i="5"/>
  <c r="C60" i="5"/>
  <c r="D7" i="6"/>
  <c r="D6" i="6"/>
  <c r="D5" i="6"/>
  <c r="D4" i="6"/>
  <c r="D3" i="6"/>
  <c r="C7" i="6"/>
  <c r="C6" i="6"/>
  <c r="C5" i="6"/>
  <c r="C4" i="6"/>
  <c r="C3" i="6"/>
  <c r="D52" i="5"/>
  <c r="D34" i="5"/>
  <c r="C34" i="5"/>
  <c r="D51" i="1"/>
  <c r="C51" i="1"/>
  <c r="D68" i="5"/>
  <c r="C68" i="5"/>
  <c r="C52" i="5"/>
  <c r="D43" i="5"/>
  <c r="C43" i="5"/>
  <c r="C27" i="5"/>
  <c r="D65" i="1"/>
  <c r="C65" i="1"/>
  <c r="C10" i="5"/>
  <c r="J9" i="3"/>
  <c r="J8" i="3"/>
  <c r="J7" i="3"/>
  <c r="J6" i="3"/>
  <c r="C59" i="1"/>
  <c r="C70" i="5" l="1"/>
  <c r="D8" i="6"/>
  <c r="C8" i="6"/>
  <c r="D70" i="5"/>
  <c r="C19" i="1"/>
  <c r="D19" i="1"/>
  <c r="D28" i="1"/>
  <c r="C28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<sst xmlns="http://schemas.openxmlformats.org/spreadsheetml/2006/main" count="187" uniqueCount="40">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</sst>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67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19</v>
      </c>
      <c r="D5" s="25">
        <v>-4596</v>
      </c>
    </row>
    <row r="6" spans="2:8" x14ac:dyDescent="0.3">
      <c r="B6" s="1" t="s">
        <v>5</v>
      </c>
      <c r="C6" s="6">
        <v>8864</v>
      </c>
      <c r="D6" s="25">
        <v>322861.34000000003</v>
      </c>
    </row>
    <row r="7" spans="2:8" x14ac:dyDescent="0.3">
      <c r="B7" s="1" t="s">
        <v>6</v>
      </c>
      <c r="C7" s="6">
        <v>7757</v>
      </c>
      <c r="D7" s="25">
        <v>123136.76000000001</v>
      </c>
    </row>
    <row r="8" spans="2:8" x14ac:dyDescent="0.3">
      <c r="B8" s="5" t="s">
        <v>12</v>
      </c>
      <c r="C8" s="7">
        <v>1232</v>
      </c>
      <c r="D8" s="26">
        <v>0</v>
      </c>
    </row>
    <row r="9" spans="2:8" x14ac:dyDescent="0.3">
      <c r="B9" s="1" t="s">
        <v>7</v>
      </c>
      <c r="C9" s="6">
        <v>34192</v>
      </c>
      <c r="D9" s="25">
        <v>189442.77000000002</v>
      </c>
      <c r="E9" s="14"/>
      <c r="F9" s="7"/>
    </row>
    <row r="10" spans="2:8" x14ac:dyDescent="0.3">
      <c r="B10" s="3" t="s">
        <v>8</v>
      </c>
      <c r="C10" s="8">
        <f>SUM(C5:C9)</f>
        <v>52064</v>
      </c>
      <c r="D10" s="4">
        <f>SUM(D5:D9)</f>
        <v>630844.87000000011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0</v>
      </c>
      <c r="D14" s="26">
        <v>0</v>
      </c>
    </row>
    <row r="15" spans="2:8" x14ac:dyDescent="0.3">
      <c r="B15" s="1" t="s">
        <v>5</v>
      </c>
      <c r="C15" s="6">
        <v>2257</v>
      </c>
      <c r="D15" s="25">
        <v>84691.770000000019</v>
      </c>
    </row>
    <row r="16" spans="2:8" x14ac:dyDescent="0.3">
      <c r="B16" s="1" t="s">
        <v>6</v>
      </c>
      <c r="C16" s="6">
        <v>2995</v>
      </c>
      <c r="D16" s="25">
        <v>34941</v>
      </c>
    </row>
    <row r="17" spans="2:4" x14ac:dyDescent="0.3">
      <c r="B17" s="5" t="s">
        <v>12</v>
      </c>
      <c r="C17" s="6">
        <v>0</v>
      </c>
      <c r="D17" s="11">
        <v>0</v>
      </c>
    </row>
    <row r="18" spans="2:4" x14ac:dyDescent="0.3">
      <c r="B18" s="1" t="s">
        <v>7</v>
      </c>
      <c r="C18" s="7">
        <v>18138</v>
      </c>
      <c r="D18" s="25">
        <v>48002.69</v>
      </c>
    </row>
    <row r="19" spans="2:4" x14ac:dyDescent="0.3">
      <c r="B19" s="3" t="s">
        <v>8</v>
      </c>
      <c r="C19" s="8">
        <f>SUM(C14:C18)</f>
        <v>23390</v>
      </c>
      <c r="D19" s="4">
        <f>SUM(D14:D18)</f>
        <v>167635.46000000002</v>
      </c>
    </row>
    <row r="21" spans="2:4" x14ac:dyDescent="0.3">
      <c r="B21" s="29" t="s">
        <v>10</v>
      </c>
      <c r="C21" s="29"/>
      <c r="D21" s="29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6</v>
      </c>
      <c r="D23" s="26">
        <v>0</v>
      </c>
    </row>
    <row r="24" spans="2:4" x14ac:dyDescent="0.3">
      <c r="B24" s="9" t="s">
        <v>5</v>
      </c>
      <c r="C24" s="6">
        <v>2730</v>
      </c>
      <c r="D24" s="25">
        <v>74094.87999999999</v>
      </c>
    </row>
    <row r="25" spans="2:4" x14ac:dyDescent="0.3">
      <c r="B25" s="9" t="s">
        <v>6</v>
      </c>
      <c r="C25" s="6">
        <v>882</v>
      </c>
      <c r="D25" s="25">
        <v>21188.35</v>
      </c>
    </row>
    <row r="26" spans="2:4" x14ac:dyDescent="0.3">
      <c r="B26" s="5" t="s">
        <v>12</v>
      </c>
      <c r="C26" s="7">
        <v>1</v>
      </c>
      <c r="D26" s="26">
        <v>0</v>
      </c>
    </row>
    <row r="27" spans="2:4" x14ac:dyDescent="0.3">
      <c r="B27" s="9" t="s">
        <v>7</v>
      </c>
      <c r="C27" s="6">
        <v>12964</v>
      </c>
      <c r="D27" s="25">
        <v>38731.729999999996</v>
      </c>
    </row>
    <row r="28" spans="2:4" x14ac:dyDescent="0.3">
      <c r="B28" s="10" t="s">
        <v>8</v>
      </c>
      <c r="C28" s="8">
        <f>SUM(C23:C27)</f>
        <v>16583</v>
      </c>
      <c r="D28" s="4">
        <f>SUM(D23:D27)</f>
        <v>134014.95999999996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0</v>
      </c>
      <c r="D32" s="26">
        <v>0</v>
      </c>
    </row>
    <row r="33" spans="2:4" x14ac:dyDescent="0.3">
      <c r="B33" s="9" t="s">
        <v>5</v>
      </c>
      <c r="C33" s="6">
        <v>1637</v>
      </c>
      <c r="D33" s="25">
        <v>48269.85</v>
      </c>
    </row>
    <row r="34" spans="2:4" x14ac:dyDescent="0.3">
      <c r="B34" s="9" t="s">
        <v>6</v>
      </c>
      <c r="C34" s="6">
        <v>1674</v>
      </c>
      <c r="D34" s="25">
        <v>21738</v>
      </c>
    </row>
    <row r="35" spans="2:4" x14ac:dyDescent="0.3">
      <c r="B35" s="9" t="s">
        <v>7</v>
      </c>
      <c r="C35" s="6">
        <v>3214</v>
      </c>
      <c r="D35" s="25">
        <v>7629</v>
      </c>
    </row>
    <row r="36" spans="2:4" x14ac:dyDescent="0.3">
      <c r="B36" s="10" t="s">
        <v>8</v>
      </c>
      <c r="C36" s="8">
        <f>SUM(C32:C35)</f>
        <v>6525</v>
      </c>
      <c r="D36" s="4">
        <f>SUM(D32:D35)</f>
        <v>77636.850000000006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>
        <v>1</v>
      </c>
      <c r="D40" s="25">
        <v>23035.16</v>
      </c>
    </row>
    <row r="41" spans="2:4" x14ac:dyDescent="0.3">
      <c r="B41" s="1" t="s">
        <v>5</v>
      </c>
      <c r="C41">
        <v>10</v>
      </c>
      <c r="D41" s="25">
        <v>24484</v>
      </c>
    </row>
    <row r="42" spans="2:4" x14ac:dyDescent="0.3">
      <c r="B42" s="1" t="s">
        <v>6</v>
      </c>
      <c r="C42">
        <v>7</v>
      </c>
      <c r="D42" s="25">
        <v>16324</v>
      </c>
    </row>
    <row r="43" spans="2:4" x14ac:dyDescent="0.3">
      <c r="B43" s="1" t="s">
        <v>7</v>
      </c>
      <c r="C43">
        <v>26</v>
      </c>
      <c r="D43" s="25">
        <v>3140</v>
      </c>
    </row>
    <row r="44" spans="2:4" x14ac:dyDescent="0.3">
      <c r="B44" s="3" t="s">
        <v>8</v>
      </c>
      <c r="C44" s="8">
        <f>SUM(C40:C43)</f>
        <v>44</v>
      </c>
      <c r="D44" s="4">
        <f>SUM(D40:D43)</f>
        <v>66983.16</v>
      </c>
    </row>
    <row r="46" spans="2:4" x14ac:dyDescent="0.3">
      <c r="B46" s="29" t="s">
        <v>11</v>
      </c>
      <c r="C46" s="29"/>
      <c r="D46" s="29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1976</v>
      </c>
      <c r="D48" s="25">
        <v>9879.75</v>
      </c>
    </row>
    <row r="49" spans="2:4" x14ac:dyDescent="0.3">
      <c r="B49" s="1" t="s">
        <v>5</v>
      </c>
      <c r="C49" s="6">
        <v>2330</v>
      </c>
      <c r="D49" s="25">
        <v>26507.33</v>
      </c>
    </row>
    <row r="50" spans="2:4" x14ac:dyDescent="0.3">
      <c r="B50" s="1" t="s">
        <v>6</v>
      </c>
      <c r="C50" s="6">
        <v>1735</v>
      </c>
      <c r="D50" s="25">
        <v>7558.22</v>
      </c>
    </row>
    <row r="51" spans="2:4" x14ac:dyDescent="0.3">
      <c r="B51" s="10" t="s">
        <v>8</v>
      </c>
      <c r="C51" s="8">
        <f>SUM(C48:C50)</f>
        <v>6041</v>
      </c>
      <c r="D51" s="4">
        <f>SUM(D48:D50)</f>
        <v>43945.3</v>
      </c>
    </row>
    <row r="53" spans="2:4" x14ac:dyDescent="0.3">
      <c r="B53" s="28" t="s">
        <v>30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9" t="s">
        <v>4</v>
      </c>
      <c r="C55" s="6">
        <v>0</v>
      </c>
      <c r="D55" s="26">
        <v>0</v>
      </c>
    </row>
    <row r="56" spans="2:4" x14ac:dyDescent="0.3">
      <c r="B56" s="1" t="s">
        <v>5</v>
      </c>
      <c r="C56" s="6">
        <v>563</v>
      </c>
      <c r="D56" s="25">
        <v>9328.25</v>
      </c>
    </row>
    <row r="57" spans="2:4" x14ac:dyDescent="0.3">
      <c r="B57" s="1" t="s">
        <v>6</v>
      </c>
      <c r="C57" s="6">
        <v>254</v>
      </c>
      <c r="D57" s="25">
        <v>7523</v>
      </c>
    </row>
    <row r="58" spans="2:4" x14ac:dyDescent="0.3">
      <c r="B58" s="1" t="s">
        <v>7</v>
      </c>
      <c r="C58" s="6">
        <v>1241</v>
      </c>
      <c r="D58" s="25">
        <v>3683</v>
      </c>
    </row>
    <row r="59" spans="2:4" x14ac:dyDescent="0.3">
      <c r="B59" s="3" t="s">
        <v>8</v>
      </c>
      <c r="C59" s="8">
        <f>SUM(C55:C58)</f>
        <v>2058</v>
      </c>
      <c r="D59" s="4">
        <f>SUM(D55:D58)</f>
        <v>20534.25</v>
      </c>
    </row>
    <row r="60" spans="2:4" hidden="1" x14ac:dyDescent="0.3"/>
    <row r="61" spans="2:4" hidden="1" x14ac:dyDescent="0.3">
      <c r="B61" s="28" t="s">
        <v>38</v>
      </c>
      <c r="C61" s="28"/>
      <c r="D61" s="28"/>
    </row>
    <row r="62" spans="2:4" hidden="1" x14ac:dyDescent="0.3">
      <c r="B62" s="2" t="s">
        <v>1</v>
      </c>
      <c r="C62" s="2" t="s">
        <v>2</v>
      </c>
      <c r="D62" s="2" t="s">
        <v>3</v>
      </c>
    </row>
    <row r="63" spans="2:4" hidden="1" x14ac:dyDescent="0.3">
      <c r="B63" s="9" t="s">
        <v>4</v>
      </c>
      <c r="C63" s="6">
        <v>0</v>
      </c>
      <c r="D63" s="26">
        <v>0</v>
      </c>
    </row>
    <row r="64" spans="2:4" hidden="1" x14ac:dyDescent="0.3">
      <c r="B64" s="1" t="s">
        <v>5</v>
      </c>
      <c r="C64" s="6">
        <v>0</v>
      </c>
      <c r="D64" s="26">
        <v>0</v>
      </c>
    </row>
    <row r="65" spans="2:4" hidden="1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106705</v>
      </c>
      <c r="D67" s="13">
        <f>SUMIF(B:B, "Total general", D:D)</f>
        <v>1141594.8500000001</v>
      </c>
    </row>
  </sheetData>
  <mergeCells count="8">
    <mergeCell ref="B3:D3"/>
    <mergeCell ref="B21:D21"/>
    <mergeCell ref="B30:D30"/>
    <mergeCell ref="B61:D61"/>
    <mergeCell ref="B46:D46"/>
    <mergeCell ref="B38:D38"/>
    <mergeCell ref="B12:D12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opLeftCell="A44" zoomScaleNormal="100" workbookViewId="0">
      <selection activeCell="B1" sqref="B1:D7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596</v>
      </c>
      <c r="D5" s="25">
        <v>2250</v>
      </c>
      <c r="E5" s="11"/>
    </row>
    <row r="6" spans="2:8" x14ac:dyDescent="0.3">
      <c r="B6" s="1" t="s">
        <v>5</v>
      </c>
      <c r="C6" s="27">
        <v>14601</v>
      </c>
      <c r="D6" s="25">
        <v>132740.63</v>
      </c>
    </row>
    <row r="7" spans="2:8" x14ac:dyDescent="0.3">
      <c r="B7" s="1" t="s">
        <v>6</v>
      </c>
      <c r="C7" s="27">
        <v>8584</v>
      </c>
      <c r="D7" s="25">
        <v>51124.03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63614</v>
      </c>
      <c r="D9" s="25">
        <v>55988.75</v>
      </c>
      <c r="E9" s="14"/>
      <c r="F9" s="7"/>
    </row>
    <row r="10" spans="2:8" x14ac:dyDescent="0.3">
      <c r="B10" s="3" t="s">
        <v>8</v>
      </c>
      <c r="C10" s="8">
        <f>SUM(C5:C9)</f>
        <v>90134</v>
      </c>
      <c r="D10" s="4">
        <f>SUM(D5:D9)</f>
        <v>242103.41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1</v>
      </c>
      <c r="D14" s="25">
        <v>23035.16</v>
      </c>
    </row>
    <row r="15" spans="2:8" x14ac:dyDescent="0.3">
      <c r="B15" s="1" t="s">
        <v>5</v>
      </c>
      <c r="C15">
        <v>10</v>
      </c>
      <c r="D15" s="25">
        <v>24484</v>
      </c>
    </row>
    <row r="16" spans="2:8" x14ac:dyDescent="0.3">
      <c r="B16" s="1" t="s">
        <v>6</v>
      </c>
      <c r="C16">
        <v>7</v>
      </c>
      <c r="D16" s="25">
        <v>16324</v>
      </c>
    </row>
    <row r="17" spans="2:4" x14ac:dyDescent="0.3">
      <c r="B17" s="1" t="s">
        <v>7</v>
      </c>
      <c r="C17">
        <v>26</v>
      </c>
      <c r="D17" s="25">
        <v>3140</v>
      </c>
    </row>
    <row r="18" spans="2:4" x14ac:dyDescent="0.3">
      <c r="B18" s="3" t="s">
        <v>8</v>
      </c>
      <c r="C18" s="8">
        <f>SUM(C14:C17)</f>
        <v>44</v>
      </c>
      <c r="D18" s="4">
        <f>SUM(D14:D17)</f>
        <v>66983.16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>
        <v>16</v>
      </c>
      <c r="D23" s="25">
        <v>3064</v>
      </c>
    </row>
    <row r="24" spans="2:4" x14ac:dyDescent="0.3">
      <c r="B24" s="1" t="s">
        <v>6</v>
      </c>
      <c r="C24">
        <v>69</v>
      </c>
      <c r="D24" s="25">
        <v>16637.02</v>
      </c>
    </row>
    <row r="25" spans="2:4" x14ac:dyDescent="0.3">
      <c r="B25" s="5" t="s">
        <v>12</v>
      </c>
      <c r="C25">
        <v>1</v>
      </c>
      <c r="D25" s="26">
        <v>0</v>
      </c>
    </row>
    <row r="26" spans="2:4" x14ac:dyDescent="0.3">
      <c r="B26" s="1" t="s">
        <v>7</v>
      </c>
      <c r="C26">
        <v>303</v>
      </c>
      <c r="D26" s="25">
        <v>6691</v>
      </c>
    </row>
    <row r="27" spans="2:4" x14ac:dyDescent="0.3">
      <c r="B27" s="3" t="s">
        <v>8</v>
      </c>
      <c r="C27" s="8">
        <f>SUM(C22:C26)</f>
        <v>389</v>
      </c>
      <c r="D27" s="4">
        <f>SUM(D22:D26)</f>
        <v>26392.02</v>
      </c>
    </row>
    <row r="29" spans="2:4" x14ac:dyDescent="0.3">
      <c r="B29" s="29" t="s">
        <v>11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>
        <v>1716</v>
      </c>
      <c r="D31" s="25">
        <v>7473.99</v>
      </c>
    </row>
    <row r="32" spans="2:4" x14ac:dyDescent="0.3">
      <c r="B32" s="1" t="s">
        <v>5</v>
      </c>
      <c r="C32">
        <v>1316</v>
      </c>
      <c r="D32" s="25">
        <v>3988.54</v>
      </c>
    </row>
    <row r="33" spans="2:4" x14ac:dyDescent="0.3">
      <c r="B33" s="1" t="s">
        <v>6</v>
      </c>
      <c r="C33">
        <v>1340</v>
      </c>
      <c r="D33" s="25">
        <v>7276</v>
      </c>
    </row>
    <row r="34" spans="2:4" x14ac:dyDescent="0.3">
      <c r="B34" s="10" t="s">
        <v>8</v>
      </c>
      <c r="C34" s="8">
        <f>SUM(C31:C33)</f>
        <v>4372</v>
      </c>
      <c r="D34" s="4">
        <f>SUM(D31:D33)</f>
        <v>18738.53</v>
      </c>
    </row>
    <row r="36" spans="2:4" x14ac:dyDescent="0.3">
      <c r="B36" s="29" t="s">
        <v>10</v>
      </c>
      <c r="C36" s="29"/>
      <c r="D36" s="29"/>
    </row>
    <row r="37" spans="2:4" x14ac:dyDescent="0.3">
      <c r="B37" s="4" t="s">
        <v>1</v>
      </c>
      <c r="C37" s="4" t="s">
        <v>2</v>
      </c>
      <c r="D37" s="4" t="s">
        <v>3</v>
      </c>
    </row>
    <row r="38" spans="2:4" x14ac:dyDescent="0.3">
      <c r="B38" s="9" t="s">
        <v>4</v>
      </c>
      <c r="C38" s="11">
        <v>0</v>
      </c>
      <c r="D38" s="7">
        <v>0</v>
      </c>
    </row>
    <row r="39" spans="2:4" x14ac:dyDescent="0.3">
      <c r="B39" s="9" t="s">
        <v>5</v>
      </c>
      <c r="C39">
        <v>4</v>
      </c>
      <c r="D39" s="25">
        <v>10334</v>
      </c>
    </row>
    <row r="40" spans="2:4" x14ac:dyDescent="0.3">
      <c r="B40" s="9" t="s">
        <v>6</v>
      </c>
      <c r="C40">
        <v>3</v>
      </c>
      <c r="D40" s="26">
        <v>0</v>
      </c>
    </row>
    <row r="41" spans="2:4" x14ac:dyDescent="0.3">
      <c r="B41" s="5" t="s">
        <v>12</v>
      </c>
      <c r="C41" s="7">
        <v>0</v>
      </c>
      <c r="D41" s="7">
        <v>0</v>
      </c>
    </row>
    <row r="42" spans="2:4" x14ac:dyDescent="0.3">
      <c r="B42" s="9" t="s">
        <v>7</v>
      </c>
      <c r="C42">
        <v>167</v>
      </c>
      <c r="D42" s="26">
        <v>0</v>
      </c>
    </row>
    <row r="43" spans="2:4" x14ac:dyDescent="0.3">
      <c r="B43" s="10" t="s">
        <v>8</v>
      </c>
      <c r="C43" s="8">
        <f>SUM(C38:C42)</f>
        <v>174</v>
      </c>
      <c r="D43" s="4">
        <f>SUM(D38:D42)</f>
        <v>10334</v>
      </c>
    </row>
    <row r="45" spans="2:4" x14ac:dyDescent="0.3">
      <c r="B45" s="28" t="s">
        <v>36</v>
      </c>
      <c r="C45" s="28"/>
      <c r="D45" s="28"/>
    </row>
    <row r="46" spans="2:4" x14ac:dyDescent="0.3">
      <c r="B46" s="2" t="s">
        <v>1</v>
      </c>
      <c r="C46" s="2" t="s">
        <v>2</v>
      </c>
      <c r="D46" s="2" t="s">
        <v>3</v>
      </c>
    </row>
    <row r="47" spans="2:4" x14ac:dyDescent="0.3">
      <c r="B47" s="1" t="s">
        <v>4</v>
      </c>
      <c r="C47" s="11">
        <v>0</v>
      </c>
      <c r="D47" s="26">
        <v>0</v>
      </c>
    </row>
    <row r="48" spans="2:4" x14ac:dyDescent="0.3">
      <c r="B48" s="1" t="s">
        <v>5</v>
      </c>
      <c r="C48">
        <v>4</v>
      </c>
      <c r="D48" s="26">
        <v>0</v>
      </c>
    </row>
    <row r="49" spans="2:4" x14ac:dyDescent="0.3">
      <c r="B49" s="1" t="s">
        <v>6</v>
      </c>
      <c r="C49">
        <v>37</v>
      </c>
      <c r="D49" s="26">
        <v>0</v>
      </c>
    </row>
    <row r="50" spans="2:4" x14ac:dyDescent="0.3">
      <c r="B50" s="5" t="s">
        <v>12</v>
      </c>
      <c r="C50" s="11">
        <v>0</v>
      </c>
      <c r="D50" s="26">
        <v>0</v>
      </c>
    </row>
    <row r="51" spans="2:4" x14ac:dyDescent="0.3">
      <c r="B51" s="1" t="s">
        <v>7</v>
      </c>
      <c r="C51">
        <v>332</v>
      </c>
      <c r="D51" s="25">
        <v>2788</v>
      </c>
    </row>
    <row r="52" spans="2:4" x14ac:dyDescent="0.3">
      <c r="B52" s="3" t="s">
        <v>8</v>
      </c>
      <c r="C52" s="8">
        <f>SUM(C47:C51)</f>
        <v>373</v>
      </c>
      <c r="D52" s="4">
        <f>SUM(D47:D51)</f>
        <v>2788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 s="11">
        <v>0</v>
      </c>
      <c r="D58" s="26">
        <v>0</v>
      </c>
    </row>
    <row r="59" spans="2:4" x14ac:dyDescent="0.3">
      <c r="B59" s="1" t="s">
        <v>7</v>
      </c>
      <c r="C59">
        <v>64</v>
      </c>
      <c r="D59" s="26">
        <v>0</v>
      </c>
    </row>
    <row r="60" spans="2:4" x14ac:dyDescent="0.3">
      <c r="B60" s="3" t="s">
        <v>8</v>
      </c>
      <c r="C60" s="8">
        <f>SUM(C56:C59)</f>
        <v>67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95616</v>
      </c>
      <c r="D70" s="13">
        <f>SUMIF(B:B, "Total general", D:D)</f>
        <v>367339.12</v>
      </c>
    </row>
  </sheetData>
  <mergeCells count="9">
    <mergeCell ref="B62:D62"/>
    <mergeCell ref="B54:D54"/>
    <mergeCell ref="B29:D29"/>
    <mergeCell ref="B1:D1"/>
    <mergeCell ref="B3:D3"/>
    <mergeCell ref="B12:D12"/>
    <mergeCell ref="B20:D20"/>
    <mergeCell ref="B36:D36"/>
    <mergeCell ref="B45:D45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tabSelected="1" zoomScaleNormal="100" workbookViewId="0">
      <selection activeCell="E4" sqref="E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2313</v>
      </c>
      <c r="D3" s="14">
        <f>SUMIF('CDC-OLGUIN'!B:B, "Extrajudicial - 0 a 28 semanas de atraso", 'CDC-OLGUIN'!D:D)</f>
        <v>32759.15</v>
      </c>
    </row>
    <row r="4" spans="2:6" x14ac:dyDescent="0.3">
      <c r="B4" s="1" t="s">
        <v>5</v>
      </c>
      <c r="C4" s="6">
        <f>SUMIF('CDC-OLGUIN'!B:B, "Extrajudicial - 29 a 39 semanas de atraso", 'CDC-OLGUIN'!C:C)</f>
        <v>15954</v>
      </c>
      <c r="D4" s="14">
        <f>SUMIF('CDC-OLGUIN'!B:B, "Extrajudicial - 29 a 39 semanas de atraso", 'CDC-OLGUIN'!D:D)</f>
        <v>174611.17</v>
      </c>
    </row>
    <row r="5" spans="2:6" x14ac:dyDescent="0.3">
      <c r="B5" s="1" t="s">
        <v>6</v>
      </c>
      <c r="C5" s="6">
        <f>SUMIF('CDC-OLGUIN'!B:B, "Extrajudicial - 40 a 55 semanas de atraso", 'CDC-OLGUIN'!C:C)</f>
        <v>10042</v>
      </c>
      <c r="D5" s="14">
        <f>SUMIF('CDC-OLGUIN'!B:B, "Extrajudicial - 40 a 55 semanas de atraso", 'CDC-OLGUIN'!D:D)</f>
        <v>91361.05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64567</v>
      </c>
      <c r="D7" s="6">
        <f>SUMIF('CDC-OLGUIN'!B:B, "Mas 55 semanas de atraso", 'CDC-OLGUIN'!D:D)</f>
        <v>68607.75</v>
      </c>
      <c r="E7" s="14"/>
      <c r="F7" s="7"/>
    </row>
    <row r="8" spans="2:6" x14ac:dyDescent="0.3">
      <c r="B8" s="3" t="s">
        <v>8</v>
      </c>
      <c r="C8" s="8">
        <f>SUM(C3:C7)</f>
        <v>95616</v>
      </c>
      <c r="D8" s="4">
        <f>SUM(D3:D7)</f>
        <v>367339.12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2002</v>
      </c>
      <c r="E6" s="16">
        <f>SUMIF('REPORTE DIARIO'!B:B,'EPR 26 JUN'!C6, 'REPORTE DIARIO'!D:D)</f>
        <v>28318.91</v>
      </c>
      <c r="F6" s="16">
        <f>J6*D6</f>
        <v>125840</v>
      </c>
      <c r="G6" s="16">
        <f>+E6-F6</f>
        <v>-97521.09</v>
      </c>
      <c r="H6" s="15">
        <f>ABS(G6/F6)</f>
        <v>0.77496098219961851</v>
      </c>
      <c r="I6" s="16">
        <f>E6/D6</f>
        <v>14.14530969030969</v>
      </c>
      <c r="J6" s="16">
        <f>(220/7)*2</f>
        <v>62.857142857142854</v>
      </c>
      <c r="K6" s="16">
        <f>+I6-J6</f>
        <v>-48.711833166833166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18391</v>
      </c>
      <c r="E7" s="16">
        <f>SUMIF('REPORTE DIARIO'!B:B,'EPR 26 JUN'!C7, 'REPORTE DIARIO'!D:D)</f>
        <v>590237.42000000004</v>
      </c>
      <c r="F7" s="16">
        <f>J7*D7</f>
        <v>578002.85714285716</v>
      </c>
      <c r="G7" s="16">
        <f>+E7-F7</f>
        <v>12234.562857142882</v>
      </c>
      <c r="H7" s="15">
        <f>ABS(G7/F7)</f>
        <v>2.116695913515014E-2</v>
      </c>
      <c r="I7" s="16">
        <f>E7/D7</f>
        <v>32.09381871567615</v>
      </c>
      <c r="J7" s="16">
        <f>(110/7)*2</f>
        <v>31.428571428571427</v>
      </c>
      <c r="K7" s="16">
        <f t="shared" ref="K7:K9" si="0">+I7-J7</f>
        <v>0.66524728710472303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15304</v>
      </c>
      <c r="E8" s="16">
        <f>SUMIF('REPORTE DIARIO'!B:B,'EPR 26 JUN'!C8, 'REPORTE DIARIO'!D:D)</f>
        <v>232409.33000000002</v>
      </c>
      <c r="F8" s="16">
        <f>J8*D8</f>
        <v>196765.71428571429</v>
      </c>
      <c r="G8" s="16">
        <f>+E8-F8</f>
        <v>35643.615714285726</v>
      </c>
      <c r="H8" s="15">
        <f>ABS(G8/F8)</f>
        <v>0.18114749230411809</v>
      </c>
      <c r="I8" s="16">
        <f>E8/D8</f>
        <v>15.18618204391009</v>
      </c>
      <c r="J8" s="16">
        <f>(45/7)*2</f>
        <v>12.857142857142858</v>
      </c>
      <c r="K8" s="16">
        <f t="shared" si="0"/>
        <v>2.3290391867672326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69775</v>
      </c>
      <c r="E9" s="16">
        <f>SUMIF('REPORTE DIARIO'!B:B,'EPR 26 JUN'!C9, 'REPORTE DIARIO'!D:D)</f>
        <v>290629.19</v>
      </c>
      <c r="F9" s="16">
        <f>J9*D9</f>
        <v>299035.71428571426</v>
      </c>
      <c r="G9" s="16">
        <f>+E9-F9</f>
        <v>-8406.5242857142584</v>
      </c>
      <c r="H9" s="15">
        <f>ABS(G9/F9)</f>
        <v>2.8112107966081365E-2</v>
      </c>
      <c r="I9" s="16">
        <f>E9/D9</f>
        <v>4.1652338230025077</v>
      </c>
      <c r="J9" s="16">
        <f>(15/7)*2</f>
        <v>4.2857142857142856</v>
      </c>
      <c r="K9" s="16">
        <f t="shared" si="0"/>
        <v>-0.12048046271177792</v>
      </c>
    </row>
    <row r="10" spans="2:12" x14ac:dyDescent="0.3">
      <c r="B10" s="16"/>
      <c r="C10" s="19" t="s">
        <v>17</v>
      </c>
      <c r="D10" s="24">
        <f>SUM(D6:D9)</f>
        <v>105472</v>
      </c>
      <c r="E10" s="20">
        <f>SUM(E6:E9)</f>
        <v>1141594.8500000001</v>
      </c>
      <c r="F10" s="20">
        <f>SUM(F6:F9)</f>
        <v>1199644.2857142857</v>
      </c>
      <c r="G10" s="20">
        <f>+E10-F10</f>
        <v>-58049.435714285588</v>
      </c>
      <c r="H10" s="21">
        <f>ABS(G10/F10)</f>
        <v>4.8388873606580896E-2</v>
      </c>
      <c r="I10" s="20">
        <f>E10/D10</f>
        <v>10.823676900030341</v>
      </c>
      <c r="J10" s="20">
        <f>F10/D10</f>
        <v>11.374054589979195</v>
      </c>
      <c r="K10" s="20">
        <f>I10-J10</f>
        <v>-0.55037768994885461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2025-09-04T14:47:19Z</cp:lastPrinted>
  <dcterms:created xsi:type="dcterms:W3CDTF">2025-01-27T15:11:28Z</dcterms:created>
  <dcterms:modified xsi:type="dcterms:W3CDTF">2025-09-04T14:47:24Z</dcterms:modified>
</cp:coreProperties>
</file>