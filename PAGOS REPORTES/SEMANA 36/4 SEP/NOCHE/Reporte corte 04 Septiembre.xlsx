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6\4 SEP\NOCHE\"/>
    </mc:Choice>
  </mc:AlternateContent>
  <xr:revisionPtr revIDLastSave="0" documentId="13_ncr:1_{8B94B366-E8C3-4B1F-9FC0-9570B58174DF}" xr6:coauthVersionLast="47" xr6:coauthVersionMax="47" xr10:uidLastSave="{00000000-0000-0000-0000-000000000000}"/>
  <bookViews>
    <workbookView xWindow="2895" yWindow="2895" windowWidth="11130" windowHeight="6570" activeTab="2" xr2:uid="{69FEEAAF-12D5-45AB-A95C-B393DF041D41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" i="3" l="1"/>
  <c r="D9" i="2"/>
  <c r="D7" i="1"/>
</calcChain>
</file>

<file path=xl/sharedStrings.xml><?xml version="1.0" encoding="utf-8"?>
<sst xmlns="http://schemas.openxmlformats.org/spreadsheetml/2006/main" count="122" uniqueCount="26">
  <si>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</si>
  <si>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</si>
  <si>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</si>
  <si>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</si>
  <si>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</si>
  <si>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</si>
  <si>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</si>
  <si>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</si>
  <si>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</si>
  <si>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</si>
  <si>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</si>
  <si>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</si>
  <si>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</si>
  <si>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</si>
  <si>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</si>
  <si>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CREDIMAX</t>
  </si>
  <si>
    <t>REESTRUCTURA</t>
  </si>
  <si>
    <t>TAZ</t>
  </si>
  <si>
    <t>TOR</t>
  </si>
  <si>
    <t>MAZ</t>
  </si>
  <si>
    <t>ITALIKA</t>
  </si>
  <si>
    <t>Producto</t>
  </si>
  <si>
    <t>Extrajudicial - 0 a 28 semanas de atraso</t>
  </si>
  <si>
    <t>CDC 100</t>
  </si>
  <si>
    <t>ETIQUETA PROYECTO CDC</t>
  </si>
  <si>
    <t>NANCY PAOLA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</si>
</sst>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ED5AA-0DDE-4E0B-901A-117EFD8594CE}">
  <dimension ref="B2:D45"/>
  <sheetViews>
    <sheetView workbookViewId="0">
      <selection activeCell="B2" sqref="B2:C4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5</v>
      </c>
      <c r="C2" s="6"/>
    </row>
    <row r="3" spans="2:4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36185</v>
      </c>
    </row>
    <row r="5" spans="2:4" x14ac:dyDescent="0.25">
      <c r="B5" s="2" t="s">
        <v>2</v>
      </c>
      <c r="C5" s="3">
        <v>52691</v>
      </c>
    </row>
    <row r="6" spans="2:4" ht="15.75" thickBot="1" x14ac:dyDescent="0.3">
      <c r="B6" s="2" t="s">
        <v>3</v>
      </c>
      <c r="C6" s="3">
        <v>18286.5</v>
      </c>
      <c r="D6" s="1" t="s">
        <v>12</v>
      </c>
    </row>
    <row r="7" spans="2:4" ht="15.75" thickTop="1" x14ac:dyDescent="0.25">
      <c r="B7" s="4" t="s">
        <v>4</v>
      </c>
      <c r="C7" s="5">
        <v>107162.5</v>
      </c>
      <c r="D7" s="5">
        <f>SUMIF(B:B, "Total general", C:C)</f>
        <v>238730.37</v>
      </c>
    </row>
    <row r="9" spans="2:4" x14ac:dyDescent="0.25">
      <c r="B9" s="6" t="s">
        <v>6</v>
      </c>
      <c r="C9" s="6"/>
    </row>
    <row r="10" spans="2:4" x14ac:dyDescent="0.25">
      <c r="B10" s="1" t="s">
        <v>13</v>
      </c>
      <c r="C10" s="1" t="s">
        <v>0</v>
      </c>
    </row>
    <row r="11" spans="2:4" x14ac:dyDescent="0.25">
      <c r="B11" s="2" t="s">
        <v>1</v>
      </c>
      <c r="C11" s="3">
        <v>23118.690000000002</v>
      </c>
    </row>
    <row r="12" spans="2:4" x14ac:dyDescent="0.25">
      <c r="B12" s="2" t="s">
        <v>2</v>
      </c>
      <c r="C12" s="3">
        <v>34891</v>
      </c>
    </row>
    <row r="13" spans="2:4" ht="15.75" thickBot="1" x14ac:dyDescent="0.3">
      <c r="B13" s="2" t="s">
        <v>3</v>
      </c>
      <c r="C13" s="3">
        <v>9191</v>
      </c>
    </row>
    <row r="14" spans="2:4" ht="15.75" thickTop="1" x14ac:dyDescent="0.25">
      <c r="B14" s="4" t="s">
        <v>4</v>
      </c>
      <c r="C14" s="5">
        <v>67200.69</v>
      </c>
    </row>
    <row r="16" spans="2:4" x14ac:dyDescent="0.25">
      <c r="B16" s="6" t="s">
        <v>9</v>
      </c>
      <c r="C16" s="6"/>
    </row>
    <row r="17" spans="2:3" x14ac:dyDescent="0.25">
      <c r="B17" s="1" t="s">
        <v>13</v>
      </c>
      <c r="C17" s="1" t="s">
        <v>0</v>
      </c>
    </row>
    <row r="18" spans="2:3" x14ac:dyDescent="0.25">
      <c r="B18" s="2" t="s">
        <v>1</v>
      </c>
      <c r="C18" s="3">
        <v>18668.79</v>
      </c>
    </row>
    <row r="19" spans="2:3" ht="15.75" thickBot="1" x14ac:dyDescent="0.3">
      <c r="B19" s="2" t="s">
        <v>2</v>
      </c>
      <c r="C19" s="3">
        <v>2745</v>
      </c>
    </row>
    <row r="20" spans="2:3" ht="15.75" thickTop="1" x14ac:dyDescent="0.25">
      <c r="B20" s="4" t="s">
        <v>4</v>
      </c>
      <c r="C20" s="5">
        <v>21413.79</v>
      </c>
    </row>
    <row r="22" spans="2:3" x14ac:dyDescent="0.25">
      <c r="B22" s="6" t="s">
        <v>7</v>
      </c>
      <c r="C22" s="6"/>
    </row>
    <row r="23" spans="2:3" x14ac:dyDescent="0.25">
      <c r="B23" s="1" t="s">
        <v>13</v>
      </c>
      <c r="C23" s="1" t="s">
        <v>0</v>
      </c>
    </row>
    <row r="24" spans="2:3" x14ac:dyDescent="0.25">
      <c r="B24" s="2" t="s">
        <v>1</v>
      </c>
      <c r="C24" s="3">
        <v>13185.49</v>
      </c>
    </row>
    <row r="25" spans="2:3" x14ac:dyDescent="0.25">
      <c r="B25" s="2" t="s">
        <v>2</v>
      </c>
      <c r="C25" s="3">
        <v>3502</v>
      </c>
    </row>
    <row r="26" spans="2:3" ht="15.75" thickBot="1" x14ac:dyDescent="0.3">
      <c r="B26" s="2" t="s">
        <v>3</v>
      </c>
      <c r="C26" s="3">
        <v>4053</v>
      </c>
    </row>
    <row r="27" spans="2:3" ht="15.75" thickTop="1" x14ac:dyDescent="0.25">
      <c r="B27" s="4" t="s">
        <v>4</v>
      </c>
      <c r="C27" s="5">
        <v>20740.489999999998</v>
      </c>
    </row>
    <row r="29" spans="2:3" x14ac:dyDescent="0.25">
      <c r="B29" s="6" t="s">
        <v>8</v>
      </c>
      <c r="C29" s="6"/>
    </row>
    <row r="30" spans="2:3" x14ac:dyDescent="0.25">
      <c r="B30" s="1" t="s">
        <v>13</v>
      </c>
      <c r="C30" s="1" t="s">
        <v>0</v>
      </c>
    </row>
    <row r="31" spans="2:3" x14ac:dyDescent="0.25">
      <c r="B31" s="2" t="s">
        <v>1</v>
      </c>
      <c r="C31" s="3">
        <v>10329</v>
      </c>
    </row>
    <row r="32" spans="2:3" ht="15.75" thickBot="1" x14ac:dyDescent="0.3">
      <c r="B32" s="2" t="s">
        <v>2</v>
      </c>
      <c r="C32" s="3">
        <v>1304</v>
      </c>
    </row>
    <row r="33" spans="2:3" ht="15.75" thickTop="1" x14ac:dyDescent="0.25">
      <c r="B33" s="4" t="s">
        <v>4</v>
      </c>
      <c r="C33" s="5">
        <v>11633</v>
      </c>
    </row>
    <row r="35" spans="2:3" x14ac:dyDescent="0.25">
      <c r="B35" s="6" t="s">
        <v>11</v>
      </c>
      <c r="C35" s="6"/>
    </row>
    <row r="36" spans="2:3" x14ac:dyDescent="0.25">
      <c r="B36" s="1" t="s">
        <v>13</v>
      </c>
      <c r="C36" s="1" t="s">
        <v>0</v>
      </c>
    </row>
    <row r="37" spans="2:3" x14ac:dyDescent="0.25">
      <c r="B37" s="2" t="s">
        <v>1</v>
      </c>
      <c r="C37" s="3">
        <v>7811.9</v>
      </c>
    </row>
    <row r="38" spans="2:3" x14ac:dyDescent="0.25">
      <c r="B38" s="2" t="s">
        <v>2</v>
      </c>
      <c r="C38" s="3">
        <v>758</v>
      </c>
    </row>
    <row r="39" spans="2:3" ht="15.75" thickBot="1" x14ac:dyDescent="0.3">
      <c r="B39" s="2" t="s">
        <v>3</v>
      </c>
      <c r="C39" s="3">
        <v>1897</v>
      </c>
    </row>
    <row r="40" spans="2:3" ht="15.75" thickTop="1" x14ac:dyDescent="0.25">
      <c r="B40" s="4" t="s">
        <v>4</v>
      </c>
      <c r="C40" s="5">
        <v>10466.9</v>
      </c>
    </row>
    <row r="42" spans="2:3" x14ac:dyDescent="0.25">
      <c r="B42" s="6" t="s">
        <v>10</v>
      </c>
      <c r="C42" s="6"/>
    </row>
    <row r="43" spans="2:3" x14ac:dyDescent="0.25">
      <c r="B43" s="1" t="s">
        <v>13</v>
      </c>
      <c r="C43" s="1" t="s">
        <v>0</v>
      </c>
    </row>
    <row r="44" spans="2:3" ht="15.75" thickBot="1" x14ac:dyDescent="0.3">
      <c r="B44" s="2" t="s">
        <v>3</v>
      </c>
      <c r="C44" s="3">
        <v>113</v>
      </c>
    </row>
    <row r="45" spans="2:3" ht="15.75" thickTop="1" x14ac:dyDescent="0.25">
      <c r="B45" s="4" t="s">
        <v>4</v>
      </c>
      <c r="C45" s="5">
        <v>113</v>
      </c>
    </row>
  </sheetData>
  <mergeCells count="7">
    <mergeCell ref="B42:C42"/>
    <mergeCell ref="B35:C35"/>
    <mergeCell ref="B2:C2"/>
    <mergeCell ref="B9:C9"/>
    <mergeCell ref="B22:C22"/>
    <mergeCell ref="B29:C29"/>
    <mergeCell ref="B16:C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5310E-FB03-4B17-8D42-05C8BE80A97C}">
  <dimension ref="B2:D48"/>
  <sheetViews>
    <sheetView workbookViewId="0">
      <selection activeCell="B2" sqref="B2:C2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5</v>
      </c>
      <c r="C2" s="6"/>
    </row>
    <row r="3" spans="2:4" x14ac:dyDescent="0.25">
      <c r="B3" s="1" t="s">
        <v>21</v>
      </c>
      <c r="C3" s="1" t="s">
        <v>0</v>
      </c>
    </row>
    <row r="4" spans="2:4" x14ac:dyDescent="0.25">
      <c r="B4" s="2" t="s">
        <v>14</v>
      </c>
      <c r="C4" s="3">
        <v>4218</v>
      </c>
    </row>
    <row r="5" spans="2:4" x14ac:dyDescent="0.25">
      <c r="B5" s="2" t="s">
        <v>15</v>
      </c>
      <c r="C5" s="3">
        <v>9226</v>
      </c>
    </row>
    <row r="6" spans="2:4" x14ac:dyDescent="0.25">
      <c r="B6" s="2" t="s">
        <v>16</v>
      </c>
      <c r="C6" s="3">
        <v>7901</v>
      </c>
    </row>
    <row r="7" spans="2:4" x14ac:dyDescent="0.25">
      <c r="B7" s="2" t="s">
        <v>17</v>
      </c>
      <c r="C7" s="3">
        <v>1300</v>
      </c>
    </row>
    <row r="8" spans="2:4" ht="15.75" thickBot="1" x14ac:dyDescent="0.3">
      <c r="B8" s="2" t="s">
        <v>18</v>
      </c>
      <c r="C8" s="3">
        <v>84517.5</v>
      </c>
      <c r="D8" s="1" t="s">
        <v>12</v>
      </c>
    </row>
    <row r="9" spans="2:4" ht="15.75" thickTop="1" x14ac:dyDescent="0.25">
      <c r="B9" s="4" t="s">
        <v>4</v>
      </c>
      <c r="C9" s="5">
        <v>107162.5</v>
      </c>
      <c r="D9" s="5">
        <f>SUMIF(B:B, "Total general", C:C)</f>
        <v>238730.37</v>
      </c>
    </row>
    <row r="11" spans="2:4" x14ac:dyDescent="0.25">
      <c r="B11" s="6" t="s">
        <v>6</v>
      </c>
      <c r="C11" s="6"/>
    </row>
    <row r="12" spans="2:4" x14ac:dyDescent="0.25">
      <c r="B12" s="1" t="s">
        <v>21</v>
      </c>
      <c r="C12" s="1" t="s">
        <v>0</v>
      </c>
    </row>
    <row r="13" spans="2:4" x14ac:dyDescent="0.25">
      <c r="B13" s="2" t="s">
        <v>14</v>
      </c>
      <c r="C13" s="3">
        <v>395</v>
      </c>
    </row>
    <row r="14" spans="2:4" x14ac:dyDescent="0.25">
      <c r="B14" s="2" t="s">
        <v>15</v>
      </c>
      <c r="C14" s="3">
        <v>34376</v>
      </c>
    </row>
    <row r="15" spans="2:4" x14ac:dyDescent="0.25">
      <c r="B15" s="2" t="s">
        <v>19</v>
      </c>
      <c r="C15" s="3">
        <v>161</v>
      </c>
    </row>
    <row r="16" spans="2:4" x14ac:dyDescent="0.25">
      <c r="B16" s="2" t="s">
        <v>16</v>
      </c>
      <c r="C16" s="3">
        <v>278</v>
      </c>
    </row>
    <row r="17" spans="2:3" ht="15.75" thickBot="1" x14ac:dyDescent="0.3">
      <c r="B17" s="2" t="s">
        <v>18</v>
      </c>
      <c r="C17" s="3">
        <v>31990.690000000002</v>
      </c>
    </row>
    <row r="18" spans="2:3" ht="15.75" thickTop="1" x14ac:dyDescent="0.25">
      <c r="B18" s="4" t="s">
        <v>4</v>
      </c>
      <c r="C18" s="5">
        <v>67200.69</v>
      </c>
    </row>
    <row r="20" spans="2:3" x14ac:dyDescent="0.25">
      <c r="B20" s="6" t="s">
        <v>9</v>
      </c>
      <c r="C20" s="6"/>
    </row>
    <row r="21" spans="2:3" x14ac:dyDescent="0.25">
      <c r="B21" s="1" t="s">
        <v>21</v>
      </c>
      <c r="C21" s="1" t="s">
        <v>0</v>
      </c>
    </row>
    <row r="22" spans="2:3" x14ac:dyDescent="0.25">
      <c r="B22" s="2" t="s">
        <v>15</v>
      </c>
      <c r="C22" s="3">
        <v>3965</v>
      </c>
    </row>
    <row r="23" spans="2:3" x14ac:dyDescent="0.25">
      <c r="B23" s="2" t="s">
        <v>20</v>
      </c>
      <c r="C23" s="3">
        <v>14637.79</v>
      </c>
    </row>
    <row r="24" spans="2:3" x14ac:dyDescent="0.25">
      <c r="B24" s="2" t="s">
        <v>16</v>
      </c>
      <c r="C24" s="3">
        <v>1670</v>
      </c>
    </row>
    <row r="25" spans="2:3" ht="15.75" thickBot="1" x14ac:dyDescent="0.3">
      <c r="B25" s="2" t="s">
        <v>18</v>
      </c>
      <c r="C25" s="3">
        <v>1141</v>
      </c>
    </row>
    <row r="26" spans="2:3" ht="15.75" thickTop="1" x14ac:dyDescent="0.25">
      <c r="B26" s="4" t="s">
        <v>4</v>
      </c>
      <c r="C26" s="5">
        <v>21413.79</v>
      </c>
    </row>
    <row r="28" spans="2:3" x14ac:dyDescent="0.25">
      <c r="B28" s="6" t="s">
        <v>7</v>
      </c>
      <c r="C28" s="6"/>
    </row>
    <row r="29" spans="2:3" x14ac:dyDescent="0.25">
      <c r="B29" s="1" t="s">
        <v>21</v>
      </c>
      <c r="C29" s="1" t="s">
        <v>0</v>
      </c>
    </row>
    <row r="30" spans="2:3" ht="15.75" thickBot="1" x14ac:dyDescent="0.3">
      <c r="B30" s="2" t="s">
        <v>18</v>
      </c>
      <c r="C30" s="3">
        <v>20740.490000000002</v>
      </c>
    </row>
    <row r="31" spans="2:3" ht="15.75" thickTop="1" x14ac:dyDescent="0.25">
      <c r="B31" s="4" t="s">
        <v>4</v>
      </c>
      <c r="C31" s="5">
        <v>20740.490000000002</v>
      </c>
    </row>
    <row r="33" spans="2:3" x14ac:dyDescent="0.25">
      <c r="B33" s="6" t="s">
        <v>8</v>
      </c>
      <c r="C33" s="6"/>
    </row>
    <row r="34" spans="2:3" x14ac:dyDescent="0.25">
      <c r="B34" s="1" t="s">
        <v>21</v>
      </c>
      <c r="C34" s="1" t="s">
        <v>0</v>
      </c>
    </row>
    <row r="35" spans="2:3" x14ac:dyDescent="0.25">
      <c r="B35" s="2" t="s">
        <v>15</v>
      </c>
      <c r="C35" s="3">
        <v>970</v>
      </c>
    </row>
    <row r="36" spans="2:3" ht="15.75" thickBot="1" x14ac:dyDescent="0.3">
      <c r="B36" s="2" t="s">
        <v>18</v>
      </c>
      <c r="C36" s="3">
        <v>10663</v>
      </c>
    </row>
    <row r="37" spans="2:3" ht="15.75" thickTop="1" x14ac:dyDescent="0.25">
      <c r="B37" s="4" t="s">
        <v>4</v>
      </c>
      <c r="C37" s="5">
        <v>11633</v>
      </c>
    </row>
    <row r="39" spans="2:3" x14ac:dyDescent="0.25">
      <c r="B39" s="6" t="s">
        <v>11</v>
      </c>
      <c r="C39" s="6"/>
    </row>
    <row r="40" spans="2:3" x14ac:dyDescent="0.25">
      <c r="B40" s="1" t="s">
        <v>21</v>
      </c>
      <c r="C40" s="1" t="s">
        <v>0</v>
      </c>
    </row>
    <row r="41" spans="2:3" x14ac:dyDescent="0.25">
      <c r="B41" s="2" t="s">
        <v>15</v>
      </c>
      <c r="C41" s="3">
        <v>500</v>
      </c>
    </row>
    <row r="42" spans="2:3" ht="15.75" thickBot="1" x14ac:dyDescent="0.3">
      <c r="B42" s="2" t="s">
        <v>18</v>
      </c>
      <c r="C42" s="3">
        <v>9966.9</v>
      </c>
    </row>
    <row r="43" spans="2:3" ht="15.75" thickTop="1" x14ac:dyDescent="0.25">
      <c r="B43" s="4" t="s">
        <v>4</v>
      </c>
      <c r="C43" s="5">
        <v>10466.9</v>
      </c>
    </row>
    <row r="45" spans="2:3" x14ac:dyDescent="0.25">
      <c r="B45" s="6" t="s">
        <v>10</v>
      </c>
      <c r="C45" s="6"/>
    </row>
    <row r="46" spans="2:3" x14ac:dyDescent="0.25">
      <c r="B46" s="1" t="s">
        <v>21</v>
      </c>
      <c r="C46" s="1" t="s">
        <v>0</v>
      </c>
    </row>
    <row r="47" spans="2:3" ht="15.75" thickBot="1" x14ac:dyDescent="0.3">
      <c r="B47" s="2" t="s">
        <v>18</v>
      </c>
      <c r="C47" s="3">
        <v>113</v>
      </c>
    </row>
    <row r="48" spans="2:3" ht="15.75" thickTop="1" x14ac:dyDescent="0.25">
      <c r="B48" s="4" t="s">
        <v>4</v>
      </c>
      <c r="C48" s="5">
        <v>113</v>
      </c>
    </row>
  </sheetData>
  <mergeCells count="7">
    <mergeCell ref="B45:C45"/>
    <mergeCell ref="B2:C2"/>
    <mergeCell ref="B11:C11"/>
    <mergeCell ref="B20:C20"/>
    <mergeCell ref="B28:C28"/>
    <mergeCell ref="B33:C33"/>
    <mergeCell ref="B39:C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B02EA-FCAC-4847-B263-7062909CC822}">
  <dimension ref="B2:D26"/>
  <sheetViews>
    <sheetView tabSelected="1" workbookViewId="0">
      <selection activeCell="B12" sqref="B1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24</v>
      </c>
      <c r="C2" s="6"/>
    </row>
    <row r="3" spans="2:4" x14ac:dyDescent="0.25">
      <c r="B3" s="6" t="s">
        <v>23</v>
      </c>
      <c r="C3" s="6"/>
    </row>
    <row r="4" spans="2:4" x14ac:dyDescent="0.25">
      <c r="B4" s="1" t="s">
        <v>13</v>
      </c>
      <c r="C4" s="1" t="s">
        <v>0</v>
      </c>
    </row>
    <row r="5" spans="2:4" x14ac:dyDescent="0.25">
      <c r="B5" s="2" t="s">
        <v>22</v>
      </c>
      <c r="C5" s="3">
        <v>10</v>
      </c>
    </row>
    <row r="6" spans="2:4" x14ac:dyDescent="0.25">
      <c r="B6" s="2" t="s">
        <v>1</v>
      </c>
      <c r="C6" s="3">
        <v>146584.24</v>
      </c>
    </row>
    <row r="7" spans="2:4" x14ac:dyDescent="0.25">
      <c r="B7" s="2" t="s">
        <v>2</v>
      </c>
      <c r="C7" s="3">
        <v>18037.010000000002</v>
      </c>
    </row>
    <row r="8" spans="2:4" ht="15.75" thickBot="1" x14ac:dyDescent="0.3">
      <c r="B8" s="2" t="s">
        <v>3</v>
      </c>
      <c r="C8" s="3">
        <v>22529.75</v>
      </c>
      <c r="D8" s="1" t="s">
        <v>12</v>
      </c>
    </row>
    <row r="9" spans="2:4" ht="15.75" thickTop="1" x14ac:dyDescent="0.25">
      <c r="B9" s="4" t="s">
        <v>4</v>
      </c>
      <c r="C9" s="5">
        <v>187161</v>
      </c>
      <c r="D9" s="5">
        <f>SUMIF(B:B, "Total general", C:C)</f>
        <v>201344.55</v>
      </c>
    </row>
    <row r="11" spans="2:4" x14ac:dyDescent="0.25">
      <c r="B11" s="6" t="s">
        <v>25</v>
      </c>
      <c r="C11" s="6"/>
    </row>
    <row r="12" spans="2:4" x14ac:dyDescent="0.25">
      <c r="B12" s="1" t="s">
        <v>13</v>
      </c>
      <c r="C12" s="1" t="s">
        <v>0</v>
      </c>
    </row>
    <row r="13" spans="2:4" x14ac:dyDescent="0.25">
      <c r="B13" s="2" t="s">
        <v>22</v>
      </c>
      <c r="C13" s="3">
        <v>2500</v>
      </c>
    </row>
    <row r="14" spans="2:4" ht="15.75" thickBot="1" x14ac:dyDescent="0.3">
      <c r="B14" s="2" t="s">
        <v>1</v>
      </c>
      <c r="C14" s="3">
        <v>6639.55</v>
      </c>
    </row>
    <row r="15" spans="2:4" ht="15.75" thickTop="1" x14ac:dyDescent="0.25">
      <c r="B15" s="4" t="s">
        <v>4</v>
      </c>
      <c r="C15" s="5">
        <v>9139.5499999999993</v>
      </c>
    </row>
    <row r="17" spans="2:3" x14ac:dyDescent="0.25">
      <c r="B17" s="6" t="s">
        <v>9</v>
      </c>
      <c r="C17" s="6"/>
    </row>
    <row r="18" spans="2:3" x14ac:dyDescent="0.25">
      <c r="B18" s="1" t="s">
        <v>13</v>
      </c>
      <c r="C18" s="1" t="s">
        <v>0</v>
      </c>
    </row>
    <row r="19" spans="2:3" x14ac:dyDescent="0.25">
      <c r="B19" s="2" t="s">
        <v>1</v>
      </c>
      <c r="C19" s="3">
        <v>2186</v>
      </c>
    </row>
    <row r="20" spans="2:3" ht="15.75" thickBot="1" x14ac:dyDescent="0.3">
      <c r="B20" s="2" t="s">
        <v>2</v>
      </c>
      <c r="C20" s="3">
        <v>2745</v>
      </c>
    </row>
    <row r="21" spans="2:3" ht="15.75" thickTop="1" x14ac:dyDescent="0.25">
      <c r="B21" s="4" t="s">
        <v>4</v>
      </c>
      <c r="C21" s="5">
        <v>4931</v>
      </c>
    </row>
    <row r="23" spans="2:3" x14ac:dyDescent="0.25">
      <c r="B23" s="6" t="s">
        <v>10</v>
      </c>
      <c r="C23" s="6"/>
    </row>
    <row r="24" spans="2:3" x14ac:dyDescent="0.25">
      <c r="B24" s="1" t="s">
        <v>13</v>
      </c>
      <c r="C24" s="1" t="s">
        <v>0</v>
      </c>
    </row>
    <row r="25" spans="2:3" ht="15.75" thickBot="1" x14ac:dyDescent="0.3">
      <c r="B25" s="2" t="s">
        <v>18</v>
      </c>
      <c r="C25" s="3">
        <v>113</v>
      </c>
    </row>
    <row r="26" spans="2:3" ht="15.75" thickTop="1" x14ac:dyDescent="0.25">
      <c r="B26" s="4" t="s">
        <v>4</v>
      </c>
      <c r="C26" s="5">
        <v>113</v>
      </c>
    </row>
  </sheetData>
  <mergeCells count="5">
    <mergeCell ref="B3:C3"/>
    <mergeCell ref="B2:C2"/>
    <mergeCell ref="B17:C17"/>
    <mergeCell ref="B23:C23"/>
    <mergeCell ref="B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2025-09-05T02:01:25Z</dcterms:created>
  <dcterms:modified xsi:type="dcterms:W3CDTF">2025-09-05T02:11:06Z</dcterms:modified>
</cp:coreProperties>
</file>