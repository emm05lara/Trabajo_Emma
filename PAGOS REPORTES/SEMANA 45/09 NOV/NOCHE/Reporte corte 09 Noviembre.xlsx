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9 NOV\NOCHE\"/>
    </mc:Choice>
  </mc:AlternateContent>
  <xr:revisionPtr revIDLastSave="0" documentId="13_ncr:1_{A1AEEF2E-3DC0-4806-853D-6ABDFA221078}" xr6:coauthVersionLast="47" xr6:coauthVersionMax="47" xr10:uidLastSave="{00000000-0000-0000-0000-000000000000}"/>
  <bookViews>
    <workbookView xWindow="-105" yWindow="0" windowWidth="26010" windowHeight="20985" xr2:uid="{0E15484B-F5F8-44BD-93BA-8CBB7F6B7FA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10" i="3" s="1"/>
  <c r="B2" i="2"/>
  <c r="D9" i="2" s="1"/>
  <c r="B2" i="1"/>
  <c r="D8" i="1" s="1"/>
</calcChain>
</file>

<file path=xl/sharedStrings.xml><?xml version="1.0" encoding="utf-8"?>
<sst xmlns="http://schemas.openxmlformats.org/spreadsheetml/2006/main" count="124" uniqueCount="24">
  <si>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</si>
  <si>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</si>
  <si>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</si>
  <si>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</si>
  <si>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</si>
  <si>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</si>
  <si>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</si>
  <si>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</si>
  <si>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ANDREA</t>
  </si>
  <si>
    <t>FERNANDO</t>
  </si>
  <si>
    <t>NANCY PAOLA</t>
  </si>
  <si>
    <t>SAMANTHA</t>
  </si>
  <si>
    <t>TOTAL COBRADO</t>
  </si>
  <si>
    <t>Segmento</t>
  </si>
  <si>
    <t>EDITH</t>
  </si>
  <si>
    <t>FEDERICO</t>
  </si>
  <si>
    <t>CONSUMO</t>
  </si>
  <si>
    <t>CREDIMAX</t>
  </si>
  <si>
    <t>OTROS</t>
  </si>
  <si>
    <t>REESTRUCTURA</t>
  </si>
  <si>
    <t>TOR</t>
  </si>
  <si>
    <t>ITALIKA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</si>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</sst>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15" fontId="0" fillId="0" borderId="2" xfId="0" applyNumberFormat="1" applyBorder="1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3F2F-EDD9-41AE-AD1F-9A8565932771}">
  <dimension ref="B2:D42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tr">
        <f ca="1" xml:space="preserve"> " ETIQUETA PROYECTO CDC " &amp; TEXT(TODAY(), " dd/mm/aaaa ") &amp; TEXT(NOW(), " hh:mm ")</f>
        <v xml:space="preserve"> ETIQUETA PROYECTO CDC  09/11/2025  21:38 </v>
      </c>
      <c r="C2" s="7"/>
    </row>
    <row r="3" spans="2:4" x14ac:dyDescent="0.25">
      <c r="B3" s="7" t="s">
        <v>11</v>
      </c>
      <c r="C3" s="7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31487</v>
      </c>
    </row>
    <row r="6" spans="2:4" x14ac:dyDescent="0.25">
      <c r="B6" s="2" t="s">
        <v>2</v>
      </c>
      <c r="C6" s="3">
        <v>54584</v>
      </c>
    </row>
    <row r="7" spans="2:4" ht="15.75" thickBot="1" x14ac:dyDescent="0.3">
      <c r="B7" s="2" t="s">
        <v>3</v>
      </c>
      <c r="C7" s="3">
        <v>2418</v>
      </c>
      <c r="D7" s="1" t="s">
        <v>12</v>
      </c>
    </row>
    <row r="8" spans="2:4" ht="15.75" thickTop="1" x14ac:dyDescent="0.25">
      <c r="B8" s="4" t="s">
        <v>5</v>
      </c>
      <c r="C8" s="5">
        <v>88489</v>
      </c>
      <c r="D8" s="5">
        <f ca="1">SUMIF(B:B, "Total general", C:C)</f>
        <v>239697.16</v>
      </c>
    </row>
    <row r="10" spans="2:4" x14ac:dyDescent="0.25">
      <c r="B10" s="7" t="s">
        <v>6</v>
      </c>
      <c r="C10" s="7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28571.66</v>
      </c>
    </row>
    <row r="13" spans="2:4" x14ac:dyDescent="0.25">
      <c r="B13" s="2" t="s">
        <v>2</v>
      </c>
      <c r="C13" s="3">
        <v>14339</v>
      </c>
    </row>
    <row r="14" spans="2:4" x14ac:dyDescent="0.25">
      <c r="B14" s="2" t="s">
        <v>3</v>
      </c>
      <c r="C14" s="3">
        <v>11520</v>
      </c>
    </row>
    <row r="15" spans="2:4" ht="15.75" thickBot="1" x14ac:dyDescent="0.3">
      <c r="B15" s="2" t="s">
        <v>4</v>
      </c>
      <c r="C15" s="3">
        <v>1260</v>
      </c>
    </row>
    <row r="16" spans="2:4" ht="15.75" thickTop="1" x14ac:dyDescent="0.25">
      <c r="B16" s="4" t="s">
        <v>5</v>
      </c>
      <c r="C16" s="5">
        <v>55690.66</v>
      </c>
    </row>
    <row r="18" spans="2:3" x14ac:dyDescent="0.25">
      <c r="B18" s="7" t="s">
        <v>7</v>
      </c>
      <c r="C18" s="7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41330</v>
      </c>
    </row>
    <row r="21" spans="2:3" x14ac:dyDescent="0.25">
      <c r="B21" s="2" t="s">
        <v>2</v>
      </c>
      <c r="C21" s="3">
        <v>476</v>
      </c>
    </row>
    <row r="22" spans="2:3" ht="15.75" thickBot="1" x14ac:dyDescent="0.3">
      <c r="B22" s="2" t="s">
        <v>3</v>
      </c>
      <c r="C22" s="3">
        <v>1126</v>
      </c>
    </row>
    <row r="23" spans="2:3" ht="15.75" thickTop="1" x14ac:dyDescent="0.25">
      <c r="B23" s="4" t="s">
        <v>5</v>
      </c>
      <c r="C23" s="5">
        <v>42932</v>
      </c>
    </row>
    <row r="25" spans="2:3" x14ac:dyDescent="0.25">
      <c r="B25" s="7" t="s">
        <v>10</v>
      </c>
      <c r="C25" s="7"/>
    </row>
    <row r="26" spans="2:3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26552.77</v>
      </c>
    </row>
    <row r="28" spans="2:3" x14ac:dyDescent="0.25">
      <c r="B28" s="2" t="s">
        <v>2</v>
      </c>
      <c r="C28" s="3">
        <v>4605</v>
      </c>
    </row>
    <row r="29" spans="2:3" ht="15.75" thickBot="1" x14ac:dyDescent="0.3">
      <c r="B29" s="2" t="s">
        <v>3</v>
      </c>
      <c r="C29" s="3">
        <v>2667</v>
      </c>
    </row>
    <row r="30" spans="2:3" ht="15.75" thickTop="1" x14ac:dyDescent="0.25">
      <c r="B30" s="4" t="s">
        <v>5</v>
      </c>
      <c r="C30" s="5">
        <v>33824.770000000004</v>
      </c>
    </row>
    <row r="32" spans="2:3" x14ac:dyDescent="0.25">
      <c r="B32" s="7" t="s">
        <v>9</v>
      </c>
      <c r="C32" s="7"/>
    </row>
    <row r="33" spans="2:3" x14ac:dyDescent="0.25">
      <c r="B33" s="1" t="s">
        <v>13</v>
      </c>
      <c r="C33" s="1" t="s">
        <v>0</v>
      </c>
    </row>
    <row r="34" spans="2:3" x14ac:dyDescent="0.25">
      <c r="B34" s="2" t="s">
        <v>1</v>
      </c>
      <c r="C34" s="3">
        <v>12996.73</v>
      </c>
    </row>
    <row r="35" spans="2:3" x14ac:dyDescent="0.25">
      <c r="B35" s="2" t="s">
        <v>2</v>
      </c>
      <c r="C35" s="3">
        <v>3972</v>
      </c>
    </row>
    <row r="36" spans="2:3" ht="15.75" thickBot="1" x14ac:dyDescent="0.3">
      <c r="B36" s="2" t="s">
        <v>3</v>
      </c>
      <c r="C36" s="3">
        <v>1472</v>
      </c>
    </row>
    <row r="37" spans="2:3" ht="15.75" thickTop="1" x14ac:dyDescent="0.25">
      <c r="B37" s="4" t="s">
        <v>5</v>
      </c>
      <c r="C37" s="5">
        <v>18440.73</v>
      </c>
    </row>
    <row r="39" spans="2:3" x14ac:dyDescent="0.25">
      <c r="B39" s="7" t="s">
        <v>8</v>
      </c>
      <c r="C39" s="7"/>
    </row>
    <row r="40" spans="2:3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320</v>
      </c>
    </row>
    <row r="42" spans="2:3" ht="15.75" thickTop="1" x14ac:dyDescent="0.25">
      <c r="B42" s="4" t="s">
        <v>5</v>
      </c>
      <c r="C42" s="5">
        <v>320</v>
      </c>
    </row>
  </sheetData>
  <mergeCells count="7">
    <mergeCell ref="B2:C2"/>
    <mergeCell ref="B10:C10"/>
    <mergeCell ref="B18:C18"/>
    <mergeCell ref="B39:C39"/>
    <mergeCell ref="B32:C32"/>
    <mergeCell ref="B25:C25"/>
    <mergeCell ref="B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C4C3-514C-4A2C-B07C-7254516A5C4E}">
  <dimension ref="B2:D40"/>
  <sheetViews>
    <sheetView workbookViewId="0">
      <selection activeCell="D8" sqref="D8:D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tr">
        <f ca="1" xml:space="preserve"> " COBRANZA INTERNOS " &amp; TEXT(TODAY(), " dd/mm/aaaa ") &amp; TEXT(NOW(), " hh:mm ")</f>
        <v xml:space="preserve"> COBRANZA INTERNOS  09/11/2025  21:38 </v>
      </c>
      <c r="C2" s="7"/>
    </row>
    <row r="3" spans="2:4" x14ac:dyDescent="0.25">
      <c r="B3" s="7" t="s">
        <v>11</v>
      </c>
      <c r="C3" s="7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126650.39</v>
      </c>
    </row>
    <row r="6" spans="2:4" x14ac:dyDescent="0.25">
      <c r="B6" s="2" t="s">
        <v>2</v>
      </c>
      <c r="C6" s="3">
        <v>57501</v>
      </c>
    </row>
    <row r="7" spans="2:4" x14ac:dyDescent="0.25">
      <c r="B7" s="2" t="s">
        <v>3</v>
      </c>
      <c r="C7" s="3">
        <v>62856.66</v>
      </c>
    </row>
    <row r="8" spans="2:4" ht="15.75" thickBot="1" x14ac:dyDescent="0.3">
      <c r="B8" s="2" t="s">
        <v>4</v>
      </c>
      <c r="C8" s="3">
        <v>55216.020000000004</v>
      </c>
      <c r="D8" s="1" t="s">
        <v>12</v>
      </c>
    </row>
    <row r="9" spans="2:4" ht="15.75" thickTop="1" x14ac:dyDescent="0.25">
      <c r="B9" s="4" t="s">
        <v>5</v>
      </c>
      <c r="C9" s="5">
        <v>302224.07</v>
      </c>
      <c r="D9" s="5">
        <f ca="1">SUMIF(B:B, "Total general", C:C)</f>
        <v>402639.6</v>
      </c>
    </row>
    <row r="11" spans="2:4" x14ac:dyDescent="0.25">
      <c r="B11" s="7" t="s">
        <v>14</v>
      </c>
      <c r="C11" s="7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12973.8</v>
      </c>
    </row>
    <row r="14" spans="2:4" x14ac:dyDescent="0.25">
      <c r="B14" s="2" t="s">
        <v>2</v>
      </c>
      <c r="C14" s="3">
        <v>4511</v>
      </c>
    </row>
    <row r="15" spans="2:4" x14ac:dyDescent="0.25">
      <c r="B15" s="2" t="s">
        <v>3</v>
      </c>
      <c r="C15" s="3">
        <v>16532</v>
      </c>
    </row>
    <row r="16" spans="2:4" ht="15.75" thickBot="1" x14ac:dyDescent="0.3">
      <c r="B16" s="2" t="s">
        <v>4</v>
      </c>
      <c r="C16" s="3">
        <v>10833</v>
      </c>
    </row>
    <row r="17" spans="2:3" ht="15.75" thickTop="1" x14ac:dyDescent="0.25">
      <c r="B17" s="4" t="s">
        <v>5</v>
      </c>
      <c r="C17" s="5">
        <v>44849.8</v>
      </c>
    </row>
    <row r="19" spans="2:3" x14ac:dyDescent="0.25">
      <c r="B19" s="7" t="s">
        <v>8</v>
      </c>
      <c r="C19" s="7"/>
    </row>
    <row r="20" spans="2:3" x14ac:dyDescent="0.25">
      <c r="B20" s="1" t="s">
        <v>13</v>
      </c>
      <c r="C20" s="1" t="s">
        <v>0</v>
      </c>
    </row>
    <row r="21" spans="2:3" x14ac:dyDescent="0.25">
      <c r="B21" s="2" t="s">
        <v>1</v>
      </c>
      <c r="C21" s="3">
        <v>2531</v>
      </c>
    </row>
    <row r="22" spans="2:3" x14ac:dyDescent="0.25">
      <c r="B22" s="2" t="s">
        <v>2</v>
      </c>
      <c r="C22" s="3">
        <v>7756</v>
      </c>
    </row>
    <row r="23" spans="2:3" x14ac:dyDescent="0.25">
      <c r="B23" s="2" t="s">
        <v>3</v>
      </c>
      <c r="C23" s="3">
        <v>10139</v>
      </c>
    </row>
    <row r="24" spans="2:3" ht="15.75" thickBot="1" x14ac:dyDescent="0.3">
      <c r="B24" s="2" t="s">
        <v>4</v>
      </c>
      <c r="C24" s="3">
        <v>8143</v>
      </c>
    </row>
    <row r="25" spans="2:3" ht="15.75" thickTop="1" x14ac:dyDescent="0.25">
      <c r="B25" s="4" t="s">
        <v>5</v>
      </c>
      <c r="C25" s="5">
        <v>28569</v>
      </c>
    </row>
    <row r="27" spans="2:3" x14ac:dyDescent="0.25">
      <c r="B27" s="7" t="s">
        <v>9</v>
      </c>
      <c r="C27" s="7"/>
    </row>
    <row r="28" spans="2:3" x14ac:dyDescent="0.25">
      <c r="B28" s="1" t="s">
        <v>13</v>
      </c>
      <c r="C28" s="1" t="s">
        <v>0</v>
      </c>
    </row>
    <row r="29" spans="2:3" x14ac:dyDescent="0.25">
      <c r="B29" s="2" t="s">
        <v>1</v>
      </c>
      <c r="C29" s="3">
        <v>13009.73</v>
      </c>
    </row>
    <row r="30" spans="2:3" x14ac:dyDescent="0.25">
      <c r="B30" s="2" t="s">
        <v>2</v>
      </c>
      <c r="C30" s="3">
        <v>3606</v>
      </c>
    </row>
    <row r="31" spans="2:3" ht="15.75" thickBot="1" x14ac:dyDescent="0.3">
      <c r="B31" s="2" t="s">
        <v>3</v>
      </c>
      <c r="C31" s="3">
        <v>1472</v>
      </c>
    </row>
    <row r="32" spans="2:3" ht="15.75" thickTop="1" x14ac:dyDescent="0.25">
      <c r="B32" s="4" t="s">
        <v>5</v>
      </c>
      <c r="C32" s="5">
        <v>18087.73</v>
      </c>
    </row>
    <row r="34" spans="2:3" x14ac:dyDescent="0.25">
      <c r="B34" s="7" t="s">
        <v>15</v>
      </c>
      <c r="C34" s="7"/>
    </row>
    <row r="35" spans="2:3" x14ac:dyDescent="0.25">
      <c r="B35" s="1" t="s">
        <v>13</v>
      </c>
      <c r="C35" s="1" t="s">
        <v>0</v>
      </c>
    </row>
    <row r="36" spans="2:3" x14ac:dyDescent="0.25">
      <c r="B36" s="2" t="s">
        <v>1</v>
      </c>
      <c r="C36" s="3">
        <v>2374</v>
      </c>
    </row>
    <row r="37" spans="2:3" x14ac:dyDescent="0.25">
      <c r="B37" s="2" t="s">
        <v>2</v>
      </c>
      <c r="C37" s="3">
        <v>2595</v>
      </c>
    </row>
    <row r="38" spans="2:3" x14ac:dyDescent="0.25">
      <c r="B38" s="2" t="s">
        <v>3</v>
      </c>
      <c r="C38" s="3">
        <v>2195</v>
      </c>
    </row>
    <row r="39" spans="2:3" ht="15.75" thickBot="1" x14ac:dyDescent="0.3">
      <c r="B39" s="2" t="s">
        <v>4</v>
      </c>
      <c r="C39" s="3">
        <v>1745</v>
      </c>
    </row>
    <row r="40" spans="2:3" ht="15.75" thickTop="1" x14ac:dyDescent="0.25">
      <c r="B40" s="4" t="s">
        <v>5</v>
      </c>
      <c r="C40" s="5">
        <v>8909</v>
      </c>
    </row>
  </sheetData>
  <mergeCells count="6">
    <mergeCell ref="B2:C2"/>
    <mergeCell ref="B3:C3"/>
    <mergeCell ref="B19:C19"/>
    <mergeCell ref="B11:C11"/>
    <mergeCell ref="B34:C34"/>
    <mergeCell ref="B27:C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F859-FFEE-4770-AC16-9DE96DA8CD76}">
  <dimension ref="B2:D42"/>
  <sheetViews>
    <sheetView workbookViewId="0">
      <selection activeCell="B2" sqref="B2:D4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tr">
        <f ca="1" xml:space="preserve"> " COBRANZA INTERNOS " &amp; TEXT(TODAY(), " dd/mm/aaaa ") &amp; TEXT(NOW(), " hh:mm ")</f>
        <v xml:space="preserve"> COBRANZA INTERNOS  09/11/2025  21:38 </v>
      </c>
      <c r="C2" s="7"/>
    </row>
    <row r="3" spans="2:4" x14ac:dyDescent="0.25">
      <c r="B3" s="7" t="s">
        <v>11</v>
      </c>
      <c r="C3" s="7"/>
    </row>
    <row r="4" spans="2:4" x14ac:dyDescent="0.25">
      <c r="B4" s="1" t="s">
        <v>23</v>
      </c>
      <c r="C4" s="1" t="s">
        <v>0</v>
      </c>
    </row>
    <row r="5" spans="2:4" x14ac:dyDescent="0.25">
      <c r="B5" s="2" t="s">
        <v>16</v>
      </c>
      <c r="C5" s="3">
        <v>34371</v>
      </c>
    </row>
    <row r="6" spans="2:4" x14ac:dyDescent="0.25">
      <c r="B6" s="2" t="s">
        <v>17</v>
      </c>
      <c r="C6" s="3">
        <v>49172</v>
      </c>
    </row>
    <row r="7" spans="2:4" x14ac:dyDescent="0.25">
      <c r="B7" s="2" t="s">
        <v>18</v>
      </c>
      <c r="C7" s="3">
        <v>784</v>
      </c>
    </row>
    <row r="8" spans="2:4" x14ac:dyDescent="0.25">
      <c r="B8" s="2" t="s">
        <v>19</v>
      </c>
      <c r="C8" s="3">
        <v>16480</v>
      </c>
    </row>
    <row r="9" spans="2:4" ht="15.75" thickBot="1" x14ac:dyDescent="0.3">
      <c r="B9" s="2" t="s">
        <v>20</v>
      </c>
      <c r="C9" s="3">
        <v>201417.07</v>
      </c>
      <c r="D9" s="1" t="s">
        <v>12</v>
      </c>
    </row>
    <row r="10" spans="2:4" ht="15.75" thickTop="1" x14ac:dyDescent="0.25">
      <c r="B10" s="4" t="s">
        <v>5</v>
      </c>
      <c r="C10" s="5">
        <v>302224.07</v>
      </c>
      <c r="D10" s="5">
        <f ca="1">SUMIF(B:B, "Total general", C:C)</f>
        <v>402639.6</v>
      </c>
    </row>
    <row r="12" spans="2:4" x14ac:dyDescent="0.25">
      <c r="B12" s="7" t="s">
        <v>14</v>
      </c>
      <c r="C12" s="7"/>
    </row>
    <row r="13" spans="2:4" x14ac:dyDescent="0.25">
      <c r="B13" s="1" t="s">
        <v>23</v>
      </c>
      <c r="C13" s="1" t="s">
        <v>0</v>
      </c>
    </row>
    <row r="14" spans="2:4" x14ac:dyDescent="0.25">
      <c r="B14" s="2" t="s">
        <v>16</v>
      </c>
      <c r="C14" s="3">
        <v>1100</v>
      </c>
    </row>
    <row r="15" spans="2:4" x14ac:dyDescent="0.25">
      <c r="B15" s="6" t="s">
        <v>17</v>
      </c>
      <c r="C15" s="3">
        <v>1000</v>
      </c>
    </row>
    <row r="16" spans="2:4" ht="15.75" thickBot="1" x14ac:dyDescent="0.3">
      <c r="B16" s="2" t="s">
        <v>20</v>
      </c>
      <c r="C16" s="3">
        <v>42749.8</v>
      </c>
    </row>
    <row r="17" spans="2:3" ht="15.75" thickTop="1" x14ac:dyDescent="0.25">
      <c r="B17" s="4" t="s">
        <v>5</v>
      </c>
      <c r="C17" s="5">
        <v>44849.8</v>
      </c>
    </row>
    <row r="19" spans="2:3" x14ac:dyDescent="0.25">
      <c r="B19" s="7" t="s">
        <v>8</v>
      </c>
      <c r="C19" s="7"/>
    </row>
    <row r="20" spans="2:3" x14ac:dyDescent="0.25">
      <c r="B20" s="1" t="s">
        <v>23</v>
      </c>
      <c r="C20" s="1" t="s">
        <v>0</v>
      </c>
    </row>
    <row r="21" spans="2:3" x14ac:dyDescent="0.25">
      <c r="B21" s="2" t="s">
        <v>16</v>
      </c>
      <c r="C21" s="3">
        <v>1688</v>
      </c>
    </row>
    <row r="22" spans="2:3" x14ac:dyDescent="0.25">
      <c r="B22" s="2" t="s">
        <v>17</v>
      </c>
      <c r="C22" s="3">
        <v>5773</v>
      </c>
    </row>
    <row r="23" spans="2:3" x14ac:dyDescent="0.25">
      <c r="B23" s="2" t="s">
        <v>19</v>
      </c>
      <c r="C23" s="3">
        <v>3500</v>
      </c>
    </row>
    <row r="24" spans="2:3" ht="15.75" thickBot="1" x14ac:dyDescent="0.3">
      <c r="B24" s="2" t="s">
        <v>20</v>
      </c>
      <c r="C24" s="3">
        <v>17608</v>
      </c>
    </row>
    <row r="25" spans="2:3" ht="15.75" thickTop="1" x14ac:dyDescent="0.25">
      <c r="B25" s="4" t="s">
        <v>5</v>
      </c>
      <c r="C25" s="5">
        <v>28569</v>
      </c>
    </row>
    <row r="27" spans="2:3" x14ac:dyDescent="0.25">
      <c r="B27" s="7" t="s">
        <v>9</v>
      </c>
      <c r="C27" s="7"/>
    </row>
    <row r="28" spans="2:3" x14ac:dyDescent="0.25">
      <c r="B28" s="1" t="s">
        <v>23</v>
      </c>
      <c r="C28" s="1" t="s">
        <v>0</v>
      </c>
    </row>
    <row r="29" spans="2:3" x14ac:dyDescent="0.25">
      <c r="B29" s="2" t="s">
        <v>16</v>
      </c>
      <c r="C29" s="3">
        <v>1230</v>
      </c>
    </row>
    <row r="30" spans="2:3" x14ac:dyDescent="0.25">
      <c r="B30" s="2" t="s">
        <v>17</v>
      </c>
      <c r="C30" s="3">
        <v>3820</v>
      </c>
    </row>
    <row r="31" spans="2:3" x14ac:dyDescent="0.25">
      <c r="B31" s="2" t="s">
        <v>21</v>
      </c>
      <c r="C31" s="3">
        <v>2468</v>
      </c>
    </row>
    <row r="32" spans="2:3" x14ac:dyDescent="0.25">
      <c r="B32" s="2" t="s">
        <v>19</v>
      </c>
      <c r="C32" s="3">
        <v>1573</v>
      </c>
    </row>
    <row r="33" spans="2:3" x14ac:dyDescent="0.25">
      <c r="B33" s="2" t="s">
        <v>22</v>
      </c>
      <c r="C33" s="3">
        <v>201</v>
      </c>
    </row>
    <row r="34" spans="2:3" ht="15.75" thickBot="1" x14ac:dyDescent="0.3">
      <c r="B34" s="2" t="s">
        <v>20</v>
      </c>
      <c r="C34" s="3">
        <v>8795.73</v>
      </c>
    </row>
    <row r="35" spans="2:3" ht="15.75" thickTop="1" x14ac:dyDescent="0.25">
      <c r="B35" s="4" t="s">
        <v>5</v>
      </c>
      <c r="C35" s="5">
        <v>18087.73</v>
      </c>
    </row>
    <row r="37" spans="2:3" x14ac:dyDescent="0.25">
      <c r="B37" s="7" t="s">
        <v>15</v>
      </c>
      <c r="C37" s="7"/>
    </row>
    <row r="38" spans="2:3" x14ac:dyDescent="0.25">
      <c r="B38" s="1" t="s">
        <v>23</v>
      </c>
      <c r="C38" s="1" t="s">
        <v>0</v>
      </c>
    </row>
    <row r="39" spans="2:3" x14ac:dyDescent="0.25">
      <c r="B39" s="2" t="s">
        <v>16</v>
      </c>
      <c r="C39" s="3">
        <v>2195</v>
      </c>
    </row>
    <row r="40" spans="2:3" x14ac:dyDescent="0.25">
      <c r="B40" s="2" t="s">
        <v>19</v>
      </c>
      <c r="C40" s="3">
        <v>2745</v>
      </c>
    </row>
    <row r="41" spans="2:3" ht="15.75" thickBot="1" x14ac:dyDescent="0.3">
      <c r="B41" s="2" t="s">
        <v>20</v>
      </c>
      <c r="C41" s="3">
        <v>3969</v>
      </c>
    </row>
    <row r="42" spans="2:3" ht="15.75" thickTop="1" x14ac:dyDescent="0.25">
      <c r="B42" s="4" t="s">
        <v>5</v>
      </c>
      <c r="C42" s="5">
        <v>8909</v>
      </c>
    </row>
  </sheetData>
  <mergeCells count="6">
    <mergeCell ref="B37:C37"/>
    <mergeCell ref="B2:C2"/>
    <mergeCell ref="B3:C3"/>
    <mergeCell ref="B12:C12"/>
    <mergeCell ref="B19:C19"/>
    <mergeCell ref="B27:C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2025-11-10T02:01:57Z</cp:lastPrinted>
  <dcterms:created xsi:type="dcterms:W3CDTF">2025-11-10T01:54:52Z</dcterms:created>
  <dcterms:modified xsi:type="dcterms:W3CDTF">2025-11-10T03:38:19Z</dcterms:modified>
</cp:coreProperties>
</file>