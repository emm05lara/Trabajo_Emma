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5\09 NOV\TARDE2\"/>
    </mc:Choice>
  </mc:AlternateContent>
  <xr:revisionPtr revIDLastSave="0" documentId="13_ncr:1_{F3BBC3C0-9DDD-40FB-93B7-1D0804B0C905}" xr6:coauthVersionLast="47" xr6:coauthVersionMax="47" xr10:uidLastSave="{00000000-0000-0000-0000-000000000000}"/>
  <bookViews>
    <workbookView xWindow="-120" yWindow="-120" windowWidth="51840" windowHeight="21120" activeTab="2" xr2:uid="{378E83CB-E769-4852-8F18-A1FE39F7C458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D9" i="3" s="1"/>
  <c r="B2" i="2"/>
  <c r="D10" i="2" s="1"/>
  <c r="B2" i="1"/>
  <c r="D9" i="1" s="1"/>
</calcChain>
</file>

<file path=xl/sharedStrings.xml><?xml version="1.0" encoding="utf-8"?>
<sst xmlns="http://schemas.openxmlformats.org/spreadsheetml/2006/main" count="104" uniqueCount="22">
  <si>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</si>
  <si>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</si>
  <si>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</si>
  <si>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</si>
  <si>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</si>
  <si>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</si>
  <si>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</si>
  <si>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</si>
  <si>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</si>
  <si>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</si>
  <si>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</si>
  <si>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</si>
  <si>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CONSUMO</t>
  </si>
  <si>
    <t>CREDIMAX</t>
  </si>
  <si>
    <t>OTROS</t>
  </si>
  <si>
    <t>REESTRUCTURA</t>
  </si>
  <si>
    <t>TOR</t>
  </si>
  <si>
    <t>ITALIKA</t>
  </si>
  <si>
    <t>TAZ</t>
  </si>
  <si>
    <t>Producto</t>
  </si>
  <si>
    <t>CDC 100</t>
  </si>
  <si>
    <t>Segmento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</si>
</sst>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37A4F-06B8-4998-BF87-8B623F22D9F4}">
  <dimension ref="B2:D40"/>
  <sheetViews>
    <sheetView workbookViewId="0">
      <selection activeCell="B2" sqref="B2:D40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09/11/2025  16:35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21</v>
      </c>
      <c r="C4" s="1" t="s">
        <v>0</v>
      </c>
    </row>
    <row r="5" spans="2:4" x14ac:dyDescent="0.25">
      <c r="B5" s="2" t="s">
        <v>1</v>
      </c>
      <c r="C5" s="3">
        <v>32549.64</v>
      </c>
    </row>
    <row r="6" spans="2:4" x14ac:dyDescent="0.25">
      <c r="B6" s="2" t="s">
        <v>2</v>
      </c>
      <c r="C6" s="3">
        <v>37269</v>
      </c>
    </row>
    <row r="7" spans="2:4" x14ac:dyDescent="0.25">
      <c r="B7" s="2" t="s">
        <v>3</v>
      </c>
      <c r="C7" s="3">
        <v>51106.66</v>
      </c>
    </row>
    <row r="8" spans="2:4" ht="15.75" thickBot="1" x14ac:dyDescent="0.3">
      <c r="B8" s="2" t="s">
        <v>4</v>
      </c>
      <c r="C8" s="3">
        <v>31582.02</v>
      </c>
      <c r="D8" s="1" t="s">
        <v>11</v>
      </c>
    </row>
    <row r="9" spans="2:4" ht="15.75" thickTop="1" x14ac:dyDescent="0.25">
      <c r="B9" s="4" t="s">
        <v>5</v>
      </c>
      <c r="C9" s="5">
        <v>152507.32</v>
      </c>
      <c r="D9" s="5">
        <f ca="1">SUMIF(B:B, "Total general", C:C)</f>
        <v>220006.85</v>
      </c>
    </row>
    <row r="11" spans="2:4" x14ac:dyDescent="0.25">
      <c r="B11" s="6" t="s">
        <v>8</v>
      </c>
      <c r="C11" s="6"/>
    </row>
    <row r="12" spans="2:4" x14ac:dyDescent="0.25">
      <c r="B12" s="1" t="s">
        <v>21</v>
      </c>
      <c r="C12" s="1" t="s">
        <v>0</v>
      </c>
    </row>
    <row r="13" spans="2:4" x14ac:dyDescent="0.25">
      <c r="B13" s="2" t="s">
        <v>1</v>
      </c>
      <c r="C13" s="3">
        <v>11122.8</v>
      </c>
    </row>
    <row r="14" spans="2:4" x14ac:dyDescent="0.25">
      <c r="B14" s="2" t="s">
        <v>2</v>
      </c>
      <c r="C14" s="3">
        <v>3129</v>
      </c>
    </row>
    <row r="15" spans="2:4" x14ac:dyDescent="0.25">
      <c r="B15" s="2" t="s">
        <v>3</v>
      </c>
      <c r="C15" s="3">
        <v>11512</v>
      </c>
    </row>
    <row r="16" spans="2:4" ht="15.75" thickBot="1" x14ac:dyDescent="0.3">
      <c r="B16" s="2" t="s">
        <v>4</v>
      </c>
      <c r="C16" s="3">
        <v>6617</v>
      </c>
    </row>
    <row r="17" spans="2:3" ht="15.75" thickTop="1" x14ac:dyDescent="0.25">
      <c r="B17" s="4" t="s">
        <v>5</v>
      </c>
      <c r="C17" s="5">
        <v>32380.799999999999</v>
      </c>
    </row>
    <row r="19" spans="2:3" x14ac:dyDescent="0.25">
      <c r="B19" s="6" t="s">
        <v>7</v>
      </c>
      <c r="C19" s="6"/>
    </row>
    <row r="20" spans="2:3" x14ac:dyDescent="0.25">
      <c r="B20" s="1" t="s">
        <v>21</v>
      </c>
      <c r="C20" s="1" t="s">
        <v>0</v>
      </c>
    </row>
    <row r="21" spans="2:3" x14ac:dyDescent="0.25">
      <c r="B21" s="2" t="s">
        <v>1</v>
      </c>
      <c r="C21" s="3">
        <v>2123</v>
      </c>
    </row>
    <row r="22" spans="2:3" x14ac:dyDescent="0.25">
      <c r="B22" s="2" t="s">
        <v>2</v>
      </c>
      <c r="C22" s="3">
        <v>2510</v>
      </c>
    </row>
    <row r="23" spans="2:3" x14ac:dyDescent="0.25">
      <c r="B23" s="2" t="s">
        <v>3</v>
      </c>
      <c r="C23" s="3">
        <v>6260</v>
      </c>
    </row>
    <row r="24" spans="2:3" ht="15.75" thickBot="1" x14ac:dyDescent="0.3">
      <c r="B24" s="2" t="s">
        <v>4</v>
      </c>
      <c r="C24" s="3">
        <v>5203</v>
      </c>
    </row>
    <row r="25" spans="2:3" ht="15.75" thickTop="1" x14ac:dyDescent="0.25">
      <c r="B25" s="4" t="s">
        <v>5</v>
      </c>
      <c r="C25" s="5">
        <v>16096</v>
      </c>
    </row>
    <row r="27" spans="2:3" x14ac:dyDescent="0.25">
      <c r="B27" s="6" t="s">
        <v>10</v>
      </c>
      <c r="C27" s="6"/>
    </row>
    <row r="28" spans="2:3" x14ac:dyDescent="0.25">
      <c r="B28" s="1" t="s">
        <v>21</v>
      </c>
      <c r="C28" s="1" t="s">
        <v>0</v>
      </c>
    </row>
    <row r="29" spans="2:3" x14ac:dyDescent="0.25">
      <c r="B29" s="2" t="s">
        <v>1</v>
      </c>
      <c r="C29" s="3">
        <v>8463.73</v>
      </c>
    </row>
    <row r="30" spans="2:3" x14ac:dyDescent="0.25">
      <c r="B30" s="2" t="s">
        <v>2</v>
      </c>
      <c r="C30" s="3">
        <v>1183</v>
      </c>
    </row>
    <row r="31" spans="2:3" ht="15.75" thickBot="1" x14ac:dyDescent="0.3">
      <c r="B31" s="2" t="s">
        <v>3</v>
      </c>
      <c r="C31" s="3">
        <v>1462</v>
      </c>
    </row>
    <row r="32" spans="2:3" ht="15.75" thickTop="1" x14ac:dyDescent="0.25">
      <c r="B32" s="4" t="s">
        <v>5</v>
      </c>
      <c r="C32" s="5">
        <v>11108.73</v>
      </c>
    </row>
    <row r="34" spans="2:3" x14ac:dyDescent="0.25">
      <c r="B34" s="6" t="s">
        <v>9</v>
      </c>
      <c r="C34" s="6"/>
    </row>
    <row r="35" spans="2:3" x14ac:dyDescent="0.25">
      <c r="B35" s="1" t="s">
        <v>21</v>
      </c>
      <c r="C35" s="1" t="s">
        <v>0</v>
      </c>
    </row>
    <row r="36" spans="2:3" x14ac:dyDescent="0.25">
      <c r="B36" s="2" t="s">
        <v>1</v>
      </c>
      <c r="C36" s="3">
        <v>2374</v>
      </c>
    </row>
    <row r="37" spans="2:3" x14ac:dyDescent="0.25">
      <c r="B37" s="2" t="s">
        <v>2</v>
      </c>
      <c r="C37" s="3">
        <v>1600</v>
      </c>
    </row>
    <row r="38" spans="2:3" x14ac:dyDescent="0.25">
      <c r="B38" s="2" t="s">
        <v>3</v>
      </c>
      <c r="C38" s="3">
        <v>2195</v>
      </c>
    </row>
    <row r="39" spans="2:3" ht="15.75" thickBot="1" x14ac:dyDescent="0.3">
      <c r="B39" s="2" t="s">
        <v>4</v>
      </c>
      <c r="C39" s="3">
        <v>1745</v>
      </c>
    </row>
    <row r="40" spans="2:3" ht="15.75" thickTop="1" x14ac:dyDescent="0.25">
      <c r="B40" s="4" t="s">
        <v>5</v>
      </c>
      <c r="C40" s="5">
        <v>7914</v>
      </c>
    </row>
  </sheetData>
  <mergeCells count="6">
    <mergeCell ref="B3:C3"/>
    <mergeCell ref="B19:C19"/>
    <mergeCell ref="B11:C11"/>
    <mergeCell ref="B34:C34"/>
    <mergeCell ref="B27:C27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94A12-03BD-494F-B4C1-A35B8CC339E4}">
  <dimension ref="B2:D42"/>
  <sheetViews>
    <sheetView workbookViewId="0">
      <selection activeCell="B2" sqref="B2:D4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09/11/2025  16:35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19</v>
      </c>
      <c r="C4" s="1" t="s">
        <v>0</v>
      </c>
    </row>
    <row r="5" spans="2:4" x14ac:dyDescent="0.25">
      <c r="B5" s="2" t="s">
        <v>12</v>
      </c>
      <c r="C5" s="3">
        <v>5107</v>
      </c>
    </row>
    <row r="6" spans="2:4" x14ac:dyDescent="0.25">
      <c r="B6" s="2" t="s">
        <v>13</v>
      </c>
      <c r="C6" s="3">
        <v>10555</v>
      </c>
    </row>
    <row r="7" spans="2:4" x14ac:dyDescent="0.25">
      <c r="B7" s="2" t="s">
        <v>14</v>
      </c>
      <c r="C7" s="3">
        <v>784</v>
      </c>
    </row>
    <row r="8" spans="2:4" x14ac:dyDescent="0.25">
      <c r="B8" s="2" t="s">
        <v>15</v>
      </c>
      <c r="C8" s="3">
        <v>11355</v>
      </c>
    </row>
    <row r="9" spans="2:4" ht="15.75" thickBot="1" x14ac:dyDescent="0.3">
      <c r="B9" s="2" t="s">
        <v>16</v>
      </c>
      <c r="C9" s="3">
        <v>124706.32</v>
      </c>
      <c r="D9" s="1" t="s">
        <v>11</v>
      </c>
    </row>
    <row r="10" spans="2:4" ht="15.75" thickTop="1" x14ac:dyDescent="0.25">
      <c r="B10" s="4" t="s">
        <v>5</v>
      </c>
      <c r="C10" s="5">
        <v>152507.32</v>
      </c>
      <c r="D10" s="5">
        <f ca="1">SUMIF(B:B, "Total general", C:C)</f>
        <v>220006.85</v>
      </c>
    </row>
    <row r="12" spans="2:4" x14ac:dyDescent="0.25">
      <c r="B12" s="6" t="s">
        <v>8</v>
      </c>
      <c r="C12" s="6"/>
    </row>
    <row r="13" spans="2:4" x14ac:dyDescent="0.25">
      <c r="B13" s="1" t="s">
        <v>19</v>
      </c>
      <c r="C13" s="1" t="s">
        <v>0</v>
      </c>
    </row>
    <row r="14" spans="2:4" x14ac:dyDescent="0.25">
      <c r="B14" s="2" t="s">
        <v>12</v>
      </c>
      <c r="C14" s="3">
        <v>500</v>
      </c>
    </row>
    <row r="15" spans="2:4" x14ac:dyDescent="0.25">
      <c r="B15" s="2" t="s">
        <v>13</v>
      </c>
      <c r="C15" s="3">
        <v>1000</v>
      </c>
    </row>
    <row r="16" spans="2:4" ht="15.75" thickBot="1" x14ac:dyDescent="0.3">
      <c r="B16" s="2" t="s">
        <v>16</v>
      </c>
      <c r="C16" s="3">
        <v>30880.799999999999</v>
      </c>
    </row>
    <row r="17" spans="2:3" ht="15.75" thickTop="1" x14ac:dyDescent="0.25">
      <c r="B17" s="4" t="s">
        <v>5</v>
      </c>
      <c r="C17" s="5">
        <v>32380.799999999999</v>
      </c>
    </row>
    <row r="19" spans="2:3" x14ac:dyDescent="0.25">
      <c r="B19" s="6" t="s">
        <v>7</v>
      </c>
      <c r="C19" s="6"/>
    </row>
    <row r="20" spans="2:3" x14ac:dyDescent="0.25">
      <c r="B20" s="1" t="s">
        <v>19</v>
      </c>
      <c r="C20" s="1" t="s">
        <v>0</v>
      </c>
    </row>
    <row r="21" spans="2:3" x14ac:dyDescent="0.25">
      <c r="B21" s="2" t="s">
        <v>12</v>
      </c>
      <c r="C21" s="3">
        <v>1437</v>
      </c>
    </row>
    <row r="22" spans="2:3" x14ac:dyDescent="0.25">
      <c r="B22" s="2" t="s">
        <v>13</v>
      </c>
      <c r="C22" s="3">
        <v>1128</v>
      </c>
    </row>
    <row r="23" spans="2:3" x14ac:dyDescent="0.25">
      <c r="B23" s="2" t="s">
        <v>15</v>
      </c>
      <c r="C23" s="3">
        <v>2500</v>
      </c>
    </row>
    <row r="24" spans="2:3" ht="15.75" thickBot="1" x14ac:dyDescent="0.3">
      <c r="B24" s="2" t="s">
        <v>16</v>
      </c>
      <c r="C24" s="3">
        <v>11031</v>
      </c>
    </row>
    <row r="25" spans="2:3" ht="15.75" thickTop="1" x14ac:dyDescent="0.25">
      <c r="B25" s="4" t="s">
        <v>5</v>
      </c>
      <c r="C25" s="5">
        <v>16096</v>
      </c>
    </row>
    <row r="27" spans="2:3" x14ac:dyDescent="0.25">
      <c r="B27" s="6" t="s">
        <v>10</v>
      </c>
      <c r="C27" s="6"/>
    </row>
    <row r="28" spans="2:3" x14ac:dyDescent="0.25">
      <c r="B28" s="1" t="s">
        <v>19</v>
      </c>
      <c r="C28" s="1" t="s">
        <v>0</v>
      </c>
    </row>
    <row r="29" spans="2:3" x14ac:dyDescent="0.25">
      <c r="B29" s="2" t="s">
        <v>12</v>
      </c>
      <c r="C29" s="3">
        <v>311</v>
      </c>
    </row>
    <row r="30" spans="2:3" x14ac:dyDescent="0.25">
      <c r="B30" s="2" t="s">
        <v>13</v>
      </c>
      <c r="C30" s="3">
        <v>2052</v>
      </c>
    </row>
    <row r="31" spans="2:3" x14ac:dyDescent="0.25">
      <c r="B31" s="2" t="s">
        <v>17</v>
      </c>
      <c r="C31" s="3">
        <v>2468</v>
      </c>
    </row>
    <row r="32" spans="2:3" x14ac:dyDescent="0.25">
      <c r="B32" s="2" t="s">
        <v>15</v>
      </c>
      <c r="C32" s="3">
        <v>1563</v>
      </c>
    </row>
    <row r="33" spans="2:3" x14ac:dyDescent="0.25">
      <c r="B33" s="2" t="s">
        <v>18</v>
      </c>
      <c r="C33" s="3">
        <v>201</v>
      </c>
    </row>
    <row r="34" spans="2:3" ht="15.75" thickBot="1" x14ac:dyDescent="0.3">
      <c r="B34" s="2" t="s">
        <v>16</v>
      </c>
      <c r="C34" s="3">
        <v>4513.7299999999996</v>
      </c>
    </row>
    <row r="35" spans="2:3" ht="15.75" thickTop="1" x14ac:dyDescent="0.25">
      <c r="B35" s="4" t="s">
        <v>5</v>
      </c>
      <c r="C35" s="5">
        <v>11108.73</v>
      </c>
    </row>
    <row r="37" spans="2:3" x14ac:dyDescent="0.25">
      <c r="B37" s="6" t="s">
        <v>9</v>
      </c>
      <c r="C37" s="6"/>
    </row>
    <row r="38" spans="2:3" x14ac:dyDescent="0.25">
      <c r="B38" s="1" t="s">
        <v>19</v>
      </c>
      <c r="C38" s="1" t="s">
        <v>0</v>
      </c>
    </row>
    <row r="39" spans="2:3" x14ac:dyDescent="0.25">
      <c r="B39" s="2" t="s">
        <v>12</v>
      </c>
      <c r="C39" s="3">
        <v>2195</v>
      </c>
    </row>
    <row r="40" spans="2:3" x14ac:dyDescent="0.25">
      <c r="B40" s="2" t="s">
        <v>15</v>
      </c>
      <c r="C40" s="3">
        <v>2745</v>
      </c>
    </row>
    <row r="41" spans="2:3" ht="15.75" thickBot="1" x14ac:dyDescent="0.3">
      <c r="B41" s="2" t="s">
        <v>16</v>
      </c>
      <c r="C41" s="3">
        <v>2974</v>
      </c>
    </row>
    <row r="42" spans="2:3" ht="15.75" thickTop="1" x14ac:dyDescent="0.25">
      <c r="B42" s="4" t="s">
        <v>5</v>
      </c>
      <c r="C42" s="5">
        <v>7914</v>
      </c>
    </row>
  </sheetData>
  <mergeCells count="6">
    <mergeCell ref="B2:C2"/>
    <mergeCell ref="B3:C3"/>
    <mergeCell ref="B12:C12"/>
    <mergeCell ref="B19:C19"/>
    <mergeCell ref="B27:C27"/>
    <mergeCell ref="B37:C3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E1262-2A6C-4706-B8C4-A85D290CD4DF}">
  <dimension ref="B2:D22"/>
  <sheetViews>
    <sheetView tabSelected="1" workbookViewId="0">
      <selection activeCell="B2" sqref="B2:D2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CDC" &amp; TEXT(TODAY(), " dd/mm/aaaa ") &amp; TEXT(NOW(), " hh:mm ")</f>
        <v xml:space="preserve"> ETIQUETA PROYECTO CDC 09/11/2025  16:35 </v>
      </c>
      <c r="C2" s="6"/>
    </row>
    <row r="3" spans="2:4" x14ac:dyDescent="0.25">
      <c r="B3" s="6" t="s">
        <v>20</v>
      </c>
      <c r="C3" s="6"/>
    </row>
    <row r="4" spans="2:4" x14ac:dyDescent="0.25">
      <c r="B4" s="1" t="s">
        <v>21</v>
      </c>
      <c r="C4" s="1" t="s">
        <v>0</v>
      </c>
    </row>
    <row r="5" spans="2:4" x14ac:dyDescent="0.25">
      <c r="B5" s="2" t="s">
        <v>1</v>
      </c>
      <c r="C5" s="3">
        <v>19910.66</v>
      </c>
    </row>
    <row r="6" spans="2:4" x14ac:dyDescent="0.25">
      <c r="B6" s="2" t="s">
        <v>2</v>
      </c>
      <c r="C6" s="3">
        <v>4736</v>
      </c>
    </row>
    <row r="7" spans="2:4" x14ac:dyDescent="0.25">
      <c r="B7" s="2" t="s">
        <v>3</v>
      </c>
      <c r="C7" s="3">
        <v>5325</v>
      </c>
    </row>
    <row r="8" spans="2:4" ht="15.75" thickBot="1" x14ac:dyDescent="0.3">
      <c r="B8" s="2" t="s">
        <v>4</v>
      </c>
      <c r="C8" s="3">
        <v>584</v>
      </c>
      <c r="D8" s="1" t="s">
        <v>11</v>
      </c>
    </row>
    <row r="9" spans="2:4" ht="15.75" thickTop="1" x14ac:dyDescent="0.25">
      <c r="B9" s="4" t="s">
        <v>5</v>
      </c>
      <c r="C9" s="5">
        <v>30555.66</v>
      </c>
      <c r="D9" s="5">
        <f ca="1">SUMIF(B:B, "Total general", C:C)</f>
        <v>46157.39</v>
      </c>
    </row>
    <row r="11" spans="2:4" x14ac:dyDescent="0.25">
      <c r="B11" s="6" t="s">
        <v>10</v>
      </c>
      <c r="C11" s="6"/>
    </row>
    <row r="12" spans="2:4" x14ac:dyDescent="0.25">
      <c r="B12" s="1" t="s">
        <v>21</v>
      </c>
      <c r="C12" s="1" t="s">
        <v>0</v>
      </c>
    </row>
    <row r="13" spans="2:4" x14ac:dyDescent="0.25">
      <c r="B13" s="2" t="s">
        <v>1</v>
      </c>
      <c r="C13" s="3">
        <v>6453.73</v>
      </c>
    </row>
    <row r="14" spans="2:4" x14ac:dyDescent="0.25">
      <c r="B14" s="2" t="s">
        <v>2</v>
      </c>
      <c r="C14" s="3">
        <v>656</v>
      </c>
    </row>
    <row r="15" spans="2:4" ht="15.75" thickBot="1" x14ac:dyDescent="0.3">
      <c r="B15" s="2" t="s">
        <v>3</v>
      </c>
      <c r="C15" s="3">
        <v>1462</v>
      </c>
    </row>
    <row r="16" spans="2:4" ht="15.75" thickTop="1" x14ac:dyDescent="0.25">
      <c r="B16" s="4" t="s">
        <v>5</v>
      </c>
      <c r="C16" s="5">
        <v>8571.73</v>
      </c>
    </row>
    <row r="18" spans="2:3" x14ac:dyDescent="0.25">
      <c r="B18" s="6" t="s">
        <v>6</v>
      </c>
      <c r="C18" s="6"/>
    </row>
    <row r="19" spans="2:3" x14ac:dyDescent="0.25">
      <c r="B19" s="1" t="s">
        <v>21</v>
      </c>
      <c r="C19" s="1" t="s">
        <v>0</v>
      </c>
    </row>
    <row r="20" spans="2:3" x14ac:dyDescent="0.25">
      <c r="B20" s="2" t="s">
        <v>1</v>
      </c>
      <c r="C20" s="3">
        <v>4637</v>
      </c>
    </row>
    <row r="21" spans="2:3" ht="15.75" thickBot="1" x14ac:dyDescent="0.3">
      <c r="B21" s="2" t="s">
        <v>3</v>
      </c>
      <c r="C21" s="3">
        <v>2393</v>
      </c>
    </row>
    <row r="22" spans="2:3" ht="15.75" thickTop="1" x14ac:dyDescent="0.25">
      <c r="B22" s="4" t="s">
        <v>5</v>
      </c>
      <c r="C22" s="5">
        <v>7030</v>
      </c>
    </row>
  </sheetData>
  <mergeCells count="4">
    <mergeCell ref="B2:C2"/>
    <mergeCell ref="B3:C3"/>
    <mergeCell ref="B11:C11"/>
    <mergeCell ref="B18:C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2025-11-09T22:35:09Z</cp:lastPrinted>
  <dcterms:created xsi:type="dcterms:W3CDTF">2025-11-09T22:27:29Z</dcterms:created>
  <dcterms:modified xsi:type="dcterms:W3CDTF">2025-11-09T22:35:11Z</dcterms:modified>
</cp:coreProperties>
</file>