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7 NOV\NOCHE\"/>
    </mc:Choice>
  </mc:AlternateContent>
  <xr:revisionPtr revIDLastSave="0" documentId="13_ncr:1_{7CA4CEF3-635B-48E5-9E3A-43B44972144D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5" l="1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<sst xmlns="http://schemas.openxmlformats.org/spreadsheetml/2006/main" count="139" uniqueCount="37">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</sst>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7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8087</v>
      </c>
      <c r="D5" s="28">
        <v>469881.18</v>
      </c>
    </row>
    <row r="6" spans="2:8" x14ac:dyDescent="0.25">
      <c r="B6" s="1" t="s">
        <v>5</v>
      </c>
      <c r="C6" s="6">
        <v>6585</v>
      </c>
      <c r="D6" s="28">
        <v>199438.96000000002</v>
      </c>
    </row>
    <row r="7" spans="2:8" x14ac:dyDescent="0.25">
      <c r="B7" s="1" t="s">
        <v>6</v>
      </c>
      <c r="C7" s="6">
        <v>7778</v>
      </c>
      <c r="D7" s="28">
        <v>136000.46999999997</v>
      </c>
    </row>
    <row r="8" spans="2:8" x14ac:dyDescent="0.25">
      <c r="B8" s="5" t="s">
        <v>11</v>
      </c>
      <c r="C8" s="7">
        <v>506</v>
      </c>
      <c r="D8" s="29">
        <v>0</v>
      </c>
    </row>
    <row r="9" spans="2:8" x14ac:dyDescent="0.25">
      <c r="B9" s="1" t="s">
        <v>7</v>
      </c>
      <c r="C9" s="6">
        <v>36612</v>
      </c>
      <c r="D9" s="28">
        <v>281672.53999999998</v>
      </c>
      <c r="E9" s="14"/>
      <c r="F9" s="7"/>
    </row>
    <row r="10" spans="2:8" x14ac:dyDescent="0.25">
      <c r="B10" s="3" t="s">
        <v>8</v>
      </c>
      <c r="C10" s="8">
        <f>SUM(C5:C9)</f>
        <v>59568</v>
      </c>
      <c r="D10" s="4">
        <f>SUM(D5:D9)</f>
        <v>1086993.1499999999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596</v>
      </c>
      <c r="D14" s="28">
        <v>122388.16</v>
      </c>
    </row>
    <row r="15" spans="2:8" x14ac:dyDescent="0.25">
      <c r="B15" s="9" t="s">
        <v>5</v>
      </c>
      <c r="C15" s="6">
        <v>1580</v>
      </c>
      <c r="D15" s="28">
        <v>40036.21</v>
      </c>
    </row>
    <row r="16" spans="2:8" x14ac:dyDescent="0.25">
      <c r="B16" s="9" t="s">
        <v>6</v>
      </c>
      <c r="C16" s="6">
        <v>3272</v>
      </c>
      <c r="D16" s="28">
        <v>39751</v>
      </c>
    </row>
    <row r="17" spans="2:4" x14ac:dyDescent="0.25">
      <c r="B17" s="9" t="s">
        <v>7</v>
      </c>
      <c r="C17" s="6">
        <v>4024</v>
      </c>
      <c r="D17" s="28">
        <v>34551.14</v>
      </c>
    </row>
    <row r="18" spans="2:4" x14ac:dyDescent="0.25">
      <c r="B18" s="10" t="s">
        <v>8</v>
      </c>
      <c r="C18" s="8">
        <f>SUM(C14:C17)</f>
        <v>9472</v>
      </c>
      <c r="D18" s="4">
        <f>SUM(D14:D17)</f>
        <v>236726.51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91</v>
      </c>
      <c r="D22" s="28">
        <v>68290.94</v>
      </c>
    </row>
    <row r="23" spans="2:4" x14ac:dyDescent="0.25">
      <c r="B23" s="1" t="s">
        <v>5</v>
      </c>
      <c r="C23" s="6">
        <v>163</v>
      </c>
      <c r="D23" s="28">
        <v>38200.090000000004</v>
      </c>
    </row>
    <row r="24" spans="2:4" x14ac:dyDescent="0.25">
      <c r="B24" s="1" t="s">
        <v>6</v>
      </c>
      <c r="C24" s="6">
        <v>1760</v>
      </c>
      <c r="D24" s="28">
        <v>39691</v>
      </c>
    </row>
    <row r="25" spans="2:4" x14ac:dyDescent="0.25">
      <c r="B25" s="1" t="s">
        <v>7</v>
      </c>
      <c r="C25" s="7">
        <v>14534</v>
      </c>
      <c r="D25" s="28">
        <v>40165.03</v>
      </c>
    </row>
    <row r="26" spans="2:4" x14ac:dyDescent="0.25">
      <c r="B26" s="3" t="s">
        <v>8</v>
      </c>
      <c r="C26" s="8">
        <f>SUM(C22:C25)</f>
        <v>16548</v>
      </c>
      <c r="D26" s="4">
        <f>SUM(D22:D25)</f>
        <v>186347.06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4908</v>
      </c>
      <c r="D30" s="28">
        <v>130675.43</v>
      </c>
    </row>
    <row r="31" spans="2:4" x14ac:dyDescent="0.25">
      <c r="B31" s="1" t="s">
        <v>5</v>
      </c>
      <c r="C31" s="6">
        <v>972</v>
      </c>
      <c r="D31" s="28">
        <v>22673.1</v>
      </c>
    </row>
    <row r="32" spans="2:4" x14ac:dyDescent="0.25">
      <c r="B32" s="1" t="s">
        <v>6</v>
      </c>
      <c r="C32" s="6">
        <v>3611</v>
      </c>
      <c r="D32" s="28">
        <v>10467</v>
      </c>
    </row>
    <row r="33" spans="2:4" x14ac:dyDescent="0.25">
      <c r="B33" s="1" t="s">
        <v>7</v>
      </c>
      <c r="C33" s="6">
        <v>1028</v>
      </c>
      <c r="D33" s="28">
        <v>6399</v>
      </c>
    </row>
    <row r="34" spans="2:4" x14ac:dyDescent="0.25">
      <c r="B34" s="10" t="s">
        <v>8</v>
      </c>
      <c r="C34" s="8">
        <f>SUM(C30:C33)</f>
        <v>10519</v>
      </c>
      <c r="D34" s="4">
        <f>SUM(D30:D33)</f>
        <v>170214.53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14</v>
      </c>
      <c r="D38" s="28">
        <v>5071.26</v>
      </c>
    </row>
    <row r="39" spans="2:4" x14ac:dyDescent="0.25">
      <c r="B39" s="1" t="s">
        <v>5</v>
      </c>
      <c r="C39" s="6">
        <v>16</v>
      </c>
      <c r="D39" s="29">
        <v>0</v>
      </c>
    </row>
    <row r="40" spans="2:4" x14ac:dyDescent="0.25">
      <c r="B40" s="1" t="s">
        <v>6</v>
      </c>
      <c r="C40" s="6">
        <v>6</v>
      </c>
      <c r="D40" s="28">
        <v>970</v>
      </c>
    </row>
    <row r="41" spans="2:4" x14ac:dyDescent="0.25">
      <c r="B41" s="1" t="s">
        <v>7</v>
      </c>
      <c r="C41" s="6">
        <v>961</v>
      </c>
      <c r="D41" s="28">
        <v>7087</v>
      </c>
    </row>
    <row r="42" spans="2:4" x14ac:dyDescent="0.25">
      <c r="B42" s="3" t="s">
        <v>8</v>
      </c>
      <c r="C42" s="8">
        <f>SUM(C38:C41)</f>
        <v>997</v>
      </c>
      <c r="D42" s="4">
        <f>SUM(D38:D41)</f>
        <v>13128.26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97104</v>
      </c>
      <c r="D50" s="13">
        <f>SUMIF(B:B, "Total general", D:D)</f>
        <v>1693409.51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6695</v>
      </c>
      <c r="D5" s="28">
        <v>217769.74</v>
      </c>
      <c r="E5" s="11"/>
    </row>
    <row r="6" spans="2:8" x14ac:dyDescent="0.25">
      <c r="B6" s="1" t="s">
        <v>5</v>
      </c>
      <c r="C6" s="27">
        <v>7908</v>
      </c>
      <c r="D6" s="28">
        <v>78793.25</v>
      </c>
    </row>
    <row r="7" spans="2:8" x14ac:dyDescent="0.25">
      <c r="B7" s="1" t="s">
        <v>6</v>
      </c>
      <c r="C7" s="27">
        <v>8092</v>
      </c>
      <c r="D7" s="28">
        <v>60873.18</v>
      </c>
    </row>
    <row r="8" spans="2:8" x14ac:dyDescent="0.25">
      <c r="B8" s="5" t="s">
        <v>11</v>
      </c>
      <c r="C8" s="27">
        <v>2738</v>
      </c>
      <c r="D8" s="28">
        <v>1978</v>
      </c>
    </row>
    <row r="9" spans="2:8" x14ac:dyDescent="0.25">
      <c r="B9" s="1" t="s">
        <v>7</v>
      </c>
      <c r="C9" s="27">
        <v>2914</v>
      </c>
      <c r="D9" s="28">
        <v>8291</v>
      </c>
      <c r="E9" s="14"/>
      <c r="F9" s="7"/>
    </row>
    <row r="10" spans="2:8" x14ac:dyDescent="0.25">
      <c r="B10" s="3" t="s">
        <v>8</v>
      </c>
      <c r="C10" s="8">
        <f>SUM(C5:C9)</f>
        <v>28347</v>
      </c>
      <c r="D10" s="4">
        <f>SUM(D5:D9)</f>
        <v>367705.17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4894</v>
      </c>
      <c r="D14" s="28">
        <v>127709.43</v>
      </c>
    </row>
    <row r="15" spans="2:8" x14ac:dyDescent="0.25">
      <c r="B15" s="1" t="s">
        <v>5</v>
      </c>
      <c r="C15" s="26">
        <v>570</v>
      </c>
      <c r="D15" s="28">
        <v>15124.1</v>
      </c>
    </row>
    <row r="16" spans="2:8" x14ac:dyDescent="0.25">
      <c r="B16" s="1" t="s">
        <v>6</v>
      </c>
      <c r="C16" s="26">
        <v>3495</v>
      </c>
      <c r="D16" s="28">
        <v>9585</v>
      </c>
    </row>
    <row r="17" spans="2:4" x14ac:dyDescent="0.25">
      <c r="B17" s="9" t="s">
        <v>7</v>
      </c>
      <c r="C17" s="26">
        <v>27</v>
      </c>
      <c r="D17" s="28">
        <v>6399</v>
      </c>
    </row>
    <row r="18" spans="2:4" x14ac:dyDescent="0.25">
      <c r="B18" s="10" t="s">
        <v>8</v>
      </c>
      <c r="C18" s="8">
        <f>SUM(C14:C17)</f>
        <v>8986</v>
      </c>
      <c r="D18" s="4">
        <f>SUM(D14:D17)</f>
        <v>158817.53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1268</v>
      </c>
      <c r="D22" s="28">
        <v>26976</v>
      </c>
    </row>
    <row r="23" spans="2:4" x14ac:dyDescent="0.25">
      <c r="B23" s="1" t="s">
        <v>5</v>
      </c>
      <c r="C23" s="26">
        <v>1037</v>
      </c>
      <c r="D23" s="28">
        <v>2678.66</v>
      </c>
    </row>
    <row r="24" spans="2:4" x14ac:dyDescent="0.25">
      <c r="B24" s="1" t="s">
        <v>6</v>
      </c>
      <c r="C24" s="26">
        <v>1080</v>
      </c>
      <c r="D24" s="28">
        <v>19710.39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9356</v>
      </c>
    </row>
    <row r="27" spans="2:4" x14ac:dyDescent="0.25">
      <c r="B27" s="3" t="s">
        <v>8</v>
      </c>
      <c r="C27" s="8">
        <f>SUM(C22:C26)</f>
        <v>3688</v>
      </c>
      <c r="D27" s="4">
        <f>SUM(D22:D26)</f>
        <v>58721.05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2646</v>
      </c>
    </row>
    <row r="32" spans="2:4" x14ac:dyDescent="0.25">
      <c r="B32" s="1" t="s">
        <v>7</v>
      </c>
      <c r="C32" s="26">
        <v>64</v>
      </c>
      <c r="D32" s="29">
        <v>0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2646</v>
      </c>
    </row>
    <row r="35" spans="2:4" x14ac:dyDescent="0.25">
      <c r="B35" s="30" t="s">
        <v>34</v>
      </c>
      <c r="C35" s="30"/>
      <c r="D35" s="30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 s="26">
        <v>2</v>
      </c>
      <c r="D37" s="28">
        <v>763</v>
      </c>
    </row>
    <row r="38" spans="2:4" x14ac:dyDescent="0.25">
      <c r="B38" s="1" t="s">
        <v>5</v>
      </c>
      <c r="C38" s="11">
        <v>0</v>
      </c>
      <c r="D38" s="25">
        <v>0</v>
      </c>
    </row>
    <row r="39" spans="2:4" x14ac:dyDescent="0.25">
      <c r="B39" s="1" t="s">
        <v>6</v>
      </c>
      <c r="C39" s="26">
        <v>1</v>
      </c>
      <c r="D39" s="25">
        <v>0</v>
      </c>
    </row>
    <row r="40" spans="2:4" x14ac:dyDescent="0.25">
      <c r="B40" s="1" t="s">
        <v>7</v>
      </c>
      <c r="C40" s="26">
        <v>330</v>
      </c>
      <c r="D40" s="28">
        <v>378</v>
      </c>
    </row>
    <row r="41" spans="2:4" x14ac:dyDescent="0.25">
      <c r="B41" s="3" t="s">
        <v>8</v>
      </c>
      <c r="C41" s="8">
        <f>SUM(C37:C40)</f>
        <v>333</v>
      </c>
      <c r="D41" s="4">
        <f>SUM(D37:D40)</f>
        <v>1141</v>
      </c>
    </row>
    <row r="43" spans="2:4" x14ac:dyDescent="0.25">
      <c r="B43" s="31" t="s">
        <v>9</v>
      </c>
      <c r="C43" s="31"/>
      <c r="D43" s="31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 s="26">
        <v>2</v>
      </c>
      <c r="D45" s="25">
        <v>0</v>
      </c>
    </row>
    <row r="46" spans="2:4" x14ac:dyDescent="0.25">
      <c r="B46" s="9" t="s">
        <v>5</v>
      </c>
      <c r="C46" s="26">
        <v>1</v>
      </c>
      <c r="D46" s="25">
        <v>0</v>
      </c>
    </row>
    <row r="47" spans="2:4" x14ac:dyDescent="0.25">
      <c r="B47" s="9" t="s">
        <v>7</v>
      </c>
      <c r="C47" s="26">
        <v>176</v>
      </c>
      <c r="D47" s="28">
        <v>1080</v>
      </c>
    </row>
    <row r="48" spans="2:4" x14ac:dyDescent="0.25">
      <c r="B48" s="10" t="s">
        <v>8</v>
      </c>
      <c r="C48" s="8">
        <f>SUM(C45:C47)</f>
        <v>179</v>
      </c>
      <c r="D48" s="4">
        <f>SUM(D45:D47)</f>
        <v>1080</v>
      </c>
    </row>
    <row r="50" spans="2:4" x14ac:dyDescent="0.25">
      <c r="B50" s="12" t="s">
        <v>12</v>
      </c>
      <c r="C50" s="13">
        <f>SUMIF(B:B, "Total general", C:C)</f>
        <v>41599</v>
      </c>
      <c r="D50" s="13">
        <f>SUMIF(B:B, "Total general", D:D)</f>
        <v>590110.75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12863</v>
      </c>
      <c r="D3" s="14">
        <f>SUMIF('CDC-OLGUIN'!B:B, "Extrajudicial - 0 a 28 semanas de atraso", 'CDC-OLGUIN'!D:D)</f>
        <v>375864.17</v>
      </c>
    </row>
    <row r="4" spans="2:6" x14ac:dyDescent="0.25">
      <c r="B4" s="1" t="s">
        <v>5</v>
      </c>
      <c r="C4" s="6">
        <f>SUMIF('CDC-OLGUIN'!B:B, "Extrajudicial - 29 a 39 semanas de atraso", 'CDC-OLGUIN'!C:C)</f>
        <v>9516</v>
      </c>
      <c r="D4" s="14">
        <f>SUMIF('CDC-OLGUIN'!B:B, "Extrajudicial - 29 a 39 semanas de atraso", 'CDC-OLGUIN'!D:D)</f>
        <v>96596.010000000009</v>
      </c>
    </row>
    <row r="5" spans="2:6" x14ac:dyDescent="0.25">
      <c r="B5" s="1" t="s">
        <v>6</v>
      </c>
      <c r="C5" s="6">
        <f>SUMIF('CDC-OLGUIN'!B:B, "Extrajudicial - 40 a 55 semanas de atraso", 'CDC-OLGUIN'!C:C)</f>
        <v>12668</v>
      </c>
      <c r="D5" s="14">
        <f>SUMIF('CDC-OLGUIN'!B:B, "Extrajudicial - 40 a 55 semanas de atraso", 'CDC-OLGUIN'!D:D)</f>
        <v>90168.569999999992</v>
      </c>
    </row>
    <row r="6" spans="2:6" x14ac:dyDescent="0.25">
      <c r="B6" s="5" t="s">
        <v>11</v>
      </c>
      <c r="C6" s="6">
        <f>SUMIF('CDC-OLGUIN'!B:B, "JUDICIAL", 'CDC-OLGUIN'!C:C)</f>
        <v>2738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3814</v>
      </c>
      <c r="D7" s="6">
        <f>SUMIF('CDC-OLGUIN'!B:B, "Mas 55 semanas de atraso", 'CDC-OLGUIN'!D:D)</f>
        <v>25504</v>
      </c>
      <c r="E7" s="14"/>
      <c r="F7" s="7"/>
    </row>
    <row r="8" spans="2:6" x14ac:dyDescent="0.25">
      <c r="B8" s="3" t="s">
        <v>8</v>
      </c>
      <c r="C8" s="8">
        <f>SUM(C3:C7)</f>
        <v>41599</v>
      </c>
      <c r="D8" s="4">
        <f>SUM(D3:D7)</f>
        <v>590110.75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13696</v>
      </c>
      <c r="E6" s="16">
        <f>SUMIF('REPORTE DIARIO'!B:B,'EPR 26 JUN'!C6, 'REPORTE DIARIO'!D:D)</f>
        <v>796306.97</v>
      </c>
      <c r="F6" s="16">
        <f>J6*D6</f>
        <v>860891.42857142852</v>
      </c>
      <c r="G6" s="16">
        <f>+E6-F6</f>
        <v>-64584.458571428549</v>
      </c>
      <c r="H6" s="15">
        <f>ABS(G6/F6)</f>
        <v>7.5020445584643144E-2</v>
      </c>
      <c r="I6" s="16">
        <f>E6/D6</f>
        <v>58.141571991822431</v>
      </c>
      <c r="J6" s="16">
        <f>(220/7)*2</f>
        <v>62.857142857142854</v>
      </c>
      <c r="K6" s="16">
        <f>+I6-J6</f>
        <v>-4.7155708653204229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9316</v>
      </c>
      <c r="E7" s="16">
        <f>SUMIF('REPORTE DIARIO'!B:B,'EPR 26 JUN'!C7, 'REPORTE DIARIO'!D:D)</f>
        <v>300348.36</v>
      </c>
      <c r="F7" s="16">
        <f>J7*D7</f>
        <v>292788.57142857142</v>
      </c>
      <c r="G7" s="16">
        <f>+E7-F7</f>
        <v>7559.7885714285658</v>
      </c>
      <c r="H7" s="15">
        <f>ABS(G7/F7)</f>
        <v>2.5819957843787794E-2</v>
      </c>
      <c r="I7" s="16">
        <f>E7/D7</f>
        <v>32.240055817947614</v>
      </c>
      <c r="J7" s="16">
        <f>(110/7)*2</f>
        <v>31.428571428571427</v>
      </c>
      <c r="K7" s="16">
        <f t="shared" ref="K7:K9" si="0">+I7-J7</f>
        <v>0.8114843893761865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16427</v>
      </c>
      <c r="E8" s="16">
        <f>SUMIF('REPORTE DIARIO'!B:B,'EPR 26 JUN'!C8, 'REPORTE DIARIO'!D:D)</f>
        <v>226879.46999999997</v>
      </c>
      <c r="F8" s="16">
        <f>J8*D8</f>
        <v>211204.28571428571</v>
      </c>
      <c r="G8" s="16">
        <f>+E8-F8</f>
        <v>15675.184285714262</v>
      </c>
      <c r="H8" s="15">
        <f>ABS(G8/F8)</f>
        <v>7.4218116515492677E-2</v>
      </c>
      <c r="I8" s="16">
        <f>E8/D8</f>
        <v>13.81137578377062</v>
      </c>
      <c r="J8" s="16">
        <f>(45/7)*2</f>
        <v>12.857142857142858</v>
      </c>
      <c r="K8" s="16">
        <f t="shared" si="0"/>
        <v>0.95423292662776227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57159</v>
      </c>
      <c r="E9" s="16">
        <f>SUMIF('REPORTE DIARIO'!B:B,'EPR 26 JUN'!C9, 'REPORTE DIARIO'!D:D)</f>
        <v>369874.70999999996</v>
      </c>
      <c r="F9" s="16">
        <f>J9*D9</f>
        <v>244967.14285714284</v>
      </c>
      <c r="G9" s="16">
        <f>+E9-F9</f>
        <v>124907.56714285712</v>
      </c>
      <c r="H9" s="15">
        <f>ABS(G9/F9)</f>
        <v>0.50989518710964143</v>
      </c>
      <c r="I9" s="16">
        <f>E9/D9</f>
        <v>6.4709793733270349</v>
      </c>
      <c r="J9" s="16">
        <f>(15/7)*2</f>
        <v>4.2857142857142856</v>
      </c>
      <c r="K9" s="16">
        <f t="shared" si="0"/>
        <v>2.1852650876127493</v>
      </c>
    </row>
    <row r="10" spans="2:12" x14ac:dyDescent="0.25">
      <c r="B10" s="16"/>
      <c r="C10" s="19" t="s">
        <v>16</v>
      </c>
      <c r="D10" s="24">
        <f>SUM(D6:D9)</f>
        <v>96598</v>
      </c>
      <c r="E10" s="20">
        <f>SUM(E6:E9)</f>
        <v>1693409.51</v>
      </c>
      <c r="F10" s="20">
        <f>SUM(F6:F9)</f>
        <v>1609851.4285714286</v>
      </c>
      <c r="G10" s="20">
        <f>+E10-F10</f>
        <v>83558.081428571371</v>
      </c>
      <c r="H10" s="21">
        <f>ABS(G10/F10)</f>
        <v>5.1904219200352077E-2</v>
      </c>
      <c r="I10" s="20">
        <f>E10/D10</f>
        <v>17.530482101078697</v>
      </c>
      <c r="J10" s="20">
        <f>F10/D10</f>
        <v>16.665473701023092</v>
      </c>
      <c r="K10" s="20">
        <f>I10-J10</f>
        <v>0.8650084000556042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2025-11-07T14:38:51Z</cp:lastPrinted>
  <dcterms:created xsi:type="dcterms:W3CDTF">2025-01-27T15:11:28Z</dcterms:created>
  <dcterms:modified xsi:type="dcterms:W3CDTF">2025-11-08T02:14:29Z</dcterms:modified>
</cp:coreProperties>
</file>