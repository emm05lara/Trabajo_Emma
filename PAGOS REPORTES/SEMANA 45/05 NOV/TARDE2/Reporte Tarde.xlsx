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5 NOV\TARDE2\"/>
    </mc:Choice>
  </mc:AlternateContent>
  <xr:revisionPtr revIDLastSave="0" documentId="13_ncr:1_{7EA161A1-DE89-49A7-8989-1D30CD41B81E}" xr6:coauthVersionLast="47" xr6:coauthVersionMax="47" xr10:uidLastSave="{00000000-0000-0000-0000-000000000000}"/>
  <bookViews>
    <workbookView xWindow="-120" yWindow="-120" windowWidth="51840" windowHeight="21120" activeTab="2" xr2:uid="{A604FB65-6AA2-45F8-8C03-EF42F56FA77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D8" i="2" s="1"/>
  <c r="B2" i="3"/>
  <c r="D9" i="3" s="1"/>
  <c r="B2" i="1"/>
  <c r="D9" i="1" s="1"/>
</calcChain>
</file>

<file path=xl/sharedStrings.xml><?xml version="1.0" encoding="utf-8"?>
<sst xmlns="http://schemas.openxmlformats.org/spreadsheetml/2006/main" count="98" uniqueCount="22">
  <si>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</si>
  <si>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</si>
  <si>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</si>
  <si>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</si>
  <si>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</si>
  <si>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</si>
  <si>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</si>
  <si>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</si>
  <si>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</si>
  <si>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</si>
  <si>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</si>
  <si>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</si>
  <si>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CREDIMAX</t>
  </si>
  <si>
    <t>REESTRUCTURA</t>
  </si>
  <si>
    <t>TOR</t>
  </si>
  <si>
    <t>CONSUMO</t>
  </si>
  <si>
    <t>TAZ</t>
  </si>
  <si>
    <t>ITALIKA</t>
  </si>
  <si>
    <t>ITALIKA GPS</t>
  </si>
  <si>
    <t>Producto</t>
  </si>
  <si>
    <t>Segmento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</si>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</sst>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D1CA-0C5D-44BF-B5DA-352F6677A924}">
  <dimension ref="B2:D37"/>
  <sheetViews>
    <sheetView workbookViewId="0">
      <selection activeCell="B2" sqref="B2:D3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05/11/2025  17:08 </v>
      </c>
      <c r="C2" s="6"/>
    </row>
    <row r="3" spans="2:4" x14ac:dyDescent="0.25">
      <c r="B3" s="6" t="s">
        <v>8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</v>
      </c>
      <c r="C5" s="3">
        <v>85618</v>
      </c>
    </row>
    <row r="6" spans="2:4" x14ac:dyDescent="0.25">
      <c r="B6" s="2" t="s">
        <v>2</v>
      </c>
      <c r="C6" s="3">
        <v>3628</v>
      </c>
    </row>
    <row r="7" spans="2:4" x14ac:dyDescent="0.25">
      <c r="B7" s="2" t="s">
        <v>3</v>
      </c>
      <c r="C7" s="3">
        <v>2303</v>
      </c>
    </row>
    <row r="8" spans="2:4" ht="15.75" thickBot="1" x14ac:dyDescent="0.3">
      <c r="B8" s="2" t="s">
        <v>4</v>
      </c>
      <c r="C8" s="3">
        <v>2389</v>
      </c>
      <c r="D8" s="1" t="s">
        <v>11</v>
      </c>
    </row>
    <row r="9" spans="2:4" ht="15.75" thickTop="1" x14ac:dyDescent="0.25">
      <c r="B9" s="4" t="s">
        <v>5</v>
      </c>
      <c r="C9" s="5">
        <v>93938</v>
      </c>
      <c r="D9" s="5">
        <f ca="1">SUMIF(B:B, "Total general", C:C)</f>
        <v>182651.08</v>
      </c>
    </row>
    <row r="11" spans="2:4" x14ac:dyDescent="0.25">
      <c r="B11" s="6" t="s">
        <v>6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</v>
      </c>
      <c r="C13" s="3">
        <v>20152</v>
      </c>
    </row>
    <row r="14" spans="2:4" x14ac:dyDescent="0.25">
      <c r="B14" s="2" t="s">
        <v>2</v>
      </c>
      <c r="C14" s="3">
        <v>18894</v>
      </c>
    </row>
    <row r="15" spans="2:4" x14ac:dyDescent="0.25">
      <c r="B15" s="2" t="s">
        <v>3</v>
      </c>
      <c r="C15" s="3">
        <v>7543</v>
      </c>
    </row>
    <row r="16" spans="2:4" ht="15.75" thickBot="1" x14ac:dyDescent="0.3">
      <c r="B16" s="2" t="s">
        <v>4</v>
      </c>
      <c r="C16" s="3">
        <v>16939</v>
      </c>
    </row>
    <row r="17" spans="2:3" ht="15.75" thickTop="1" x14ac:dyDescent="0.25">
      <c r="B17" s="4" t="s">
        <v>5</v>
      </c>
      <c r="C17" s="5">
        <v>63528</v>
      </c>
    </row>
    <row r="19" spans="2:3" x14ac:dyDescent="0.25">
      <c r="B19" s="6" t="s">
        <v>10</v>
      </c>
      <c r="C19" s="6"/>
    </row>
    <row r="20" spans="2:3" x14ac:dyDescent="0.25">
      <c r="B20" s="1" t="s">
        <v>20</v>
      </c>
      <c r="C20" s="1" t="s">
        <v>0</v>
      </c>
    </row>
    <row r="21" spans="2:3" x14ac:dyDescent="0.25">
      <c r="B21" s="2" t="s">
        <v>1</v>
      </c>
      <c r="C21" s="3">
        <v>14587.720000000001</v>
      </c>
    </row>
    <row r="22" spans="2:3" x14ac:dyDescent="0.25">
      <c r="B22" s="2" t="s">
        <v>2</v>
      </c>
      <c r="C22" s="3">
        <v>2520</v>
      </c>
    </row>
    <row r="23" spans="2:3" x14ac:dyDescent="0.25">
      <c r="B23" s="2" t="s">
        <v>3</v>
      </c>
      <c r="C23" s="3">
        <v>2384</v>
      </c>
    </row>
    <row r="24" spans="2:3" ht="15.75" thickBot="1" x14ac:dyDescent="0.3">
      <c r="B24" s="2" t="s">
        <v>4</v>
      </c>
      <c r="C24" s="3">
        <v>1099</v>
      </c>
    </row>
    <row r="25" spans="2:3" ht="15.75" thickTop="1" x14ac:dyDescent="0.25">
      <c r="B25" s="4" t="s">
        <v>5</v>
      </c>
      <c r="C25" s="5">
        <v>20590.72</v>
      </c>
    </row>
    <row r="27" spans="2:3" x14ac:dyDescent="0.25">
      <c r="B27" s="6" t="s">
        <v>7</v>
      </c>
      <c r="C27" s="6"/>
    </row>
    <row r="28" spans="2:3" x14ac:dyDescent="0.25">
      <c r="B28" s="1" t="s">
        <v>20</v>
      </c>
      <c r="C28" s="1" t="s">
        <v>0</v>
      </c>
    </row>
    <row r="29" spans="2:3" x14ac:dyDescent="0.25">
      <c r="B29" s="2" t="s">
        <v>1</v>
      </c>
      <c r="C29" s="3">
        <v>846.78</v>
      </c>
    </row>
    <row r="30" spans="2:3" x14ac:dyDescent="0.25">
      <c r="B30" s="2" t="s">
        <v>3</v>
      </c>
      <c r="C30" s="3">
        <v>1157</v>
      </c>
    </row>
    <row r="31" spans="2:3" ht="15.75" thickBot="1" x14ac:dyDescent="0.3">
      <c r="B31" s="2" t="s">
        <v>4</v>
      </c>
      <c r="C31" s="3">
        <v>950</v>
      </c>
    </row>
    <row r="32" spans="2:3" ht="15.75" thickTop="1" x14ac:dyDescent="0.25">
      <c r="B32" s="4" t="s">
        <v>5</v>
      </c>
      <c r="C32" s="5">
        <v>2953.7799999999997</v>
      </c>
    </row>
    <row r="34" spans="2:3" x14ac:dyDescent="0.25">
      <c r="B34" s="6" t="s">
        <v>9</v>
      </c>
      <c r="C34" s="6"/>
    </row>
    <row r="35" spans="2:3" x14ac:dyDescent="0.25">
      <c r="B35" s="1" t="s">
        <v>20</v>
      </c>
      <c r="C35" s="1" t="s">
        <v>0</v>
      </c>
    </row>
    <row r="36" spans="2:3" ht="15.75" thickBot="1" x14ac:dyDescent="0.3">
      <c r="B36" s="2" t="s">
        <v>1</v>
      </c>
      <c r="C36" s="3">
        <v>1640.58</v>
      </c>
    </row>
    <row r="37" spans="2:3" ht="15.75" thickTop="1" x14ac:dyDescent="0.25">
      <c r="B37" s="4" t="s">
        <v>5</v>
      </c>
      <c r="C37" s="5">
        <v>1640.58</v>
      </c>
    </row>
  </sheetData>
  <mergeCells count="6">
    <mergeCell ref="B11:C11"/>
    <mergeCell ref="B27:C27"/>
    <mergeCell ref="B3:C3"/>
    <mergeCell ref="B34:C34"/>
    <mergeCell ref="B19:C19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247F-67A9-4943-9097-7AC8F8A79950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05/11/2025  17:08 </v>
      </c>
      <c r="C2" s="6"/>
    </row>
    <row r="3" spans="2:4" x14ac:dyDescent="0.25">
      <c r="B3" s="6" t="s">
        <v>8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12</v>
      </c>
      <c r="C5" s="3">
        <v>500</v>
      </c>
    </row>
    <row r="6" spans="2:4" x14ac:dyDescent="0.25">
      <c r="B6" s="2" t="s">
        <v>13</v>
      </c>
      <c r="C6" s="3">
        <v>74205</v>
      </c>
    </row>
    <row r="7" spans="2:4" ht="15.75" thickBot="1" x14ac:dyDescent="0.3">
      <c r="B7" s="2" t="s">
        <v>14</v>
      </c>
      <c r="C7" s="3">
        <v>19233</v>
      </c>
      <c r="D7" s="1" t="s">
        <v>11</v>
      </c>
    </row>
    <row r="8" spans="2:4" ht="15.75" thickTop="1" x14ac:dyDescent="0.25">
      <c r="B8" s="4" t="s">
        <v>5</v>
      </c>
      <c r="C8" s="5">
        <v>93938</v>
      </c>
      <c r="D8" s="5">
        <f ca="1">SUMIF(B:B, "Total general", C:C)</f>
        <v>182651.08</v>
      </c>
    </row>
    <row r="10" spans="2:4" x14ac:dyDescent="0.25">
      <c r="B10" s="6" t="s">
        <v>6</v>
      </c>
      <c r="C10" s="6"/>
    </row>
    <row r="11" spans="2:4" x14ac:dyDescent="0.25">
      <c r="B11" s="1" t="s">
        <v>19</v>
      </c>
      <c r="C11" s="1" t="s">
        <v>0</v>
      </c>
    </row>
    <row r="12" spans="2:4" x14ac:dyDescent="0.25">
      <c r="B12" s="2" t="s">
        <v>15</v>
      </c>
      <c r="C12" s="3">
        <v>937</v>
      </c>
    </row>
    <row r="13" spans="2:4" x14ac:dyDescent="0.25">
      <c r="B13" s="2" t="s">
        <v>12</v>
      </c>
      <c r="C13" s="3">
        <v>1639</v>
      </c>
    </row>
    <row r="14" spans="2:4" x14ac:dyDescent="0.25">
      <c r="B14" s="2" t="s">
        <v>13</v>
      </c>
      <c r="C14" s="3">
        <v>7758</v>
      </c>
    </row>
    <row r="15" spans="2:4" x14ac:dyDescent="0.25">
      <c r="B15" s="2" t="s">
        <v>16</v>
      </c>
      <c r="C15" s="3">
        <v>700</v>
      </c>
    </row>
    <row r="16" spans="2:4" ht="15.75" thickBot="1" x14ac:dyDescent="0.3">
      <c r="B16" s="2" t="s">
        <v>14</v>
      </c>
      <c r="C16" s="3">
        <v>52494</v>
      </c>
    </row>
    <row r="17" spans="2:3" ht="15.75" thickTop="1" x14ac:dyDescent="0.25">
      <c r="B17" s="4" t="s">
        <v>5</v>
      </c>
      <c r="C17" s="5">
        <v>63528</v>
      </c>
    </row>
    <row r="19" spans="2:3" x14ac:dyDescent="0.25">
      <c r="B19" s="6" t="s">
        <v>10</v>
      </c>
      <c r="C19" s="6"/>
    </row>
    <row r="20" spans="2:3" x14ac:dyDescent="0.25">
      <c r="B20" s="1" t="s">
        <v>19</v>
      </c>
      <c r="C20" s="1" t="s">
        <v>0</v>
      </c>
    </row>
    <row r="21" spans="2:3" x14ac:dyDescent="0.25">
      <c r="B21" s="2" t="s">
        <v>15</v>
      </c>
      <c r="C21" s="3">
        <v>7810</v>
      </c>
    </row>
    <row r="22" spans="2:3" x14ac:dyDescent="0.25">
      <c r="B22" s="2" t="s">
        <v>12</v>
      </c>
      <c r="C22" s="3">
        <v>1950</v>
      </c>
    </row>
    <row r="23" spans="2:3" x14ac:dyDescent="0.25">
      <c r="B23" s="2" t="s">
        <v>17</v>
      </c>
      <c r="C23" s="3">
        <v>4039.7200000000003</v>
      </c>
    </row>
    <row r="24" spans="2:3" x14ac:dyDescent="0.25">
      <c r="B24" s="2" t="s">
        <v>18</v>
      </c>
      <c r="C24" s="3">
        <v>2026</v>
      </c>
    </row>
    <row r="25" spans="2:3" x14ac:dyDescent="0.25">
      <c r="B25" s="2" t="s">
        <v>13</v>
      </c>
      <c r="C25" s="3">
        <v>943</v>
      </c>
    </row>
    <row r="26" spans="2:3" x14ac:dyDescent="0.25">
      <c r="B26" s="2" t="s">
        <v>16</v>
      </c>
      <c r="C26" s="3">
        <v>325</v>
      </c>
    </row>
    <row r="27" spans="2:3" ht="15.75" thickBot="1" x14ac:dyDescent="0.3">
      <c r="B27" s="2" t="s">
        <v>14</v>
      </c>
      <c r="C27" s="3">
        <v>3497</v>
      </c>
    </row>
    <row r="28" spans="2:3" ht="15.75" thickTop="1" x14ac:dyDescent="0.25">
      <c r="B28" s="4" t="s">
        <v>5</v>
      </c>
      <c r="C28" s="5">
        <v>20590.72</v>
      </c>
    </row>
    <row r="30" spans="2:3" x14ac:dyDescent="0.25">
      <c r="B30" s="6" t="s">
        <v>7</v>
      </c>
      <c r="C30" s="6"/>
    </row>
    <row r="31" spans="2:3" x14ac:dyDescent="0.25">
      <c r="B31" s="1" t="s">
        <v>19</v>
      </c>
      <c r="C31" s="1" t="s">
        <v>0</v>
      </c>
    </row>
    <row r="32" spans="2:3" ht="15.75" thickBot="1" x14ac:dyDescent="0.3">
      <c r="B32" s="2" t="s">
        <v>14</v>
      </c>
      <c r="C32" s="3">
        <v>2953.7799999999997</v>
      </c>
    </row>
    <row r="33" spans="2:3" ht="15.75" thickTop="1" x14ac:dyDescent="0.25">
      <c r="B33" s="4" t="s">
        <v>5</v>
      </c>
      <c r="C33" s="5">
        <v>2953.7799999999997</v>
      </c>
    </row>
    <row r="35" spans="2:3" x14ac:dyDescent="0.25">
      <c r="B35" s="6" t="s">
        <v>9</v>
      </c>
      <c r="C35" s="6"/>
    </row>
    <row r="36" spans="2:3" x14ac:dyDescent="0.25">
      <c r="B36" s="1" t="s">
        <v>19</v>
      </c>
      <c r="C36" s="1" t="s">
        <v>0</v>
      </c>
    </row>
    <row r="37" spans="2:3" x14ac:dyDescent="0.25">
      <c r="B37" s="2" t="s">
        <v>15</v>
      </c>
      <c r="C37" s="3">
        <v>499</v>
      </c>
    </row>
    <row r="38" spans="2:3" ht="15.75" thickBot="1" x14ac:dyDescent="0.3">
      <c r="B38" s="2" t="s">
        <v>14</v>
      </c>
      <c r="C38" s="3">
        <v>1141.58</v>
      </c>
    </row>
    <row r="39" spans="2:3" ht="15.75" thickTop="1" x14ac:dyDescent="0.25">
      <c r="B39" s="4" t="s">
        <v>5</v>
      </c>
      <c r="C39" s="5">
        <v>1640.58</v>
      </c>
    </row>
  </sheetData>
  <mergeCells count="6">
    <mergeCell ref="B2:C2"/>
    <mergeCell ref="B3:C3"/>
    <mergeCell ref="B10:C10"/>
    <mergeCell ref="B19:C19"/>
    <mergeCell ref="B30:C30"/>
    <mergeCell ref="B35:C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4FFD8-2D8F-4867-86A8-015532F2FAE3}">
  <dimension ref="B2:D22"/>
  <sheetViews>
    <sheetView tabSelected="1" workbookViewId="0">
      <selection activeCell="B2" sqref="B2:D2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05/11/2025  17:08 </v>
      </c>
      <c r="C2" s="6"/>
    </row>
    <row r="3" spans="2:4" x14ac:dyDescent="0.25">
      <c r="B3" s="6" t="s">
        <v>21</v>
      </c>
      <c r="C3" s="6"/>
    </row>
    <row r="4" spans="2:4" x14ac:dyDescent="0.25">
      <c r="B4" s="1" t="s">
        <v>20</v>
      </c>
      <c r="C4" s="1" t="s">
        <v>0</v>
      </c>
    </row>
    <row r="5" spans="2:4" x14ac:dyDescent="0.25">
      <c r="B5" s="2" t="s">
        <v>1</v>
      </c>
      <c r="C5" s="3">
        <v>14196</v>
      </c>
    </row>
    <row r="6" spans="2:4" x14ac:dyDescent="0.25">
      <c r="B6" s="2" t="s">
        <v>2</v>
      </c>
      <c r="C6" s="3">
        <v>2948</v>
      </c>
    </row>
    <row r="7" spans="2:4" x14ac:dyDescent="0.25">
      <c r="B7" s="2" t="s">
        <v>3</v>
      </c>
      <c r="C7" s="3">
        <v>2496</v>
      </c>
    </row>
    <row r="8" spans="2:4" ht="15.75" thickBot="1" x14ac:dyDescent="0.3">
      <c r="B8" s="2" t="s">
        <v>4</v>
      </c>
      <c r="C8" s="3">
        <v>2004</v>
      </c>
      <c r="D8" s="1" t="s">
        <v>11</v>
      </c>
    </row>
    <row r="9" spans="2:4" ht="15.75" thickTop="1" x14ac:dyDescent="0.25">
      <c r="B9" s="4" t="s">
        <v>5</v>
      </c>
      <c r="C9" s="5">
        <v>21644</v>
      </c>
      <c r="D9" s="5">
        <f ca="1">SUMIF(B:B, "Total general", C:C)</f>
        <v>43848.72</v>
      </c>
    </row>
    <row r="11" spans="2:4" x14ac:dyDescent="0.25">
      <c r="B11" s="6" t="s">
        <v>10</v>
      </c>
      <c r="C11" s="6"/>
    </row>
    <row r="12" spans="2:4" x14ac:dyDescent="0.25">
      <c r="B12" s="1" t="s">
        <v>20</v>
      </c>
      <c r="C12" s="1" t="s">
        <v>0</v>
      </c>
    </row>
    <row r="13" spans="2:4" x14ac:dyDescent="0.25">
      <c r="B13" s="2" t="s">
        <v>1</v>
      </c>
      <c r="C13" s="3">
        <v>14185.720000000001</v>
      </c>
    </row>
    <row r="14" spans="2:4" x14ac:dyDescent="0.25">
      <c r="B14" s="2" t="s">
        <v>2</v>
      </c>
      <c r="C14" s="3">
        <v>1854</v>
      </c>
    </row>
    <row r="15" spans="2:4" x14ac:dyDescent="0.25">
      <c r="B15" s="2" t="s">
        <v>3</v>
      </c>
      <c r="C15" s="3">
        <v>2384</v>
      </c>
    </row>
    <row r="16" spans="2:4" ht="15.75" thickBot="1" x14ac:dyDescent="0.3">
      <c r="B16" s="2" t="s">
        <v>4</v>
      </c>
      <c r="C16" s="3">
        <v>1099</v>
      </c>
    </row>
    <row r="17" spans="2:3" ht="15.75" thickTop="1" x14ac:dyDescent="0.25">
      <c r="B17" s="4" t="s">
        <v>5</v>
      </c>
      <c r="C17" s="5">
        <v>19522.72</v>
      </c>
    </row>
    <row r="19" spans="2:3" x14ac:dyDescent="0.25">
      <c r="B19" s="6" t="s">
        <v>6</v>
      </c>
      <c r="C19" s="6"/>
    </row>
    <row r="20" spans="2:3" x14ac:dyDescent="0.25">
      <c r="B20" s="1" t="s">
        <v>20</v>
      </c>
      <c r="C20" s="1" t="s">
        <v>0</v>
      </c>
    </row>
    <row r="21" spans="2:3" ht="15.75" thickBot="1" x14ac:dyDescent="0.3">
      <c r="B21" s="2" t="s">
        <v>1</v>
      </c>
      <c r="C21" s="3">
        <v>2682</v>
      </c>
    </row>
    <row r="22" spans="2:3" ht="15.75" thickTop="1" x14ac:dyDescent="0.25">
      <c r="B22" s="4" t="s">
        <v>5</v>
      </c>
      <c r="C22" s="5">
        <v>2682</v>
      </c>
    </row>
  </sheetData>
  <mergeCells count="4">
    <mergeCell ref="B2:C2"/>
    <mergeCell ref="B3:C3"/>
    <mergeCell ref="B11:C11"/>
    <mergeCell ref="B19:C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2025-11-05T23:08:52Z</cp:lastPrinted>
  <dcterms:created xsi:type="dcterms:W3CDTF">2025-11-05T23:02:04Z</dcterms:created>
  <dcterms:modified xsi:type="dcterms:W3CDTF">2025-11-05T23:08:54Z</dcterms:modified>
</cp:coreProperties>
</file>