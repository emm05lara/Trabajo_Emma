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5\05 NOV\TARDE1\"/>
    </mc:Choice>
  </mc:AlternateContent>
  <xr:revisionPtr revIDLastSave="0" documentId="13_ncr:1_{27E264E2-B5CF-462C-BA66-0282876B7A31}" xr6:coauthVersionLast="47" xr6:coauthVersionMax="47" xr10:uidLastSave="{00000000-0000-0000-0000-000000000000}"/>
  <bookViews>
    <workbookView xWindow="-120" yWindow="-120" windowWidth="51840" windowHeight="21120" activeTab="2" xr2:uid="{C8E367B5-DFB9-4B6E-A679-F833F1CE5D57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D7" i="2" s="1"/>
  <c r="B2" i="3"/>
  <c r="D9" i="3" s="1"/>
  <c r="B2" i="1"/>
  <c r="D9" i="1" s="1"/>
</calcChain>
</file>

<file path=xl/sharedStrings.xml><?xml version="1.0" encoding="utf-8"?>
<sst xmlns="http://schemas.openxmlformats.org/spreadsheetml/2006/main" count="91" uniqueCount="20">
  <si>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</si>
  <si>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</si>
  <si>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</si>
  <si>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</si>
  <si>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</si>
  <si>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</si>
  <si>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</si>
  <si>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</si>
  <si>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</si>
  <si>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</si>
  <si>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</si>
  <si>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</si>
  <si>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</si>
  <si>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REESTRUCTURA</t>
  </si>
  <si>
    <t>TOR</t>
  </si>
  <si>
    <t>CREDIMAX</t>
  </si>
  <si>
    <t>CONSUMO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</si>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</sst>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1078A-D9DD-43A3-892E-2E0AEA7701E4}">
  <dimension ref="B2:D36"/>
  <sheetViews>
    <sheetView workbookViewId="0">
      <selection activeCell="B2" sqref="B2:D3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05/11/2025  13:41 </v>
      </c>
      <c r="C2" s="6"/>
    </row>
    <row r="3" spans="2:4" x14ac:dyDescent="0.25">
      <c r="B3" s="6" t="s">
        <v>8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74318</v>
      </c>
    </row>
    <row r="6" spans="2:4" x14ac:dyDescent="0.25">
      <c r="B6" s="2" t="s">
        <v>2</v>
      </c>
      <c r="C6" s="3">
        <v>2754</v>
      </c>
    </row>
    <row r="7" spans="2:4" x14ac:dyDescent="0.25">
      <c r="B7" s="2" t="s">
        <v>3</v>
      </c>
      <c r="C7" s="3">
        <v>857</v>
      </c>
    </row>
    <row r="8" spans="2:4" ht="15.75" thickBot="1" x14ac:dyDescent="0.3">
      <c r="B8" s="2" t="s">
        <v>4</v>
      </c>
      <c r="C8" s="3">
        <v>1549</v>
      </c>
      <c r="D8" s="1" t="s">
        <v>11</v>
      </c>
    </row>
    <row r="9" spans="2:4" ht="15.75" thickTop="1" x14ac:dyDescent="0.25">
      <c r="B9" s="4" t="s">
        <v>5</v>
      </c>
      <c r="C9" s="5">
        <v>79478</v>
      </c>
      <c r="D9" s="5">
        <f ca="1">SUMIF(B:B, "Total general", C:C)</f>
        <v>118758.3</v>
      </c>
    </row>
    <row r="11" spans="2:4" x14ac:dyDescent="0.25">
      <c r="B11" s="6" t="s">
        <v>6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4939</v>
      </c>
    </row>
    <row r="14" spans="2:4" x14ac:dyDescent="0.25">
      <c r="B14" s="2" t="s">
        <v>2</v>
      </c>
      <c r="C14" s="3">
        <v>13211</v>
      </c>
    </row>
    <row r="15" spans="2:4" x14ac:dyDescent="0.25">
      <c r="B15" s="2" t="s">
        <v>3</v>
      </c>
      <c r="C15" s="3">
        <v>1684</v>
      </c>
    </row>
    <row r="16" spans="2:4" ht="15.75" thickBot="1" x14ac:dyDescent="0.3">
      <c r="B16" s="2" t="s">
        <v>4</v>
      </c>
      <c r="C16" s="3">
        <v>7570</v>
      </c>
    </row>
    <row r="17" spans="2:3" ht="15.75" thickTop="1" x14ac:dyDescent="0.25">
      <c r="B17" s="4" t="s">
        <v>5</v>
      </c>
      <c r="C17" s="5">
        <v>27404</v>
      </c>
    </row>
    <row r="19" spans="2:3" x14ac:dyDescent="0.25">
      <c r="B19" s="6" t="s">
        <v>10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4586.72</v>
      </c>
    </row>
    <row r="22" spans="2:3" x14ac:dyDescent="0.25">
      <c r="B22" s="2" t="s">
        <v>2</v>
      </c>
      <c r="C22" s="3">
        <v>1559</v>
      </c>
    </row>
    <row r="23" spans="2:3" x14ac:dyDescent="0.25">
      <c r="B23" s="2" t="s">
        <v>3</v>
      </c>
      <c r="C23" s="3">
        <v>884</v>
      </c>
    </row>
    <row r="24" spans="2:3" ht="15.75" thickBot="1" x14ac:dyDescent="0.3">
      <c r="B24" s="2" t="s">
        <v>4</v>
      </c>
      <c r="C24" s="3">
        <v>1099</v>
      </c>
    </row>
    <row r="25" spans="2:3" ht="15.75" thickTop="1" x14ac:dyDescent="0.25">
      <c r="B25" s="4" t="s">
        <v>5</v>
      </c>
      <c r="C25" s="5">
        <v>8128.72</v>
      </c>
    </row>
    <row r="27" spans="2:3" x14ac:dyDescent="0.25">
      <c r="B27" s="6" t="s">
        <v>7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3</v>
      </c>
      <c r="C29" s="3">
        <v>1157</v>
      </c>
    </row>
    <row r="30" spans="2:3" ht="15.75" thickBot="1" x14ac:dyDescent="0.3">
      <c r="B30" s="2" t="s">
        <v>4</v>
      </c>
      <c r="C30" s="3">
        <v>950</v>
      </c>
    </row>
    <row r="31" spans="2:3" ht="15.75" thickTop="1" x14ac:dyDescent="0.25">
      <c r="B31" s="4" t="s">
        <v>5</v>
      </c>
      <c r="C31" s="5">
        <v>2107</v>
      </c>
    </row>
    <row r="33" spans="2:3" x14ac:dyDescent="0.25">
      <c r="B33" s="6" t="s">
        <v>9</v>
      </c>
      <c r="C33" s="6"/>
    </row>
    <row r="34" spans="2:3" x14ac:dyDescent="0.25">
      <c r="B34" s="1" t="s">
        <v>12</v>
      </c>
      <c r="C34" s="1" t="s">
        <v>0</v>
      </c>
    </row>
    <row r="35" spans="2:3" ht="15.75" thickBot="1" x14ac:dyDescent="0.3">
      <c r="B35" s="2" t="s">
        <v>1</v>
      </c>
      <c r="C35" s="3">
        <v>1640.58</v>
      </c>
    </row>
    <row r="36" spans="2:3" ht="15.75" thickTop="1" x14ac:dyDescent="0.25">
      <c r="B36" s="4" t="s">
        <v>5</v>
      </c>
      <c r="C36" s="5">
        <v>1640.58</v>
      </c>
    </row>
  </sheetData>
  <mergeCells count="6">
    <mergeCell ref="B11:C11"/>
    <mergeCell ref="B27:C27"/>
    <mergeCell ref="B3:C3"/>
    <mergeCell ref="B33:C33"/>
    <mergeCell ref="B19:C19"/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F69D-0D00-4F4D-930F-05E6D6C45477}">
  <dimension ref="B2:D33"/>
  <sheetViews>
    <sheetView topLeftCell="A33" workbookViewId="0">
      <selection activeCell="B2" sqref="B2:D3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05/11/2025  13:41 </v>
      </c>
      <c r="C2" s="6"/>
    </row>
    <row r="3" spans="2:4" x14ac:dyDescent="0.25">
      <c r="B3" s="6" t="s">
        <v>8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13</v>
      </c>
      <c r="C5" s="3">
        <v>74205</v>
      </c>
    </row>
    <row r="6" spans="2:4" ht="15.75" thickBot="1" x14ac:dyDescent="0.3">
      <c r="B6" s="2" t="s">
        <v>14</v>
      </c>
      <c r="C6" s="3">
        <v>5273</v>
      </c>
      <c r="D6" s="1" t="s">
        <v>11</v>
      </c>
    </row>
    <row r="7" spans="2:4" ht="15.75" thickTop="1" x14ac:dyDescent="0.25">
      <c r="B7" s="4" t="s">
        <v>5</v>
      </c>
      <c r="C7" s="5">
        <v>79478</v>
      </c>
      <c r="D7" s="5">
        <f ca="1">SUMIF(B:B, "Total general", C:C)</f>
        <v>118758.3</v>
      </c>
    </row>
    <row r="9" spans="2:4" x14ac:dyDescent="0.25">
      <c r="B9" s="6" t="s">
        <v>6</v>
      </c>
      <c r="C9" s="6"/>
    </row>
    <row r="10" spans="2:4" x14ac:dyDescent="0.25">
      <c r="B10" s="1" t="s">
        <v>18</v>
      </c>
      <c r="C10" s="1" t="s">
        <v>0</v>
      </c>
    </row>
    <row r="11" spans="2:4" x14ac:dyDescent="0.25">
      <c r="B11" s="2" t="s">
        <v>15</v>
      </c>
      <c r="C11" s="3">
        <v>500</v>
      </c>
    </row>
    <row r="12" spans="2:4" x14ac:dyDescent="0.25">
      <c r="B12" s="2" t="s">
        <v>13</v>
      </c>
      <c r="C12" s="3">
        <v>3078</v>
      </c>
    </row>
    <row r="13" spans="2:4" ht="15.75" thickBot="1" x14ac:dyDescent="0.3">
      <c r="B13" s="2" t="s">
        <v>14</v>
      </c>
      <c r="C13" s="3">
        <v>23826</v>
      </c>
    </row>
    <row r="14" spans="2:4" ht="15.75" thickTop="1" x14ac:dyDescent="0.25">
      <c r="B14" s="4" t="s">
        <v>5</v>
      </c>
      <c r="C14" s="5">
        <v>27404</v>
      </c>
    </row>
    <row r="16" spans="2:4" x14ac:dyDescent="0.25">
      <c r="B16" s="6" t="s">
        <v>10</v>
      </c>
      <c r="C16" s="6"/>
    </row>
    <row r="17" spans="2:3" x14ac:dyDescent="0.25">
      <c r="B17" s="1" t="s">
        <v>18</v>
      </c>
      <c r="C17" s="1" t="s">
        <v>0</v>
      </c>
    </row>
    <row r="18" spans="2:3" x14ac:dyDescent="0.25">
      <c r="B18" s="2" t="s">
        <v>16</v>
      </c>
      <c r="C18" s="3">
        <v>1560</v>
      </c>
    </row>
    <row r="19" spans="2:3" x14ac:dyDescent="0.25">
      <c r="B19" s="2" t="s">
        <v>17</v>
      </c>
      <c r="C19" s="3">
        <v>3628.7200000000003</v>
      </c>
    </row>
    <row r="20" spans="2:3" x14ac:dyDescent="0.25">
      <c r="B20" s="2" t="s">
        <v>13</v>
      </c>
      <c r="C20" s="3">
        <v>943</v>
      </c>
    </row>
    <row r="21" spans="2:3" ht="15.75" thickBot="1" x14ac:dyDescent="0.3">
      <c r="B21" s="2" t="s">
        <v>14</v>
      </c>
      <c r="C21" s="3">
        <v>1997</v>
      </c>
    </row>
    <row r="22" spans="2:3" ht="15.75" thickTop="1" x14ac:dyDescent="0.25">
      <c r="B22" s="4" t="s">
        <v>5</v>
      </c>
      <c r="C22" s="5">
        <v>8128.72</v>
      </c>
    </row>
    <row r="24" spans="2:3" x14ac:dyDescent="0.25">
      <c r="B24" s="6" t="s">
        <v>7</v>
      </c>
      <c r="C24" s="6"/>
    </row>
    <row r="25" spans="2:3" x14ac:dyDescent="0.25">
      <c r="B25" s="1" t="s">
        <v>18</v>
      </c>
      <c r="C25" s="1" t="s">
        <v>0</v>
      </c>
    </row>
    <row r="26" spans="2:3" ht="15.75" thickBot="1" x14ac:dyDescent="0.3">
      <c r="B26" s="2" t="s">
        <v>14</v>
      </c>
      <c r="C26" s="3">
        <v>2107</v>
      </c>
    </row>
    <row r="27" spans="2:3" ht="15.75" thickTop="1" x14ac:dyDescent="0.25">
      <c r="B27" s="4" t="s">
        <v>5</v>
      </c>
      <c r="C27" s="5">
        <v>2107</v>
      </c>
    </row>
    <row r="29" spans="2:3" x14ac:dyDescent="0.25">
      <c r="B29" s="6" t="s">
        <v>9</v>
      </c>
      <c r="C29" s="6"/>
    </row>
    <row r="30" spans="2:3" x14ac:dyDescent="0.25">
      <c r="B30" s="1" t="s">
        <v>18</v>
      </c>
      <c r="C30" s="1" t="s">
        <v>0</v>
      </c>
    </row>
    <row r="31" spans="2:3" x14ac:dyDescent="0.25">
      <c r="B31" s="2" t="s">
        <v>16</v>
      </c>
      <c r="C31" s="3">
        <v>499</v>
      </c>
    </row>
    <row r="32" spans="2:3" ht="15.75" thickBot="1" x14ac:dyDescent="0.3">
      <c r="B32" s="2" t="s">
        <v>14</v>
      </c>
      <c r="C32" s="3">
        <v>1141.58</v>
      </c>
    </row>
    <row r="33" spans="2:3" ht="15.75" thickTop="1" x14ac:dyDescent="0.25">
      <c r="B33" s="4" t="s">
        <v>5</v>
      </c>
      <c r="C33" s="5">
        <v>1640.58</v>
      </c>
    </row>
  </sheetData>
  <mergeCells count="6">
    <mergeCell ref="B2:C2"/>
    <mergeCell ref="B3:C3"/>
    <mergeCell ref="B9:C9"/>
    <mergeCell ref="B16:C16"/>
    <mergeCell ref="B24:C24"/>
    <mergeCell ref="B29:C2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24EB-6F77-47B9-8F5A-5D6F2040773D}">
  <dimension ref="B2:D22"/>
  <sheetViews>
    <sheetView tabSelected="1" workbookViewId="0">
      <selection activeCell="B2" sqref="B2:D2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05/11/2025  13:41 </v>
      </c>
      <c r="C2" s="6"/>
    </row>
    <row r="3" spans="2:4" x14ac:dyDescent="0.25">
      <c r="B3" s="6" t="s">
        <v>10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4586.72</v>
      </c>
    </row>
    <row r="6" spans="2:4" x14ac:dyDescent="0.25">
      <c r="B6" s="2" t="s">
        <v>2</v>
      </c>
      <c r="C6" s="3">
        <v>893</v>
      </c>
    </row>
    <row r="7" spans="2:4" x14ac:dyDescent="0.25">
      <c r="B7" s="2" t="s">
        <v>3</v>
      </c>
      <c r="C7" s="3">
        <v>884</v>
      </c>
    </row>
    <row r="8" spans="2:4" ht="15.75" thickBot="1" x14ac:dyDescent="0.3">
      <c r="B8" s="2" t="s">
        <v>4</v>
      </c>
      <c r="C8" s="3">
        <v>1099</v>
      </c>
      <c r="D8" s="1" t="s">
        <v>11</v>
      </c>
    </row>
    <row r="9" spans="2:4" ht="15.75" thickTop="1" x14ac:dyDescent="0.25">
      <c r="B9" s="4" t="s">
        <v>5</v>
      </c>
      <c r="C9" s="5">
        <v>7462.72</v>
      </c>
      <c r="D9" s="5">
        <f ca="1">SUMIF(B:B, "Total general", C:C)</f>
        <v>14465.720000000001</v>
      </c>
    </row>
    <row r="11" spans="2:4" x14ac:dyDescent="0.25">
      <c r="B11" s="6" t="s">
        <v>19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2471</v>
      </c>
    </row>
    <row r="14" spans="2:4" x14ac:dyDescent="0.25">
      <c r="B14" s="2" t="s">
        <v>2</v>
      </c>
      <c r="C14" s="3">
        <v>100</v>
      </c>
    </row>
    <row r="15" spans="2:4" x14ac:dyDescent="0.25">
      <c r="B15" s="2" t="s">
        <v>3</v>
      </c>
      <c r="C15" s="3">
        <v>769</v>
      </c>
    </row>
    <row r="16" spans="2:4" ht="15.75" thickBot="1" x14ac:dyDescent="0.3">
      <c r="B16" s="2" t="s">
        <v>4</v>
      </c>
      <c r="C16" s="3">
        <v>2004</v>
      </c>
    </row>
    <row r="17" spans="2:3" ht="15.75" thickTop="1" x14ac:dyDescent="0.25">
      <c r="B17" s="4" t="s">
        <v>5</v>
      </c>
      <c r="C17" s="5">
        <v>5344</v>
      </c>
    </row>
    <row r="19" spans="2:3" x14ac:dyDescent="0.25">
      <c r="B19" s="6" t="s">
        <v>6</v>
      </c>
      <c r="C19" s="6"/>
    </row>
    <row r="20" spans="2:3" x14ac:dyDescent="0.25">
      <c r="B20" s="1" t="s">
        <v>12</v>
      </c>
      <c r="C20" s="1" t="s">
        <v>0</v>
      </c>
    </row>
    <row r="21" spans="2:3" ht="15.75" thickBot="1" x14ac:dyDescent="0.3">
      <c r="B21" s="2" t="s">
        <v>1</v>
      </c>
      <c r="C21" s="3">
        <v>1659</v>
      </c>
    </row>
    <row r="22" spans="2:3" ht="15.75" thickTop="1" x14ac:dyDescent="0.25">
      <c r="B22" s="4" t="s">
        <v>5</v>
      </c>
      <c r="C22" s="5">
        <v>1659</v>
      </c>
    </row>
  </sheetData>
  <mergeCells count="4">
    <mergeCell ref="B2:C2"/>
    <mergeCell ref="B11:C11"/>
    <mergeCell ref="B3:C3"/>
    <mergeCell ref="B19:C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2025-11-05T19:41:53Z</cp:lastPrinted>
  <dcterms:created xsi:type="dcterms:W3CDTF">2025-11-05T19:34:40Z</dcterms:created>
  <dcterms:modified xsi:type="dcterms:W3CDTF">2025-11-05T19:41:55Z</dcterms:modified>
</cp:coreProperties>
</file>