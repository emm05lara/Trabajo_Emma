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5 NOV\NOCHE\"/>
    </mc:Choice>
  </mc:AlternateContent>
  <xr:revisionPtr revIDLastSave="0" documentId="13_ncr:1_{4E8FD665-A127-46D4-B22D-9ACFE937AD3A}" xr6:coauthVersionLast="47" xr6:coauthVersionMax="47" xr10:uidLastSave="{00000000-0000-0000-0000-000000000000}"/>
  <bookViews>
    <workbookView xWindow="-120" yWindow="-120" windowWidth="51840" windowHeight="21120" activeTab="2" xr2:uid="{B15641E1-2CB5-48A5-9897-D0217103734A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D10" i="2" s="1"/>
  <c r="B2" i="3"/>
  <c r="D9" i="3" s="1"/>
  <c r="B2" i="1"/>
  <c r="D9" i="1" s="1"/>
</calcChain>
</file>

<file path=xl/sharedStrings.xml><?xml version="1.0" encoding="utf-8"?>
<sst xmlns="http://schemas.openxmlformats.org/spreadsheetml/2006/main" count="106" uniqueCount="22">
  <si>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</si>
  <si>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</si>
  <si>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</si>
  <si>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</si>
  <si>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</si>
  <si>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</si>
  <si>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</si>
  <si>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</si>
  <si>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</si>
  <si>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</si>
  <si>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</si>
  <si>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</si>
  <si>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</si>
  <si>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</si>
  <si>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</si>
  <si>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</si>
  <si>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TAZ</t>
  </si>
  <si>
    <t>TOR</t>
  </si>
  <si>
    <t>ITALIKA</t>
  </si>
  <si>
    <t>ITALIKA GPS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</si>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</sst>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3F29-BD28-4BDA-90E9-BB417588377A}">
  <dimension ref="B2:D38"/>
  <sheetViews>
    <sheetView workbookViewId="0">
      <selection activeCell="B2" sqref="B2:D3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05/11/2025  19:41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70683</v>
      </c>
    </row>
    <row r="6" spans="2:4" x14ac:dyDescent="0.25">
      <c r="B6" s="2" t="s">
        <v>2</v>
      </c>
      <c r="C6" s="3">
        <v>22228</v>
      </c>
    </row>
    <row r="7" spans="2:4" x14ac:dyDescent="0.25">
      <c r="B7" s="2" t="s">
        <v>3</v>
      </c>
      <c r="C7" s="3">
        <v>10658</v>
      </c>
    </row>
    <row r="8" spans="2:4" ht="15.75" thickBot="1" x14ac:dyDescent="0.3">
      <c r="B8" s="2" t="s">
        <v>4</v>
      </c>
      <c r="C8" s="3">
        <v>28034</v>
      </c>
      <c r="D8" s="1" t="s">
        <v>11</v>
      </c>
    </row>
    <row r="9" spans="2:4" ht="15.75" thickTop="1" x14ac:dyDescent="0.25">
      <c r="B9" s="4" t="s">
        <v>5</v>
      </c>
      <c r="C9" s="5">
        <v>131603</v>
      </c>
      <c r="D9" s="5">
        <f ca="1">SUMIF(B:B, "Total general", C:C)</f>
        <v>310760.08</v>
      </c>
    </row>
    <row r="11" spans="2:4" x14ac:dyDescent="0.25">
      <c r="B11" s="6" t="s">
        <v>8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85824</v>
      </c>
    </row>
    <row r="14" spans="2:4" x14ac:dyDescent="0.25">
      <c r="B14" s="2" t="s">
        <v>2</v>
      </c>
      <c r="C14" s="3">
        <v>4757</v>
      </c>
    </row>
    <row r="15" spans="2:4" x14ac:dyDescent="0.25">
      <c r="B15" s="2" t="s">
        <v>3</v>
      </c>
      <c r="C15" s="3">
        <v>5601</v>
      </c>
    </row>
    <row r="16" spans="2:4" ht="15.75" thickBot="1" x14ac:dyDescent="0.3">
      <c r="B16" s="2" t="s">
        <v>4</v>
      </c>
      <c r="C16" s="3">
        <v>3939</v>
      </c>
    </row>
    <row r="17" spans="2:3" ht="15.75" thickTop="1" x14ac:dyDescent="0.25">
      <c r="B17" s="4" t="s">
        <v>5</v>
      </c>
      <c r="C17" s="5">
        <v>100121</v>
      </c>
    </row>
    <row r="19" spans="2:3" x14ac:dyDescent="0.25">
      <c r="B19" s="6" t="s">
        <v>10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63668.72</v>
      </c>
    </row>
    <row r="22" spans="2:3" x14ac:dyDescent="0.25">
      <c r="B22" s="2" t="s">
        <v>2</v>
      </c>
      <c r="C22" s="3">
        <v>2520</v>
      </c>
    </row>
    <row r="23" spans="2:3" x14ac:dyDescent="0.25">
      <c r="B23" s="2" t="s">
        <v>3</v>
      </c>
      <c r="C23" s="3">
        <v>2384</v>
      </c>
    </row>
    <row r="24" spans="2:3" ht="15.75" thickBot="1" x14ac:dyDescent="0.3">
      <c r="B24" s="2" t="s">
        <v>4</v>
      </c>
      <c r="C24" s="3">
        <v>1099</v>
      </c>
    </row>
    <row r="25" spans="2:3" ht="15.75" thickTop="1" x14ac:dyDescent="0.25">
      <c r="B25" s="4" t="s">
        <v>5</v>
      </c>
      <c r="C25" s="5">
        <v>69671.72</v>
      </c>
    </row>
    <row r="27" spans="2:3" x14ac:dyDescent="0.25">
      <c r="B27" s="6" t="s">
        <v>7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846.78</v>
      </c>
    </row>
    <row r="30" spans="2:3" x14ac:dyDescent="0.25">
      <c r="B30" s="2" t="s">
        <v>2</v>
      </c>
      <c r="C30" s="3">
        <v>1964</v>
      </c>
    </row>
    <row r="31" spans="2:3" x14ac:dyDescent="0.25">
      <c r="B31" s="2" t="s">
        <v>3</v>
      </c>
      <c r="C31" s="3">
        <v>2667</v>
      </c>
    </row>
    <row r="32" spans="2:3" ht="15.75" thickBot="1" x14ac:dyDescent="0.3">
      <c r="B32" s="2" t="s">
        <v>4</v>
      </c>
      <c r="C32" s="3">
        <v>2246</v>
      </c>
    </row>
    <row r="33" spans="2:3" ht="15.75" thickTop="1" x14ac:dyDescent="0.25">
      <c r="B33" s="4" t="s">
        <v>5</v>
      </c>
      <c r="C33" s="5">
        <v>7723.78</v>
      </c>
    </row>
    <row r="35" spans="2:3" x14ac:dyDescent="0.25">
      <c r="B35" s="6" t="s">
        <v>9</v>
      </c>
      <c r="C35" s="6"/>
    </row>
    <row r="36" spans="2:3" x14ac:dyDescent="0.25">
      <c r="B36" s="1" t="s">
        <v>12</v>
      </c>
      <c r="C36" s="1" t="s">
        <v>0</v>
      </c>
    </row>
    <row r="37" spans="2:3" ht="15.75" thickBot="1" x14ac:dyDescent="0.3">
      <c r="B37" s="2" t="s">
        <v>1</v>
      </c>
      <c r="C37" s="3">
        <v>1640.58</v>
      </c>
    </row>
    <row r="38" spans="2:3" ht="15.75" thickTop="1" x14ac:dyDescent="0.25">
      <c r="B38" s="4" t="s">
        <v>5</v>
      </c>
      <c r="C38" s="5">
        <v>1640.58</v>
      </c>
    </row>
  </sheetData>
  <mergeCells count="6">
    <mergeCell ref="B3:C3"/>
    <mergeCell ref="B27:C27"/>
    <mergeCell ref="B11:C11"/>
    <mergeCell ref="B35:C35"/>
    <mergeCell ref="B19:C19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933E-AE72-47E9-AABB-80A4984D4894}">
  <dimension ref="B2:D41"/>
  <sheetViews>
    <sheetView topLeftCell="A41" workbookViewId="0">
      <selection activeCell="B2" sqref="B2:D41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05/11/2025  19:41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13</v>
      </c>
      <c r="C5" s="3">
        <v>13937</v>
      </c>
    </row>
    <row r="6" spans="2:4" x14ac:dyDescent="0.25">
      <c r="B6" s="2" t="s">
        <v>14</v>
      </c>
      <c r="C6" s="3">
        <v>5739</v>
      </c>
    </row>
    <row r="7" spans="2:4" x14ac:dyDescent="0.25">
      <c r="B7" s="2" t="s">
        <v>15</v>
      </c>
      <c r="C7" s="3">
        <v>9489</v>
      </c>
    </row>
    <row r="8" spans="2:4" x14ac:dyDescent="0.25">
      <c r="B8" s="2" t="s">
        <v>16</v>
      </c>
      <c r="C8" s="3">
        <v>700</v>
      </c>
    </row>
    <row r="9" spans="2:4" ht="15.75" thickBot="1" x14ac:dyDescent="0.3">
      <c r="B9" s="2" t="s">
        <v>17</v>
      </c>
      <c r="C9" s="3">
        <v>101738</v>
      </c>
      <c r="D9" s="1" t="s">
        <v>11</v>
      </c>
    </row>
    <row r="10" spans="2:4" ht="15.75" thickTop="1" x14ac:dyDescent="0.25">
      <c r="B10" s="4" t="s">
        <v>5</v>
      </c>
      <c r="C10" s="5">
        <v>131603</v>
      </c>
      <c r="D10" s="5">
        <f ca="1">SUMIF(B:B, "Total general", C:C)</f>
        <v>310760.08</v>
      </c>
    </row>
    <row r="12" spans="2:4" x14ac:dyDescent="0.25">
      <c r="B12" s="6" t="s">
        <v>8</v>
      </c>
      <c r="C12" s="6"/>
    </row>
    <row r="13" spans="2:4" x14ac:dyDescent="0.25">
      <c r="B13" s="1" t="s">
        <v>20</v>
      </c>
      <c r="C13" s="1" t="s">
        <v>0</v>
      </c>
    </row>
    <row r="14" spans="2:4" x14ac:dyDescent="0.25">
      <c r="B14" s="2" t="s">
        <v>14</v>
      </c>
      <c r="C14" s="3">
        <v>500</v>
      </c>
    </row>
    <row r="15" spans="2:4" x14ac:dyDescent="0.25">
      <c r="B15" s="2" t="s">
        <v>15</v>
      </c>
      <c r="C15" s="3">
        <v>75705</v>
      </c>
    </row>
    <row r="16" spans="2:4" ht="15.75" thickBot="1" x14ac:dyDescent="0.3">
      <c r="B16" s="2" t="s">
        <v>17</v>
      </c>
      <c r="C16" s="3">
        <v>23916</v>
      </c>
    </row>
    <row r="17" spans="2:3" ht="15.75" thickTop="1" x14ac:dyDescent="0.25">
      <c r="B17" s="4" t="s">
        <v>5</v>
      </c>
      <c r="C17" s="5">
        <v>100121</v>
      </c>
    </row>
    <row r="19" spans="2:3" x14ac:dyDescent="0.25">
      <c r="B19" s="6" t="s">
        <v>10</v>
      </c>
      <c r="C19" s="6"/>
    </row>
    <row r="20" spans="2:3" x14ac:dyDescent="0.25">
      <c r="B20" s="1" t="s">
        <v>20</v>
      </c>
      <c r="C20" s="1" t="s">
        <v>0</v>
      </c>
    </row>
    <row r="21" spans="2:3" x14ac:dyDescent="0.25">
      <c r="B21" s="2" t="s">
        <v>13</v>
      </c>
      <c r="C21" s="3">
        <v>7810</v>
      </c>
    </row>
    <row r="22" spans="2:3" x14ac:dyDescent="0.25">
      <c r="B22" s="2" t="s">
        <v>14</v>
      </c>
      <c r="C22" s="3">
        <v>1950</v>
      </c>
    </row>
    <row r="23" spans="2:3" x14ac:dyDescent="0.25">
      <c r="B23" s="2" t="s">
        <v>18</v>
      </c>
      <c r="C23" s="3">
        <v>50006.720000000001</v>
      </c>
    </row>
    <row r="24" spans="2:3" x14ac:dyDescent="0.25">
      <c r="B24" s="2" t="s">
        <v>19</v>
      </c>
      <c r="C24" s="3">
        <v>2026</v>
      </c>
    </row>
    <row r="25" spans="2:3" x14ac:dyDescent="0.25">
      <c r="B25" s="2" t="s">
        <v>15</v>
      </c>
      <c r="C25" s="3">
        <v>3256</v>
      </c>
    </row>
    <row r="26" spans="2:3" x14ac:dyDescent="0.25">
      <c r="B26" s="2" t="s">
        <v>16</v>
      </c>
      <c r="C26" s="3">
        <v>325</v>
      </c>
    </row>
    <row r="27" spans="2:3" ht="15.75" thickBot="1" x14ac:dyDescent="0.3">
      <c r="B27" s="2" t="s">
        <v>17</v>
      </c>
      <c r="C27" s="3">
        <v>4298</v>
      </c>
    </row>
    <row r="28" spans="2:3" ht="15.75" thickTop="1" x14ac:dyDescent="0.25">
      <c r="B28" s="4" t="s">
        <v>5</v>
      </c>
      <c r="C28" s="5">
        <v>69671.72</v>
      </c>
    </row>
    <row r="30" spans="2:3" x14ac:dyDescent="0.25">
      <c r="B30" s="6" t="s">
        <v>7</v>
      </c>
      <c r="C30" s="6"/>
    </row>
    <row r="31" spans="2:3" x14ac:dyDescent="0.25">
      <c r="B31" s="1" t="s">
        <v>20</v>
      </c>
      <c r="C31" s="1" t="s">
        <v>0</v>
      </c>
    </row>
    <row r="32" spans="2:3" x14ac:dyDescent="0.25">
      <c r="B32" s="2" t="s">
        <v>14</v>
      </c>
      <c r="C32" s="3">
        <v>1296</v>
      </c>
    </row>
    <row r="33" spans="2:3" x14ac:dyDescent="0.25">
      <c r="B33" s="2" t="s">
        <v>15</v>
      </c>
      <c r="C33" s="3">
        <v>500</v>
      </c>
    </row>
    <row r="34" spans="2:3" ht="15.75" thickBot="1" x14ac:dyDescent="0.3">
      <c r="B34" s="2" t="s">
        <v>17</v>
      </c>
      <c r="C34" s="3">
        <v>5927.78</v>
      </c>
    </row>
    <row r="35" spans="2:3" ht="15.75" thickTop="1" x14ac:dyDescent="0.25">
      <c r="B35" s="4" t="s">
        <v>5</v>
      </c>
      <c r="C35" s="5">
        <v>7723.78</v>
      </c>
    </row>
    <row r="37" spans="2:3" x14ac:dyDescent="0.25">
      <c r="B37" s="6" t="s">
        <v>9</v>
      </c>
      <c r="C37" s="6"/>
    </row>
    <row r="38" spans="2:3" x14ac:dyDescent="0.25">
      <c r="B38" s="1" t="s">
        <v>20</v>
      </c>
      <c r="C38" s="1" t="s">
        <v>0</v>
      </c>
    </row>
    <row r="39" spans="2:3" x14ac:dyDescent="0.25">
      <c r="B39" s="2" t="s">
        <v>13</v>
      </c>
      <c r="C39" s="3">
        <v>499</v>
      </c>
    </row>
    <row r="40" spans="2:3" ht="15.75" thickBot="1" x14ac:dyDescent="0.3">
      <c r="B40" s="2" t="s">
        <v>17</v>
      </c>
      <c r="C40" s="3">
        <v>1141.58</v>
      </c>
    </row>
    <row r="41" spans="2:3" ht="15.75" thickTop="1" x14ac:dyDescent="0.25">
      <c r="B41" s="4" t="s">
        <v>5</v>
      </c>
      <c r="C41" s="5">
        <v>1640.58</v>
      </c>
    </row>
  </sheetData>
  <mergeCells count="6">
    <mergeCell ref="B2:C2"/>
    <mergeCell ref="B3:C3"/>
    <mergeCell ref="B12:C12"/>
    <mergeCell ref="B19:C19"/>
    <mergeCell ref="B30:C30"/>
    <mergeCell ref="B37:C3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BD13-EC51-4969-91CE-56786C669702}">
  <dimension ref="B2:D27"/>
  <sheetViews>
    <sheetView tabSelected="1" topLeftCell="C1" workbookViewId="0">
      <selection activeCell="B2" sqref="B2:D2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05/11/2025  19:41 </v>
      </c>
      <c r="C2" s="6"/>
    </row>
    <row r="3" spans="2:4" x14ac:dyDescent="0.25">
      <c r="B3" s="6" t="s">
        <v>10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63266.720000000001</v>
      </c>
    </row>
    <row r="6" spans="2:4" x14ac:dyDescent="0.25">
      <c r="B6" s="2" t="s">
        <v>2</v>
      </c>
      <c r="C6" s="3">
        <v>1854</v>
      </c>
    </row>
    <row r="7" spans="2:4" x14ac:dyDescent="0.25">
      <c r="B7" s="2" t="s">
        <v>3</v>
      </c>
      <c r="C7" s="3">
        <v>2384</v>
      </c>
    </row>
    <row r="8" spans="2:4" ht="15.75" thickBot="1" x14ac:dyDescent="0.3">
      <c r="B8" s="2" t="s">
        <v>4</v>
      </c>
      <c r="C8" s="3">
        <v>1099</v>
      </c>
      <c r="D8" s="1" t="s">
        <v>11</v>
      </c>
    </row>
    <row r="9" spans="2:4" ht="15.75" thickTop="1" x14ac:dyDescent="0.25">
      <c r="B9" s="4" t="s">
        <v>5</v>
      </c>
      <c r="C9" s="5">
        <v>68603.72</v>
      </c>
      <c r="D9" s="5">
        <f ca="1">SUMIF(B:B, "Total general", C:C)</f>
        <v>103164.72</v>
      </c>
    </row>
    <row r="11" spans="2:4" x14ac:dyDescent="0.25">
      <c r="B11" s="6" t="s">
        <v>21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18011</v>
      </c>
    </row>
    <row r="14" spans="2:4" x14ac:dyDescent="0.25">
      <c r="B14" s="2" t="s">
        <v>2</v>
      </c>
      <c r="C14" s="3">
        <v>4936</v>
      </c>
    </row>
    <row r="15" spans="2:4" x14ac:dyDescent="0.25">
      <c r="B15" s="2" t="s">
        <v>3</v>
      </c>
      <c r="C15" s="3">
        <v>2898</v>
      </c>
    </row>
    <row r="16" spans="2:4" ht="15.75" thickBot="1" x14ac:dyDescent="0.3">
      <c r="B16" s="2" t="s">
        <v>4</v>
      </c>
      <c r="C16" s="3">
        <v>2004</v>
      </c>
    </row>
    <row r="17" spans="2:3" ht="15.75" thickTop="1" x14ac:dyDescent="0.25">
      <c r="B17" s="4" t="s">
        <v>5</v>
      </c>
      <c r="C17" s="5">
        <v>27849</v>
      </c>
    </row>
    <row r="19" spans="2:3" x14ac:dyDescent="0.25">
      <c r="B19" s="6" t="s">
        <v>6</v>
      </c>
      <c r="C19" s="6"/>
    </row>
    <row r="20" spans="2:3" x14ac:dyDescent="0.25">
      <c r="B20" s="1" t="s">
        <v>12</v>
      </c>
      <c r="C20" s="1" t="s">
        <v>0</v>
      </c>
    </row>
    <row r="21" spans="2:3" ht="15.75" thickBot="1" x14ac:dyDescent="0.3">
      <c r="B21" s="2" t="s">
        <v>1</v>
      </c>
      <c r="C21" s="3">
        <v>5632</v>
      </c>
    </row>
    <row r="22" spans="2:3" ht="15.75" thickTop="1" x14ac:dyDescent="0.25">
      <c r="B22" s="4" t="s">
        <v>5</v>
      </c>
      <c r="C22" s="5">
        <v>5632</v>
      </c>
    </row>
    <row r="24" spans="2:3" x14ac:dyDescent="0.25">
      <c r="B24" s="6" t="s">
        <v>8</v>
      </c>
      <c r="C24" s="6"/>
    </row>
    <row r="25" spans="2:3" x14ac:dyDescent="0.25">
      <c r="B25" s="1" t="s">
        <v>12</v>
      </c>
      <c r="C25" s="1" t="s">
        <v>0</v>
      </c>
    </row>
    <row r="26" spans="2:3" ht="15.75" thickBot="1" x14ac:dyDescent="0.3">
      <c r="B26" s="2" t="s">
        <v>4</v>
      </c>
      <c r="C26" s="3">
        <v>1080</v>
      </c>
    </row>
    <row r="27" spans="2:3" ht="15.75" thickTop="1" x14ac:dyDescent="0.25">
      <c r="B27" s="4" t="s">
        <v>5</v>
      </c>
      <c r="C27" s="5">
        <v>1080</v>
      </c>
    </row>
  </sheetData>
  <mergeCells count="5">
    <mergeCell ref="B2:C2"/>
    <mergeCell ref="B11:C11"/>
    <mergeCell ref="B24:C24"/>
    <mergeCell ref="B3:C3"/>
    <mergeCell ref="B19:C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2025-11-06T01:41:39Z</cp:lastPrinted>
  <dcterms:created xsi:type="dcterms:W3CDTF">2025-11-06T01:35:21Z</dcterms:created>
  <dcterms:modified xsi:type="dcterms:W3CDTF">2025-11-06T01:41:40Z</dcterms:modified>
</cp:coreProperties>
</file>