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5 NOV\NOCHE\"/>
    </mc:Choice>
  </mc:AlternateContent>
  <xr:revisionPtr revIDLastSave="0" documentId="13_ncr:1_{B496814A-DE64-444A-B641-9F8AB4FFA4D7}" xr6:coauthVersionLast="47" xr6:coauthVersionMax="47" xr10:uidLastSave="{00000000-0000-0000-0000-000000000000}"/>
  <bookViews>
    <workbookView xWindow="7470" yWindow="759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5" l="1"/>
  <c r="D26" i="1"/>
  <c r="D48" i="5"/>
  <c r="C26" i="1"/>
  <c r="C34" i="1"/>
  <c r="D34" i="1"/>
  <c r="C48" i="5"/>
  <c r="D34" i="5"/>
  <c r="C34" i="5"/>
  <c r="D27" i="5"/>
  <c r="C27" i="5"/>
  <c r="C42" i="1"/>
  <c r="D42" i="1"/>
  <c r="C18" i="1"/>
  <c r="D18" i="5"/>
  <c r="C18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<sst xmlns="http://schemas.openxmlformats.org/spreadsheetml/2006/main" count="139" uniqueCount="37">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</sst>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8007</v>
      </c>
      <c r="D5" s="28">
        <v>238874.88</v>
      </c>
    </row>
    <row r="6" spans="2:8" x14ac:dyDescent="0.25">
      <c r="B6" s="1" t="s">
        <v>5</v>
      </c>
      <c r="C6" s="6">
        <v>6470</v>
      </c>
      <c r="D6" s="28">
        <v>96921.15</v>
      </c>
    </row>
    <row r="7" spans="2:8" x14ac:dyDescent="0.25">
      <c r="B7" s="1" t="s">
        <v>6</v>
      </c>
      <c r="C7" s="6">
        <v>7698</v>
      </c>
      <c r="D7" s="28">
        <v>73502.489999999991</v>
      </c>
    </row>
    <row r="8" spans="2:8" x14ac:dyDescent="0.25">
      <c r="B8" s="5" t="s">
        <v>11</v>
      </c>
      <c r="C8" s="7">
        <v>506</v>
      </c>
      <c r="D8" s="29">
        <v>0</v>
      </c>
    </row>
    <row r="9" spans="2:8" x14ac:dyDescent="0.25">
      <c r="B9" s="1" t="s">
        <v>7</v>
      </c>
      <c r="C9" s="6">
        <v>36614</v>
      </c>
      <c r="D9" s="28">
        <v>180863.35999999999</v>
      </c>
      <c r="E9" s="14"/>
      <c r="F9" s="7"/>
    </row>
    <row r="10" spans="2:8" x14ac:dyDescent="0.25">
      <c r="B10" s="3" t="s">
        <v>8</v>
      </c>
      <c r="C10" s="8">
        <f>SUM(C5:C9)</f>
        <v>59295</v>
      </c>
      <c r="D10" s="4">
        <f>SUM(D5:D9)</f>
        <v>590161.88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597</v>
      </c>
      <c r="D14" s="28">
        <v>114749.8</v>
      </c>
    </row>
    <row r="15" spans="2:8" x14ac:dyDescent="0.25">
      <c r="B15" s="9" t="s">
        <v>5</v>
      </c>
      <c r="C15" s="6">
        <v>1631</v>
      </c>
      <c r="D15" s="28">
        <v>22884.440000000002</v>
      </c>
    </row>
    <row r="16" spans="2:8" x14ac:dyDescent="0.25">
      <c r="B16" s="9" t="s">
        <v>6</v>
      </c>
      <c r="C16" s="6">
        <v>3112</v>
      </c>
      <c r="D16" s="28">
        <v>25269</v>
      </c>
    </row>
    <row r="17" spans="2:4" x14ac:dyDescent="0.25">
      <c r="B17" s="9" t="s">
        <v>7</v>
      </c>
      <c r="C17" s="6">
        <v>3952</v>
      </c>
      <c r="D17" s="28">
        <v>28212.14</v>
      </c>
    </row>
    <row r="18" spans="2:4" x14ac:dyDescent="0.25">
      <c r="B18" s="10" t="s">
        <v>8</v>
      </c>
      <c r="C18" s="8">
        <f>SUM(C14:C17)</f>
        <v>9292</v>
      </c>
      <c r="D18" s="4">
        <f>SUM(D14:D17)</f>
        <v>191115.38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92</v>
      </c>
      <c r="D22" s="28">
        <v>59214.94</v>
      </c>
    </row>
    <row r="23" spans="2:4" x14ac:dyDescent="0.25">
      <c r="B23" s="1" t="s">
        <v>5</v>
      </c>
      <c r="C23" s="6">
        <v>176</v>
      </c>
      <c r="D23" s="28">
        <v>25487.090000000004</v>
      </c>
    </row>
    <row r="24" spans="2:4" x14ac:dyDescent="0.25">
      <c r="B24" s="1" t="s">
        <v>6</v>
      </c>
      <c r="C24" s="6">
        <v>1622</v>
      </c>
      <c r="D24" s="28">
        <v>28415</v>
      </c>
    </row>
    <row r="25" spans="2:4" x14ac:dyDescent="0.25">
      <c r="B25" s="1" t="s">
        <v>7</v>
      </c>
      <c r="C25" s="7">
        <v>14533</v>
      </c>
      <c r="D25" s="28">
        <v>17542</v>
      </c>
    </row>
    <row r="26" spans="2:4" x14ac:dyDescent="0.25">
      <c r="B26" s="3" t="s">
        <v>8</v>
      </c>
      <c r="C26" s="8">
        <f>SUM(C22:C25)</f>
        <v>16423</v>
      </c>
      <c r="D26" s="4">
        <f>SUM(D22:D25)</f>
        <v>130659.03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4915</v>
      </c>
      <c r="D30" s="28">
        <v>92776.72</v>
      </c>
    </row>
    <row r="31" spans="2:4" x14ac:dyDescent="0.25">
      <c r="B31" s="1" t="s">
        <v>5</v>
      </c>
      <c r="C31" s="6">
        <v>980</v>
      </c>
      <c r="D31" s="28">
        <v>6797</v>
      </c>
    </row>
    <row r="32" spans="2:4" x14ac:dyDescent="0.25">
      <c r="B32" s="1" t="s">
        <v>6</v>
      </c>
      <c r="C32" s="6">
        <v>3616</v>
      </c>
      <c r="D32" s="28">
        <v>5514</v>
      </c>
    </row>
    <row r="33" spans="2:4" x14ac:dyDescent="0.25">
      <c r="B33" s="1" t="s">
        <v>7</v>
      </c>
      <c r="C33" s="6">
        <v>1028</v>
      </c>
      <c r="D33" s="28">
        <v>6399</v>
      </c>
    </row>
    <row r="34" spans="2:4" x14ac:dyDescent="0.25">
      <c r="B34" s="10" t="s">
        <v>8</v>
      </c>
      <c r="C34" s="8">
        <f>SUM(C30:C33)</f>
        <v>10539</v>
      </c>
      <c r="D34" s="4">
        <f>SUM(D30:D33)</f>
        <v>111486.72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3147.58</v>
      </c>
    </row>
    <row r="39" spans="2:4" x14ac:dyDescent="0.25">
      <c r="B39" s="1" t="s">
        <v>5</v>
      </c>
      <c r="C39" s="6">
        <v>17</v>
      </c>
      <c r="D39" s="29">
        <v>0</v>
      </c>
    </row>
    <row r="40" spans="2:4" x14ac:dyDescent="0.25">
      <c r="B40" s="1" t="s">
        <v>6</v>
      </c>
      <c r="C40" s="6">
        <v>6</v>
      </c>
      <c r="D40" s="29">
        <v>0</v>
      </c>
    </row>
    <row r="41" spans="2:4" x14ac:dyDescent="0.25">
      <c r="B41" s="1" t="s">
        <v>7</v>
      </c>
      <c r="C41" s="6">
        <v>691</v>
      </c>
      <c r="D41" s="28">
        <v>3982</v>
      </c>
    </row>
    <row r="42" spans="2:4" x14ac:dyDescent="0.25">
      <c r="B42" s="3" t="s">
        <v>8</v>
      </c>
      <c r="C42" s="8">
        <f>SUM(C38:C41)</f>
        <v>729</v>
      </c>
      <c r="D42" s="4">
        <f>SUM(D38:D41)</f>
        <v>7129.58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96278</v>
      </c>
      <c r="D50" s="13">
        <f>SUMIF(B:B, "Total general", D:D)</f>
        <v>1030552.59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46" sqref="B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6786</v>
      </c>
      <c r="D5" s="28">
        <v>137595.74</v>
      </c>
      <c r="E5" s="11"/>
    </row>
    <row r="6" spans="2:8" x14ac:dyDescent="0.25">
      <c r="B6" s="1" t="s">
        <v>5</v>
      </c>
      <c r="C6" s="27">
        <v>7844</v>
      </c>
      <c r="D6" s="28">
        <v>41609</v>
      </c>
    </row>
    <row r="7" spans="2:8" x14ac:dyDescent="0.25">
      <c r="B7" s="1" t="s">
        <v>6</v>
      </c>
      <c r="C7" s="27">
        <v>8109</v>
      </c>
      <c r="D7" s="28">
        <v>40664.18</v>
      </c>
    </row>
    <row r="8" spans="2:8" x14ac:dyDescent="0.25">
      <c r="B8" s="5" t="s">
        <v>11</v>
      </c>
      <c r="C8" s="27">
        <v>2739</v>
      </c>
      <c r="D8" s="28">
        <v>1978</v>
      </c>
    </row>
    <row r="9" spans="2:8" x14ac:dyDescent="0.25">
      <c r="B9" s="1" t="s">
        <v>7</v>
      </c>
      <c r="C9" s="27">
        <v>2913</v>
      </c>
      <c r="D9" s="28">
        <v>5212</v>
      </c>
      <c r="E9" s="14"/>
      <c r="F9" s="7"/>
    </row>
    <row r="10" spans="2:8" x14ac:dyDescent="0.25">
      <c r="B10" s="3" t="s">
        <v>8</v>
      </c>
      <c r="C10" s="8">
        <f>SUM(C5:C9)</f>
        <v>28391</v>
      </c>
      <c r="D10" s="4">
        <f>SUM(D5:D9)</f>
        <v>227058.91999999998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4900</v>
      </c>
      <c r="D14" s="28">
        <v>89995.72</v>
      </c>
    </row>
    <row r="15" spans="2:8" x14ac:dyDescent="0.25">
      <c r="B15" s="1" t="s">
        <v>5</v>
      </c>
      <c r="C15" s="26">
        <v>576</v>
      </c>
      <c r="D15" s="28">
        <v>5511</v>
      </c>
    </row>
    <row r="16" spans="2:8" x14ac:dyDescent="0.25">
      <c r="B16" s="1" t="s">
        <v>6</v>
      </c>
      <c r="C16" s="26">
        <v>3496</v>
      </c>
      <c r="D16" s="28">
        <v>5402</v>
      </c>
    </row>
    <row r="17" spans="2:4" x14ac:dyDescent="0.25">
      <c r="B17" s="9" t="s">
        <v>7</v>
      </c>
      <c r="C17" s="26">
        <v>27</v>
      </c>
      <c r="D17" s="28">
        <v>6399</v>
      </c>
    </row>
    <row r="18" spans="2:4" x14ac:dyDescent="0.25">
      <c r="B18" s="10" t="s">
        <v>8</v>
      </c>
      <c r="C18" s="8">
        <f>SUM(C14:C17)</f>
        <v>8999</v>
      </c>
      <c r="D18" s="4">
        <f>SUM(D14:D17)</f>
        <v>107307.72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1133</v>
      </c>
      <c r="D22" s="28">
        <v>18395</v>
      </c>
    </row>
    <row r="23" spans="2:4" x14ac:dyDescent="0.25">
      <c r="B23" s="1" t="s">
        <v>5</v>
      </c>
      <c r="C23" s="26">
        <v>991</v>
      </c>
      <c r="D23" s="28">
        <v>1020.15</v>
      </c>
    </row>
    <row r="24" spans="2:4" x14ac:dyDescent="0.25">
      <c r="B24" s="1" t="s">
        <v>6</v>
      </c>
      <c r="C24" s="26">
        <v>1008</v>
      </c>
      <c r="D24" s="28">
        <v>17288.39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8419</v>
      </c>
    </row>
    <row r="27" spans="2:4" x14ac:dyDescent="0.25">
      <c r="B27" s="3" t="s">
        <v>8</v>
      </c>
      <c r="C27" s="8">
        <f>SUM(C22:C26)</f>
        <v>3435</v>
      </c>
      <c r="D27" s="4">
        <f>SUM(D22:D26)</f>
        <v>45122.54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5">
        <v>0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1080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1080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882</v>
      </c>
    </row>
    <row r="39" spans="2:4" x14ac:dyDescent="0.25">
      <c r="B39" s="1" t="s">
        <v>7</v>
      </c>
      <c r="C39" s="26">
        <v>64</v>
      </c>
      <c r="D39" s="29">
        <v>0</v>
      </c>
    </row>
    <row r="40" spans="2:4" x14ac:dyDescent="0.25">
      <c r="B40" s="3" t="s">
        <v>8</v>
      </c>
      <c r="C40" s="8">
        <f>SUM(C38:C39)</f>
        <v>66</v>
      </c>
      <c r="D40" s="4">
        <f>SUM(D38:D39)</f>
        <v>882</v>
      </c>
    </row>
    <row r="42" spans="2:4" x14ac:dyDescent="0.25">
      <c r="B42" s="30" t="s">
        <v>34</v>
      </c>
      <c r="C42" s="30"/>
      <c r="D42" s="30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26">
        <v>2</v>
      </c>
      <c r="D44" s="25">
        <v>0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 s="26">
        <v>1</v>
      </c>
      <c r="D46" s="25">
        <v>0</v>
      </c>
    </row>
    <row r="47" spans="2:4" x14ac:dyDescent="0.25">
      <c r="B47" s="1" t="s">
        <v>7</v>
      </c>
      <c r="C47" s="26">
        <v>330</v>
      </c>
      <c r="D47" s="25">
        <v>0</v>
      </c>
    </row>
    <row r="48" spans="2:4" x14ac:dyDescent="0.25">
      <c r="B48" s="3" t="s">
        <v>8</v>
      </c>
      <c r="C48" s="8">
        <f>SUM(C44:C47)</f>
        <v>333</v>
      </c>
      <c r="D48" s="4">
        <f>SUM(D44:D47)</f>
        <v>0</v>
      </c>
    </row>
    <row r="50" spans="2:4" x14ac:dyDescent="0.25">
      <c r="B50" s="12" t="s">
        <v>12</v>
      </c>
      <c r="C50" s="13">
        <f>SUMIF(B:B, "Total general", C:C)</f>
        <v>41403</v>
      </c>
      <c r="D50" s="13">
        <f>SUMIF(B:B, "Total general", D:D)</f>
        <v>381451.18</v>
      </c>
    </row>
  </sheetData>
  <mergeCells count="7">
    <mergeCell ref="B29:D29"/>
    <mergeCell ref="B36:D36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12825</v>
      </c>
      <c r="D3" s="14">
        <f>SUMIF('CDC-OLGUIN'!B:B, "Extrajudicial - 0 a 28 semanas de atraso", 'CDC-OLGUIN'!D:D)</f>
        <v>246868.46</v>
      </c>
    </row>
    <row r="4" spans="2:6" x14ac:dyDescent="0.25">
      <c r="B4" s="1" t="s">
        <v>5</v>
      </c>
      <c r="C4" s="6">
        <f>SUMIF('CDC-OLGUIN'!B:B, "Extrajudicial - 29 a 39 semanas de atraso", 'CDC-OLGUIN'!C:C)</f>
        <v>9412</v>
      </c>
      <c r="D4" s="14">
        <f>SUMIF('CDC-OLGUIN'!B:B, "Extrajudicial - 29 a 39 semanas de atraso", 'CDC-OLGUIN'!D:D)</f>
        <v>48140.15</v>
      </c>
    </row>
    <row r="5" spans="2:6" x14ac:dyDescent="0.25">
      <c r="B5" s="1" t="s">
        <v>6</v>
      </c>
      <c r="C5" s="6">
        <f>SUMIF('CDC-OLGUIN'!B:B, "Extrajudicial - 40 a 55 semanas de atraso", 'CDC-OLGUIN'!C:C)</f>
        <v>12614</v>
      </c>
      <c r="D5" s="14">
        <f>SUMIF('CDC-OLGUIN'!B:B, "Extrajudicial - 40 a 55 semanas de atraso", 'CDC-OLGUIN'!D:D)</f>
        <v>63354.57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21110</v>
      </c>
      <c r="E7" s="14"/>
      <c r="F7" s="7"/>
    </row>
    <row r="8" spans="2:6" x14ac:dyDescent="0.25">
      <c r="B8" s="3" t="s">
        <v>8</v>
      </c>
      <c r="C8" s="8">
        <f>SUM(C3:C7)</f>
        <v>41403</v>
      </c>
      <c r="D8" s="4">
        <f>SUM(D3:D7)</f>
        <v>381451.18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13626</v>
      </c>
      <c r="E6" s="16">
        <f>SUMIF('REPORTE DIARIO'!B:B,'EPR 26 JUN'!C6, 'REPORTE DIARIO'!D:D)</f>
        <v>508763.92</v>
      </c>
      <c r="F6" s="16">
        <f>J6*D6</f>
        <v>856491.42857142852</v>
      </c>
      <c r="G6" s="16">
        <f>+E6-F6</f>
        <v>-347727.50857142854</v>
      </c>
      <c r="H6" s="15">
        <f>ABS(G6/F6)</f>
        <v>0.4059906462244639</v>
      </c>
      <c r="I6" s="16">
        <f>E6/D6</f>
        <v>37.337730808747978</v>
      </c>
      <c r="J6" s="16">
        <f>(220/7)*2</f>
        <v>62.857142857142854</v>
      </c>
      <c r="K6" s="16">
        <f>+I6-J6</f>
        <v>-25.519412048394877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9274</v>
      </c>
      <c r="E7" s="16">
        <f>SUMIF('REPORTE DIARIO'!B:B,'EPR 26 JUN'!C7, 'REPORTE DIARIO'!D:D)</f>
        <v>152089.68</v>
      </c>
      <c r="F7" s="16">
        <f>J7*D7</f>
        <v>291468.57142857142</v>
      </c>
      <c r="G7" s="16">
        <f>+E7-F7</f>
        <v>-139378.89142857143</v>
      </c>
      <c r="H7" s="15">
        <f>ABS(G7/F7)</f>
        <v>0.47819526731625073</v>
      </c>
      <c r="I7" s="16">
        <f>E7/D7</f>
        <v>16.399577312917835</v>
      </c>
      <c r="J7" s="16">
        <f>(110/7)*2</f>
        <v>31.428571428571427</v>
      </c>
      <c r="K7" s="16">
        <f t="shared" ref="K7:K9" si="0">+I7-J7</f>
        <v>-15.028994115653592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16054</v>
      </c>
      <c r="E8" s="16">
        <f>SUMIF('REPORTE DIARIO'!B:B,'EPR 26 JUN'!C8, 'REPORTE DIARIO'!D:D)</f>
        <v>132700.49</v>
      </c>
      <c r="F8" s="16">
        <f>J8*D8</f>
        <v>206408.57142857145</v>
      </c>
      <c r="G8" s="16">
        <f>+E8-F8</f>
        <v>-73708.081428571459</v>
      </c>
      <c r="H8" s="15">
        <f>ABS(G8/F8)</f>
        <v>0.35709796796921511</v>
      </c>
      <c r="I8" s="16">
        <f>E8/D8</f>
        <v>8.2658832689672348</v>
      </c>
      <c r="J8" s="16">
        <f>(45/7)*2</f>
        <v>12.857142857142858</v>
      </c>
      <c r="K8" s="16">
        <f t="shared" si="0"/>
        <v>-4.5912595881756229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56818</v>
      </c>
      <c r="E9" s="16">
        <f>SUMIF('REPORTE DIARIO'!B:B,'EPR 26 JUN'!C9, 'REPORTE DIARIO'!D:D)</f>
        <v>236998.5</v>
      </c>
      <c r="F9" s="16">
        <f>J9*D9</f>
        <v>243505.71428571429</v>
      </c>
      <c r="G9" s="16">
        <f>+E9-F9</f>
        <v>-6507.2142857142899</v>
      </c>
      <c r="H9" s="15">
        <f>ABS(G9/F9)</f>
        <v>2.6723045513745661E-2</v>
      </c>
      <c r="I9" s="16">
        <f>E9/D9</f>
        <v>4.1711869477982333</v>
      </c>
      <c r="J9" s="16">
        <f>(15/7)*2</f>
        <v>4.2857142857142856</v>
      </c>
      <c r="K9" s="16">
        <f t="shared" si="0"/>
        <v>-0.1145273379160523</v>
      </c>
    </row>
    <row r="10" spans="2:12" x14ac:dyDescent="0.25">
      <c r="B10" s="16"/>
      <c r="C10" s="19" t="s">
        <v>16</v>
      </c>
      <c r="D10" s="24">
        <f>SUM(D6:D9)</f>
        <v>95772</v>
      </c>
      <c r="E10" s="20">
        <f>SUM(E6:E9)</f>
        <v>1030552.59</v>
      </c>
      <c r="F10" s="20">
        <f>SUM(F6:F9)</f>
        <v>1597874.2857142857</v>
      </c>
      <c r="G10" s="20">
        <f>+E10-F10</f>
        <v>-567321.69571428571</v>
      </c>
      <c r="H10" s="21">
        <f>ABS(G10/F10)</f>
        <v>0.35504776613929934</v>
      </c>
      <c r="I10" s="20">
        <f>E10/D10</f>
        <v>10.760478950006265</v>
      </c>
      <c r="J10" s="20">
        <f>F10/D10</f>
        <v>16.68414866259748</v>
      </c>
      <c r="K10" s="20">
        <f>I10-J10</f>
        <v>-5.9236697125912148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2025-11-06T01:45:55Z</cp:lastPrinted>
  <dcterms:created xsi:type="dcterms:W3CDTF">2025-01-27T15:11:28Z</dcterms:created>
  <dcterms:modified xsi:type="dcterms:W3CDTF">2025-11-06T01:50:33Z</dcterms:modified>
</cp:coreProperties>
</file>