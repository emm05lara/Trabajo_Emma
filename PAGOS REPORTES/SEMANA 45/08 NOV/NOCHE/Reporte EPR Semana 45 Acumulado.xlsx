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45\08 NOV\NOCHE\"/>
    </mc:Choice>
  </mc:AlternateContent>
  <xr:revisionPtr revIDLastSave="0" documentId="13_ncr:1_{59396ACD-3382-436F-A600-2984DD36E7C7}" xr6:coauthVersionLast="47" xr6:coauthVersionMax="47" xr10:uidLastSave="{00000000-0000-0000-0000-000000000000}"/>
  <bookViews>
    <workbookView xWindow="-96" yWindow="0" windowWidth="11712" windowHeight="12336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5" l="1"/>
  <c r="D26" i="1"/>
  <c r="D41" i="5"/>
  <c r="C26" i="1"/>
  <c r="C34" i="1"/>
  <c r="D34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<sst xmlns="http://schemas.openxmlformats.org/spreadsheetml/2006/main" count="139" uniqueCount="37">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</sst>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topLeftCell="A50" zoomScaleNormal="100" workbookViewId="0">
      <selection activeCell="B3" sqref="B3:D50"/>
    </sheetView>
  </sheetViews>
  <sheetFormatPr baseColWidth="10" defaultRowHeight="14.4" x14ac:dyDescent="0.3"/>
  <cols>
    <col min="2" max="2" width="36.88671875" customWidth="1"/>
    <col min="4" max="4" width="13.109375" bestFit="1" customWidth="1"/>
    <col min="5" max="5" width="11.88671875" bestFit="1" customWidth="1"/>
    <col min="6" max="6" width="13.109375" bestFit="1" customWidth="1"/>
  </cols>
  <sheetData>
    <row r="3" spans="2:8" x14ac:dyDescent="0.3">
      <c r="B3" s="30" t="s">
        <v>0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7846</v>
      </c>
      <c r="D5" s="28">
        <v>695273.73</v>
      </c>
    </row>
    <row r="6" spans="2:8" x14ac:dyDescent="0.3">
      <c r="B6" s="1" t="s">
        <v>5</v>
      </c>
      <c r="C6" s="6">
        <v>6645</v>
      </c>
      <c r="D6" s="28">
        <v>263159.95999999996</v>
      </c>
    </row>
    <row r="7" spans="2:8" x14ac:dyDescent="0.3">
      <c r="B7" s="1" t="s">
        <v>6</v>
      </c>
      <c r="C7" s="6">
        <v>7567</v>
      </c>
      <c r="D7" s="28">
        <v>163308.47000000003</v>
      </c>
    </row>
    <row r="8" spans="2:8" x14ac:dyDescent="0.3">
      <c r="B8" s="5" t="s">
        <v>11</v>
      </c>
      <c r="C8" s="7">
        <v>506</v>
      </c>
      <c r="D8" s="29">
        <v>0</v>
      </c>
    </row>
    <row r="9" spans="2:8" x14ac:dyDescent="0.3">
      <c r="B9" s="1" t="s">
        <v>7</v>
      </c>
      <c r="C9" s="6">
        <v>36616</v>
      </c>
      <c r="D9" s="28">
        <v>358721.54000000004</v>
      </c>
      <c r="E9" s="14"/>
      <c r="F9" s="7"/>
    </row>
    <row r="10" spans="2:8" x14ac:dyDescent="0.3">
      <c r="B10" s="3" t="s">
        <v>8</v>
      </c>
      <c r="C10" s="8">
        <f>SUM(C5:C9)</f>
        <v>59180</v>
      </c>
      <c r="D10" s="4">
        <f>SUM(D5:D9)</f>
        <v>1480463.7</v>
      </c>
      <c r="E10" s="11" t="s">
        <v>13</v>
      </c>
    </row>
    <row r="12" spans="2:8" x14ac:dyDescent="0.3">
      <c r="B12" s="31" t="s">
        <v>9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594</v>
      </c>
      <c r="D14" s="28">
        <v>134505.16</v>
      </c>
    </row>
    <row r="15" spans="2:8" x14ac:dyDescent="0.3">
      <c r="B15" s="9" t="s">
        <v>5</v>
      </c>
      <c r="C15" s="6">
        <v>1414</v>
      </c>
      <c r="D15" s="28">
        <v>47254.54</v>
      </c>
    </row>
    <row r="16" spans="2:8" x14ac:dyDescent="0.3">
      <c r="B16" s="9" t="s">
        <v>6</v>
      </c>
      <c r="C16" s="6">
        <v>3341</v>
      </c>
      <c r="D16" s="28">
        <v>50260</v>
      </c>
    </row>
    <row r="17" spans="2:4" x14ac:dyDescent="0.3">
      <c r="B17" s="9" t="s">
        <v>7</v>
      </c>
      <c r="C17" s="6">
        <v>4195</v>
      </c>
      <c r="D17" s="28">
        <v>47868.14</v>
      </c>
    </row>
    <row r="18" spans="2:4" x14ac:dyDescent="0.3">
      <c r="B18" s="10" t="s">
        <v>8</v>
      </c>
      <c r="C18" s="8">
        <f>SUM(C14:C17)</f>
        <v>9544</v>
      </c>
      <c r="D18" s="4">
        <f>SUM(D14:D17)</f>
        <v>279887.84000000003</v>
      </c>
    </row>
    <row r="20" spans="2:4" x14ac:dyDescent="0.3">
      <c r="B20" s="30" t="s">
        <v>34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>
        <v>90</v>
      </c>
      <c r="D22" s="28">
        <v>73489.94</v>
      </c>
    </row>
    <row r="23" spans="2:4" x14ac:dyDescent="0.3">
      <c r="B23" s="1" t="s">
        <v>5</v>
      </c>
      <c r="C23" s="6">
        <v>152</v>
      </c>
      <c r="D23" s="28">
        <v>42716.09</v>
      </c>
    </row>
    <row r="24" spans="2:4" x14ac:dyDescent="0.3">
      <c r="B24" s="1" t="s">
        <v>6</v>
      </c>
      <c r="C24" s="6">
        <v>1740</v>
      </c>
      <c r="D24" s="28">
        <v>51923</v>
      </c>
    </row>
    <row r="25" spans="2:4" x14ac:dyDescent="0.3">
      <c r="B25" s="1" t="s">
        <v>7</v>
      </c>
      <c r="C25" s="7">
        <v>14544</v>
      </c>
      <c r="D25" s="28">
        <v>58891.869999999995</v>
      </c>
    </row>
    <row r="26" spans="2:4" x14ac:dyDescent="0.3">
      <c r="B26" s="3" t="s">
        <v>8</v>
      </c>
      <c r="C26" s="8">
        <f>SUM(C22:C25)</f>
        <v>16526</v>
      </c>
      <c r="D26" s="4">
        <f>SUM(D22:D25)</f>
        <v>227020.9</v>
      </c>
    </row>
    <row r="28" spans="2:4" x14ac:dyDescent="0.3">
      <c r="B28" s="31" t="s">
        <v>10</v>
      </c>
      <c r="C28" s="31"/>
      <c r="D28" s="31"/>
    </row>
    <row r="29" spans="2:4" x14ac:dyDescent="0.3">
      <c r="B29" s="4" t="s">
        <v>1</v>
      </c>
      <c r="C29" s="4" t="s">
        <v>2</v>
      </c>
      <c r="D29" s="4" t="s">
        <v>3</v>
      </c>
    </row>
    <row r="30" spans="2:4" x14ac:dyDescent="0.3">
      <c r="B30" s="9" t="s">
        <v>4</v>
      </c>
      <c r="C30" s="6">
        <v>4902</v>
      </c>
      <c r="D30" s="28">
        <v>143710.43</v>
      </c>
    </row>
    <row r="31" spans="2:4" x14ac:dyDescent="0.3">
      <c r="B31" s="1" t="s">
        <v>5</v>
      </c>
      <c r="C31" s="6">
        <v>889</v>
      </c>
      <c r="D31" s="28">
        <v>31151.69</v>
      </c>
    </row>
    <row r="32" spans="2:4" x14ac:dyDescent="0.3">
      <c r="B32" s="1" t="s">
        <v>6</v>
      </c>
      <c r="C32" s="6">
        <v>3604</v>
      </c>
      <c r="D32" s="28">
        <v>12622</v>
      </c>
    </row>
    <row r="33" spans="2:4" x14ac:dyDescent="0.3">
      <c r="B33" s="1" t="s">
        <v>7</v>
      </c>
      <c r="C33" s="6">
        <v>1028</v>
      </c>
      <c r="D33" s="28">
        <v>6399</v>
      </c>
    </row>
    <row r="34" spans="2:4" x14ac:dyDescent="0.3">
      <c r="B34" s="10" t="s">
        <v>8</v>
      </c>
      <c r="C34" s="8">
        <f>SUM(C30:C33)</f>
        <v>10423</v>
      </c>
      <c r="D34" s="4">
        <f>SUM(D30:D33)</f>
        <v>193883.12</v>
      </c>
    </row>
    <row r="36" spans="2:4" x14ac:dyDescent="0.3">
      <c r="B36" s="30" t="s">
        <v>29</v>
      </c>
      <c r="C36" s="30"/>
      <c r="D36" s="30"/>
    </row>
    <row r="37" spans="2:4" x14ac:dyDescent="0.3">
      <c r="B37" s="2" t="s">
        <v>1</v>
      </c>
      <c r="C37" s="2" t="s">
        <v>2</v>
      </c>
      <c r="D37" s="2" t="s">
        <v>3</v>
      </c>
    </row>
    <row r="38" spans="2:4" x14ac:dyDescent="0.3">
      <c r="B38" s="9" t="s">
        <v>4</v>
      </c>
      <c r="C38" s="6">
        <v>14</v>
      </c>
      <c r="D38" s="28">
        <v>6390.26</v>
      </c>
    </row>
    <row r="39" spans="2:4" x14ac:dyDescent="0.3">
      <c r="B39" s="1" t="s">
        <v>5</v>
      </c>
      <c r="C39" s="6">
        <v>15</v>
      </c>
      <c r="D39" s="29">
        <v>0</v>
      </c>
    </row>
    <row r="40" spans="2:4" x14ac:dyDescent="0.3">
      <c r="B40" s="1" t="s">
        <v>6</v>
      </c>
      <c r="C40" s="6">
        <v>6</v>
      </c>
      <c r="D40" s="28">
        <v>1290</v>
      </c>
    </row>
    <row r="41" spans="2:4" x14ac:dyDescent="0.3">
      <c r="B41" s="1" t="s">
        <v>7</v>
      </c>
      <c r="C41" s="6">
        <v>691</v>
      </c>
      <c r="D41" s="28">
        <v>6144</v>
      </c>
    </row>
    <row r="42" spans="2:4" x14ac:dyDescent="0.3">
      <c r="B42" s="3" t="s">
        <v>8</v>
      </c>
      <c r="C42" s="8">
        <f>SUM(C38:C41)</f>
        <v>726</v>
      </c>
      <c r="D42" s="4">
        <f>SUM(D38:D41)</f>
        <v>13824.26</v>
      </c>
    </row>
    <row r="43" spans="2:4" hidden="1" x14ac:dyDescent="0.3"/>
    <row r="44" spans="2:4" hidden="1" x14ac:dyDescent="0.3"/>
    <row r="45" spans="2:4" hidden="1" x14ac:dyDescent="0.3"/>
    <row r="46" spans="2:4" hidden="1" x14ac:dyDescent="0.3"/>
    <row r="47" spans="2:4" hidden="1" x14ac:dyDescent="0.3"/>
    <row r="48" spans="2:4" hidden="1" x14ac:dyDescent="0.3"/>
    <row r="50" spans="2:4" x14ac:dyDescent="0.3">
      <c r="B50" s="12" t="s">
        <v>12</v>
      </c>
      <c r="C50" s="13">
        <f>SUMIF(B:B, "Total general", C:C)</f>
        <v>96399</v>
      </c>
      <c r="D50" s="13">
        <f>SUMIF(B:B, "Total general", D:D)</f>
        <v>2195079.8199999998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25" zoomScaleNormal="100" workbookViewId="0">
      <selection activeCell="C49" sqref="C4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8" x14ac:dyDescent="0.3">
      <c r="B1" s="30" t="s">
        <v>36</v>
      </c>
      <c r="C1" s="30"/>
      <c r="D1" s="30"/>
    </row>
    <row r="3" spans="2:8" x14ac:dyDescent="0.3">
      <c r="B3" s="30" t="s">
        <v>35</v>
      </c>
      <c r="C3" s="30"/>
      <c r="D3" s="30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27">
        <v>6854</v>
      </c>
      <c r="D5" s="28">
        <v>239617.74</v>
      </c>
      <c r="E5" s="11"/>
    </row>
    <row r="6" spans="2:8" x14ac:dyDescent="0.3">
      <c r="B6" s="1" t="s">
        <v>5</v>
      </c>
      <c r="C6" s="27">
        <v>8060</v>
      </c>
      <c r="D6" s="28">
        <v>109214.5</v>
      </c>
    </row>
    <row r="7" spans="2:8" x14ac:dyDescent="0.3">
      <c r="B7" s="1" t="s">
        <v>6</v>
      </c>
      <c r="C7" s="27">
        <v>8130</v>
      </c>
      <c r="D7" s="28">
        <v>92157.18</v>
      </c>
    </row>
    <row r="8" spans="2:8" x14ac:dyDescent="0.3">
      <c r="B8" s="5" t="s">
        <v>11</v>
      </c>
      <c r="C8" s="27">
        <v>2738</v>
      </c>
      <c r="D8" s="28">
        <v>1978</v>
      </c>
    </row>
    <row r="9" spans="2:8" x14ac:dyDescent="0.3">
      <c r="B9" s="1" t="s">
        <v>7</v>
      </c>
      <c r="C9" s="27">
        <v>11242</v>
      </c>
      <c r="D9" s="28">
        <v>17757</v>
      </c>
      <c r="E9" s="14"/>
      <c r="F9" s="7"/>
    </row>
    <row r="10" spans="2:8" x14ac:dyDescent="0.3">
      <c r="B10" s="3" t="s">
        <v>8</v>
      </c>
      <c r="C10" s="8">
        <f>SUM(C5:C9)</f>
        <v>37024</v>
      </c>
      <c r="D10" s="4">
        <f>SUM(D5:D9)</f>
        <v>460724.42</v>
      </c>
      <c r="E10" s="11" t="s">
        <v>13</v>
      </c>
    </row>
    <row r="12" spans="2:8" x14ac:dyDescent="0.3">
      <c r="B12" s="31" t="s">
        <v>10</v>
      </c>
      <c r="C12" s="31"/>
      <c r="D12" s="31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26">
        <v>4887</v>
      </c>
      <c r="D14" s="28">
        <v>140744.43</v>
      </c>
    </row>
    <row r="15" spans="2:8" x14ac:dyDescent="0.3">
      <c r="B15" s="1" t="s">
        <v>5</v>
      </c>
      <c r="C15" s="26">
        <v>568</v>
      </c>
      <c r="D15" s="28">
        <v>22290.69</v>
      </c>
    </row>
    <row r="16" spans="2:8" x14ac:dyDescent="0.3">
      <c r="B16" s="1" t="s">
        <v>6</v>
      </c>
      <c r="C16" s="26">
        <v>3493</v>
      </c>
      <c r="D16" s="28">
        <v>11740</v>
      </c>
    </row>
    <row r="17" spans="2:4" x14ac:dyDescent="0.3">
      <c r="B17" s="9" t="s">
        <v>7</v>
      </c>
      <c r="C17" s="26">
        <v>27</v>
      </c>
      <c r="D17" s="28">
        <v>6399</v>
      </c>
    </row>
    <row r="18" spans="2:4" x14ac:dyDescent="0.3">
      <c r="B18" s="10" t="s">
        <v>8</v>
      </c>
      <c r="C18" s="8">
        <f>SUM(C14:C17)</f>
        <v>8975</v>
      </c>
      <c r="D18" s="4">
        <f>SUM(D14:D17)</f>
        <v>181174.12</v>
      </c>
    </row>
    <row r="20" spans="2:4" x14ac:dyDescent="0.3">
      <c r="B20" s="30" t="s">
        <v>0</v>
      </c>
      <c r="C20" s="30"/>
      <c r="D20" s="30"/>
    </row>
    <row r="21" spans="2:4" x14ac:dyDescent="0.3">
      <c r="B21" s="2" t="s">
        <v>1</v>
      </c>
      <c r="C21" s="2" t="s">
        <v>2</v>
      </c>
      <c r="D21" s="2" t="s">
        <v>3</v>
      </c>
    </row>
    <row r="22" spans="2:4" x14ac:dyDescent="0.3">
      <c r="B22" s="9" t="s">
        <v>4</v>
      </c>
      <c r="C22" s="26">
        <v>1269</v>
      </c>
      <c r="D22" s="28">
        <v>29506.93</v>
      </c>
    </row>
    <row r="23" spans="2:4" x14ac:dyDescent="0.3">
      <c r="B23" s="1" t="s">
        <v>5</v>
      </c>
      <c r="C23" s="26">
        <v>1037</v>
      </c>
      <c r="D23" s="28">
        <v>6113.66</v>
      </c>
    </row>
    <row r="24" spans="2:4" x14ac:dyDescent="0.3">
      <c r="B24" s="1" t="s">
        <v>6</v>
      </c>
      <c r="C24" s="26">
        <v>1080</v>
      </c>
      <c r="D24" s="28">
        <v>20800.39</v>
      </c>
    </row>
    <row r="25" spans="2:4" x14ac:dyDescent="0.3">
      <c r="B25" s="5" t="s">
        <v>11</v>
      </c>
      <c r="C25" s="26">
        <v>0</v>
      </c>
      <c r="D25" s="11">
        <v>0</v>
      </c>
    </row>
    <row r="26" spans="2:4" x14ac:dyDescent="0.3">
      <c r="B26" s="1" t="s">
        <v>7</v>
      </c>
      <c r="C26" s="26">
        <v>303</v>
      </c>
      <c r="D26" s="28">
        <v>10528</v>
      </c>
    </row>
    <row r="27" spans="2:4" x14ac:dyDescent="0.3">
      <c r="B27" s="3" t="s">
        <v>8</v>
      </c>
      <c r="C27" s="8">
        <f>SUM(C22:C26)</f>
        <v>3689</v>
      </c>
      <c r="D27" s="4">
        <f>SUM(D22:D26)</f>
        <v>66948.98</v>
      </c>
    </row>
    <row r="29" spans="2:4" x14ac:dyDescent="0.3">
      <c r="B29" s="30" t="s">
        <v>29</v>
      </c>
      <c r="C29" s="30"/>
      <c r="D29" s="30"/>
    </row>
    <row r="30" spans="2:4" x14ac:dyDescent="0.3">
      <c r="B30" s="2" t="s">
        <v>1</v>
      </c>
      <c r="C30" s="2" t="s">
        <v>2</v>
      </c>
      <c r="D30" s="2" t="s">
        <v>3</v>
      </c>
    </row>
    <row r="31" spans="2:4" x14ac:dyDescent="0.3">
      <c r="B31" s="9" t="s">
        <v>4</v>
      </c>
      <c r="C31" s="26">
        <v>2</v>
      </c>
      <c r="D31" s="28">
        <v>2646</v>
      </c>
    </row>
    <row r="32" spans="2:4" x14ac:dyDescent="0.3">
      <c r="B32" s="1" t="s">
        <v>7</v>
      </c>
      <c r="C32" s="26">
        <v>64</v>
      </c>
      <c r="D32" s="28">
        <v>557</v>
      </c>
    </row>
    <row r="33" spans="2:4" x14ac:dyDescent="0.3">
      <c r="B33" s="3" t="s">
        <v>8</v>
      </c>
      <c r="C33" s="8">
        <f>SUM(C31:C32)</f>
        <v>66</v>
      </c>
      <c r="D33" s="4">
        <f>SUM(D31:D32)</f>
        <v>3203</v>
      </c>
    </row>
    <row r="35" spans="2:4" x14ac:dyDescent="0.3">
      <c r="B35" s="30" t="s">
        <v>34</v>
      </c>
      <c r="C35" s="30"/>
      <c r="D35" s="30"/>
    </row>
    <row r="36" spans="2:4" x14ac:dyDescent="0.3">
      <c r="B36" s="2" t="s">
        <v>1</v>
      </c>
      <c r="C36" s="2" t="s">
        <v>2</v>
      </c>
      <c r="D36" s="2" t="s">
        <v>3</v>
      </c>
    </row>
    <row r="37" spans="2:4" x14ac:dyDescent="0.3">
      <c r="B37" s="9" t="s">
        <v>4</v>
      </c>
      <c r="C37" s="26">
        <v>2</v>
      </c>
      <c r="D37" s="28">
        <v>763</v>
      </c>
    </row>
    <row r="38" spans="2:4" x14ac:dyDescent="0.3">
      <c r="B38" s="1" t="s">
        <v>5</v>
      </c>
      <c r="C38" s="11">
        <v>0</v>
      </c>
      <c r="D38" s="25">
        <v>0</v>
      </c>
    </row>
    <row r="39" spans="2:4" x14ac:dyDescent="0.3">
      <c r="B39" s="1" t="s">
        <v>6</v>
      </c>
      <c r="C39" s="26">
        <v>1</v>
      </c>
      <c r="D39" s="25">
        <v>0</v>
      </c>
    </row>
    <row r="40" spans="2:4" x14ac:dyDescent="0.3">
      <c r="B40" s="1" t="s">
        <v>7</v>
      </c>
      <c r="C40" s="26">
        <v>330</v>
      </c>
      <c r="D40" s="28">
        <v>1036</v>
      </c>
    </row>
    <row r="41" spans="2:4" x14ac:dyDescent="0.3">
      <c r="B41" s="3" t="s">
        <v>8</v>
      </c>
      <c r="C41" s="8">
        <f>SUM(C37:C40)</f>
        <v>333</v>
      </c>
      <c r="D41" s="4">
        <f>SUM(D37:D40)</f>
        <v>1799</v>
      </c>
    </row>
    <row r="43" spans="2:4" x14ac:dyDescent="0.3">
      <c r="B43" s="31" t="s">
        <v>9</v>
      </c>
      <c r="C43" s="31"/>
      <c r="D43" s="31"/>
    </row>
    <row r="44" spans="2:4" x14ac:dyDescent="0.3">
      <c r="B44" s="4" t="s">
        <v>1</v>
      </c>
      <c r="C44" s="4" t="s">
        <v>2</v>
      </c>
      <c r="D44" s="4" t="s">
        <v>3</v>
      </c>
    </row>
    <row r="45" spans="2:4" x14ac:dyDescent="0.3">
      <c r="B45" s="9" t="s">
        <v>4</v>
      </c>
      <c r="C45" s="26">
        <v>2</v>
      </c>
      <c r="D45" s="25">
        <v>0</v>
      </c>
    </row>
    <row r="46" spans="2:4" x14ac:dyDescent="0.3">
      <c r="B46" s="9" t="s">
        <v>5</v>
      </c>
      <c r="C46" s="26">
        <v>1</v>
      </c>
      <c r="D46" s="25">
        <v>0</v>
      </c>
    </row>
    <row r="47" spans="2:4" x14ac:dyDescent="0.3">
      <c r="B47" s="9" t="s">
        <v>7</v>
      </c>
      <c r="C47" s="26">
        <v>176</v>
      </c>
      <c r="D47" s="28">
        <v>1080</v>
      </c>
    </row>
    <row r="48" spans="2:4" x14ac:dyDescent="0.3">
      <c r="B48" s="10" t="s">
        <v>8</v>
      </c>
      <c r="C48" s="8">
        <f>SUM(C45:C47)</f>
        <v>179</v>
      </c>
      <c r="D48" s="4">
        <f>SUM(D45:D47)</f>
        <v>1080</v>
      </c>
    </row>
    <row r="50" spans="2:4" x14ac:dyDescent="0.3">
      <c r="B50" s="12" t="s">
        <v>12</v>
      </c>
      <c r="C50" s="13">
        <f>SUMIF(B:B, "Total general", C:C)</f>
        <v>50266</v>
      </c>
      <c r="D50" s="13">
        <f>SUMIF(B:B, "Total general", D:D)</f>
        <v>714929.52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1" spans="2:6" x14ac:dyDescent="0.3">
      <c r="B1" s="30" t="s">
        <v>36</v>
      </c>
      <c r="C1" s="30"/>
      <c r="D1" s="30"/>
    </row>
    <row r="2" spans="2:6" x14ac:dyDescent="0.3">
      <c r="B2" s="2" t="s">
        <v>1</v>
      </c>
      <c r="C2" s="2" t="s">
        <v>2</v>
      </c>
      <c r="D2" s="2" t="s">
        <v>3</v>
      </c>
    </row>
    <row r="3" spans="2:6" x14ac:dyDescent="0.3">
      <c r="B3" s="1" t="s">
        <v>4</v>
      </c>
      <c r="C3" s="6">
        <f>SUMIF('CDC-OLGUIN'!B:B, "Extrajudicial - 0 a 28 semanas de atraso", 'CDC-OLGUIN'!C:C)</f>
        <v>13016</v>
      </c>
      <c r="D3" s="14">
        <f>SUMIF('CDC-OLGUIN'!B:B, "Extrajudicial - 0 a 28 semanas de atraso", 'CDC-OLGUIN'!D:D)</f>
        <v>413278.1</v>
      </c>
    </row>
    <row r="4" spans="2:6" x14ac:dyDescent="0.3">
      <c r="B4" s="1" t="s">
        <v>5</v>
      </c>
      <c r="C4" s="6">
        <f>SUMIF('CDC-OLGUIN'!B:B, "Extrajudicial - 29 a 39 semanas de atraso", 'CDC-OLGUIN'!C:C)</f>
        <v>9666</v>
      </c>
      <c r="D4" s="14">
        <f>SUMIF('CDC-OLGUIN'!B:B, "Extrajudicial - 29 a 39 semanas de atraso", 'CDC-OLGUIN'!D:D)</f>
        <v>137618.85</v>
      </c>
    </row>
    <row r="5" spans="2:6" x14ac:dyDescent="0.3">
      <c r="B5" s="1" t="s">
        <v>6</v>
      </c>
      <c r="C5" s="6">
        <f>SUMIF('CDC-OLGUIN'!B:B, "Extrajudicial - 40 a 55 semanas de atraso", 'CDC-OLGUIN'!C:C)</f>
        <v>12704</v>
      </c>
      <c r="D5" s="14">
        <f>SUMIF('CDC-OLGUIN'!B:B, "Extrajudicial - 40 a 55 semanas de atraso", 'CDC-OLGUIN'!D:D)</f>
        <v>124697.56999999999</v>
      </c>
    </row>
    <row r="6" spans="2:6" x14ac:dyDescent="0.3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3">
      <c r="B7" s="1" t="s">
        <v>7</v>
      </c>
      <c r="C7" s="6">
        <f>SUMIF('CDC-OLGUIN'!B:B, "Mas 55 semanas de atraso", 'CDC-OLGUIN'!C:C)</f>
        <v>12142</v>
      </c>
      <c r="D7" s="6">
        <f>SUMIF('CDC-OLGUIN'!B:B, "Mas 55 semanas de atraso", 'CDC-OLGUIN'!D:D)</f>
        <v>37357</v>
      </c>
      <c r="E7" s="14"/>
      <c r="F7" s="7"/>
    </row>
    <row r="8" spans="2:6" x14ac:dyDescent="0.3">
      <c r="B8" s="3" t="s">
        <v>8</v>
      </c>
      <c r="C8" s="8">
        <f>SUM(C3:C7)</f>
        <v>50266</v>
      </c>
      <c r="D8" s="4">
        <f>SUM(D3:D7)</f>
        <v>714929.5199999999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20</v>
      </c>
    </row>
    <row r="3" spans="2:12" x14ac:dyDescent="0.3">
      <c r="B3" s="17" t="s">
        <v>33</v>
      </c>
    </row>
    <row r="5" spans="2:12" x14ac:dyDescent="0.3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3">
      <c r="B6" s="16" t="s">
        <v>31</v>
      </c>
      <c r="C6" s="16" t="s">
        <v>4</v>
      </c>
      <c r="D6" s="23">
        <f>SUMIF('REPORTE DIARIO'!B:B,'EPR 26 JUN'!C6, 'REPORTE DIARIO'!C:C)</f>
        <v>13446</v>
      </c>
      <c r="E6" s="16">
        <f>SUMIF('REPORTE DIARIO'!B:B,'EPR 26 JUN'!C6, 'REPORTE DIARIO'!D:D)</f>
        <v>1053369.52</v>
      </c>
      <c r="F6" s="16">
        <f>J6*D6</f>
        <v>845177.14285714284</v>
      </c>
      <c r="G6" s="16">
        <f>+E6-F6</f>
        <v>208192.37714285718</v>
      </c>
      <c r="H6" s="15">
        <f>ABS(G6/F6)</f>
        <v>0.24632987167525325</v>
      </c>
      <c r="I6" s="16">
        <f>E6/D6</f>
        <v>78.340734791015919</v>
      </c>
      <c r="J6" s="16">
        <f>(220/7)*2</f>
        <v>62.857142857142854</v>
      </c>
      <c r="K6" s="16">
        <f>+I6-J6</f>
        <v>15.483591933873065</v>
      </c>
      <c r="L6" s="15"/>
    </row>
    <row r="7" spans="2:12" x14ac:dyDescent="0.3">
      <c r="B7" s="16" t="s">
        <v>28</v>
      </c>
      <c r="C7" s="16" t="s">
        <v>5</v>
      </c>
      <c r="D7" s="23">
        <f>SUMIF('REPORTE DIARIO'!B:B,'EPR 26 JUN'!C7, 'REPORTE DIARIO'!C:C)</f>
        <v>9115</v>
      </c>
      <c r="E7" s="16">
        <f>SUMIF('REPORTE DIARIO'!B:B,'EPR 26 JUN'!C7, 'REPORTE DIARIO'!D:D)</f>
        <v>384282.27999999997</v>
      </c>
      <c r="F7" s="16">
        <f>J7*D7</f>
        <v>286471.42857142858</v>
      </c>
      <c r="G7" s="16">
        <f>+E7-F7</f>
        <v>97810.85142857139</v>
      </c>
      <c r="H7" s="15">
        <f>ABS(G7/F7)</f>
        <v>0.34143318206752094</v>
      </c>
      <c r="I7" s="16">
        <f>E7/D7</f>
        <v>42.159328579264944</v>
      </c>
      <c r="J7" s="16">
        <f>(110/7)*2</f>
        <v>31.428571428571427</v>
      </c>
      <c r="K7" s="16">
        <f t="shared" ref="K7:K9" si="0">+I7-J7</f>
        <v>10.730757150693517</v>
      </c>
      <c r="L7" s="15"/>
    </row>
    <row r="8" spans="2:12" x14ac:dyDescent="0.3">
      <c r="B8" s="16" t="s">
        <v>28</v>
      </c>
      <c r="C8" s="16" t="s">
        <v>6</v>
      </c>
      <c r="D8" s="23">
        <f>SUMIF('REPORTE DIARIO'!B:B,'EPR 26 JUN'!C8, 'REPORTE DIARIO'!C:C)</f>
        <v>16258</v>
      </c>
      <c r="E8" s="16">
        <f>SUMIF('REPORTE DIARIO'!B:B,'EPR 26 JUN'!C8, 'REPORTE DIARIO'!D:D)</f>
        <v>279403.47000000003</v>
      </c>
      <c r="F8" s="16">
        <f>J8*D8</f>
        <v>209031.42857142858</v>
      </c>
      <c r="G8" s="16">
        <f>+E8-F8</f>
        <v>70372.041428571451</v>
      </c>
      <c r="H8" s="15">
        <f>ABS(G8/F8)</f>
        <v>0.33665770697502778</v>
      </c>
      <c r="I8" s="16">
        <f>E8/D8</f>
        <v>17.185599089678931</v>
      </c>
      <c r="J8" s="16">
        <f>(45/7)*2</f>
        <v>12.857142857142858</v>
      </c>
      <c r="K8" s="16">
        <f t="shared" si="0"/>
        <v>4.3284562325360731</v>
      </c>
      <c r="L8" s="15"/>
    </row>
    <row r="9" spans="2:12" x14ac:dyDescent="0.3">
      <c r="B9" s="16" t="s">
        <v>32</v>
      </c>
      <c r="C9" s="16" t="s">
        <v>7</v>
      </c>
      <c r="D9" s="23">
        <f>SUMIF('REPORTE DIARIO'!B:B,'EPR 26 JUN'!C9, 'REPORTE DIARIO'!C:C)</f>
        <v>57074</v>
      </c>
      <c r="E9" s="16">
        <f>SUMIF('REPORTE DIARIO'!B:B,'EPR 26 JUN'!C9, 'REPORTE DIARIO'!D:D)</f>
        <v>478024.55000000005</v>
      </c>
      <c r="F9" s="16">
        <f>J9*D9</f>
        <v>244602.85714285713</v>
      </c>
      <c r="G9" s="16">
        <f>+E9-F9</f>
        <v>233421.69285714292</v>
      </c>
      <c r="H9" s="15">
        <f>ABS(G9/F9)</f>
        <v>0.95428849680531735</v>
      </c>
      <c r="I9" s="16">
        <f>E9/D9</f>
        <v>8.3755221291656454</v>
      </c>
      <c r="J9" s="16">
        <f>(15/7)*2</f>
        <v>4.2857142857142856</v>
      </c>
      <c r="K9" s="16">
        <f t="shared" si="0"/>
        <v>4.0898078434513598</v>
      </c>
    </row>
    <row r="10" spans="2:12" x14ac:dyDescent="0.3">
      <c r="B10" s="16"/>
      <c r="C10" s="19" t="s">
        <v>16</v>
      </c>
      <c r="D10" s="24">
        <f>SUM(D6:D9)</f>
        <v>95893</v>
      </c>
      <c r="E10" s="20">
        <f>SUM(E6:E9)</f>
        <v>2195079.8200000003</v>
      </c>
      <c r="F10" s="20">
        <f>SUM(F6:F9)</f>
        <v>1585282.857142857</v>
      </c>
      <c r="G10" s="20">
        <f>+E10-F10</f>
        <v>609796.96285714325</v>
      </c>
      <c r="H10" s="21">
        <f>ABS(G10/F10)</f>
        <v>0.38466129883986483</v>
      </c>
      <c r="I10" s="20">
        <f>E10/D10</f>
        <v>22.890928639212458</v>
      </c>
      <c r="J10" s="20">
        <f>F10/D10</f>
        <v>16.53178915189698</v>
      </c>
      <c r="K10" s="20">
        <f>I10-J10</f>
        <v>6.3591394873154776</v>
      </c>
    </row>
    <row r="12" spans="2:12" x14ac:dyDescent="0.3">
      <c r="B12" s="22" t="s">
        <v>23</v>
      </c>
      <c r="I12" s="14"/>
    </row>
    <row r="13" spans="2:12" x14ac:dyDescent="0.3">
      <c r="B13" t="s">
        <v>24</v>
      </c>
    </row>
    <row r="14" spans="2:12" x14ac:dyDescent="0.3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2025-11-09T01:47:34Z</cp:lastPrinted>
  <dcterms:created xsi:type="dcterms:W3CDTF">2025-01-27T15:11:28Z</dcterms:created>
  <dcterms:modified xsi:type="dcterms:W3CDTF">2025-11-09T01:56:15Z</dcterms:modified>
</cp:coreProperties>
</file>