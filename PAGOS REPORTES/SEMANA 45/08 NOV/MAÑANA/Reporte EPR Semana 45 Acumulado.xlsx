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AGOS REPORTES\SEMANA 45\08 NOV\MAÑANA\"/>
    </mc:Choice>
  </mc:AlternateContent>
  <xr:revisionPtr revIDLastSave="0" documentId="13_ncr:1_{19EC5D46-7CC7-4B99-BDEB-BABE94434858}" xr6:coauthVersionLast="47" xr6:coauthVersionMax="47" xr10:uidLastSave="{00000000-0000-0000-0000-000000000000}"/>
  <bookViews>
    <workbookView xWindow="-96" yWindow="0" windowWidth="11712" windowHeight="12336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" i="5" l="1"/>
  <c r="D26" i="1"/>
  <c r="D41" i="5"/>
  <c r="C26" i="1"/>
  <c r="C34" i="1"/>
  <c r="D34" i="1"/>
  <c r="C41" i="5"/>
  <c r="D48" i="5"/>
  <c r="C48" i="5"/>
  <c r="D27" i="5"/>
  <c r="C27" i="5"/>
  <c r="C42" i="1"/>
  <c r="D42" i="1"/>
  <c r="C18" i="1"/>
  <c r="D18" i="5"/>
  <c r="C18" i="5"/>
  <c r="D10" i="5"/>
  <c r="D33" i="5"/>
  <c r="D7" i="6"/>
  <c r="D6" i="6"/>
  <c r="D5" i="6"/>
  <c r="D4" i="6"/>
  <c r="D3" i="6"/>
  <c r="C7" i="6"/>
  <c r="C6" i="6"/>
  <c r="C5" i="6"/>
  <c r="C4" i="6"/>
  <c r="C3" i="6"/>
  <c r="C10" i="5"/>
  <c r="J9" i="3"/>
  <c r="J8" i="3"/>
  <c r="J7" i="3"/>
  <c r="J6" i="3"/>
  <c r="C50" i="5" l="1"/>
  <c r="D8" i="6"/>
  <c r="C8" i="6"/>
  <c r="D50" i="5"/>
  <c r="D18" i="1"/>
  <c r="D6" i="3"/>
  <c r="D10" i="1" l="1"/>
  <c r="D50" i="1" s="1"/>
  <c r="C10" i="1"/>
  <c r="F6" i="3"/>
  <c r="E7" i="3"/>
  <c r="E8" i="3"/>
  <c r="E9" i="3"/>
  <c r="E6" i="3"/>
  <c r="D7" i="3"/>
  <c r="F7" i="3" s="1"/>
  <c r="D8" i="3"/>
  <c r="F8" i="3" s="1"/>
  <c r="D9" i="3"/>
  <c r="F9" i="3" s="1"/>
  <c r="C50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<sst xmlns="http://schemas.openxmlformats.org/spreadsheetml/2006/main" count="139" uniqueCount="37">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</sst>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topLeftCell="A50" zoomScaleNormal="100" workbookViewId="0">
      <selection activeCell="B3" sqref="B3:D50"/>
    </sheetView>
  </sheetViews>
  <sheetFormatPr baseColWidth="10" defaultRowHeight="14.4" x14ac:dyDescent="0.3"/>
  <cols>
    <col min="2" max="2" width="36.88671875" customWidth="1"/>
    <col min="4" max="4" width="13.109375" bestFit="1" customWidth="1"/>
    <col min="5" max="5" width="11.88671875" bestFit="1" customWidth="1"/>
    <col min="6" max="6" width="13.109375" bestFit="1" customWidth="1"/>
  </cols>
  <sheetData>
    <row r="3" spans="2:8" x14ac:dyDescent="0.3">
      <c r="B3" s="30" t="s">
        <v>0</v>
      </c>
      <c r="C3" s="30"/>
      <c r="D3" s="30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8087</v>
      </c>
      <c r="D5" s="28">
        <v>583177.97</v>
      </c>
    </row>
    <row r="6" spans="2:8" x14ac:dyDescent="0.3">
      <c r="B6" s="1" t="s">
        <v>5</v>
      </c>
      <c r="C6" s="6">
        <v>6585</v>
      </c>
      <c r="D6" s="28">
        <v>220925.96</v>
      </c>
    </row>
    <row r="7" spans="2:8" x14ac:dyDescent="0.3">
      <c r="B7" s="1" t="s">
        <v>6</v>
      </c>
      <c r="C7" s="6">
        <v>7778</v>
      </c>
      <c r="D7" s="28">
        <v>144526.47000000003</v>
      </c>
    </row>
    <row r="8" spans="2:8" x14ac:dyDescent="0.3">
      <c r="B8" s="5" t="s">
        <v>11</v>
      </c>
      <c r="C8" s="7">
        <v>506</v>
      </c>
      <c r="D8" s="29">
        <v>0</v>
      </c>
    </row>
    <row r="9" spans="2:8" x14ac:dyDescent="0.3">
      <c r="B9" s="1" t="s">
        <v>7</v>
      </c>
      <c r="C9" s="6">
        <v>36612</v>
      </c>
      <c r="D9" s="28">
        <v>295624.54000000004</v>
      </c>
      <c r="E9" s="14"/>
      <c r="F9" s="7"/>
    </row>
    <row r="10" spans="2:8" x14ac:dyDescent="0.3">
      <c r="B10" s="3" t="s">
        <v>8</v>
      </c>
      <c r="C10" s="8">
        <f>SUM(C5:C9)</f>
        <v>59568</v>
      </c>
      <c r="D10" s="4">
        <f>SUM(D5:D9)</f>
        <v>1244254.94</v>
      </c>
      <c r="E10" s="11" t="s">
        <v>13</v>
      </c>
    </row>
    <row r="12" spans="2:8" x14ac:dyDescent="0.3">
      <c r="B12" s="31" t="s">
        <v>9</v>
      </c>
      <c r="C12" s="31"/>
      <c r="D12" s="31"/>
    </row>
    <row r="13" spans="2:8" x14ac:dyDescent="0.3">
      <c r="B13" s="4" t="s">
        <v>1</v>
      </c>
      <c r="C13" s="4" t="s">
        <v>2</v>
      </c>
      <c r="D13" s="4" t="s">
        <v>3</v>
      </c>
    </row>
    <row r="14" spans="2:8" x14ac:dyDescent="0.3">
      <c r="B14" s="9" t="s">
        <v>4</v>
      </c>
      <c r="C14" s="6">
        <v>596</v>
      </c>
      <c r="D14" s="28">
        <v>124547.16</v>
      </c>
    </row>
    <row r="15" spans="2:8" x14ac:dyDescent="0.3">
      <c r="B15" s="9" t="s">
        <v>5</v>
      </c>
      <c r="C15" s="6">
        <v>1580</v>
      </c>
      <c r="D15" s="28">
        <v>41194.54</v>
      </c>
    </row>
    <row r="16" spans="2:8" x14ac:dyDescent="0.3">
      <c r="B16" s="9" t="s">
        <v>6</v>
      </c>
      <c r="C16" s="6">
        <v>3272</v>
      </c>
      <c r="D16" s="28">
        <v>44736</v>
      </c>
    </row>
    <row r="17" spans="2:4" x14ac:dyDescent="0.3">
      <c r="B17" s="9" t="s">
        <v>7</v>
      </c>
      <c r="C17" s="6">
        <v>4024</v>
      </c>
      <c r="D17" s="28">
        <v>37529.14</v>
      </c>
    </row>
    <row r="18" spans="2:4" x14ac:dyDescent="0.3">
      <c r="B18" s="10" t="s">
        <v>8</v>
      </c>
      <c r="C18" s="8">
        <f>SUM(C14:C17)</f>
        <v>9472</v>
      </c>
      <c r="D18" s="4">
        <f>SUM(D14:D17)</f>
        <v>248006.84000000003</v>
      </c>
    </row>
    <row r="20" spans="2:4" x14ac:dyDescent="0.3">
      <c r="B20" s="30" t="s">
        <v>34</v>
      </c>
      <c r="C20" s="30"/>
      <c r="D20" s="30"/>
    </row>
    <row r="21" spans="2:4" x14ac:dyDescent="0.3">
      <c r="B21" s="2" t="s">
        <v>1</v>
      </c>
      <c r="C21" s="2" t="s">
        <v>2</v>
      </c>
      <c r="D21" s="2" t="s">
        <v>3</v>
      </c>
    </row>
    <row r="22" spans="2:4" x14ac:dyDescent="0.3">
      <c r="B22" s="9" t="s">
        <v>4</v>
      </c>
      <c r="C22">
        <v>91</v>
      </c>
      <c r="D22" s="28">
        <v>70220.94</v>
      </c>
    </row>
    <row r="23" spans="2:4" x14ac:dyDescent="0.3">
      <c r="B23" s="1" t="s">
        <v>5</v>
      </c>
      <c r="C23" s="6">
        <v>163</v>
      </c>
      <c r="D23" s="28">
        <v>38200.089999999997</v>
      </c>
    </row>
    <row r="24" spans="2:4" x14ac:dyDescent="0.3">
      <c r="B24" s="1" t="s">
        <v>6</v>
      </c>
      <c r="C24" s="6">
        <v>1760</v>
      </c>
      <c r="D24" s="28">
        <v>41466</v>
      </c>
    </row>
    <row r="25" spans="2:4" x14ac:dyDescent="0.3">
      <c r="B25" s="1" t="s">
        <v>7</v>
      </c>
      <c r="C25" s="7">
        <v>14534</v>
      </c>
      <c r="D25" s="28">
        <v>47823.869999999995</v>
      </c>
    </row>
    <row r="26" spans="2:4" x14ac:dyDescent="0.3">
      <c r="B26" s="3" t="s">
        <v>8</v>
      </c>
      <c r="C26" s="8">
        <f>SUM(C22:C25)</f>
        <v>16548</v>
      </c>
      <c r="D26" s="4">
        <f>SUM(D22:D25)</f>
        <v>197710.9</v>
      </c>
    </row>
    <row r="28" spans="2:4" x14ac:dyDescent="0.3">
      <c r="B28" s="31" t="s">
        <v>10</v>
      </c>
      <c r="C28" s="31"/>
      <c r="D28" s="31"/>
    </row>
    <row r="29" spans="2:4" x14ac:dyDescent="0.3">
      <c r="B29" s="4" t="s">
        <v>1</v>
      </c>
      <c r="C29" s="4" t="s">
        <v>2</v>
      </c>
      <c r="D29" s="4" t="s">
        <v>3</v>
      </c>
    </row>
    <row r="30" spans="2:4" x14ac:dyDescent="0.3">
      <c r="B30" s="9" t="s">
        <v>4</v>
      </c>
      <c r="C30" s="6">
        <v>4908</v>
      </c>
      <c r="D30" s="28">
        <v>134032.43</v>
      </c>
    </row>
    <row r="31" spans="2:4" x14ac:dyDescent="0.3">
      <c r="B31" s="1" t="s">
        <v>5</v>
      </c>
      <c r="C31" s="6">
        <v>972</v>
      </c>
      <c r="D31" s="28">
        <v>23297.1</v>
      </c>
    </row>
    <row r="32" spans="2:4" x14ac:dyDescent="0.3">
      <c r="B32" s="1" t="s">
        <v>6</v>
      </c>
      <c r="C32" s="6">
        <v>3611</v>
      </c>
      <c r="D32" s="28">
        <v>9964</v>
      </c>
    </row>
    <row r="33" spans="2:4" x14ac:dyDescent="0.3">
      <c r="B33" s="1" t="s">
        <v>7</v>
      </c>
      <c r="C33" s="6">
        <v>1028</v>
      </c>
      <c r="D33" s="28">
        <v>6399</v>
      </c>
    </row>
    <row r="34" spans="2:4" x14ac:dyDescent="0.3">
      <c r="B34" s="10" t="s">
        <v>8</v>
      </c>
      <c r="C34" s="8">
        <f>SUM(C30:C33)</f>
        <v>10519</v>
      </c>
      <c r="D34" s="4">
        <f>SUM(D30:D33)</f>
        <v>173692.53</v>
      </c>
    </row>
    <row r="36" spans="2:4" x14ac:dyDescent="0.3">
      <c r="B36" s="30" t="s">
        <v>29</v>
      </c>
      <c r="C36" s="30"/>
      <c r="D36" s="30"/>
    </row>
    <row r="37" spans="2:4" x14ac:dyDescent="0.3">
      <c r="B37" s="2" t="s">
        <v>1</v>
      </c>
      <c r="C37" s="2" t="s">
        <v>2</v>
      </c>
      <c r="D37" s="2" t="s">
        <v>3</v>
      </c>
    </row>
    <row r="38" spans="2:4" x14ac:dyDescent="0.3">
      <c r="B38" s="9" t="s">
        <v>4</v>
      </c>
      <c r="C38" s="6">
        <v>14</v>
      </c>
      <c r="D38" s="28">
        <v>5071.26</v>
      </c>
    </row>
    <row r="39" spans="2:4" x14ac:dyDescent="0.3">
      <c r="B39" s="1" t="s">
        <v>5</v>
      </c>
      <c r="C39" s="6">
        <v>16</v>
      </c>
      <c r="D39" s="29">
        <v>0</v>
      </c>
    </row>
    <row r="40" spans="2:4" x14ac:dyDescent="0.3">
      <c r="B40" s="1" t="s">
        <v>6</v>
      </c>
      <c r="C40" s="6">
        <v>6</v>
      </c>
      <c r="D40" s="28">
        <v>970</v>
      </c>
    </row>
    <row r="41" spans="2:4" x14ac:dyDescent="0.3">
      <c r="B41" s="1" t="s">
        <v>7</v>
      </c>
      <c r="C41" s="6">
        <v>961</v>
      </c>
      <c r="D41" s="28">
        <v>6144</v>
      </c>
    </row>
    <row r="42" spans="2:4" x14ac:dyDescent="0.3">
      <c r="B42" s="3" t="s">
        <v>8</v>
      </c>
      <c r="C42" s="8">
        <f>SUM(C38:C41)</f>
        <v>997</v>
      </c>
      <c r="D42" s="4">
        <f>SUM(D38:D41)</f>
        <v>12185.26</v>
      </c>
    </row>
    <row r="43" spans="2:4" hidden="1" x14ac:dyDescent="0.3"/>
    <row r="44" spans="2:4" hidden="1" x14ac:dyDescent="0.3"/>
    <row r="45" spans="2:4" hidden="1" x14ac:dyDescent="0.3"/>
    <row r="46" spans="2:4" hidden="1" x14ac:dyDescent="0.3"/>
    <row r="47" spans="2:4" hidden="1" x14ac:dyDescent="0.3"/>
    <row r="48" spans="2:4" hidden="1" x14ac:dyDescent="0.3"/>
    <row r="50" spans="2:4" x14ac:dyDescent="0.3">
      <c r="B50" s="12" t="s">
        <v>12</v>
      </c>
      <c r="C50" s="13">
        <f>SUMIF(B:B, "Total general", C:C)</f>
        <v>97104</v>
      </c>
      <c r="D50" s="13">
        <f>SUMIF(B:B, "Total general", D:D)</f>
        <v>1875850.47</v>
      </c>
    </row>
  </sheetData>
  <mergeCells count="5">
    <mergeCell ref="B3:D3"/>
    <mergeCell ref="B12:D12"/>
    <mergeCell ref="B28:D28"/>
    <mergeCell ref="B20:D20"/>
    <mergeCell ref="B36:D3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50"/>
  <sheetViews>
    <sheetView showGridLines="0" tabSelected="1" zoomScaleNormal="100" workbookViewId="0">
      <selection activeCell="D5" sqref="D5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1" spans="2:8" x14ac:dyDescent="0.3">
      <c r="B1" s="30" t="s">
        <v>36</v>
      </c>
      <c r="C1" s="30"/>
      <c r="D1" s="30"/>
    </row>
    <row r="3" spans="2:8" x14ac:dyDescent="0.3">
      <c r="B3" s="30" t="s">
        <v>35</v>
      </c>
      <c r="C3" s="30"/>
      <c r="D3" s="30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27">
        <v>6695</v>
      </c>
      <c r="D5" s="28"/>
      <c r="E5" s="11"/>
    </row>
    <row r="6" spans="2:8" x14ac:dyDescent="0.3">
      <c r="B6" s="1" t="s">
        <v>5</v>
      </c>
      <c r="C6" s="27">
        <v>7908</v>
      </c>
      <c r="D6" s="28"/>
    </row>
    <row r="7" spans="2:8" x14ac:dyDescent="0.3">
      <c r="B7" s="1" t="s">
        <v>6</v>
      </c>
      <c r="C7" s="27">
        <v>8092</v>
      </c>
      <c r="D7" s="28"/>
    </row>
    <row r="8" spans="2:8" x14ac:dyDescent="0.3">
      <c r="B8" s="5" t="s">
        <v>11</v>
      </c>
      <c r="C8" s="27">
        <v>2738</v>
      </c>
      <c r="D8" s="28"/>
    </row>
    <row r="9" spans="2:8" x14ac:dyDescent="0.3">
      <c r="B9" s="1" t="s">
        <v>7</v>
      </c>
      <c r="C9" s="27">
        <v>2914</v>
      </c>
      <c r="D9" s="28"/>
      <c r="E9" s="14"/>
      <c r="F9" s="7"/>
    </row>
    <row r="10" spans="2:8" x14ac:dyDescent="0.3">
      <c r="B10" s="3" t="s">
        <v>8</v>
      </c>
      <c r="C10" s="8">
        <f>SUM(C5:C9)</f>
        <v>28347</v>
      </c>
      <c r="D10" s="4">
        <f>SUM(D5:D9)</f>
        <v>0</v>
      </c>
      <c r="E10" s="11" t="s">
        <v>13</v>
      </c>
    </row>
    <row r="12" spans="2:8" x14ac:dyDescent="0.3">
      <c r="B12" s="31" t="s">
        <v>10</v>
      </c>
      <c r="C12" s="31"/>
      <c r="D12" s="31"/>
    </row>
    <row r="13" spans="2:8" x14ac:dyDescent="0.3">
      <c r="B13" s="4" t="s">
        <v>1</v>
      </c>
      <c r="C13" s="4" t="s">
        <v>2</v>
      </c>
      <c r="D13" s="4" t="s">
        <v>3</v>
      </c>
    </row>
    <row r="14" spans="2:8" x14ac:dyDescent="0.3">
      <c r="B14" s="9" t="s">
        <v>4</v>
      </c>
      <c r="C14" s="26">
        <v>4894</v>
      </c>
      <c r="D14" s="28"/>
    </row>
    <row r="15" spans="2:8" x14ac:dyDescent="0.3">
      <c r="B15" s="1" t="s">
        <v>5</v>
      </c>
      <c r="C15" s="26">
        <v>570</v>
      </c>
      <c r="D15" s="28"/>
    </row>
    <row r="16" spans="2:8" x14ac:dyDescent="0.3">
      <c r="B16" s="1" t="s">
        <v>6</v>
      </c>
      <c r="C16" s="26">
        <v>3495</v>
      </c>
      <c r="D16" s="28"/>
    </row>
    <row r="17" spans="2:4" x14ac:dyDescent="0.3">
      <c r="B17" s="9" t="s">
        <v>7</v>
      </c>
      <c r="C17" s="26">
        <v>27</v>
      </c>
      <c r="D17" s="28"/>
    </row>
    <row r="18" spans="2:4" x14ac:dyDescent="0.3">
      <c r="B18" s="10" t="s">
        <v>8</v>
      </c>
      <c r="C18" s="8">
        <f>SUM(C14:C17)</f>
        <v>8986</v>
      </c>
      <c r="D18" s="4">
        <f>SUM(D14:D17)</f>
        <v>0</v>
      </c>
    </row>
    <row r="20" spans="2:4" x14ac:dyDescent="0.3">
      <c r="B20" s="30" t="s">
        <v>0</v>
      </c>
      <c r="C20" s="30"/>
      <c r="D20" s="30"/>
    </row>
    <row r="21" spans="2:4" x14ac:dyDescent="0.3">
      <c r="B21" s="2" t="s">
        <v>1</v>
      </c>
      <c r="C21" s="2" t="s">
        <v>2</v>
      </c>
      <c r="D21" s="2" t="s">
        <v>3</v>
      </c>
    </row>
    <row r="22" spans="2:4" x14ac:dyDescent="0.3">
      <c r="B22" s="9" t="s">
        <v>4</v>
      </c>
      <c r="C22" s="26">
        <v>1268</v>
      </c>
      <c r="D22" s="28"/>
    </row>
    <row r="23" spans="2:4" x14ac:dyDescent="0.3">
      <c r="B23" s="1" t="s">
        <v>5</v>
      </c>
      <c r="C23" s="26">
        <v>1037</v>
      </c>
      <c r="D23" s="28"/>
    </row>
    <row r="24" spans="2:4" x14ac:dyDescent="0.3">
      <c r="B24" s="1" t="s">
        <v>6</v>
      </c>
      <c r="C24" s="26">
        <v>1080</v>
      </c>
      <c r="D24" s="28"/>
    </row>
    <row r="25" spans="2:4" x14ac:dyDescent="0.3">
      <c r="B25" s="5" t="s">
        <v>11</v>
      </c>
      <c r="C25" s="26">
        <v>0</v>
      </c>
      <c r="D25" s="11"/>
    </row>
    <row r="26" spans="2:4" x14ac:dyDescent="0.3">
      <c r="B26" s="1" t="s">
        <v>7</v>
      </c>
      <c r="C26" s="26">
        <v>303</v>
      </c>
      <c r="D26" s="28"/>
    </row>
    <row r="27" spans="2:4" x14ac:dyDescent="0.3">
      <c r="B27" s="3" t="s">
        <v>8</v>
      </c>
      <c r="C27" s="8">
        <f>SUM(C22:C26)</f>
        <v>3688</v>
      </c>
      <c r="D27" s="4">
        <f>SUM(D22:D26)</f>
        <v>0</v>
      </c>
    </row>
    <row r="29" spans="2:4" x14ac:dyDescent="0.3">
      <c r="B29" s="30" t="s">
        <v>29</v>
      </c>
      <c r="C29" s="30"/>
      <c r="D29" s="30"/>
    </row>
    <row r="30" spans="2:4" x14ac:dyDescent="0.3">
      <c r="B30" s="2" t="s">
        <v>1</v>
      </c>
      <c r="C30" s="2" t="s">
        <v>2</v>
      </c>
      <c r="D30" s="2" t="s">
        <v>3</v>
      </c>
    </row>
    <row r="31" spans="2:4" x14ac:dyDescent="0.3">
      <c r="B31" s="9" t="s">
        <v>4</v>
      </c>
      <c r="C31" s="26">
        <v>2</v>
      </c>
      <c r="D31" s="28"/>
    </row>
    <row r="32" spans="2:4" x14ac:dyDescent="0.3">
      <c r="B32" s="1" t="s">
        <v>7</v>
      </c>
      <c r="C32" s="26">
        <v>64</v>
      </c>
      <c r="D32" s="29"/>
    </row>
    <row r="33" spans="2:4" x14ac:dyDescent="0.3">
      <c r="B33" s="3" t="s">
        <v>8</v>
      </c>
      <c r="C33" s="8">
        <f>SUM(C31:C32)</f>
        <v>66</v>
      </c>
      <c r="D33" s="4">
        <f>SUM(D31:D32)</f>
        <v>0</v>
      </c>
    </row>
    <row r="35" spans="2:4" x14ac:dyDescent="0.3">
      <c r="B35" s="30" t="s">
        <v>34</v>
      </c>
      <c r="C35" s="30"/>
      <c r="D35" s="30"/>
    </row>
    <row r="36" spans="2:4" x14ac:dyDescent="0.3">
      <c r="B36" s="2" t="s">
        <v>1</v>
      </c>
      <c r="C36" s="2" t="s">
        <v>2</v>
      </c>
      <c r="D36" s="2" t="s">
        <v>3</v>
      </c>
    </row>
    <row r="37" spans="2:4" x14ac:dyDescent="0.3">
      <c r="B37" s="9" t="s">
        <v>4</v>
      </c>
      <c r="C37" s="26">
        <v>2</v>
      </c>
      <c r="D37" s="28"/>
    </row>
    <row r="38" spans="2:4" x14ac:dyDescent="0.3">
      <c r="B38" s="1" t="s">
        <v>5</v>
      </c>
      <c r="C38" s="11">
        <v>0</v>
      </c>
      <c r="D38" s="25"/>
    </row>
    <row r="39" spans="2:4" x14ac:dyDescent="0.3">
      <c r="B39" s="1" t="s">
        <v>6</v>
      </c>
      <c r="C39" s="26">
        <v>1</v>
      </c>
      <c r="D39" s="25"/>
    </row>
    <row r="40" spans="2:4" x14ac:dyDescent="0.3">
      <c r="B40" s="1" t="s">
        <v>7</v>
      </c>
      <c r="C40" s="26">
        <v>330</v>
      </c>
      <c r="D40" s="28"/>
    </row>
    <row r="41" spans="2:4" x14ac:dyDescent="0.3">
      <c r="B41" s="3" t="s">
        <v>8</v>
      </c>
      <c r="C41" s="8">
        <f>SUM(C37:C40)</f>
        <v>333</v>
      </c>
      <c r="D41" s="4">
        <f>SUM(D37:D40)</f>
        <v>0</v>
      </c>
    </row>
    <row r="43" spans="2:4" x14ac:dyDescent="0.3">
      <c r="B43" s="31" t="s">
        <v>9</v>
      </c>
      <c r="C43" s="31"/>
      <c r="D43" s="31"/>
    </row>
    <row r="44" spans="2:4" x14ac:dyDescent="0.3">
      <c r="B44" s="4" t="s">
        <v>1</v>
      </c>
      <c r="C44" s="4" t="s">
        <v>2</v>
      </c>
      <c r="D44" s="4" t="s">
        <v>3</v>
      </c>
    </row>
    <row r="45" spans="2:4" x14ac:dyDescent="0.3">
      <c r="B45" s="9" t="s">
        <v>4</v>
      </c>
      <c r="C45" s="26">
        <v>2</v>
      </c>
      <c r="D45" s="25"/>
    </row>
    <row r="46" spans="2:4" x14ac:dyDescent="0.3">
      <c r="B46" s="9" t="s">
        <v>5</v>
      </c>
      <c r="C46" s="26">
        <v>1</v>
      </c>
      <c r="D46" s="25"/>
    </row>
    <row r="47" spans="2:4" x14ac:dyDescent="0.3">
      <c r="B47" s="9" t="s">
        <v>7</v>
      </c>
      <c r="C47" s="26">
        <v>176</v>
      </c>
      <c r="D47" s="28"/>
    </row>
    <row r="48" spans="2:4" x14ac:dyDescent="0.3">
      <c r="B48" s="10" t="s">
        <v>8</v>
      </c>
      <c r="C48" s="8">
        <f>SUM(C45:C47)</f>
        <v>179</v>
      </c>
      <c r="D48" s="4">
        <f>SUM(D45:D47)</f>
        <v>0</v>
      </c>
    </row>
    <row r="50" spans="2:4" x14ac:dyDescent="0.3">
      <c r="B50" s="12" t="s">
        <v>12</v>
      </c>
      <c r="C50" s="13">
        <f>SUMIF(B:B, "Total general", C:C)</f>
        <v>41599</v>
      </c>
      <c r="D50" s="13">
        <f>SUMIF(B:B, "Total general", D:D)</f>
        <v>0</v>
      </c>
    </row>
  </sheetData>
  <mergeCells count="7">
    <mergeCell ref="B43:D43"/>
    <mergeCell ref="B29:D29"/>
    <mergeCell ref="B12:D12"/>
    <mergeCell ref="B35:D35"/>
    <mergeCell ref="B1:D1"/>
    <mergeCell ref="B3:D3"/>
    <mergeCell ref="B20:D20"/>
  </mergeCells>
  <pageMargins left="0.7" right="0.7" top="0.75" bottom="0.75" header="0.3" footer="0.3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zoomScaleNormal="100" workbookViewId="0">
      <selection activeCell="B1" sqref="B1:D8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1" spans="2:6" x14ac:dyDescent="0.3">
      <c r="B1" s="30" t="s">
        <v>36</v>
      </c>
      <c r="C1" s="30"/>
      <c r="D1" s="30"/>
    </row>
    <row r="2" spans="2:6" x14ac:dyDescent="0.3">
      <c r="B2" s="2" t="s">
        <v>1</v>
      </c>
      <c r="C2" s="2" t="s">
        <v>2</v>
      </c>
      <c r="D2" s="2" t="s">
        <v>3</v>
      </c>
    </row>
    <row r="3" spans="2:6" x14ac:dyDescent="0.3">
      <c r="B3" s="1" t="s">
        <v>4</v>
      </c>
      <c r="C3" s="6">
        <f>SUMIF('CDC-OLGUIN'!B:B, "Extrajudicial - 0 a 28 semanas de atraso", 'CDC-OLGUIN'!C:C)</f>
        <v>12863</v>
      </c>
      <c r="D3" s="14">
        <f>SUMIF('CDC-OLGUIN'!B:B, "Extrajudicial - 0 a 28 semanas de atraso", 'CDC-OLGUIN'!D:D)</f>
        <v>0</v>
      </c>
    </row>
    <row r="4" spans="2:6" x14ac:dyDescent="0.3">
      <c r="B4" s="1" t="s">
        <v>5</v>
      </c>
      <c r="C4" s="6">
        <f>SUMIF('CDC-OLGUIN'!B:B, "Extrajudicial - 29 a 39 semanas de atraso", 'CDC-OLGUIN'!C:C)</f>
        <v>9516</v>
      </c>
      <c r="D4" s="14">
        <f>SUMIF('CDC-OLGUIN'!B:B, "Extrajudicial - 29 a 39 semanas de atraso", 'CDC-OLGUIN'!D:D)</f>
        <v>0</v>
      </c>
    </row>
    <row r="5" spans="2:6" x14ac:dyDescent="0.3">
      <c r="B5" s="1" t="s">
        <v>6</v>
      </c>
      <c r="C5" s="6">
        <f>SUMIF('CDC-OLGUIN'!B:B, "Extrajudicial - 40 a 55 semanas de atraso", 'CDC-OLGUIN'!C:C)</f>
        <v>12668</v>
      </c>
      <c r="D5" s="14">
        <f>SUMIF('CDC-OLGUIN'!B:B, "Extrajudicial - 40 a 55 semanas de atraso", 'CDC-OLGUIN'!D:D)</f>
        <v>0</v>
      </c>
    </row>
    <row r="6" spans="2:6" x14ac:dyDescent="0.3">
      <c r="B6" s="5" t="s">
        <v>11</v>
      </c>
      <c r="C6" s="6">
        <f>SUMIF('CDC-OLGUIN'!B:B, "JUDICIAL", 'CDC-OLGUIN'!C:C)</f>
        <v>2738</v>
      </c>
      <c r="D6" s="14">
        <f>SUMIF('CDC-OLGUIN'!B:B, "JUDICIAL", 'CDC-OLGUIN'!D:D)</f>
        <v>0</v>
      </c>
    </row>
    <row r="7" spans="2:6" x14ac:dyDescent="0.3">
      <c r="B7" s="1" t="s">
        <v>7</v>
      </c>
      <c r="C7" s="6">
        <f>SUMIF('CDC-OLGUIN'!B:B, "Mas 55 semanas de atraso", 'CDC-OLGUIN'!C:C)</f>
        <v>3814</v>
      </c>
      <c r="D7" s="6">
        <f>SUMIF('CDC-OLGUIN'!B:B, "Mas 55 semanas de atraso", 'CDC-OLGUIN'!D:D)</f>
        <v>0</v>
      </c>
      <c r="E7" s="14"/>
      <c r="F7" s="7"/>
    </row>
    <row r="8" spans="2:6" x14ac:dyDescent="0.3">
      <c r="B8" s="3" t="s">
        <v>8</v>
      </c>
      <c r="C8" s="8">
        <f>SUM(C3:C7)</f>
        <v>41599</v>
      </c>
      <c r="D8" s="4">
        <f>SUM(D3:D7)</f>
        <v>0</v>
      </c>
      <c r="E8" s="11" t="s">
        <v>13</v>
      </c>
    </row>
  </sheetData>
  <mergeCells count="1">
    <mergeCell ref="B1:D1"/>
  </mergeCells>
  <pageMargins left="0.7" right="0.7" top="0.75" bottom="0.75" header="0.3" footer="0.3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sheetPr codeName="Hoja4"/>
  <dimension ref="B2:L14"/>
  <sheetViews>
    <sheetView showGridLines="0" zoomScale="145" zoomScaleNormal="145" workbookViewId="0">
      <selection activeCell="B2" sqref="B2"/>
    </sheetView>
  </sheetViews>
  <sheetFormatPr baseColWidth="10" defaultRowHeight="14.4" x14ac:dyDescent="0.3"/>
  <cols>
    <col min="2" max="2" width="19.88671875" customWidth="1"/>
    <col min="3" max="3" width="36.6640625" bestFit="1" customWidth="1"/>
    <col min="4" max="4" width="9" bestFit="1" customWidth="1"/>
    <col min="5" max="5" width="15.109375" bestFit="1" customWidth="1"/>
    <col min="6" max="6" width="12.33203125" bestFit="1" customWidth="1"/>
    <col min="7" max="7" width="11.88671875" bestFit="1" customWidth="1"/>
    <col min="8" max="8" width="7.33203125" bestFit="1" customWidth="1"/>
    <col min="9" max="9" width="5" bestFit="1" customWidth="1"/>
    <col min="10" max="10" width="9.5546875" bestFit="1" customWidth="1"/>
    <col min="11" max="11" width="8.33203125" bestFit="1" customWidth="1"/>
    <col min="12" max="12" width="15.6640625" bestFit="1" customWidth="1"/>
  </cols>
  <sheetData>
    <row r="2" spans="2:12" ht="15.6" x14ac:dyDescent="0.3">
      <c r="B2" s="18" t="s">
        <v>20</v>
      </c>
    </row>
    <row r="3" spans="2:12" x14ac:dyDescent="0.3">
      <c r="B3" s="17" t="s">
        <v>33</v>
      </c>
    </row>
    <row r="5" spans="2:12" x14ac:dyDescent="0.3">
      <c r="B5" t="s">
        <v>26</v>
      </c>
      <c r="C5" t="s">
        <v>27</v>
      </c>
      <c r="D5" s="17" t="s">
        <v>14</v>
      </c>
      <c r="E5" s="17" t="s">
        <v>25</v>
      </c>
      <c r="F5" s="17" t="s">
        <v>18</v>
      </c>
      <c r="G5" s="17" t="s">
        <v>19</v>
      </c>
      <c r="H5" s="17" t="s">
        <v>21</v>
      </c>
      <c r="I5" s="17" t="s">
        <v>15</v>
      </c>
      <c r="J5" s="17" t="s">
        <v>17</v>
      </c>
      <c r="K5" s="17" t="s">
        <v>22</v>
      </c>
      <c r="L5" s="15"/>
    </row>
    <row r="6" spans="2:12" x14ac:dyDescent="0.3">
      <c r="B6" s="16" t="s">
        <v>31</v>
      </c>
      <c r="C6" s="16" t="s">
        <v>4</v>
      </c>
      <c r="D6" s="23">
        <f>SUMIF('REPORTE DIARIO'!B:B,'EPR 26 JUN'!C6, 'REPORTE DIARIO'!C:C)</f>
        <v>13696</v>
      </c>
      <c r="E6" s="16">
        <f>SUMIF('REPORTE DIARIO'!B:B,'EPR 26 JUN'!C6, 'REPORTE DIARIO'!D:D)</f>
        <v>917049.76</v>
      </c>
      <c r="F6" s="16">
        <f>J6*D6</f>
        <v>860891.42857142852</v>
      </c>
      <c r="G6" s="16">
        <f>+E6-F6</f>
        <v>56158.331428571488</v>
      </c>
      <c r="H6" s="15">
        <f>ABS(G6/F6)</f>
        <v>6.5232768691588852E-2</v>
      </c>
      <c r="I6" s="16">
        <f>E6/D6</f>
        <v>66.957488317757011</v>
      </c>
      <c r="J6" s="16">
        <f>(220/7)*2</f>
        <v>62.857142857142854</v>
      </c>
      <c r="K6" s="16">
        <f>+I6-J6</f>
        <v>4.1003454606141574</v>
      </c>
      <c r="L6" s="15"/>
    </row>
    <row r="7" spans="2:12" x14ac:dyDescent="0.3">
      <c r="B7" s="16" t="s">
        <v>28</v>
      </c>
      <c r="C7" s="16" t="s">
        <v>5</v>
      </c>
      <c r="D7" s="23">
        <f>SUMIF('REPORTE DIARIO'!B:B,'EPR 26 JUN'!C7, 'REPORTE DIARIO'!C:C)</f>
        <v>9316</v>
      </c>
      <c r="E7" s="16">
        <f>SUMIF('REPORTE DIARIO'!B:B,'EPR 26 JUN'!C7, 'REPORTE DIARIO'!D:D)</f>
        <v>323617.68999999994</v>
      </c>
      <c r="F7" s="16">
        <f>J7*D7</f>
        <v>292788.57142857142</v>
      </c>
      <c r="G7" s="16">
        <f>+E7-F7</f>
        <v>30829.118571428524</v>
      </c>
      <c r="H7" s="15">
        <f>ABS(G7/F7)</f>
        <v>0.10529481537140388</v>
      </c>
      <c r="I7" s="16">
        <f>E7/D7</f>
        <v>34.737837054529834</v>
      </c>
      <c r="J7" s="16">
        <f>(110/7)*2</f>
        <v>31.428571428571427</v>
      </c>
      <c r="K7" s="16">
        <f t="shared" ref="K7:K9" si="0">+I7-J7</f>
        <v>3.3092656259584068</v>
      </c>
      <c r="L7" s="15"/>
    </row>
    <row r="8" spans="2:12" x14ac:dyDescent="0.3">
      <c r="B8" s="16" t="s">
        <v>28</v>
      </c>
      <c r="C8" s="16" t="s">
        <v>6</v>
      </c>
      <c r="D8" s="23">
        <f>SUMIF('REPORTE DIARIO'!B:B,'EPR 26 JUN'!C8, 'REPORTE DIARIO'!C:C)</f>
        <v>16427</v>
      </c>
      <c r="E8" s="16">
        <f>SUMIF('REPORTE DIARIO'!B:B,'EPR 26 JUN'!C8, 'REPORTE DIARIO'!D:D)</f>
        <v>241662.47000000003</v>
      </c>
      <c r="F8" s="16">
        <f>J8*D8</f>
        <v>211204.28571428571</v>
      </c>
      <c r="G8" s="16">
        <f>+E8-F8</f>
        <v>30458.18428571432</v>
      </c>
      <c r="H8" s="15">
        <f>ABS(G8/F8)</f>
        <v>0.1442119613373648</v>
      </c>
      <c r="I8" s="16">
        <f>E8/D8</f>
        <v>14.711296645766119</v>
      </c>
      <c r="J8" s="16">
        <f>(45/7)*2</f>
        <v>12.857142857142858</v>
      </c>
      <c r="K8" s="16">
        <f t="shared" si="0"/>
        <v>1.8541537886232611</v>
      </c>
      <c r="L8" s="15"/>
    </row>
    <row r="9" spans="2:12" x14ac:dyDescent="0.3">
      <c r="B9" s="16" t="s">
        <v>32</v>
      </c>
      <c r="C9" s="16" t="s">
        <v>7</v>
      </c>
      <c r="D9" s="23">
        <f>SUMIF('REPORTE DIARIO'!B:B,'EPR 26 JUN'!C9, 'REPORTE DIARIO'!C:C)</f>
        <v>57159</v>
      </c>
      <c r="E9" s="16">
        <f>SUMIF('REPORTE DIARIO'!B:B,'EPR 26 JUN'!C9, 'REPORTE DIARIO'!D:D)</f>
        <v>393520.55000000005</v>
      </c>
      <c r="F9" s="16">
        <f>J9*D9</f>
        <v>244967.14285714284</v>
      </c>
      <c r="G9" s="16">
        <f>+E9-F9</f>
        <v>148553.40714285721</v>
      </c>
      <c r="H9" s="15">
        <f>ABS(G9/F9)</f>
        <v>0.60642176501804934</v>
      </c>
      <c r="I9" s="16">
        <f>E9/D9</f>
        <v>6.8846647072202112</v>
      </c>
      <c r="J9" s="16">
        <f>(15/7)*2</f>
        <v>4.2857142857142856</v>
      </c>
      <c r="K9" s="16">
        <f t="shared" si="0"/>
        <v>2.5989504215059256</v>
      </c>
    </row>
    <row r="10" spans="2:12" x14ac:dyDescent="0.3">
      <c r="B10" s="16"/>
      <c r="C10" s="19" t="s">
        <v>16</v>
      </c>
      <c r="D10" s="24">
        <f>SUM(D6:D9)</f>
        <v>96598</v>
      </c>
      <c r="E10" s="20">
        <f>SUM(E6:E9)</f>
        <v>1875850.47</v>
      </c>
      <c r="F10" s="20">
        <f>SUM(F6:F9)</f>
        <v>1609851.4285714286</v>
      </c>
      <c r="G10" s="20">
        <f>+E10-F10</f>
        <v>265999.04142857133</v>
      </c>
      <c r="H10" s="21">
        <f>ABS(G10/F10)</f>
        <v>0.16523204359585972</v>
      </c>
      <c r="I10" s="20">
        <f>E10/D10</f>
        <v>19.419143978136194</v>
      </c>
      <c r="J10" s="20">
        <f>F10/D10</f>
        <v>16.665473701023092</v>
      </c>
      <c r="K10" s="20">
        <f>I10-J10</f>
        <v>2.7536702771131019</v>
      </c>
    </row>
    <row r="12" spans="2:12" x14ac:dyDescent="0.3">
      <c r="B12" s="22" t="s">
        <v>23</v>
      </c>
      <c r="I12" s="14"/>
    </row>
    <row r="13" spans="2:12" x14ac:dyDescent="0.3">
      <c r="B13" t="s">
        <v>24</v>
      </c>
    </row>
    <row r="14" spans="2:12" x14ac:dyDescent="0.3">
      <c r="B14" t="s">
        <v>30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Emmanuel Lara Hernández</cp:lastModifiedBy>
  <cp:lastPrinted>2025-11-08T15:22:32Z</cp:lastPrinted>
  <dcterms:created xsi:type="dcterms:W3CDTF">2025-01-27T15:11:28Z</dcterms:created>
  <dcterms:modified xsi:type="dcterms:W3CDTF">2025-11-08T15:23:40Z</dcterms:modified>
</cp:coreProperties>
</file>