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5\04 NOV\NOCHE\"/>
    </mc:Choice>
  </mc:AlternateContent>
  <xr:revisionPtr revIDLastSave="0" documentId="13_ncr:1_{021BFC0C-2543-4299-8813-EDDEEF141276}" xr6:coauthVersionLast="47" xr6:coauthVersionMax="47" xr10:uidLastSave="{00000000-0000-0000-0000-000000000000}"/>
  <bookViews>
    <workbookView xWindow="5400" yWindow="5520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3" i="5" l="1"/>
  <c r="D18" i="1"/>
  <c r="D48" i="5"/>
  <c r="C18" i="1"/>
  <c r="C34" i="1"/>
  <c r="D34" i="1"/>
  <c r="C48" i="5"/>
  <c r="D40" i="5"/>
  <c r="C40" i="5"/>
  <c r="D27" i="5"/>
  <c r="C27" i="5"/>
  <c r="C42" i="1"/>
  <c r="D42" i="1"/>
  <c r="C26" i="1"/>
  <c r="D18" i="5"/>
  <c r="C18" i="5"/>
  <c r="D10" i="5"/>
  <c r="D33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26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<sst xmlns="http://schemas.openxmlformats.org/spreadsheetml/2006/main" count="139" uniqueCount="37">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</sst>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B3" sqref="B3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0" t="s">
        <v>0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8892</v>
      </c>
      <c r="D5" s="28">
        <v>172204.88</v>
      </c>
    </row>
    <row r="6" spans="2:8" x14ac:dyDescent="0.25">
      <c r="B6" s="1" t="s">
        <v>5</v>
      </c>
      <c r="C6" s="6">
        <v>5992</v>
      </c>
      <c r="D6" s="28">
        <v>70669.149999999994</v>
      </c>
    </row>
    <row r="7" spans="2:8" x14ac:dyDescent="0.25">
      <c r="B7" s="1" t="s">
        <v>6</v>
      </c>
      <c r="C7" s="6">
        <v>7694</v>
      </c>
      <c r="D7" s="28">
        <v>61027.49</v>
      </c>
    </row>
    <row r="8" spans="2:8" x14ac:dyDescent="0.25">
      <c r="B8" s="5" t="s">
        <v>11</v>
      </c>
      <c r="C8" s="7">
        <v>514</v>
      </c>
      <c r="D8" s="29">
        <v>0</v>
      </c>
    </row>
    <row r="9" spans="2:8" x14ac:dyDescent="0.25">
      <c r="B9" s="1" t="s">
        <v>7</v>
      </c>
      <c r="C9" s="6">
        <v>37030</v>
      </c>
      <c r="D9" s="28">
        <v>139914.35999999999</v>
      </c>
      <c r="E9" s="14"/>
      <c r="F9" s="7"/>
    </row>
    <row r="10" spans="2:8" x14ac:dyDescent="0.25">
      <c r="B10" s="3" t="s">
        <v>8</v>
      </c>
      <c r="C10" s="8">
        <f>SUM(C5:C9)</f>
        <v>60122</v>
      </c>
      <c r="D10" s="4">
        <f>SUM(D5:D9)</f>
        <v>443815.88</v>
      </c>
      <c r="E10" s="11" t="s">
        <v>13</v>
      </c>
    </row>
    <row r="12" spans="2:8" x14ac:dyDescent="0.25">
      <c r="B12" s="30" t="s">
        <v>34</v>
      </c>
      <c r="C12" s="30"/>
      <c r="D12" s="30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>
        <v>94</v>
      </c>
      <c r="D14" s="28">
        <v>58368.160000000003</v>
      </c>
    </row>
    <row r="15" spans="2:8" x14ac:dyDescent="0.25">
      <c r="B15" s="1" t="s">
        <v>5</v>
      </c>
      <c r="C15" s="6">
        <v>181</v>
      </c>
      <c r="D15" s="28">
        <v>23638.090000000004</v>
      </c>
    </row>
    <row r="16" spans="2:8" x14ac:dyDescent="0.25">
      <c r="B16" s="1" t="s">
        <v>6</v>
      </c>
      <c r="C16" s="6">
        <v>1327</v>
      </c>
      <c r="D16" s="28">
        <v>26748</v>
      </c>
    </row>
    <row r="17" spans="2:4" x14ac:dyDescent="0.25">
      <c r="B17" s="1" t="s">
        <v>7</v>
      </c>
      <c r="C17" s="7">
        <v>14535</v>
      </c>
      <c r="D17" s="28">
        <v>15787</v>
      </c>
    </row>
    <row r="18" spans="2:4" x14ac:dyDescent="0.25">
      <c r="B18" s="3" t="s">
        <v>8</v>
      </c>
      <c r="C18" s="8">
        <f>SUM(C14:C17)</f>
        <v>16137</v>
      </c>
      <c r="D18" s="4">
        <f>SUM(D14:D17)</f>
        <v>124541.25</v>
      </c>
    </row>
    <row r="20" spans="2:4" x14ac:dyDescent="0.25">
      <c r="B20" s="31" t="s">
        <v>9</v>
      </c>
      <c r="C20" s="31"/>
      <c r="D20" s="31"/>
    </row>
    <row r="21" spans="2:4" x14ac:dyDescent="0.25">
      <c r="B21" s="4" t="s">
        <v>1</v>
      </c>
      <c r="C21" s="4" t="s">
        <v>2</v>
      </c>
      <c r="D21" s="4" t="s">
        <v>3</v>
      </c>
    </row>
    <row r="22" spans="2:4" x14ac:dyDescent="0.25">
      <c r="B22" s="9" t="s">
        <v>4</v>
      </c>
      <c r="C22" s="6">
        <v>600</v>
      </c>
      <c r="D22" s="28">
        <v>25097.29</v>
      </c>
    </row>
    <row r="23" spans="2:4" x14ac:dyDescent="0.25">
      <c r="B23" s="9" t="s">
        <v>5</v>
      </c>
      <c r="C23" s="6">
        <v>1689</v>
      </c>
      <c r="D23" s="28">
        <v>9127.44</v>
      </c>
    </row>
    <row r="24" spans="2:4" x14ac:dyDescent="0.25">
      <c r="B24" s="9" t="s">
        <v>6</v>
      </c>
      <c r="C24" s="6">
        <v>2807</v>
      </c>
      <c r="D24" s="28">
        <v>18534</v>
      </c>
    </row>
    <row r="25" spans="2:4" x14ac:dyDescent="0.25">
      <c r="B25" s="9" t="s">
        <v>7</v>
      </c>
      <c r="C25" s="6">
        <v>3923</v>
      </c>
      <c r="D25" s="28">
        <v>22946.14</v>
      </c>
    </row>
    <row r="26" spans="2:4" x14ac:dyDescent="0.25">
      <c r="B26" s="10" t="s">
        <v>8</v>
      </c>
      <c r="C26" s="8">
        <f>SUM(C22:C25)</f>
        <v>9019</v>
      </c>
      <c r="D26" s="4">
        <f>SUM(D22:D25)</f>
        <v>75704.87</v>
      </c>
    </row>
    <row r="28" spans="2:4" x14ac:dyDescent="0.25">
      <c r="B28" s="31" t="s">
        <v>10</v>
      </c>
      <c r="C28" s="31"/>
      <c r="D28" s="31"/>
    </row>
    <row r="29" spans="2:4" x14ac:dyDescent="0.25">
      <c r="B29" s="4" t="s">
        <v>1</v>
      </c>
      <c r="C29" s="4" t="s">
        <v>2</v>
      </c>
      <c r="D29" s="4" t="s">
        <v>3</v>
      </c>
    </row>
    <row r="30" spans="2:4" x14ac:dyDescent="0.25">
      <c r="B30" s="9" t="s">
        <v>4</v>
      </c>
      <c r="C30" s="6">
        <v>4924</v>
      </c>
      <c r="D30" s="28">
        <v>30143</v>
      </c>
    </row>
    <row r="31" spans="2:4" x14ac:dyDescent="0.25">
      <c r="B31" s="1" t="s">
        <v>5</v>
      </c>
      <c r="C31" s="6">
        <v>993</v>
      </c>
      <c r="D31" s="28">
        <v>4370</v>
      </c>
    </row>
    <row r="32" spans="2:4" x14ac:dyDescent="0.25">
      <c r="B32" s="1" t="s">
        <v>6</v>
      </c>
      <c r="C32" s="6">
        <v>3619</v>
      </c>
      <c r="D32" s="28">
        <v>3130</v>
      </c>
    </row>
    <row r="33" spans="2:4" x14ac:dyDescent="0.25">
      <c r="B33" s="1" t="s">
        <v>7</v>
      </c>
      <c r="C33" s="6">
        <v>1028</v>
      </c>
      <c r="D33" s="28">
        <v>10300</v>
      </c>
    </row>
    <row r="34" spans="2:4" x14ac:dyDescent="0.25">
      <c r="B34" s="10" t="s">
        <v>8</v>
      </c>
      <c r="C34" s="8">
        <f>SUM(C30:C33)</f>
        <v>10564</v>
      </c>
      <c r="D34" s="4">
        <f>SUM(D30:D33)</f>
        <v>47943</v>
      </c>
    </row>
    <row r="36" spans="2:4" x14ac:dyDescent="0.25">
      <c r="B36" s="30" t="s">
        <v>29</v>
      </c>
      <c r="C36" s="30"/>
      <c r="D36" s="30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6">
        <v>15</v>
      </c>
      <c r="D38" s="28">
        <v>1507</v>
      </c>
    </row>
    <row r="39" spans="2:4" x14ac:dyDescent="0.25">
      <c r="B39" s="1" t="s">
        <v>5</v>
      </c>
      <c r="C39" s="6">
        <v>20</v>
      </c>
      <c r="D39" s="29">
        <v>0</v>
      </c>
    </row>
    <row r="40" spans="2:4" x14ac:dyDescent="0.25">
      <c r="B40" s="1" t="s">
        <v>6</v>
      </c>
      <c r="C40" s="6">
        <v>4</v>
      </c>
      <c r="D40" s="29">
        <v>0</v>
      </c>
    </row>
    <row r="41" spans="2:4" x14ac:dyDescent="0.25">
      <c r="B41" s="1" t="s">
        <v>7</v>
      </c>
      <c r="C41" s="6">
        <v>695</v>
      </c>
      <c r="D41" s="28">
        <v>4982</v>
      </c>
    </row>
    <row r="42" spans="2:4" x14ac:dyDescent="0.25">
      <c r="B42" s="3" t="s">
        <v>8</v>
      </c>
      <c r="C42" s="8">
        <f>SUM(C38:C41)</f>
        <v>734</v>
      </c>
      <c r="D42" s="4">
        <f>SUM(D38:D41)</f>
        <v>6489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12</v>
      </c>
      <c r="C50" s="13">
        <f>SUMIF(B:B, "Total general", C:C)</f>
        <v>96576</v>
      </c>
      <c r="D50" s="13">
        <f>SUMIF(B:B, "Total general", D:D)</f>
        <v>698494</v>
      </c>
    </row>
  </sheetData>
  <mergeCells count="5">
    <mergeCell ref="B3:D3"/>
    <mergeCell ref="B20:D20"/>
    <mergeCell ref="B28:D28"/>
    <mergeCell ref="B12:D12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zoomScaleNormal="100" workbookViewId="0">
      <selection activeCell="C46" sqref="C4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0" t="s">
        <v>36</v>
      </c>
      <c r="C1" s="30"/>
      <c r="D1" s="30"/>
    </row>
    <row r="3" spans="2:8" x14ac:dyDescent="0.25">
      <c r="B3" s="30" t="s">
        <v>35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7416</v>
      </c>
      <c r="D5" s="28">
        <v>85942.74</v>
      </c>
      <c r="E5" s="11"/>
    </row>
    <row r="6" spans="2:8" x14ac:dyDescent="0.25">
      <c r="B6" s="1" t="s">
        <v>5</v>
      </c>
      <c r="C6" s="27">
        <v>7293</v>
      </c>
      <c r="D6" s="28">
        <v>33981</v>
      </c>
    </row>
    <row r="7" spans="2:8" x14ac:dyDescent="0.25">
      <c r="B7" s="1" t="s">
        <v>6</v>
      </c>
      <c r="C7" s="27">
        <v>7621</v>
      </c>
      <c r="D7" s="28">
        <v>35387.18</v>
      </c>
    </row>
    <row r="8" spans="2:8" x14ac:dyDescent="0.25">
      <c r="B8" s="5" t="s">
        <v>11</v>
      </c>
      <c r="C8" s="27">
        <v>2739</v>
      </c>
      <c r="D8" s="28">
        <v>1978</v>
      </c>
    </row>
    <row r="9" spans="2:8" x14ac:dyDescent="0.25">
      <c r="B9" s="1" t="s">
        <v>7</v>
      </c>
      <c r="C9" s="27">
        <v>2912</v>
      </c>
      <c r="D9" s="28">
        <v>3208</v>
      </c>
      <c r="E9" s="14"/>
      <c r="F9" s="7"/>
    </row>
    <row r="10" spans="2:8" x14ac:dyDescent="0.25">
      <c r="B10" s="3" t="s">
        <v>8</v>
      </c>
      <c r="C10" s="8">
        <f>SUM(C5:C9)</f>
        <v>27981</v>
      </c>
      <c r="D10" s="4">
        <f>SUM(D5:D9)</f>
        <v>160496.92000000001</v>
      </c>
      <c r="E10" s="11" t="s">
        <v>13</v>
      </c>
    </row>
    <row r="12" spans="2:8" x14ac:dyDescent="0.25">
      <c r="B12" s="31" t="s">
        <v>10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4909</v>
      </c>
      <c r="D14" s="28">
        <v>27764</v>
      </c>
    </row>
    <row r="15" spans="2:8" x14ac:dyDescent="0.25">
      <c r="B15" s="1" t="s">
        <v>5</v>
      </c>
      <c r="C15" s="26">
        <v>583</v>
      </c>
      <c r="D15" s="28">
        <v>3750</v>
      </c>
    </row>
    <row r="16" spans="2:8" x14ac:dyDescent="0.25">
      <c r="B16" s="1" t="s">
        <v>6</v>
      </c>
      <c r="C16" s="26">
        <v>3497</v>
      </c>
      <c r="D16" s="28">
        <v>3018</v>
      </c>
    </row>
    <row r="17" spans="2:4" x14ac:dyDescent="0.25">
      <c r="B17" s="9" t="s">
        <v>7</v>
      </c>
      <c r="C17" s="26">
        <v>27</v>
      </c>
      <c r="D17" s="28">
        <v>10300</v>
      </c>
    </row>
    <row r="18" spans="2:4" x14ac:dyDescent="0.25">
      <c r="B18" s="10" t="s">
        <v>8</v>
      </c>
      <c r="C18" s="8">
        <f>SUM(C14:C17)</f>
        <v>9016</v>
      </c>
      <c r="D18" s="4">
        <f>SUM(D14:D17)</f>
        <v>44832</v>
      </c>
    </row>
    <row r="20" spans="2:4" x14ac:dyDescent="0.25">
      <c r="B20" s="30" t="s">
        <v>0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 s="26">
        <v>1135</v>
      </c>
      <c r="D22" s="28">
        <v>10904</v>
      </c>
    </row>
    <row r="23" spans="2:4" x14ac:dyDescent="0.25">
      <c r="B23" s="1" t="s">
        <v>5</v>
      </c>
      <c r="C23" s="26">
        <v>992</v>
      </c>
      <c r="D23" s="28">
        <v>1020.15</v>
      </c>
    </row>
    <row r="24" spans="2:4" x14ac:dyDescent="0.25">
      <c r="B24" s="1" t="s">
        <v>6</v>
      </c>
      <c r="C24" s="26">
        <v>1009</v>
      </c>
      <c r="D24" s="28">
        <v>17288.39</v>
      </c>
    </row>
    <row r="25" spans="2:4" x14ac:dyDescent="0.25">
      <c r="B25" s="5" t="s">
        <v>11</v>
      </c>
      <c r="C25" s="26">
        <v>0</v>
      </c>
      <c r="D25" s="11">
        <v>0</v>
      </c>
    </row>
    <row r="26" spans="2:4" x14ac:dyDescent="0.25">
      <c r="B26" s="1" t="s">
        <v>7</v>
      </c>
      <c r="C26" s="26">
        <v>303</v>
      </c>
      <c r="D26" s="28">
        <v>2919</v>
      </c>
    </row>
    <row r="27" spans="2:4" x14ac:dyDescent="0.25">
      <c r="B27" s="3" t="s">
        <v>8</v>
      </c>
      <c r="C27" s="8">
        <f>SUM(C22:C26)</f>
        <v>3439</v>
      </c>
      <c r="D27" s="4">
        <f>SUM(D22:D26)</f>
        <v>32131.54</v>
      </c>
    </row>
    <row r="29" spans="2:4" x14ac:dyDescent="0.25">
      <c r="B29" s="30" t="s">
        <v>29</v>
      </c>
      <c r="C29" s="30"/>
      <c r="D29" s="30"/>
    </row>
    <row r="30" spans="2:4" x14ac:dyDescent="0.25">
      <c r="B30" s="2" t="s">
        <v>1</v>
      </c>
      <c r="C30" s="2" t="s">
        <v>2</v>
      </c>
      <c r="D30" s="2" t="s">
        <v>3</v>
      </c>
    </row>
    <row r="31" spans="2:4" x14ac:dyDescent="0.25">
      <c r="B31" s="9" t="s">
        <v>4</v>
      </c>
      <c r="C31" s="26">
        <v>2</v>
      </c>
      <c r="D31" s="28">
        <v>882</v>
      </c>
    </row>
    <row r="32" spans="2:4" x14ac:dyDescent="0.25">
      <c r="B32" s="1" t="s">
        <v>7</v>
      </c>
      <c r="C32" s="26">
        <v>64</v>
      </c>
      <c r="D32" s="29">
        <v>0</v>
      </c>
    </row>
    <row r="33" spans="2:4" x14ac:dyDescent="0.25">
      <c r="B33" s="3" t="s">
        <v>8</v>
      </c>
      <c r="C33" s="8">
        <f>SUM(C31:C32)</f>
        <v>66</v>
      </c>
      <c r="D33" s="4">
        <f>SUM(D31:D32)</f>
        <v>882</v>
      </c>
    </row>
    <row r="35" spans="2:4" x14ac:dyDescent="0.25">
      <c r="B35" s="31" t="s">
        <v>9</v>
      </c>
      <c r="C35" s="31"/>
      <c r="D35" s="31"/>
    </row>
    <row r="36" spans="2:4" x14ac:dyDescent="0.25">
      <c r="B36" s="4" t="s">
        <v>1</v>
      </c>
      <c r="C36" s="4" t="s">
        <v>2</v>
      </c>
      <c r="D36" s="4" t="s">
        <v>3</v>
      </c>
    </row>
    <row r="37" spans="2:4" x14ac:dyDescent="0.25">
      <c r="B37" s="9" t="s">
        <v>4</v>
      </c>
      <c r="C37" s="26">
        <v>2</v>
      </c>
      <c r="D37" s="25">
        <v>0</v>
      </c>
    </row>
    <row r="38" spans="2:4" x14ac:dyDescent="0.25">
      <c r="B38" s="9" t="s">
        <v>5</v>
      </c>
      <c r="C38" s="26">
        <v>1</v>
      </c>
      <c r="D38" s="25">
        <v>0</v>
      </c>
    </row>
    <row r="39" spans="2:4" x14ac:dyDescent="0.25">
      <c r="B39" s="9" t="s">
        <v>7</v>
      </c>
      <c r="C39" s="26">
        <v>176</v>
      </c>
      <c r="D39" s="25">
        <v>0</v>
      </c>
    </row>
    <row r="40" spans="2:4" x14ac:dyDescent="0.25">
      <c r="B40" s="10" t="s">
        <v>8</v>
      </c>
      <c r="C40" s="8">
        <f>SUM(C37:C39)</f>
        <v>179</v>
      </c>
      <c r="D40" s="4">
        <f>SUM(D37:D39)</f>
        <v>0</v>
      </c>
    </row>
    <row r="42" spans="2:4" x14ac:dyDescent="0.25">
      <c r="B42" s="30" t="s">
        <v>34</v>
      </c>
      <c r="C42" s="30"/>
      <c r="D42" s="30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26">
        <v>2</v>
      </c>
      <c r="D44" s="25">
        <v>0</v>
      </c>
    </row>
    <row r="45" spans="2:4" x14ac:dyDescent="0.25">
      <c r="B45" s="1" t="s">
        <v>5</v>
      </c>
      <c r="C45" s="11">
        <v>0</v>
      </c>
      <c r="D45" s="25">
        <v>0</v>
      </c>
    </row>
    <row r="46" spans="2:4" x14ac:dyDescent="0.25">
      <c r="B46" s="1" t="s">
        <v>6</v>
      </c>
      <c r="C46" s="26">
        <v>1</v>
      </c>
      <c r="D46" s="25">
        <v>0</v>
      </c>
    </row>
    <row r="47" spans="2:4" x14ac:dyDescent="0.25">
      <c r="B47" s="1" t="s">
        <v>7</v>
      </c>
      <c r="C47" s="26">
        <v>330</v>
      </c>
      <c r="D47" s="25">
        <v>0</v>
      </c>
    </row>
    <row r="48" spans="2:4" x14ac:dyDescent="0.25">
      <c r="B48" s="3" t="s">
        <v>8</v>
      </c>
      <c r="C48" s="8">
        <f>SUM(C44:C47)</f>
        <v>333</v>
      </c>
      <c r="D48" s="4">
        <f>SUM(D44:D47)</f>
        <v>0</v>
      </c>
    </row>
    <row r="50" spans="2:4" x14ac:dyDescent="0.25">
      <c r="B50" s="12" t="s">
        <v>12</v>
      </c>
      <c r="C50" s="13">
        <f>SUMIF(B:B, "Total general", C:C)</f>
        <v>41014</v>
      </c>
      <c r="D50" s="13">
        <f>SUMIF(B:B, "Total general", D:D)</f>
        <v>238342.46000000002</v>
      </c>
    </row>
  </sheetData>
  <mergeCells count="7">
    <mergeCell ref="B35:D35"/>
    <mergeCell ref="B29:D29"/>
    <mergeCell ref="B12:D12"/>
    <mergeCell ref="B42:D42"/>
    <mergeCell ref="B1:D1"/>
    <mergeCell ref="B3:D3"/>
    <mergeCell ref="B20:D20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0" t="s">
        <v>36</v>
      </c>
      <c r="C1" s="30"/>
      <c r="D1" s="30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13466</v>
      </c>
      <c r="D3" s="14">
        <f>SUMIF('CDC-OLGUIN'!B:B, "Extrajudicial - 0 a 28 semanas de atraso", 'CDC-OLGUIN'!D:D)</f>
        <v>125492.74</v>
      </c>
    </row>
    <row r="4" spans="2:6" x14ac:dyDescent="0.25">
      <c r="B4" s="1" t="s">
        <v>5</v>
      </c>
      <c r="C4" s="6">
        <f>SUMIF('CDC-OLGUIN'!B:B, "Extrajudicial - 29 a 39 semanas de atraso", 'CDC-OLGUIN'!C:C)</f>
        <v>8869</v>
      </c>
      <c r="D4" s="14">
        <f>SUMIF('CDC-OLGUIN'!B:B, "Extrajudicial - 29 a 39 semanas de atraso", 'CDC-OLGUIN'!D:D)</f>
        <v>38751.15</v>
      </c>
    </row>
    <row r="5" spans="2:6" x14ac:dyDescent="0.25">
      <c r="B5" s="1" t="s">
        <v>6</v>
      </c>
      <c r="C5" s="6">
        <f>SUMIF('CDC-OLGUIN'!B:B, "Extrajudicial - 40 a 55 semanas de atraso", 'CDC-OLGUIN'!C:C)</f>
        <v>12128</v>
      </c>
      <c r="D5" s="14">
        <f>SUMIF('CDC-OLGUIN'!B:B, "Extrajudicial - 40 a 55 semanas de atraso", 'CDC-OLGUIN'!D:D)</f>
        <v>55693.57</v>
      </c>
    </row>
    <row r="6" spans="2:6" x14ac:dyDescent="0.25">
      <c r="B6" s="5" t="s">
        <v>11</v>
      </c>
      <c r="C6" s="6">
        <f>SUMIF('CDC-OLGUIN'!B:B, "JUDICIAL", 'CDC-OLGUIN'!C:C)</f>
        <v>2739</v>
      </c>
      <c r="D6" s="14">
        <f>SUMIF('CDC-OLGUIN'!B:B, "JUDICIAL", 'CDC-OLGUIN'!D:D)</f>
        <v>1978</v>
      </c>
    </row>
    <row r="7" spans="2:6" x14ac:dyDescent="0.25">
      <c r="B7" s="1" t="s">
        <v>7</v>
      </c>
      <c r="C7" s="6">
        <f>SUMIF('CDC-OLGUIN'!B:B, "Mas 55 semanas de atraso", 'CDC-OLGUIN'!C:C)</f>
        <v>3812</v>
      </c>
      <c r="D7" s="6">
        <f>SUMIF('CDC-OLGUIN'!B:B, "Mas 55 semanas de atraso", 'CDC-OLGUIN'!D:D)</f>
        <v>16427</v>
      </c>
      <c r="E7" s="14"/>
      <c r="F7" s="7"/>
    </row>
    <row r="8" spans="2:6" x14ac:dyDescent="0.25">
      <c r="B8" s="3" t="s">
        <v>8</v>
      </c>
      <c r="C8" s="8">
        <f>SUM(C3:C7)</f>
        <v>41014</v>
      </c>
      <c r="D8" s="4">
        <f>SUM(D3:D7)</f>
        <v>238342.46000000002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14525</v>
      </c>
      <c r="E6" s="16">
        <f>SUMIF('REPORTE DIARIO'!B:B,'EPR 26 JUN'!C6, 'REPORTE DIARIO'!D:D)</f>
        <v>287320.33</v>
      </c>
      <c r="F6" s="16">
        <f>J6*D6</f>
        <v>913000</v>
      </c>
      <c r="G6" s="16">
        <f>+E6-F6</f>
        <v>-625679.66999999993</v>
      </c>
      <c r="H6" s="15">
        <f>ABS(G6/F6)</f>
        <v>0.68530084337349384</v>
      </c>
      <c r="I6" s="16">
        <f>E6/D6</f>
        <v>19.781089845094666</v>
      </c>
      <c r="J6" s="16">
        <f>(220/7)*2</f>
        <v>62.857142857142854</v>
      </c>
      <c r="K6" s="16">
        <f>+I6-J6</f>
        <v>-43.076053012048192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8875</v>
      </c>
      <c r="E7" s="16">
        <f>SUMIF('REPORTE DIARIO'!B:B,'EPR 26 JUN'!C7, 'REPORTE DIARIO'!D:D)</f>
        <v>107804.68</v>
      </c>
      <c r="F7" s="16">
        <f>J7*D7</f>
        <v>278928.57142857142</v>
      </c>
      <c r="G7" s="16">
        <f>+E7-F7</f>
        <v>-171123.89142857143</v>
      </c>
      <c r="H7" s="15">
        <f>ABS(G7/F7)</f>
        <v>0.61350434827144684</v>
      </c>
      <c r="I7" s="16">
        <f>E7/D7</f>
        <v>12.147006197183098</v>
      </c>
      <c r="J7" s="16">
        <f>(110/7)*2</f>
        <v>31.428571428571427</v>
      </c>
      <c r="K7" s="16">
        <f t="shared" ref="K7:K9" si="0">+I7-J7</f>
        <v>-19.281565231388328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15451</v>
      </c>
      <c r="E8" s="16">
        <f>SUMIF('REPORTE DIARIO'!B:B,'EPR 26 JUN'!C8, 'REPORTE DIARIO'!D:D)</f>
        <v>109439.48999999999</v>
      </c>
      <c r="F8" s="16">
        <f>J8*D8</f>
        <v>198655.71428571429</v>
      </c>
      <c r="G8" s="16">
        <f>+E8-F8</f>
        <v>-89216.224285714299</v>
      </c>
      <c r="H8" s="15">
        <f>ABS(G8/F8)</f>
        <v>0.44909971307143015</v>
      </c>
      <c r="I8" s="16">
        <f>E8/D8</f>
        <v>7.0830036890816119</v>
      </c>
      <c r="J8" s="16">
        <f>(45/7)*2</f>
        <v>12.857142857142858</v>
      </c>
      <c r="K8" s="16">
        <f t="shared" si="0"/>
        <v>-5.7741391680612457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57211</v>
      </c>
      <c r="E9" s="16">
        <f>SUMIF('REPORTE DIARIO'!B:B,'EPR 26 JUN'!C9, 'REPORTE DIARIO'!D:D)</f>
        <v>193929.5</v>
      </c>
      <c r="F9" s="16">
        <f>J9*D9</f>
        <v>245190</v>
      </c>
      <c r="G9" s="16">
        <f>+E9-F9</f>
        <v>-51260.5</v>
      </c>
      <c r="H9" s="15">
        <f>ABS(G9/F9)</f>
        <v>0.20906439903748114</v>
      </c>
      <c r="I9" s="16">
        <f>E9/D9</f>
        <v>3.3897240041250809</v>
      </c>
      <c r="J9" s="16">
        <f>(15/7)*2</f>
        <v>4.2857142857142856</v>
      </c>
      <c r="K9" s="16">
        <f t="shared" si="0"/>
        <v>-0.89599028158920468</v>
      </c>
    </row>
    <row r="10" spans="2:12" x14ac:dyDescent="0.25">
      <c r="B10" s="16"/>
      <c r="C10" s="19" t="s">
        <v>16</v>
      </c>
      <c r="D10" s="24">
        <f>SUM(D6:D9)</f>
        <v>96062</v>
      </c>
      <c r="E10" s="20">
        <f>SUM(E6:E9)</f>
        <v>698494</v>
      </c>
      <c r="F10" s="20">
        <f>SUM(F6:F9)</f>
        <v>1635774.2857142857</v>
      </c>
      <c r="G10" s="20">
        <f>+E10-F10</f>
        <v>-937280.28571428568</v>
      </c>
      <c r="H10" s="21">
        <f>ABS(G10/F10)</f>
        <v>0.57298876373093732</v>
      </c>
      <c r="I10" s="20">
        <f>E10/D10</f>
        <v>7.271283129645437</v>
      </c>
      <c r="J10" s="20">
        <f>F10/D10</f>
        <v>17.02831802080204</v>
      </c>
      <c r="K10" s="20">
        <f>I10-J10</f>
        <v>-9.7570348911566036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2025-11-05T01:59:23Z</cp:lastPrinted>
  <dcterms:created xsi:type="dcterms:W3CDTF">2025-01-27T15:11:28Z</dcterms:created>
  <dcterms:modified xsi:type="dcterms:W3CDTF">2025-11-05T02:05:00Z</dcterms:modified>
</cp:coreProperties>
</file>