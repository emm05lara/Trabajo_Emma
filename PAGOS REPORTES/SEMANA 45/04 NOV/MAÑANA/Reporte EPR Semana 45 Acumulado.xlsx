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4 NOV\MAÑANA\"/>
    </mc:Choice>
  </mc:AlternateContent>
  <xr:revisionPtr revIDLastSave="0" documentId="13_ncr:1_{9431C62C-3129-4BB0-8831-70CF8B9B1C4F}" xr6:coauthVersionLast="47" xr6:coauthVersionMax="47" xr10:uidLastSave="{00000000-0000-0000-0000-000000000000}"/>
  <bookViews>
    <workbookView xWindow="3330" yWindow="345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8" i="5" l="1"/>
  <c r="D18" i="1"/>
  <c r="D42" i="5"/>
  <c r="C18" i="1"/>
  <c r="C34" i="1"/>
  <c r="D34" i="1"/>
  <c r="C42" i="5"/>
  <c r="D34" i="5"/>
  <c r="C34" i="5"/>
  <c r="D27" i="5"/>
  <c r="C27" i="5"/>
  <c r="C42" i="1"/>
  <c r="D42" i="1"/>
  <c r="C26" i="1"/>
  <c r="D18" i="5"/>
  <c r="C18" i="5"/>
  <c r="D10" i="5"/>
  <c r="D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<sst xmlns="http://schemas.openxmlformats.org/spreadsheetml/2006/main" count="139" uniqueCount="37">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</sst>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8772</v>
      </c>
      <c r="D5" s="28">
        <v>113514.73000000001</v>
      </c>
    </row>
    <row r="6" spans="2:8" x14ac:dyDescent="0.25">
      <c r="B6" s="1" t="s">
        <v>5</v>
      </c>
      <c r="C6" s="6">
        <v>5778</v>
      </c>
      <c r="D6" s="28">
        <v>45714</v>
      </c>
    </row>
    <row r="7" spans="2:8" x14ac:dyDescent="0.25">
      <c r="B7" s="1" t="s">
        <v>6</v>
      </c>
      <c r="C7" s="6">
        <v>7757</v>
      </c>
      <c r="D7" s="28">
        <v>40841.39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37266</v>
      </c>
      <c r="D9" s="28">
        <v>91432.12</v>
      </c>
      <c r="E9" s="14"/>
      <c r="F9" s="7"/>
    </row>
    <row r="10" spans="2:8" x14ac:dyDescent="0.25">
      <c r="B10" s="3" t="s">
        <v>8</v>
      </c>
      <c r="C10" s="8">
        <f>SUM(C5:C9)</f>
        <v>60087</v>
      </c>
      <c r="D10" s="4">
        <f>SUM(D5:D9)</f>
        <v>291502.24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94</v>
      </c>
      <c r="D14" s="28">
        <v>13776</v>
      </c>
    </row>
    <row r="15" spans="2:8" x14ac:dyDescent="0.25">
      <c r="B15" s="1" t="s">
        <v>5</v>
      </c>
      <c r="C15" s="6">
        <v>185</v>
      </c>
      <c r="D15" s="28">
        <v>12046.48</v>
      </c>
    </row>
    <row r="16" spans="2:8" x14ac:dyDescent="0.25">
      <c r="B16" s="1" t="s">
        <v>6</v>
      </c>
      <c r="C16" s="6">
        <v>1072</v>
      </c>
      <c r="D16" s="28">
        <v>5744</v>
      </c>
    </row>
    <row r="17" spans="2:4" x14ac:dyDescent="0.25">
      <c r="B17" s="1" t="s">
        <v>7</v>
      </c>
      <c r="C17" s="7">
        <v>14800</v>
      </c>
      <c r="D17" s="28">
        <v>12768</v>
      </c>
    </row>
    <row r="18" spans="2:4" x14ac:dyDescent="0.25">
      <c r="B18" s="3" t="s">
        <v>8</v>
      </c>
      <c r="C18" s="8">
        <f>SUM(C14:C17)</f>
        <v>16151</v>
      </c>
      <c r="D18" s="4">
        <f>SUM(D14:D17)</f>
        <v>44334.479999999996</v>
      </c>
    </row>
    <row r="20" spans="2:4" x14ac:dyDescent="0.25">
      <c r="B20" s="31" t="s">
        <v>9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600</v>
      </c>
      <c r="D22" s="28">
        <v>14907.76</v>
      </c>
    </row>
    <row r="23" spans="2:4" x14ac:dyDescent="0.25">
      <c r="B23" s="9" t="s">
        <v>5</v>
      </c>
      <c r="C23" s="6">
        <v>1688</v>
      </c>
      <c r="D23" s="28">
        <v>4427</v>
      </c>
    </row>
    <row r="24" spans="2:4" x14ac:dyDescent="0.25">
      <c r="B24" s="9" t="s">
        <v>6</v>
      </c>
      <c r="C24" s="6">
        <v>2553</v>
      </c>
      <c r="D24" s="28">
        <v>6699</v>
      </c>
    </row>
    <row r="25" spans="2:4" x14ac:dyDescent="0.25">
      <c r="B25" s="9" t="s">
        <v>7</v>
      </c>
      <c r="C25" s="6">
        <v>3851</v>
      </c>
      <c r="D25" s="28">
        <v>7881.05</v>
      </c>
    </row>
    <row r="26" spans="2:4" x14ac:dyDescent="0.25">
      <c r="B26" s="10" t="s">
        <v>8</v>
      </c>
      <c r="C26" s="8">
        <f>SUM(C22:C25)</f>
        <v>8692</v>
      </c>
      <c r="D26" s="4">
        <f>SUM(D22:D25)</f>
        <v>33914.810000000005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4924</v>
      </c>
      <c r="D30" s="28">
        <v>16811</v>
      </c>
    </row>
    <row r="31" spans="2:4" x14ac:dyDescent="0.25">
      <c r="B31" s="1" t="s">
        <v>5</v>
      </c>
      <c r="C31" s="6">
        <v>990</v>
      </c>
      <c r="D31" s="28">
        <v>2716</v>
      </c>
    </row>
    <row r="32" spans="2:4" x14ac:dyDescent="0.25">
      <c r="B32" s="1" t="s">
        <v>6</v>
      </c>
      <c r="C32" s="6">
        <v>3619</v>
      </c>
      <c r="D32" s="28">
        <v>2251</v>
      </c>
    </row>
    <row r="33" spans="2:4" x14ac:dyDescent="0.25">
      <c r="B33" s="1" t="s">
        <v>7</v>
      </c>
      <c r="C33" s="6">
        <v>1028</v>
      </c>
      <c r="D33" s="28">
        <v>10000</v>
      </c>
    </row>
    <row r="34" spans="2:4" x14ac:dyDescent="0.25">
      <c r="B34" s="10" t="s">
        <v>8</v>
      </c>
      <c r="C34" s="8">
        <f>SUM(C30:C33)</f>
        <v>10561</v>
      </c>
      <c r="D34" s="4">
        <f>SUM(D30:D33)</f>
        <v>31778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625</v>
      </c>
    </row>
    <row r="39" spans="2:4" x14ac:dyDescent="0.25">
      <c r="B39" s="1" t="s">
        <v>5</v>
      </c>
      <c r="C39" s="6">
        <v>20</v>
      </c>
      <c r="D39" s="29">
        <v>0</v>
      </c>
    </row>
    <row r="40" spans="2:4" x14ac:dyDescent="0.25">
      <c r="B40" s="1" t="s">
        <v>6</v>
      </c>
      <c r="C40" s="6">
        <v>4</v>
      </c>
      <c r="D40" s="29">
        <v>0</v>
      </c>
    </row>
    <row r="41" spans="2:4" x14ac:dyDescent="0.25">
      <c r="B41" s="1" t="s">
        <v>7</v>
      </c>
      <c r="C41" s="6">
        <v>720</v>
      </c>
      <c r="D41" s="28">
        <v>4282</v>
      </c>
    </row>
    <row r="42" spans="2:4" x14ac:dyDescent="0.25">
      <c r="B42" s="3" t="s">
        <v>8</v>
      </c>
      <c r="C42" s="8">
        <f>SUM(C38:C41)</f>
        <v>759</v>
      </c>
      <c r="D42" s="4">
        <f>SUM(D38:D41)</f>
        <v>4907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96250</v>
      </c>
      <c r="D50" s="13">
        <f>SUMIF(B:B, "Total general", D:D)</f>
        <v>406436.52999999997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46" sqref="B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7362</v>
      </c>
      <c r="D5" s="28">
        <v>53176.19</v>
      </c>
      <c r="E5" s="11"/>
    </row>
    <row r="6" spans="2:8" x14ac:dyDescent="0.25">
      <c r="B6" s="1" t="s">
        <v>5</v>
      </c>
      <c r="C6" s="27">
        <v>6979</v>
      </c>
      <c r="D6" s="28">
        <v>20834</v>
      </c>
    </row>
    <row r="7" spans="2:8" x14ac:dyDescent="0.25">
      <c r="B7" s="1" t="s">
        <v>6</v>
      </c>
      <c r="C7" s="27">
        <v>7159</v>
      </c>
      <c r="D7" s="28">
        <v>18071.18</v>
      </c>
    </row>
    <row r="8" spans="2:8" x14ac:dyDescent="0.25">
      <c r="B8" s="5" t="s">
        <v>11</v>
      </c>
      <c r="C8" s="27">
        <v>2739</v>
      </c>
      <c r="D8" s="29">
        <v>0</v>
      </c>
    </row>
    <row r="9" spans="2:8" x14ac:dyDescent="0.25">
      <c r="B9" s="1" t="s">
        <v>7</v>
      </c>
      <c r="C9" s="27">
        <v>2912</v>
      </c>
      <c r="D9" s="28">
        <v>600</v>
      </c>
      <c r="E9" s="14"/>
      <c r="F9" s="7"/>
    </row>
    <row r="10" spans="2:8" x14ac:dyDescent="0.25">
      <c r="B10" s="3" t="s">
        <v>8</v>
      </c>
      <c r="C10" s="8">
        <f>SUM(C5:C9)</f>
        <v>27151</v>
      </c>
      <c r="D10" s="4">
        <f>SUM(D5:D9)</f>
        <v>92681.37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4917</v>
      </c>
      <c r="D14" s="28">
        <v>16811</v>
      </c>
    </row>
    <row r="15" spans="2:8" x14ac:dyDescent="0.25">
      <c r="B15" s="1" t="s">
        <v>5</v>
      </c>
      <c r="C15" s="26">
        <v>596</v>
      </c>
      <c r="D15" s="28">
        <v>2096</v>
      </c>
    </row>
    <row r="16" spans="2:8" x14ac:dyDescent="0.25">
      <c r="B16" s="1" t="s">
        <v>6</v>
      </c>
      <c r="C16" s="26">
        <v>3499</v>
      </c>
      <c r="D16" s="28">
        <v>2251</v>
      </c>
    </row>
    <row r="17" spans="2:4" x14ac:dyDescent="0.25">
      <c r="B17" s="9" t="s">
        <v>7</v>
      </c>
      <c r="C17" s="26">
        <v>27</v>
      </c>
      <c r="D17" s="28">
        <v>10000</v>
      </c>
    </row>
    <row r="18" spans="2:4" x14ac:dyDescent="0.25">
      <c r="B18" s="10" t="s">
        <v>8</v>
      </c>
      <c r="C18" s="8">
        <f>SUM(C14:C17)</f>
        <v>9039</v>
      </c>
      <c r="D18" s="4">
        <f>SUM(D14:D17)</f>
        <v>31158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1137</v>
      </c>
      <c r="D22" s="28">
        <v>3775</v>
      </c>
    </row>
    <row r="23" spans="2:4" x14ac:dyDescent="0.25">
      <c r="B23" s="1" t="s">
        <v>5</v>
      </c>
      <c r="C23" s="26">
        <v>992</v>
      </c>
      <c r="D23" s="28">
        <v>210</v>
      </c>
    </row>
    <row r="24" spans="2:4" x14ac:dyDescent="0.25">
      <c r="B24" s="1" t="s">
        <v>6</v>
      </c>
      <c r="C24" s="26">
        <v>1009</v>
      </c>
      <c r="D24" s="28">
        <v>16067.39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2266</v>
      </c>
    </row>
    <row r="27" spans="2:4" x14ac:dyDescent="0.25">
      <c r="B27" s="3" t="s">
        <v>8</v>
      </c>
      <c r="C27" s="8">
        <f>SUM(C22:C26)</f>
        <v>3441</v>
      </c>
      <c r="D27" s="4">
        <f>SUM(D22:D26)</f>
        <v>22318.39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2</v>
      </c>
      <c r="D31" s="25">
        <v>0</v>
      </c>
    </row>
    <row r="32" spans="2:4" x14ac:dyDescent="0.25">
      <c r="B32" s="9" t="s">
        <v>5</v>
      </c>
      <c r="C32" s="26">
        <v>1</v>
      </c>
      <c r="D32" s="25">
        <v>0</v>
      </c>
    </row>
    <row r="33" spans="2:4" x14ac:dyDescent="0.25">
      <c r="B33" s="9" t="s">
        <v>7</v>
      </c>
      <c r="C33" s="26">
        <v>176</v>
      </c>
      <c r="D33" s="25">
        <v>0</v>
      </c>
    </row>
    <row r="34" spans="2:4" x14ac:dyDescent="0.25">
      <c r="B34" s="10" t="s">
        <v>8</v>
      </c>
      <c r="C34" s="8">
        <f>SUM(C31:C33)</f>
        <v>179</v>
      </c>
      <c r="D34" s="4">
        <f>SUM(D31:D33)</f>
        <v>0</v>
      </c>
    </row>
    <row r="36" spans="2:4" x14ac:dyDescent="0.25">
      <c r="B36" s="30" t="s">
        <v>34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26">
        <v>2</v>
      </c>
      <c r="D38" s="25">
        <v>0</v>
      </c>
    </row>
    <row r="39" spans="2:4" x14ac:dyDescent="0.25">
      <c r="B39" s="1" t="s">
        <v>5</v>
      </c>
      <c r="C39" s="11">
        <v>0</v>
      </c>
      <c r="D39" s="25">
        <v>0</v>
      </c>
    </row>
    <row r="40" spans="2:4" x14ac:dyDescent="0.25">
      <c r="B40" s="1" t="s">
        <v>6</v>
      </c>
      <c r="C40" s="26">
        <v>1</v>
      </c>
      <c r="D40" s="25">
        <v>0</v>
      </c>
    </row>
    <row r="41" spans="2:4" x14ac:dyDescent="0.25">
      <c r="B41" s="1" t="s">
        <v>7</v>
      </c>
      <c r="C41" s="26">
        <v>330</v>
      </c>
      <c r="D41" s="25">
        <v>0</v>
      </c>
    </row>
    <row r="42" spans="2:4" x14ac:dyDescent="0.25">
      <c r="B42" s="3" t="s">
        <v>8</v>
      </c>
      <c r="C42" s="8">
        <f>SUM(C38:C41)</f>
        <v>333</v>
      </c>
      <c r="D42" s="4">
        <f>SUM(D38:D41)</f>
        <v>0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 s="26">
        <v>2</v>
      </c>
      <c r="D46" s="29">
        <v>0</v>
      </c>
    </row>
    <row r="47" spans="2:4" x14ac:dyDescent="0.25">
      <c r="B47" s="1" t="s">
        <v>7</v>
      </c>
      <c r="C47" s="26">
        <v>64</v>
      </c>
      <c r="D47" s="29">
        <v>0</v>
      </c>
    </row>
    <row r="48" spans="2:4" x14ac:dyDescent="0.25">
      <c r="B48" s="3" t="s">
        <v>8</v>
      </c>
      <c r="C48" s="8">
        <f>SUM(C46:C47)</f>
        <v>66</v>
      </c>
      <c r="D48" s="4">
        <f>SUM(D46:D47)</f>
        <v>0</v>
      </c>
    </row>
    <row r="50" spans="2:4" x14ac:dyDescent="0.25">
      <c r="B50" s="12" t="s">
        <v>12</v>
      </c>
      <c r="C50" s="13">
        <f>SUMIF(B:B, "Total general", C:C)</f>
        <v>40209</v>
      </c>
      <c r="D50" s="13">
        <f>SUMIF(B:B, "Total general", D:D)</f>
        <v>146157.76000000001</v>
      </c>
    </row>
  </sheetData>
  <mergeCells count="7">
    <mergeCell ref="B29:D29"/>
    <mergeCell ref="B44:D44"/>
    <mergeCell ref="B12:D12"/>
    <mergeCell ref="B36:D36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13422</v>
      </c>
      <c r="D3" s="14">
        <f>SUMIF('CDC-OLGUIN'!B:B, "Extrajudicial - 0 a 28 semanas de atraso", 'CDC-OLGUIN'!D:D)</f>
        <v>73762.19</v>
      </c>
    </row>
    <row r="4" spans="2:6" x14ac:dyDescent="0.25">
      <c r="B4" s="1" t="s">
        <v>5</v>
      </c>
      <c r="C4" s="6">
        <f>SUMIF('CDC-OLGUIN'!B:B, "Extrajudicial - 29 a 39 semanas de atraso", 'CDC-OLGUIN'!C:C)</f>
        <v>8568</v>
      </c>
      <c r="D4" s="14">
        <f>SUMIF('CDC-OLGUIN'!B:B, "Extrajudicial - 29 a 39 semanas de atraso", 'CDC-OLGUIN'!D:D)</f>
        <v>23140</v>
      </c>
    </row>
    <row r="5" spans="2:6" x14ac:dyDescent="0.25">
      <c r="B5" s="1" t="s">
        <v>6</v>
      </c>
      <c r="C5" s="6">
        <f>SUMIF('CDC-OLGUIN'!B:B, "Extrajudicial - 40 a 55 semanas de atraso", 'CDC-OLGUIN'!C:C)</f>
        <v>11668</v>
      </c>
      <c r="D5" s="14">
        <f>SUMIF('CDC-OLGUIN'!B:B, "Extrajudicial - 40 a 55 semanas de atraso", 'CDC-OLGUIN'!D:D)</f>
        <v>36389.57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12866</v>
      </c>
      <c r="E7" s="14"/>
      <c r="F7" s="7"/>
    </row>
    <row r="8" spans="2:6" x14ac:dyDescent="0.25">
      <c r="B8" s="3" t="s">
        <v>8</v>
      </c>
      <c r="C8" s="8">
        <f>SUM(C3:C7)</f>
        <v>40209</v>
      </c>
      <c r="D8" s="4">
        <f>SUM(D3:D7)</f>
        <v>146157.76000000001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14405</v>
      </c>
      <c r="E6" s="16">
        <f>SUMIF('REPORTE DIARIO'!B:B,'EPR 26 JUN'!C6, 'REPORTE DIARIO'!D:D)</f>
        <v>159634.49000000002</v>
      </c>
      <c r="F6" s="16">
        <f>J6*D6</f>
        <v>905457.14285714284</v>
      </c>
      <c r="G6" s="16">
        <f>+E6-F6</f>
        <v>-745822.65285714285</v>
      </c>
      <c r="H6" s="15">
        <f>ABS(G6/F6)</f>
        <v>0.82369735413839895</v>
      </c>
      <c r="I6" s="16">
        <f>E6/D6</f>
        <v>11.081880597014926</v>
      </c>
      <c r="J6" s="16">
        <f>(220/7)*2</f>
        <v>62.857142857142854</v>
      </c>
      <c r="K6" s="16">
        <f>+I6-J6</f>
        <v>-51.775262260127931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8661</v>
      </c>
      <c r="E7" s="16">
        <f>SUMIF('REPORTE DIARIO'!B:B,'EPR 26 JUN'!C7, 'REPORTE DIARIO'!D:D)</f>
        <v>64903.479999999996</v>
      </c>
      <c r="F7" s="16">
        <f>J7*D7</f>
        <v>272202.8571428571</v>
      </c>
      <c r="G7" s="16">
        <f>+E7-F7</f>
        <v>-207299.37714285712</v>
      </c>
      <c r="H7" s="15">
        <f>ABS(G7/F7)</f>
        <v>0.76156209129745678</v>
      </c>
      <c r="I7" s="16">
        <f>E7/D7</f>
        <v>7.4937628449370735</v>
      </c>
      <c r="J7" s="16">
        <f>(110/7)*2</f>
        <v>31.428571428571427</v>
      </c>
      <c r="K7" s="16">
        <f t="shared" ref="K7:K9" si="0">+I7-J7</f>
        <v>-23.934808583634354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15005</v>
      </c>
      <c r="E8" s="16">
        <f>SUMIF('REPORTE DIARIO'!B:B,'EPR 26 JUN'!C8, 'REPORTE DIARIO'!D:D)</f>
        <v>55535.39</v>
      </c>
      <c r="F8" s="16">
        <f>J8*D8</f>
        <v>192921.42857142858</v>
      </c>
      <c r="G8" s="16">
        <f>+E8-F8</f>
        <v>-137386.03857142857</v>
      </c>
      <c r="H8" s="15">
        <f>ABS(G8/F8)</f>
        <v>0.71213467362730931</v>
      </c>
      <c r="I8" s="16">
        <f>E8/D8</f>
        <v>3.7011256247917359</v>
      </c>
      <c r="J8" s="16">
        <f>(45/7)*2</f>
        <v>12.857142857142858</v>
      </c>
      <c r="K8" s="16">
        <f t="shared" si="0"/>
        <v>-9.1560172323511217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57665</v>
      </c>
      <c r="E9" s="16">
        <f>SUMIF('REPORTE DIARIO'!B:B,'EPR 26 JUN'!C9, 'REPORTE DIARIO'!D:D)</f>
        <v>126363.17</v>
      </c>
      <c r="F9" s="16">
        <f>J9*D9</f>
        <v>247135.71428571429</v>
      </c>
      <c r="G9" s="16">
        <f>+E9-F9</f>
        <v>-120772.54428571429</v>
      </c>
      <c r="H9" s="15">
        <f>ABS(G9/F9)</f>
        <v>0.48868915864620366</v>
      </c>
      <c r="I9" s="16">
        <f>E9/D9</f>
        <v>2.1913321772305556</v>
      </c>
      <c r="J9" s="16">
        <f>(15/7)*2</f>
        <v>4.2857142857142856</v>
      </c>
      <c r="K9" s="16">
        <f t="shared" si="0"/>
        <v>-2.09438210848373</v>
      </c>
    </row>
    <row r="10" spans="2:12" x14ac:dyDescent="0.25">
      <c r="B10" s="16"/>
      <c r="C10" s="19" t="s">
        <v>16</v>
      </c>
      <c r="D10" s="24">
        <f>SUM(D6:D9)</f>
        <v>95736</v>
      </c>
      <c r="E10" s="20">
        <f>SUM(E6:E9)</f>
        <v>406436.53</v>
      </c>
      <c r="F10" s="20">
        <f>SUM(F6:F9)</f>
        <v>1617717.142857143</v>
      </c>
      <c r="G10" s="20">
        <f>+E10-F10</f>
        <v>-1211280.6128571429</v>
      </c>
      <c r="H10" s="21">
        <f>ABS(G10/F10)</f>
        <v>0.74875921183466654</v>
      </c>
      <c r="I10" s="20">
        <f>E10/D10</f>
        <v>4.245388673017465</v>
      </c>
      <c r="J10" s="20">
        <f>F10/D10</f>
        <v>16.897688882522175</v>
      </c>
      <c r="K10" s="20">
        <f>I10-J10</f>
        <v>-12.652300209504709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2025-11-04T16:08:15Z</cp:lastPrinted>
  <dcterms:created xsi:type="dcterms:W3CDTF">2025-01-27T15:11:28Z</dcterms:created>
  <dcterms:modified xsi:type="dcterms:W3CDTF">2025-11-04T16:13:32Z</dcterms:modified>
</cp:coreProperties>
</file>