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5\06 NOV\TARDE1\"/>
    </mc:Choice>
  </mc:AlternateContent>
  <xr:revisionPtr revIDLastSave="0" documentId="13_ncr:1_{CB1C5839-F4D6-4545-B71A-88B650EC4D49}" xr6:coauthVersionLast="47" xr6:coauthVersionMax="47" xr10:uidLastSave="{00000000-0000-0000-0000-000000000000}"/>
  <bookViews>
    <workbookView xWindow="-120" yWindow="-120" windowWidth="51840" windowHeight="21120" activeTab="2" xr2:uid="{A94B2C51-E97B-43C0-A09F-D6853F8440FF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2" l="1"/>
  <c r="D9" i="2" s="1"/>
  <c r="B2" i="3"/>
  <c r="D8" i="3" s="1"/>
  <c r="B2" i="1"/>
  <c r="D9" i="1" s="1"/>
</calcChain>
</file>

<file path=xl/sharedStrings.xml><?xml version="1.0" encoding="utf-8"?>
<sst xmlns="http://schemas.openxmlformats.org/spreadsheetml/2006/main" count="81" uniqueCount="20">
  <si>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</si>
  <si>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</si>
  <si>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</si>
  <si>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</si>
  <si>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</si>
  <si>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</si>
  <si>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</si>
  <si>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</si>
  <si>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</si>
  <si>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FERNANDO</t>
  </si>
  <si>
    <t>TOTAL COBRADO</t>
  </si>
  <si>
    <t>Segmento</t>
  </si>
  <si>
    <t>CREDIMAX</t>
  </si>
  <si>
    <t>OTROS</t>
  </si>
  <si>
    <t>REESTRUCTURA</t>
  </si>
  <si>
    <t>TOR</t>
  </si>
  <si>
    <t>CONSUMO</t>
  </si>
  <si>
    <t>ITALIKA</t>
  </si>
  <si>
    <t>Producto</t>
  </si>
  <si>
    <t>CDC 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</si>
</sst>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2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4CD24-2787-4A5A-A3F2-83C17CC1B65F}">
  <dimension ref="B2:D32"/>
  <sheetViews>
    <sheetView workbookViewId="0">
      <selection activeCell="B2" sqref="B2:D32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06/11/2025  14:33 </v>
      </c>
      <c r="C2" s="6"/>
    </row>
    <row r="3" spans="2:4" x14ac:dyDescent="0.25">
      <c r="B3" s="6" t="s">
        <v>6</v>
      </c>
      <c r="C3" s="6"/>
    </row>
    <row r="4" spans="2:4" x14ac:dyDescent="0.25">
      <c r="B4" s="1" t="s">
        <v>11</v>
      </c>
      <c r="C4" s="1" t="s">
        <v>0</v>
      </c>
    </row>
    <row r="5" spans="2:4" x14ac:dyDescent="0.25">
      <c r="B5" s="2" t="s">
        <v>1</v>
      </c>
      <c r="C5" s="3">
        <v>59077.24</v>
      </c>
    </row>
    <row r="6" spans="2:4" x14ac:dyDescent="0.25">
      <c r="B6" s="2" t="s">
        <v>2</v>
      </c>
      <c r="C6" s="3">
        <v>2118</v>
      </c>
    </row>
    <row r="7" spans="2:4" x14ac:dyDescent="0.25">
      <c r="B7" s="2" t="s">
        <v>3</v>
      </c>
      <c r="C7" s="3">
        <v>7386.49</v>
      </c>
    </row>
    <row r="8" spans="2:4" ht="15.75" thickBot="1" x14ac:dyDescent="0.3">
      <c r="B8" s="2" t="s">
        <v>4</v>
      </c>
      <c r="C8" s="3">
        <v>14612</v>
      </c>
      <c r="D8" s="1" t="s">
        <v>10</v>
      </c>
    </row>
    <row r="9" spans="2:4" ht="15.75" thickTop="1" x14ac:dyDescent="0.25">
      <c r="B9" s="4" t="s">
        <v>5</v>
      </c>
      <c r="C9" s="5">
        <v>83193.73</v>
      </c>
      <c r="D9" s="5">
        <f ca="1">SUMIF(B:B, "Total general", C:C)</f>
        <v>111334.23</v>
      </c>
    </row>
    <row r="11" spans="2:4" x14ac:dyDescent="0.25">
      <c r="B11" s="6" t="s">
        <v>9</v>
      </c>
      <c r="C11" s="6"/>
    </row>
    <row r="12" spans="2:4" x14ac:dyDescent="0.25">
      <c r="B12" s="1" t="s">
        <v>11</v>
      </c>
      <c r="C12" s="1" t="s">
        <v>0</v>
      </c>
    </row>
    <row r="13" spans="2:4" x14ac:dyDescent="0.25">
      <c r="B13" s="2" t="s">
        <v>1</v>
      </c>
      <c r="C13" s="3">
        <v>20155.400000000001</v>
      </c>
    </row>
    <row r="14" spans="2:4" x14ac:dyDescent="0.25">
      <c r="B14" s="2" t="s">
        <v>2</v>
      </c>
      <c r="C14" s="3">
        <v>276.10000000000002</v>
      </c>
    </row>
    <row r="15" spans="2:4" ht="15.75" thickBot="1" x14ac:dyDescent="0.3">
      <c r="B15" s="2" t="s">
        <v>3</v>
      </c>
      <c r="C15" s="3">
        <v>187</v>
      </c>
    </row>
    <row r="16" spans="2:4" ht="15.75" thickTop="1" x14ac:dyDescent="0.25">
      <c r="B16" s="4" t="s">
        <v>5</v>
      </c>
      <c r="C16" s="5">
        <v>20618.5</v>
      </c>
    </row>
    <row r="18" spans="2:3" x14ac:dyDescent="0.25">
      <c r="B18" s="6" t="s">
        <v>7</v>
      </c>
      <c r="C18" s="6"/>
    </row>
    <row r="19" spans="2:3" x14ac:dyDescent="0.25">
      <c r="B19" s="1" t="s">
        <v>11</v>
      </c>
      <c r="C19" s="1" t="s">
        <v>0</v>
      </c>
    </row>
    <row r="20" spans="2:3" x14ac:dyDescent="0.25">
      <c r="B20" s="2" t="s">
        <v>1</v>
      </c>
      <c r="C20" s="3">
        <v>846</v>
      </c>
    </row>
    <row r="21" spans="2:3" x14ac:dyDescent="0.25">
      <c r="B21" s="2" t="s">
        <v>2</v>
      </c>
      <c r="C21" s="3">
        <v>996</v>
      </c>
    </row>
    <row r="22" spans="2:3" x14ac:dyDescent="0.25">
      <c r="B22" s="2" t="s">
        <v>3</v>
      </c>
      <c r="C22" s="3">
        <v>250</v>
      </c>
    </row>
    <row r="23" spans="2:3" ht="15.75" thickBot="1" x14ac:dyDescent="0.3">
      <c r="B23" s="2" t="s">
        <v>4</v>
      </c>
      <c r="C23" s="3">
        <v>2389</v>
      </c>
    </row>
    <row r="24" spans="2:3" ht="15.75" thickTop="1" x14ac:dyDescent="0.25">
      <c r="B24" s="4" t="s">
        <v>5</v>
      </c>
      <c r="C24" s="5">
        <v>4481</v>
      </c>
    </row>
    <row r="26" spans="2:3" x14ac:dyDescent="0.25">
      <c r="B26" s="6" t="s">
        <v>8</v>
      </c>
      <c r="C26" s="6"/>
    </row>
    <row r="27" spans="2:3" x14ac:dyDescent="0.25">
      <c r="B27" s="1" t="s">
        <v>11</v>
      </c>
      <c r="C27" s="1" t="s">
        <v>0</v>
      </c>
    </row>
    <row r="28" spans="2:3" x14ac:dyDescent="0.25">
      <c r="B28" s="2" t="s">
        <v>1</v>
      </c>
      <c r="C28" s="3">
        <v>1801</v>
      </c>
    </row>
    <row r="29" spans="2:3" x14ac:dyDescent="0.25">
      <c r="B29" s="2" t="s">
        <v>2</v>
      </c>
      <c r="C29" s="3">
        <v>663</v>
      </c>
    </row>
    <row r="30" spans="2:3" x14ac:dyDescent="0.25">
      <c r="B30" s="2" t="s">
        <v>3</v>
      </c>
      <c r="C30" s="3">
        <v>576</v>
      </c>
    </row>
    <row r="31" spans="2:3" ht="15.75" thickBot="1" x14ac:dyDescent="0.3">
      <c r="B31" s="2" t="s">
        <v>4</v>
      </c>
      <c r="C31" s="3">
        <v>1</v>
      </c>
    </row>
    <row r="32" spans="2:3" ht="15.75" thickTop="1" x14ac:dyDescent="0.25">
      <c r="B32" s="4" t="s">
        <v>5</v>
      </c>
      <c r="C32" s="5">
        <v>3041</v>
      </c>
    </row>
  </sheetData>
  <mergeCells count="5">
    <mergeCell ref="B3:C3"/>
    <mergeCell ref="B18:C18"/>
    <mergeCell ref="B26:C26"/>
    <mergeCell ref="B11:C11"/>
    <mergeCell ref="B2:C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E5561-41E5-4CB0-837B-D3CE88C9A882}">
  <dimension ref="B2:D30"/>
  <sheetViews>
    <sheetView topLeftCell="A30" workbookViewId="0">
      <selection activeCell="B2" sqref="B2:D30"/>
    </sheetView>
  </sheetViews>
  <sheetFormatPr baseColWidth="10" defaultRowHeight="15" x14ac:dyDescent="0.25"/>
  <cols>
    <col min="2" max="2" width="15.2851562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06/11/2025  14:33 </v>
      </c>
      <c r="C2" s="6"/>
    </row>
    <row r="3" spans="2:4" x14ac:dyDescent="0.25">
      <c r="B3" s="6" t="s">
        <v>6</v>
      </c>
      <c r="C3" s="6"/>
    </row>
    <row r="4" spans="2:4" x14ac:dyDescent="0.25">
      <c r="B4" s="1" t="s">
        <v>18</v>
      </c>
      <c r="C4" s="1" t="s">
        <v>0</v>
      </c>
    </row>
    <row r="5" spans="2:4" x14ac:dyDescent="0.25">
      <c r="B5" s="2" t="s">
        <v>12</v>
      </c>
      <c r="C5" s="3">
        <v>3204</v>
      </c>
    </row>
    <row r="6" spans="2:4" x14ac:dyDescent="0.25">
      <c r="B6" s="2" t="s">
        <v>13</v>
      </c>
      <c r="C6" s="3">
        <v>1000</v>
      </c>
    </row>
    <row r="7" spans="2:4" x14ac:dyDescent="0.25">
      <c r="B7" s="2" t="s">
        <v>14</v>
      </c>
      <c r="C7" s="3">
        <v>50100</v>
      </c>
    </row>
    <row r="8" spans="2:4" ht="15.75" thickBot="1" x14ac:dyDescent="0.3">
      <c r="B8" s="2" t="s">
        <v>15</v>
      </c>
      <c r="C8" s="3">
        <v>28889.73</v>
      </c>
      <c r="D8" s="1" t="s">
        <v>10</v>
      </c>
    </row>
    <row r="9" spans="2:4" ht="15.75" thickTop="1" x14ac:dyDescent="0.25">
      <c r="B9" s="4" t="s">
        <v>5</v>
      </c>
      <c r="C9" s="5">
        <v>83193.73</v>
      </c>
      <c r="D9" s="5">
        <f ca="1">SUMIF(B:B, "Total general", C:C)</f>
        <v>111334.23</v>
      </c>
    </row>
    <row r="11" spans="2:4" x14ac:dyDescent="0.25">
      <c r="B11" s="6" t="s">
        <v>9</v>
      </c>
      <c r="C11" s="6"/>
    </row>
    <row r="12" spans="2:4" x14ac:dyDescent="0.25">
      <c r="B12" s="1" t="s">
        <v>18</v>
      </c>
      <c r="C12" s="1" t="s">
        <v>0</v>
      </c>
    </row>
    <row r="13" spans="2:4" x14ac:dyDescent="0.25">
      <c r="B13" s="2" t="s">
        <v>16</v>
      </c>
      <c r="C13" s="3">
        <v>565</v>
      </c>
    </row>
    <row r="14" spans="2:4" x14ac:dyDescent="0.25">
      <c r="B14" s="2" t="s">
        <v>17</v>
      </c>
      <c r="C14" s="3">
        <v>18490.400000000001</v>
      </c>
    </row>
    <row r="15" spans="2:4" x14ac:dyDescent="0.25">
      <c r="B15" s="2" t="s">
        <v>14</v>
      </c>
      <c r="C15" s="3">
        <v>100</v>
      </c>
    </row>
    <row r="16" spans="2:4" ht="15.75" thickBot="1" x14ac:dyDescent="0.3">
      <c r="B16" s="2" t="s">
        <v>15</v>
      </c>
      <c r="C16" s="3">
        <v>1463.1</v>
      </c>
    </row>
    <row r="17" spans="2:3" ht="15.75" thickTop="1" x14ac:dyDescent="0.25">
      <c r="B17" s="4" t="s">
        <v>5</v>
      </c>
      <c r="C17" s="5">
        <v>20618.5</v>
      </c>
    </row>
    <row r="19" spans="2:3" x14ac:dyDescent="0.25">
      <c r="B19" s="6" t="s">
        <v>7</v>
      </c>
      <c r="C19" s="6"/>
    </row>
    <row r="20" spans="2:3" x14ac:dyDescent="0.25">
      <c r="B20" s="1" t="s">
        <v>18</v>
      </c>
      <c r="C20" s="1" t="s">
        <v>0</v>
      </c>
    </row>
    <row r="21" spans="2:3" x14ac:dyDescent="0.25">
      <c r="B21" s="2" t="s">
        <v>16</v>
      </c>
      <c r="C21" s="3">
        <v>241</v>
      </c>
    </row>
    <row r="22" spans="2:3" x14ac:dyDescent="0.25">
      <c r="B22" s="2" t="s">
        <v>12</v>
      </c>
      <c r="C22" s="3">
        <v>1829</v>
      </c>
    </row>
    <row r="23" spans="2:3" x14ac:dyDescent="0.25">
      <c r="B23" s="2" t="s">
        <v>14</v>
      </c>
      <c r="C23" s="3">
        <v>500</v>
      </c>
    </row>
    <row r="24" spans="2:3" ht="15.75" thickBot="1" x14ac:dyDescent="0.3">
      <c r="B24" s="2" t="s">
        <v>15</v>
      </c>
      <c r="C24" s="3">
        <v>1911</v>
      </c>
    </row>
    <row r="25" spans="2:3" ht="15.75" thickTop="1" x14ac:dyDescent="0.25">
      <c r="B25" s="4" t="s">
        <v>5</v>
      </c>
      <c r="C25" s="5">
        <v>4481</v>
      </c>
    </row>
    <row r="27" spans="2:3" x14ac:dyDescent="0.25">
      <c r="B27" s="6" t="s">
        <v>8</v>
      </c>
      <c r="C27" s="6"/>
    </row>
    <row r="28" spans="2:3" x14ac:dyDescent="0.25">
      <c r="B28" s="1" t="s">
        <v>18</v>
      </c>
      <c r="C28" s="1" t="s">
        <v>0</v>
      </c>
    </row>
    <row r="29" spans="2:3" ht="15.75" thickBot="1" x14ac:dyDescent="0.3">
      <c r="B29" s="2" t="s">
        <v>15</v>
      </c>
      <c r="C29" s="3">
        <v>3041</v>
      </c>
    </row>
    <row r="30" spans="2:3" ht="15.75" thickTop="1" x14ac:dyDescent="0.25">
      <c r="B30" s="4" t="s">
        <v>5</v>
      </c>
      <c r="C30" s="5">
        <v>3041</v>
      </c>
    </row>
  </sheetData>
  <mergeCells count="5">
    <mergeCell ref="B2:C2"/>
    <mergeCell ref="B3:C3"/>
    <mergeCell ref="B11:C11"/>
    <mergeCell ref="B19:C19"/>
    <mergeCell ref="B27:C2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1039B-300A-45C8-A15C-76C409A4FCBF}">
  <dimension ref="B2:D19"/>
  <sheetViews>
    <sheetView tabSelected="1" workbookViewId="0">
      <selection activeCell="B2" sqref="B2:D19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ETIQUETA PROYECTO CDC " &amp; TEXT(TODAY(), " dd/mm/aaaa ") &amp; TEXT(NOW(), " hh:mm ")</f>
        <v xml:space="preserve"> ETIQUETA PROYECTO CDC  06/11/2025  14:33 </v>
      </c>
      <c r="C2" s="6"/>
    </row>
    <row r="3" spans="2:4" x14ac:dyDescent="0.25">
      <c r="B3" s="6" t="s">
        <v>9</v>
      </c>
      <c r="C3" s="6"/>
    </row>
    <row r="4" spans="2:4" x14ac:dyDescent="0.25">
      <c r="B4" s="1" t="s">
        <v>11</v>
      </c>
      <c r="C4" s="1" t="s">
        <v>0</v>
      </c>
    </row>
    <row r="5" spans="2:4" x14ac:dyDescent="0.25">
      <c r="B5" s="2" t="s">
        <v>1</v>
      </c>
      <c r="C5" s="3">
        <v>20155.400000000001</v>
      </c>
    </row>
    <row r="6" spans="2:4" x14ac:dyDescent="0.25">
      <c r="B6" s="2" t="s">
        <v>2</v>
      </c>
      <c r="C6" s="3">
        <v>276.10000000000002</v>
      </c>
    </row>
    <row r="7" spans="2:4" ht="15.75" thickBot="1" x14ac:dyDescent="0.3">
      <c r="B7" s="2" t="s">
        <v>3</v>
      </c>
      <c r="C7" s="3">
        <v>187</v>
      </c>
      <c r="D7" s="1" t="s">
        <v>10</v>
      </c>
    </row>
    <row r="8" spans="2:4" ht="15.75" thickTop="1" x14ac:dyDescent="0.25">
      <c r="B8" s="4" t="s">
        <v>5</v>
      </c>
      <c r="C8" s="5">
        <v>20618.5</v>
      </c>
      <c r="D8" s="5">
        <f ca="1">SUMIF(B:B, "Total general", C:C)</f>
        <v>27082.5</v>
      </c>
    </row>
    <row r="10" spans="2:4" x14ac:dyDescent="0.25">
      <c r="B10" s="6" t="s">
        <v>19</v>
      </c>
      <c r="C10" s="6"/>
    </row>
    <row r="11" spans="2:4" x14ac:dyDescent="0.25">
      <c r="B11" s="1" t="s">
        <v>11</v>
      </c>
      <c r="C11" s="1" t="s">
        <v>0</v>
      </c>
    </row>
    <row r="12" spans="2:4" x14ac:dyDescent="0.25">
      <c r="B12" s="2" t="s">
        <v>1</v>
      </c>
      <c r="C12" s="3">
        <v>4863</v>
      </c>
    </row>
    <row r="13" spans="2:4" ht="15.75" thickBot="1" x14ac:dyDescent="0.3">
      <c r="B13" s="2" t="s">
        <v>3</v>
      </c>
      <c r="C13" s="3">
        <v>1049</v>
      </c>
    </row>
    <row r="14" spans="2:4" ht="15.75" thickTop="1" x14ac:dyDescent="0.25">
      <c r="B14" s="4" t="s">
        <v>5</v>
      </c>
      <c r="C14" s="5">
        <v>5912</v>
      </c>
    </row>
    <row r="16" spans="2:4" x14ac:dyDescent="0.25">
      <c r="B16" s="6" t="s">
        <v>6</v>
      </c>
      <c r="C16" s="6"/>
    </row>
    <row r="17" spans="2:3" x14ac:dyDescent="0.25">
      <c r="B17" s="1" t="s">
        <v>11</v>
      </c>
      <c r="C17" s="1" t="s">
        <v>0</v>
      </c>
    </row>
    <row r="18" spans="2:3" ht="15.75" thickBot="1" x14ac:dyDescent="0.3">
      <c r="B18" s="2" t="s">
        <v>1</v>
      </c>
      <c r="C18" s="3">
        <v>552</v>
      </c>
    </row>
    <row r="19" spans="2:3" ht="15.75" thickTop="1" x14ac:dyDescent="0.25">
      <c r="B19" s="4" t="s">
        <v>5</v>
      </c>
      <c r="C19" s="5">
        <v>552</v>
      </c>
    </row>
  </sheetData>
  <mergeCells count="4">
    <mergeCell ref="B2:C2"/>
    <mergeCell ref="B10:C10"/>
    <mergeCell ref="B3:C3"/>
    <mergeCell ref="B16:C1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2025-11-06T20:33:40Z</cp:lastPrinted>
  <dcterms:created xsi:type="dcterms:W3CDTF">2025-11-06T20:27:49Z</dcterms:created>
  <dcterms:modified xsi:type="dcterms:W3CDTF">2025-11-06T20:33:42Z</dcterms:modified>
</cp:coreProperties>
</file>