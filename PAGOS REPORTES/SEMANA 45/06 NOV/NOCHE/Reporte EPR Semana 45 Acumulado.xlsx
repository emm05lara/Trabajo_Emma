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6 NOV\NOCHE\"/>
    </mc:Choice>
  </mc:AlternateContent>
  <xr:revisionPtr revIDLastSave="0" documentId="13_ncr:1_{C30DBBE9-4B29-4D62-B57A-26BF32455E7C}" xr6:coauthVersionLast="47" xr6:coauthVersionMax="47" xr10:uidLastSave="{00000000-0000-0000-0000-000000000000}"/>
  <bookViews>
    <workbookView xWindow="11610" yWindow="1173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5" l="1"/>
  <c r="D26" i="1"/>
  <c r="D48" i="5"/>
  <c r="C26" i="1"/>
  <c r="C34" i="1"/>
  <c r="D34" i="1"/>
  <c r="C48" i="5"/>
  <c r="D34" i="5"/>
  <c r="C34" i="5"/>
  <c r="D27" i="5"/>
  <c r="C27" i="5"/>
  <c r="C42" i="1"/>
  <c r="D42" i="1"/>
  <c r="C18" i="1"/>
  <c r="D18" i="5"/>
  <c r="C18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<sst xmlns="http://schemas.openxmlformats.org/spreadsheetml/2006/main" count="139" uniqueCount="37">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</sst>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8065</v>
      </c>
      <c r="D5" s="28">
        <v>346204.12</v>
      </c>
    </row>
    <row r="6" spans="2:8" x14ac:dyDescent="0.25">
      <c r="B6" s="1" t="s">
        <v>5</v>
      </c>
      <c r="C6" s="6">
        <v>6550</v>
      </c>
      <c r="D6" s="28">
        <v>129046.45</v>
      </c>
    </row>
    <row r="7" spans="2:8" x14ac:dyDescent="0.25">
      <c r="B7" s="1" t="s">
        <v>6</v>
      </c>
      <c r="C7" s="6">
        <v>7777</v>
      </c>
      <c r="D7" s="28">
        <v>94535.98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36612</v>
      </c>
      <c r="D9" s="28">
        <v>208939.36</v>
      </c>
      <c r="E9" s="14"/>
      <c r="F9" s="7"/>
    </row>
    <row r="10" spans="2:8" x14ac:dyDescent="0.25">
      <c r="B10" s="3" t="s">
        <v>8</v>
      </c>
      <c r="C10" s="8">
        <f>SUM(C5:C9)</f>
        <v>59510</v>
      </c>
      <c r="D10" s="4">
        <f>SUM(D5:D9)</f>
        <v>778725.91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597</v>
      </c>
      <c r="D14" s="28">
        <v>117199.16</v>
      </c>
    </row>
    <row r="15" spans="2:8" x14ac:dyDescent="0.25">
      <c r="B15" s="9" t="s">
        <v>5</v>
      </c>
      <c r="C15" s="6">
        <v>1594</v>
      </c>
      <c r="D15" s="28">
        <v>30102.21</v>
      </c>
    </row>
    <row r="16" spans="2:8" x14ac:dyDescent="0.25">
      <c r="B16" s="9" t="s">
        <v>6</v>
      </c>
      <c r="C16" s="6">
        <v>3223</v>
      </c>
      <c r="D16" s="28">
        <v>27256</v>
      </c>
    </row>
    <row r="17" spans="2:4" x14ac:dyDescent="0.25">
      <c r="B17" s="9" t="s">
        <v>7</v>
      </c>
      <c r="C17" s="6">
        <v>3962</v>
      </c>
      <c r="D17" s="28">
        <v>30948.14</v>
      </c>
    </row>
    <row r="18" spans="2:4" x14ac:dyDescent="0.25">
      <c r="B18" s="10" t="s">
        <v>8</v>
      </c>
      <c r="C18" s="8">
        <f>SUM(C14:C17)</f>
        <v>9376</v>
      </c>
      <c r="D18" s="4">
        <f>SUM(D14:D17)</f>
        <v>205505.51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91</v>
      </c>
      <c r="D22" s="28">
        <v>62475.94</v>
      </c>
    </row>
    <row r="23" spans="2:4" x14ac:dyDescent="0.25">
      <c r="B23" s="1" t="s">
        <v>5</v>
      </c>
      <c r="C23" s="6">
        <v>164</v>
      </c>
      <c r="D23" s="28">
        <v>30631.090000000004</v>
      </c>
    </row>
    <row r="24" spans="2:4" x14ac:dyDescent="0.25">
      <c r="B24" s="1" t="s">
        <v>6</v>
      </c>
      <c r="C24" s="6">
        <v>1736</v>
      </c>
      <c r="D24" s="28">
        <v>29639</v>
      </c>
    </row>
    <row r="25" spans="2:4" x14ac:dyDescent="0.25">
      <c r="B25" s="1" t="s">
        <v>7</v>
      </c>
      <c r="C25" s="7">
        <v>14530</v>
      </c>
      <c r="D25" s="28">
        <v>26746.03</v>
      </c>
    </row>
    <row r="26" spans="2:4" x14ac:dyDescent="0.25">
      <c r="B26" s="3" t="s">
        <v>8</v>
      </c>
      <c r="C26" s="8">
        <f>SUM(C22:C25)</f>
        <v>16521</v>
      </c>
      <c r="D26" s="4">
        <f>SUM(D22:D25)</f>
        <v>149492.06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4912</v>
      </c>
      <c r="D30" s="28">
        <v>121159.12</v>
      </c>
    </row>
    <row r="31" spans="2:4" x14ac:dyDescent="0.25">
      <c r="B31" s="1" t="s">
        <v>5</v>
      </c>
      <c r="C31" s="6">
        <v>972</v>
      </c>
      <c r="D31" s="28">
        <v>9249.1</v>
      </c>
    </row>
    <row r="32" spans="2:4" x14ac:dyDescent="0.25">
      <c r="B32" s="1" t="s">
        <v>6</v>
      </c>
      <c r="C32" s="6">
        <v>3616</v>
      </c>
      <c r="D32" s="28">
        <v>7502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10528</v>
      </c>
      <c r="D34" s="4">
        <f>SUM(D30:D33)</f>
        <v>144309.22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3147.58</v>
      </c>
    </row>
    <row r="39" spans="2:4" x14ac:dyDescent="0.25">
      <c r="B39" s="1" t="s">
        <v>5</v>
      </c>
      <c r="C39" s="6">
        <v>16</v>
      </c>
      <c r="D39" s="29">
        <v>0</v>
      </c>
    </row>
    <row r="40" spans="2:4" x14ac:dyDescent="0.25">
      <c r="B40" s="1" t="s">
        <v>6</v>
      </c>
      <c r="C40" s="6">
        <v>6</v>
      </c>
      <c r="D40" s="28">
        <v>970</v>
      </c>
    </row>
    <row r="41" spans="2:4" x14ac:dyDescent="0.25">
      <c r="B41" s="1" t="s">
        <v>7</v>
      </c>
      <c r="C41" s="6">
        <v>961</v>
      </c>
      <c r="D41" s="28">
        <v>3982</v>
      </c>
    </row>
    <row r="42" spans="2:4" x14ac:dyDescent="0.25">
      <c r="B42" s="3" t="s">
        <v>8</v>
      </c>
      <c r="C42" s="8">
        <f>SUM(C38:C41)</f>
        <v>998</v>
      </c>
      <c r="D42" s="4">
        <f>SUM(D38:D41)</f>
        <v>8099.58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96933</v>
      </c>
      <c r="D50" s="13">
        <f>SUMIF(B:B, "Total general", D:D)</f>
        <v>1286132.28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6692</v>
      </c>
      <c r="D5" s="28">
        <v>200807.74</v>
      </c>
      <c r="E5" s="11"/>
    </row>
    <row r="6" spans="2:8" x14ac:dyDescent="0.25">
      <c r="B6" s="1" t="s">
        <v>5</v>
      </c>
      <c r="C6" s="27">
        <v>7822</v>
      </c>
      <c r="D6" s="28">
        <v>61055</v>
      </c>
    </row>
    <row r="7" spans="2:8" x14ac:dyDescent="0.25">
      <c r="B7" s="1" t="s">
        <v>6</v>
      </c>
      <c r="C7" s="27">
        <v>8099</v>
      </c>
      <c r="D7" s="28">
        <v>43458.18</v>
      </c>
    </row>
    <row r="8" spans="2:8" x14ac:dyDescent="0.25">
      <c r="B8" s="5" t="s">
        <v>11</v>
      </c>
      <c r="C8" s="27">
        <v>2738</v>
      </c>
      <c r="D8" s="28">
        <v>1978</v>
      </c>
    </row>
    <row r="9" spans="2:8" x14ac:dyDescent="0.25">
      <c r="B9" s="1" t="s">
        <v>7</v>
      </c>
      <c r="C9" s="27">
        <v>2913</v>
      </c>
      <c r="D9" s="28">
        <v>5792</v>
      </c>
      <c r="E9" s="14"/>
      <c r="F9" s="7"/>
    </row>
    <row r="10" spans="2:8" x14ac:dyDescent="0.25">
      <c r="B10" s="3" t="s">
        <v>8</v>
      </c>
      <c r="C10" s="8">
        <f>SUM(C5:C9)</f>
        <v>28264</v>
      </c>
      <c r="D10" s="4">
        <f>SUM(D5:D9)</f>
        <v>313090.92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4898</v>
      </c>
      <c r="D14" s="28">
        <v>118193.12</v>
      </c>
    </row>
    <row r="15" spans="2:8" x14ac:dyDescent="0.25">
      <c r="B15" s="1" t="s">
        <v>5</v>
      </c>
      <c r="C15" s="26">
        <v>569</v>
      </c>
      <c r="D15" s="28">
        <v>7963.1</v>
      </c>
    </row>
    <row r="16" spans="2:8" x14ac:dyDescent="0.25">
      <c r="B16" s="1" t="s">
        <v>6</v>
      </c>
      <c r="C16" s="26">
        <v>3496</v>
      </c>
      <c r="D16" s="28">
        <v>7390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8990</v>
      </c>
      <c r="D18" s="4">
        <f>SUM(D14:D17)</f>
        <v>139945.22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1132</v>
      </c>
      <c r="D22" s="28">
        <v>17518</v>
      </c>
    </row>
    <row r="23" spans="2:4" x14ac:dyDescent="0.25">
      <c r="B23" s="1" t="s">
        <v>5</v>
      </c>
      <c r="C23" s="26">
        <v>990</v>
      </c>
      <c r="D23" s="28">
        <v>1020.15</v>
      </c>
    </row>
    <row r="24" spans="2:4" x14ac:dyDescent="0.25">
      <c r="B24" s="1" t="s">
        <v>6</v>
      </c>
      <c r="C24" s="26">
        <v>1008</v>
      </c>
      <c r="D24" s="28">
        <v>17288.39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8419</v>
      </c>
    </row>
    <row r="27" spans="2:4" x14ac:dyDescent="0.25">
      <c r="B27" s="3" t="s">
        <v>8</v>
      </c>
      <c r="C27" s="8">
        <f>SUM(C22:C26)</f>
        <v>3433</v>
      </c>
      <c r="D27" s="4">
        <f>SUM(D22:D26)</f>
        <v>44245.54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1080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1080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882</v>
      </c>
    </row>
    <row r="39" spans="2:4" x14ac:dyDescent="0.25">
      <c r="B39" s="1" t="s">
        <v>7</v>
      </c>
      <c r="C39" s="26">
        <v>64</v>
      </c>
      <c r="D39" s="29">
        <v>0</v>
      </c>
    </row>
    <row r="40" spans="2:4" x14ac:dyDescent="0.25">
      <c r="B40" s="3" t="s">
        <v>8</v>
      </c>
      <c r="C40" s="8">
        <f>SUM(C38:C39)</f>
        <v>66</v>
      </c>
      <c r="D40" s="4">
        <f>SUM(D38:D39)</f>
        <v>882</v>
      </c>
    </row>
    <row r="42" spans="2:4" x14ac:dyDescent="0.25">
      <c r="B42" s="30" t="s">
        <v>34</v>
      </c>
      <c r="C42" s="30"/>
      <c r="D42" s="30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8">
        <v>763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5">
        <v>0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763</v>
      </c>
    </row>
    <row r="50" spans="2:4" x14ac:dyDescent="0.25">
      <c r="B50" s="12" t="s">
        <v>12</v>
      </c>
      <c r="C50" s="13">
        <f>SUMIF(B:B, "Total general", C:C)</f>
        <v>41265</v>
      </c>
      <c r="D50" s="13">
        <f>SUMIF(B:B, "Total general", D:D)</f>
        <v>500006.68</v>
      </c>
    </row>
  </sheetData>
  <mergeCells count="7">
    <mergeCell ref="B29:D29"/>
    <mergeCell ref="B36:D36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12728</v>
      </c>
      <c r="D3" s="14">
        <f>SUMIF('CDC-OLGUIN'!B:B, "Extrajudicial - 0 a 28 semanas de atraso", 'CDC-OLGUIN'!D:D)</f>
        <v>338163.86</v>
      </c>
    </row>
    <row r="4" spans="2:6" x14ac:dyDescent="0.25">
      <c r="B4" s="1" t="s">
        <v>5</v>
      </c>
      <c r="C4" s="6">
        <f>SUMIF('CDC-OLGUIN'!B:B, "Extrajudicial - 29 a 39 semanas de atraso", 'CDC-OLGUIN'!C:C)</f>
        <v>9382</v>
      </c>
      <c r="D4" s="14">
        <f>SUMIF('CDC-OLGUIN'!B:B, "Extrajudicial - 29 a 39 semanas de atraso", 'CDC-OLGUIN'!D:D)</f>
        <v>70038.25</v>
      </c>
    </row>
    <row r="5" spans="2:6" x14ac:dyDescent="0.25">
      <c r="B5" s="1" t="s">
        <v>6</v>
      </c>
      <c r="C5" s="6">
        <f>SUMIF('CDC-OLGUIN'!B:B, "Extrajudicial - 40 a 55 semanas de atraso", 'CDC-OLGUIN'!C:C)</f>
        <v>12604</v>
      </c>
      <c r="D5" s="14">
        <f>SUMIF('CDC-OLGUIN'!B:B, "Extrajudicial - 40 a 55 semanas de atraso", 'CDC-OLGUIN'!D:D)</f>
        <v>68136.570000000007</v>
      </c>
    </row>
    <row r="6" spans="2:6" x14ac:dyDescent="0.25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21690</v>
      </c>
      <c r="E7" s="14"/>
      <c r="F7" s="7"/>
    </row>
    <row r="8" spans="2:6" x14ac:dyDescent="0.25">
      <c r="B8" s="3" t="s">
        <v>8</v>
      </c>
      <c r="C8" s="8">
        <f>SUM(C3:C7)</f>
        <v>41265</v>
      </c>
      <c r="D8" s="4">
        <f>SUM(D3:D7)</f>
        <v>500006.68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13680</v>
      </c>
      <c r="E6" s="16">
        <f>SUMIF('REPORTE DIARIO'!B:B,'EPR 26 JUN'!C6, 'REPORTE DIARIO'!D:D)</f>
        <v>650185.91999999993</v>
      </c>
      <c r="F6" s="16">
        <f>J6*D6</f>
        <v>859885.7142857142</v>
      </c>
      <c r="G6" s="16">
        <f>+E6-F6</f>
        <v>-209699.79428571428</v>
      </c>
      <c r="H6" s="15">
        <f>ABS(G6/F6)</f>
        <v>0.24386937799043062</v>
      </c>
      <c r="I6" s="16">
        <f>E6/D6</f>
        <v>47.528210526315782</v>
      </c>
      <c r="J6" s="16">
        <f>(220/7)*2</f>
        <v>62.857142857142854</v>
      </c>
      <c r="K6" s="16">
        <f>+I6-J6</f>
        <v>-15.328932330827072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9296</v>
      </c>
      <c r="E7" s="16">
        <f>SUMIF('REPORTE DIARIO'!B:B,'EPR 26 JUN'!C7, 'REPORTE DIARIO'!D:D)</f>
        <v>199028.85</v>
      </c>
      <c r="F7" s="16">
        <f>J7*D7</f>
        <v>292160</v>
      </c>
      <c r="G7" s="16">
        <f>+E7-F7</f>
        <v>-93131.15</v>
      </c>
      <c r="H7" s="15">
        <f>ABS(G7/F7)</f>
        <v>0.31876762732749175</v>
      </c>
      <c r="I7" s="16">
        <f>E7/D7</f>
        <v>21.410160283993115</v>
      </c>
      <c r="J7" s="16">
        <f>(110/7)*2</f>
        <v>31.428571428571427</v>
      </c>
      <c r="K7" s="16">
        <f t="shared" ref="K7:K9" si="0">+I7-J7</f>
        <v>-10.018411144578312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16358</v>
      </c>
      <c r="E8" s="16">
        <f>SUMIF('REPORTE DIARIO'!B:B,'EPR 26 JUN'!C8, 'REPORTE DIARIO'!D:D)</f>
        <v>159902.97999999998</v>
      </c>
      <c r="F8" s="16">
        <f>J8*D8</f>
        <v>210317.14285714287</v>
      </c>
      <c r="G8" s="16">
        <f>+E8-F8</f>
        <v>-50414.162857142888</v>
      </c>
      <c r="H8" s="15">
        <f>ABS(G8/F8)</f>
        <v>0.23970543804594435</v>
      </c>
      <c r="I8" s="16">
        <f>E8/D8</f>
        <v>9.7752157965521445</v>
      </c>
      <c r="J8" s="16">
        <f>(45/7)*2</f>
        <v>12.857142857142858</v>
      </c>
      <c r="K8" s="16">
        <f t="shared" si="0"/>
        <v>-3.0819270605907132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57093</v>
      </c>
      <c r="E9" s="16">
        <f>SUMIF('REPORTE DIARIO'!B:B,'EPR 26 JUN'!C9, 'REPORTE DIARIO'!D:D)</f>
        <v>277014.53000000003</v>
      </c>
      <c r="F9" s="16">
        <f>J9*D9</f>
        <v>244684.28571428571</v>
      </c>
      <c r="G9" s="16">
        <f>+E9-F9</f>
        <v>32330.244285714318</v>
      </c>
      <c r="H9" s="15">
        <f>ABS(G9/F9)</f>
        <v>0.13213044798253157</v>
      </c>
      <c r="I9" s="16">
        <f>E9/D9</f>
        <v>4.8519876342108494</v>
      </c>
      <c r="J9" s="16">
        <f>(15/7)*2</f>
        <v>4.2857142857142856</v>
      </c>
      <c r="K9" s="16">
        <f t="shared" si="0"/>
        <v>0.56627334849656386</v>
      </c>
    </row>
    <row r="10" spans="2:12" x14ac:dyDescent="0.25">
      <c r="B10" s="16"/>
      <c r="C10" s="19" t="s">
        <v>16</v>
      </c>
      <c r="D10" s="24">
        <f>SUM(D6:D9)</f>
        <v>96427</v>
      </c>
      <c r="E10" s="20">
        <f>SUM(E6:E9)</f>
        <v>1286132.2799999998</v>
      </c>
      <c r="F10" s="20">
        <f>SUM(F6:F9)</f>
        <v>1607047.1428571427</v>
      </c>
      <c r="G10" s="20">
        <f>+E10-F10</f>
        <v>-320914.86285714293</v>
      </c>
      <c r="H10" s="21">
        <f>ABS(G10/F10)</f>
        <v>0.19969225189411285</v>
      </c>
      <c r="I10" s="20">
        <f>E10/D10</f>
        <v>13.337885447022098</v>
      </c>
      <c r="J10" s="20">
        <f>F10/D10</f>
        <v>16.665945667262726</v>
      </c>
      <c r="K10" s="20">
        <f>I10-J10</f>
        <v>-3.3280602202406282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2025-11-07T02:08:42Z</cp:lastPrinted>
  <dcterms:created xsi:type="dcterms:W3CDTF">2025-01-27T15:11:28Z</dcterms:created>
  <dcterms:modified xsi:type="dcterms:W3CDTF">2025-11-07T02:13:09Z</dcterms:modified>
</cp:coreProperties>
</file>