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3\02 JUN\"/>
    </mc:Choice>
  </mc:AlternateContent>
  <xr:revisionPtr revIDLastSave="0" documentId="13_ncr:1_{8F2A5429-B101-46A4-A0B8-B14B8D9D4897}" xr6:coauthVersionLast="47" xr6:coauthVersionMax="47" xr10:uidLastSave="{00000000-0000-0000-0000-000000000000}"/>
  <bookViews>
    <workbookView xWindow="14925" yWindow="1380" windowWidth="10005" windowHeight="5445" xr2:uid="{4DC6C92A-CD8A-4966-829B-0B6A986E825B}"/>
  </bookViews>
  <sheets>
    <sheet name="REPORTE DIARIO" sheetId="1" r:id="rId1"/>
    <sheet name="DATA" sheetId="4" r:id="rId2"/>
    <sheet name="EPR 01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19" i="1" l="1"/>
  <c r="D19" i="1"/>
  <c r="D28" i="1"/>
  <c r="C28" i="1"/>
  <c r="D6" i="3"/>
  <c r="D44" i="1"/>
  <c r="C44" i="1"/>
  <c r="D57" i="1"/>
  <c r="C57" i="1"/>
  <c r="D49" i="1" l="1"/>
  <c r="C49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<sst xmlns="http://schemas.openxmlformats.org/spreadsheetml/2006/main" count="89" uniqueCount="37">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</sst>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topLeftCell="A19" zoomScaleNormal="100" workbookViewId="0">
      <selection activeCell="C57" sqref="C57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2451</v>
      </c>
      <c r="D5" s="25">
        <v>614663.38000000012</v>
      </c>
    </row>
    <row r="6" spans="2:8" x14ac:dyDescent="0.25">
      <c r="B6" s="1" t="s">
        <v>5</v>
      </c>
      <c r="C6" s="6">
        <v>3024</v>
      </c>
      <c r="D6" s="25">
        <v>403501.06</v>
      </c>
    </row>
    <row r="7" spans="2:8" x14ac:dyDescent="0.25">
      <c r="B7" s="1" t="s">
        <v>6</v>
      </c>
      <c r="C7" s="6">
        <v>5014</v>
      </c>
      <c r="D7" s="25">
        <v>401916.22000000003</v>
      </c>
    </row>
    <row r="8" spans="2:8" x14ac:dyDescent="0.25">
      <c r="B8" s="5" t="s">
        <v>12</v>
      </c>
      <c r="C8" s="7">
        <v>1980</v>
      </c>
      <c r="D8" s="25">
        <v>1063.06</v>
      </c>
    </row>
    <row r="9" spans="2:8" x14ac:dyDescent="0.25">
      <c r="B9" s="1" t="s">
        <v>7</v>
      </c>
      <c r="C9" s="6">
        <v>11356</v>
      </c>
      <c r="D9" s="25">
        <v>504741.11000000004</v>
      </c>
      <c r="E9" s="14"/>
      <c r="F9" s="7"/>
    </row>
    <row r="10" spans="2:8" x14ac:dyDescent="0.25">
      <c r="B10" s="3" t="s">
        <v>8</v>
      </c>
      <c r="C10" s="8">
        <f>SUM(C5:C9)</f>
        <v>23825</v>
      </c>
      <c r="D10" s="4">
        <f>SUM(D5:D9)</f>
        <v>1925884.8300000003</v>
      </c>
      <c r="E10" s="11" t="s">
        <v>14</v>
      </c>
    </row>
    <row r="12" spans="2:8" x14ac:dyDescent="0.25">
      <c r="B12" s="28" t="s">
        <v>30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2722</v>
      </c>
      <c r="D14" s="25">
        <v>302413.51999999996</v>
      </c>
    </row>
    <row r="15" spans="2:8" x14ac:dyDescent="0.25">
      <c r="B15" s="1" t="s">
        <v>5</v>
      </c>
      <c r="C15" s="6">
        <v>2202</v>
      </c>
      <c r="D15" s="25">
        <v>149359.59</v>
      </c>
    </row>
    <row r="16" spans="2:8" x14ac:dyDescent="0.25">
      <c r="B16" s="1" t="s">
        <v>6</v>
      </c>
      <c r="C16" s="6">
        <v>2590</v>
      </c>
      <c r="D16" s="25">
        <v>117900.31</v>
      </c>
    </row>
    <row r="17" spans="2:4" x14ac:dyDescent="0.25">
      <c r="B17" s="5" t="s">
        <v>12</v>
      </c>
      <c r="C17" s="7">
        <v>2</v>
      </c>
      <c r="D17" s="26">
        <v>0</v>
      </c>
    </row>
    <row r="18" spans="2:4" x14ac:dyDescent="0.25">
      <c r="B18" s="1" t="s">
        <v>7</v>
      </c>
      <c r="C18" s="6">
        <v>17744</v>
      </c>
      <c r="D18" s="25">
        <v>233672.76</v>
      </c>
    </row>
    <row r="19" spans="2:4" x14ac:dyDescent="0.25">
      <c r="B19" s="3" t="s">
        <v>8</v>
      </c>
      <c r="C19" s="8">
        <f>SUM(C14:C18)</f>
        <v>25260</v>
      </c>
      <c r="D19" s="4">
        <f>SUM(D14:D18)</f>
        <v>803346.17999999993</v>
      </c>
    </row>
    <row r="21" spans="2:4" x14ac:dyDescent="0.25">
      <c r="B21" s="27" t="s">
        <v>10</v>
      </c>
      <c r="C21" s="27"/>
      <c r="D21" s="27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3143</v>
      </c>
      <c r="D23" s="25">
        <v>359735.89000000007</v>
      </c>
    </row>
    <row r="24" spans="2:4" x14ac:dyDescent="0.25">
      <c r="B24" s="9" t="s">
        <v>5</v>
      </c>
      <c r="C24" s="6">
        <v>1148</v>
      </c>
      <c r="D24" s="25">
        <v>101875.91</v>
      </c>
    </row>
    <row r="25" spans="2:4" x14ac:dyDescent="0.25">
      <c r="B25" s="9" t="s">
        <v>6</v>
      </c>
      <c r="C25" s="6">
        <v>2150</v>
      </c>
      <c r="D25" s="25">
        <v>66238.819999999992</v>
      </c>
    </row>
    <row r="26" spans="2:4" x14ac:dyDescent="0.25">
      <c r="B26" s="5" t="s">
        <v>12</v>
      </c>
      <c r="C26" s="7">
        <v>1</v>
      </c>
      <c r="D26" s="25">
        <v>39</v>
      </c>
    </row>
    <row r="27" spans="2:4" x14ac:dyDescent="0.25">
      <c r="B27" s="9" t="s">
        <v>7</v>
      </c>
      <c r="C27" s="6">
        <v>17174</v>
      </c>
      <c r="D27" s="25">
        <v>138198.23000000001</v>
      </c>
    </row>
    <row r="28" spans="2:4" x14ac:dyDescent="0.25">
      <c r="B28" s="10" t="s">
        <v>8</v>
      </c>
      <c r="C28" s="8">
        <f>SUM(C23:C27)</f>
        <v>23616</v>
      </c>
      <c r="D28" s="4">
        <f>SUM(D23:D27)</f>
        <v>666087.85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53</v>
      </c>
      <c r="D32" s="25">
        <v>32105.06</v>
      </c>
    </row>
    <row r="33" spans="2:4" x14ac:dyDescent="0.25">
      <c r="B33" s="9" t="s">
        <v>5</v>
      </c>
      <c r="C33" s="6">
        <v>3374</v>
      </c>
      <c r="D33" s="25">
        <v>294065.27999999997</v>
      </c>
    </row>
    <row r="34" spans="2:4" x14ac:dyDescent="0.25">
      <c r="B34" s="9" t="s">
        <v>6</v>
      </c>
      <c r="C34" s="6">
        <v>285</v>
      </c>
      <c r="D34" s="25">
        <v>11482.67</v>
      </c>
    </row>
    <row r="35" spans="2:4" x14ac:dyDescent="0.25">
      <c r="B35" s="9" t="s">
        <v>7</v>
      </c>
      <c r="C35" s="6">
        <v>3972</v>
      </c>
      <c r="D35" s="25">
        <v>13104</v>
      </c>
    </row>
    <row r="36" spans="2:4" x14ac:dyDescent="0.25">
      <c r="B36" s="10" t="s">
        <v>8</v>
      </c>
      <c r="C36" s="8">
        <f>SUM(C32:C35)</f>
        <v>7684</v>
      </c>
      <c r="D36" s="4">
        <f>SUM(D32:D35)</f>
        <v>350757.00999999995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1998</v>
      </c>
      <c r="D40" s="25">
        <v>106217.79000000001</v>
      </c>
    </row>
    <row r="41" spans="2:4" x14ac:dyDescent="0.25">
      <c r="B41" s="1" t="s">
        <v>5</v>
      </c>
      <c r="C41" s="6">
        <v>1201</v>
      </c>
      <c r="D41" s="25">
        <v>35368.300000000003</v>
      </c>
    </row>
    <row r="42" spans="2:4" x14ac:dyDescent="0.25">
      <c r="B42" s="1" t="s">
        <v>6</v>
      </c>
      <c r="C42" s="6">
        <v>2003</v>
      </c>
      <c r="D42" s="25">
        <v>13503</v>
      </c>
    </row>
    <row r="43" spans="2:4" x14ac:dyDescent="0.25">
      <c r="B43" s="1" t="s">
        <v>7</v>
      </c>
      <c r="C43" s="6">
        <v>2033</v>
      </c>
      <c r="D43" s="25">
        <v>13969</v>
      </c>
    </row>
    <row r="44" spans="2:4" x14ac:dyDescent="0.25">
      <c r="B44" s="3" t="s">
        <v>8</v>
      </c>
      <c r="C44" s="8">
        <f>SUM(C40:C43)</f>
        <v>7235</v>
      </c>
      <c r="D44" s="4">
        <f>SUM(D40:D43)</f>
        <v>169058.09000000003</v>
      </c>
    </row>
    <row r="46" spans="2:4" x14ac:dyDescent="0.25">
      <c r="B46" s="27" t="s">
        <v>11</v>
      </c>
      <c r="C46" s="27"/>
      <c r="D46" s="27"/>
    </row>
    <row r="47" spans="2:4" x14ac:dyDescent="0.25">
      <c r="B47" s="4" t="s">
        <v>1</v>
      </c>
      <c r="C47" s="4" t="s">
        <v>2</v>
      </c>
      <c r="D47" s="4" t="s">
        <v>3</v>
      </c>
    </row>
    <row r="48" spans="2:4" x14ac:dyDescent="0.25">
      <c r="B48" s="9" t="s">
        <v>4</v>
      </c>
      <c r="C48" s="6">
        <v>2826</v>
      </c>
      <c r="D48" s="25">
        <v>130387</v>
      </c>
    </row>
    <row r="49" spans="2:4" x14ac:dyDescent="0.25">
      <c r="B49" s="10" t="s">
        <v>8</v>
      </c>
      <c r="C49" s="8">
        <f>SUM(C48:C48)</f>
        <v>2826</v>
      </c>
      <c r="D49" s="4">
        <f>SUM(D48:D48)</f>
        <v>130387</v>
      </c>
    </row>
    <row r="51" spans="2:4" x14ac:dyDescent="0.25">
      <c r="B51" s="28" t="s">
        <v>31</v>
      </c>
      <c r="C51" s="28"/>
      <c r="D51" s="28"/>
    </row>
    <row r="52" spans="2:4" x14ac:dyDescent="0.25">
      <c r="B52" s="2" t="s">
        <v>1</v>
      </c>
      <c r="C52" s="2" t="s">
        <v>2</v>
      </c>
      <c r="D52" s="2" t="s">
        <v>3</v>
      </c>
    </row>
    <row r="53" spans="2:4" x14ac:dyDescent="0.25">
      <c r="B53" s="9" t="s">
        <v>4</v>
      </c>
      <c r="C53" s="6">
        <v>586</v>
      </c>
      <c r="D53" s="25">
        <v>33547.79</v>
      </c>
    </row>
    <row r="54" spans="2:4" x14ac:dyDescent="0.25">
      <c r="B54" s="1" t="s">
        <v>5</v>
      </c>
      <c r="C54" s="6">
        <v>700</v>
      </c>
      <c r="D54" s="25">
        <v>18427.809999999998</v>
      </c>
    </row>
    <row r="55" spans="2:4" x14ac:dyDescent="0.25">
      <c r="B55" s="1" t="s">
        <v>6</v>
      </c>
      <c r="C55" s="6">
        <v>811</v>
      </c>
      <c r="D55" s="25">
        <v>6261</v>
      </c>
    </row>
    <row r="56" spans="2:4" x14ac:dyDescent="0.25">
      <c r="B56" s="1" t="s">
        <v>7</v>
      </c>
      <c r="C56" s="6">
        <v>2472</v>
      </c>
      <c r="D56" s="25">
        <v>8775</v>
      </c>
    </row>
    <row r="57" spans="2:4" x14ac:dyDescent="0.25">
      <c r="B57" s="3" t="s">
        <v>8</v>
      </c>
      <c r="C57" s="8">
        <f>SUM(C53:C56)</f>
        <v>4569</v>
      </c>
      <c r="D57" s="4">
        <f>SUM(D53:D56)</f>
        <v>67011.600000000006</v>
      </c>
    </row>
    <row r="59" spans="2:4" x14ac:dyDescent="0.25">
      <c r="B59" s="12" t="s">
        <v>13</v>
      </c>
      <c r="C59" s="13">
        <f>SUM(C10+C28+C36+C49+C19+C57+C44)</f>
        <v>95015</v>
      </c>
      <c r="D59" s="13">
        <f>SUM(D10+D28+D36+D49+D19+D57+D44)</f>
        <v>4112532.56</v>
      </c>
    </row>
  </sheetData>
  <mergeCells count="7">
    <mergeCell ref="B46:D46"/>
    <mergeCell ref="B38:D38"/>
    <mergeCell ref="B12:D12"/>
    <mergeCell ref="B51:D51"/>
    <mergeCell ref="B3:D3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10" sqref="J10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01 JUN'!C6, 'REPORTE DIARIO'!C:C)</f>
        <v>13779</v>
      </c>
      <c r="E6" s="16">
        <f>SUMIF('REPORTE DIARIO'!B:B,'EPR 01 JUN'!C6, 'REPORTE DIARIO'!D:D)</f>
        <v>1579070.4300000004</v>
      </c>
      <c r="F6" s="16">
        <f>J6*D6</f>
        <v>3031380</v>
      </c>
      <c r="G6" s="16">
        <f>+E6-F6</f>
        <v>-1452309.5699999996</v>
      </c>
      <c r="H6" s="15">
        <f>ABS(G6/F6)</f>
        <v>0.47909188884270515</v>
      </c>
      <c r="I6" s="16">
        <f>E6/D6</f>
        <v>114.59978445460486</v>
      </c>
      <c r="J6" s="16">
        <f>(220/7)*7</f>
        <v>220</v>
      </c>
      <c r="K6" s="16">
        <f>+I6-J6</f>
        <v>-105.40021554539514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01 JUN'!C7, 'REPORTE DIARIO'!C:C)</f>
        <v>11649</v>
      </c>
      <c r="E7" s="16">
        <f>SUMIF('REPORTE DIARIO'!B:B,'EPR 01 JUN'!C7, 'REPORTE DIARIO'!D:D)</f>
        <v>1002597.9500000002</v>
      </c>
      <c r="F7" s="16">
        <f>J7*D7</f>
        <v>1281390</v>
      </c>
      <c r="G7" s="16">
        <f>+E7-F7</f>
        <v>-278792.04999999981</v>
      </c>
      <c r="H7" s="15">
        <f>ABS(G7/F7)</f>
        <v>0.21757002161714997</v>
      </c>
      <c r="I7" s="16">
        <f>E7/D7</f>
        <v>86.0672976221135</v>
      </c>
      <c r="J7" s="16">
        <f>(110/7)*7</f>
        <v>110</v>
      </c>
      <c r="K7" s="16">
        <f t="shared" ref="K7:K9" si="0">+I7-J7</f>
        <v>-23.9327023778865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01 JUN'!C8, 'REPORTE DIARIO'!C:C)</f>
        <v>12853</v>
      </c>
      <c r="E8" s="16">
        <f>SUMIF('REPORTE DIARIO'!B:B,'EPR 01 JUN'!C8, 'REPORTE DIARIO'!D:D)</f>
        <v>617302.02</v>
      </c>
      <c r="F8" s="16">
        <f>J8*D8</f>
        <v>578385</v>
      </c>
      <c r="G8" s="16">
        <f>+E8-F8</f>
        <v>38917.020000000019</v>
      </c>
      <c r="H8" s="15">
        <f>ABS(G8/F8)</f>
        <v>6.7285666122046769E-2</v>
      </c>
      <c r="I8" s="16">
        <f>E8/D8</f>
        <v>48.027854975492104</v>
      </c>
      <c r="J8" s="16">
        <f>(45/7)*7</f>
        <v>45</v>
      </c>
      <c r="K8" s="16">
        <f t="shared" si="0"/>
        <v>3.0278549754921045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01 JUN'!C9, 'REPORTE DIARIO'!C:C)</f>
        <v>54751</v>
      </c>
      <c r="E9" s="16">
        <f>SUMIF('REPORTE DIARIO'!B:B,'EPR 01 JUN'!C9, 'REPORTE DIARIO'!D:D)</f>
        <v>912460.10000000009</v>
      </c>
      <c r="F9" s="16">
        <f>J9*D9</f>
        <v>821265</v>
      </c>
      <c r="G9" s="16">
        <f>+E9-F9</f>
        <v>91195.100000000093</v>
      </c>
      <c r="H9" s="15">
        <f>ABS(G9/F9)</f>
        <v>0.111042233627392</v>
      </c>
      <c r="I9" s="16">
        <f>E9/D9</f>
        <v>16.665633504410881</v>
      </c>
      <c r="J9" s="16">
        <f>(15/7)*7</f>
        <v>15</v>
      </c>
      <c r="K9" s="16">
        <f t="shared" si="0"/>
        <v>1.6656335044108808</v>
      </c>
    </row>
    <row r="10" spans="2:12" x14ac:dyDescent="0.25">
      <c r="B10" s="16"/>
      <c r="C10" s="19" t="s">
        <v>17</v>
      </c>
      <c r="D10" s="24">
        <f>SUM(D6:D9)</f>
        <v>93032</v>
      </c>
      <c r="E10" s="20">
        <f>SUM(E6:E9)</f>
        <v>4111430.5000000009</v>
      </c>
      <c r="F10" s="20">
        <f>SUM(F6:F9)</f>
        <v>5712420</v>
      </c>
      <c r="G10" s="20">
        <f>+E10-F10</f>
        <v>-1600989.4999999991</v>
      </c>
      <c r="H10" s="21">
        <f>ABS(G10/F10)</f>
        <v>0.28026466891440038</v>
      </c>
      <c r="I10" s="20">
        <f>E10/D10</f>
        <v>44.193723664975501</v>
      </c>
      <c r="J10" s="20">
        <f>F10/D10</f>
        <v>61.402743142144637</v>
      </c>
      <c r="K10" s="20">
        <f>I10-J10</f>
        <v>-17.209019477169136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01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2025-05-23T14:10:25Z</cp:lastPrinted>
  <dcterms:created xsi:type="dcterms:W3CDTF">2025-01-27T15:11:28Z</dcterms:created>
  <dcterms:modified xsi:type="dcterms:W3CDTF">2025-06-02T14:55:13Z</dcterms:modified>
</cp:coreProperties>
</file>