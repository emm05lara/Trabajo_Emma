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4 JUN\MAÑANA\"/>
    </mc:Choice>
  </mc:AlternateContent>
  <xr:revisionPtr revIDLastSave="0" documentId="13_ncr:1_{A835D1E6-0EEF-46B2-8D29-D74E2EF48BC0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04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52" i="1"/>
  <c r="C52" i="1"/>
  <c r="D44" i="1"/>
  <c r="C44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<sst xmlns="http://schemas.openxmlformats.org/spreadsheetml/2006/main" count="89" uniqueCount="37">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</sst>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2537</v>
      </c>
      <c r="D5" s="25">
        <v>110746.58</v>
      </c>
    </row>
    <row r="6" spans="2:8" x14ac:dyDescent="0.25">
      <c r="B6" s="1" t="s">
        <v>5</v>
      </c>
      <c r="C6" s="6">
        <v>2929</v>
      </c>
      <c r="D6" s="25">
        <v>189826.88</v>
      </c>
    </row>
    <row r="7" spans="2:8" x14ac:dyDescent="0.25">
      <c r="B7" s="1" t="s">
        <v>6</v>
      </c>
      <c r="C7" s="6">
        <v>5267</v>
      </c>
      <c r="D7" s="25">
        <v>111016.30999999998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11548</v>
      </c>
      <c r="D9" s="25">
        <v>156250.69</v>
      </c>
      <c r="E9" s="14"/>
      <c r="F9" s="7"/>
    </row>
    <row r="10" spans="2:8" x14ac:dyDescent="0.25">
      <c r="B10" s="3" t="s">
        <v>8</v>
      </c>
      <c r="C10" s="8">
        <f>SUM(C5:C9)</f>
        <v>22292</v>
      </c>
      <c r="D10" s="4">
        <f>SUM(D5:D9)</f>
        <v>567840.46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2836</v>
      </c>
      <c r="D14" s="25">
        <v>91301.87</v>
      </c>
    </row>
    <row r="15" spans="2:8" x14ac:dyDescent="0.25">
      <c r="B15" s="1" t="s">
        <v>5</v>
      </c>
      <c r="C15" s="6">
        <v>2182</v>
      </c>
      <c r="D15" s="25">
        <v>33521.94</v>
      </c>
    </row>
    <row r="16" spans="2:8" x14ac:dyDescent="0.25">
      <c r="B16" s="1" t="s">
        <v>6</v>
      </c>
      <c r="C16" s="6">
        <v>2723</v>
      </c>
      <c r="D16" s="25">
        <v>63705.17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17866</v>
      </c>
      <c r="D18" s="25">
        <v>28108</v>
      </c>
    </row>
    <row r="19" spans="2:4" x14ac:dyDescent="0.25">
      <c r="B19" s="3" t="s">
        <v>8</v>
      </c>
      <c r="C19" s="8">
        <f>SUM(C14:C18)</f>
        <v>25609</v>
      </c>
      <c r="D19" s="4">
        <f>SUM(D14:D18)</f>
        <v>216636.97999999998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3170</v>
      </c>
      <c r="D23" s="25">
        <v>83633.509999999995</v>
      </c>
    </row>
    <row r="24" spans="2:4" x14ac:dyDescent="0.25">
      <c r="B24" s="9" t="s">
        <v>5</v>
      </c>
      <c r="C24" s="6">
        <v>1138</v>
      </c>
      <c r="D24" s="25">
        <v>20377.61</v>
      </c>
    </row>
    <row r="25" spans="2:4" x14ac:dyDescent="0.25">
      <c r="B25" s="9" t="s">
        <v>6</v>
      </c>
      <c r="C25" s="6">
        <v>2148</v>
      </c>
      <c r="D25" s="25">
        <v>16076.45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17171</v>
      </c>
      <c r="D27" s="25">
        <v>19753.39</v>
      </c>
    </row>
    <row r="28" spans="2:4" x14ac:dyDescent="0.25">
      <c r="B28" s="10" t="s">
        <v>8</v>
      </c>
      <c r="C28" s="8">
        <f>SUM(C23:C27)</f>
        <v>23628</v>
      </c>
      <c r="D28" s="4">
        <f>SUM(D23:D27)</f>
        <v>139840.95999999999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53</v>
      </c>
      <c r="D32" s="25">
        <v>5518.5</v>
      </c>
    </row>
    <row r="33" spans="2:4" x14ac:dyDescent="0.25">
      <c r="B33" s="9" t="s">
        <v>5</v>
      </c>
      <c r="C33" s="6">
        <v>3433</v>
      </c>
      <c r="D33" s="25">
        <v>74773.39</v>
      </c>
    </row>
    <row r="34" spans="2:4" x14ac:dyDescent="0.25">
      <c r="B34" s="9" t="s">
        <v>6</v>
      </c>
      <c r="C34" s="6">
        <v>289</v>
      </c>
      <c r="D34" s="25">
        <v>14808</v>
      </c>
    </row>
    <row r="35" spans="2:4" x14ac:dyDescent="0.25">
      <c r="B35" s="9" t="s">
        <v>7</v>
      </c>
      <c r="C35" s="6">
        <v>3972</v>
      </c>
      <c r="D35" s="25">
        <v>2112</v>
      </c>
    </row>
    <row r="36" spans="2:4" x14ac:dyDescent="0.25">
      <c r="B36" s="10" t="s">
        <v>8</v>
      </c>
      <c r="C36" s="8">
        <f>SUM(C32:C35)</f>
        <v>7747</v>
      </c>
      <c r="D36" s="4">
        <f>SUM(D32:D35)</f>
        <v>97211.89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586</v>
      </c>
      <c r="D40" s="25">
        <v>57945.93</v>
      </c>
    </row>
    <row r="41" spans="2:4" x14ac:dyDescent="0.25">
      <c r="B41" s="1" t="s">
        <v>5</v>
      </c>
      <c r="C41" s="6">
        <v>647</v>
      </c>
      <c r="D41" s="25">
        <v>4963</v>
      </c>
    </row>
    <row r="42" spans="2:4" x14ac:dyDescent="0.25">
      <c r="B42" s="1" t="s">
        <v>6</v>
      </c>
      <c r="C42" s="6">
        <v>806</v>
      </c>
      <c r="D42" s="25">
        <v>491</v>
      </c>
    </row>
    <row r="43" spans="2:4" x14ac:dyDescent="0.25">
      <c r="B43" s="1" t="s">
        <v>7</v>
      </c>
      <c r="C43" s="6">
        <v>2471</v>
      </c>
      <c r="D43" s="25">
        <v>6194</v>
      </c>
    </row>
    <row r="44" spans="2:4" x14ac:dyDescent="0.25">
      <c r="B44" s="3" t="s">
        <v>8</v>
      </c>
      <c r="C44" s="8">
        <f>SUM(C40:C43)</f>
        <v>4510</v>
      </c>
      <c r="D44" s="4">
        <f>SUM(D40:D43)</f>
        <v>69593.929999999993</v>
      </c>
    </row>
    <row r="46" spans="2:4" x14ac:dyDescent="0.25">
      <c r="B46" s="28" t="s">
        <v>32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2114</v>
      </c>
      <c r="D48" s="25">
        <v>29585.9</v>
      </c>
    </row>
    <row r="49" spans="2:4" x14ac:dyDescent="0.25">
      <c r="B49" s="1" t="s">
        <v>5</v>
      </c>
      <c r="C49" s="6">
        <v>1309</v>
      </c>
      <c r="D49" s="25">
        <v>3322</v>
      </c>
    </row>
    <row r="50" spans="2:4" x14ac:dyDescent="0.25">
      <c r="B50" s="1" t="s">
        <v>6</v>
      </c>
      <c r="C50" s="6">
        <v>2182</v>
      </c>
      <c r="D50" s="25">
        <v>1731</v>
      </c>
    </row>
    <row r="51" spans="2:4" x14ac:dyDescent="0.25">
      <c r="B51" s="1" t="s">
        <v>7</v>
      </c>
      <c r="C51" s="6">
        <v>2166</v>
      </c>
      <c r="D51" s="25">
        <v>8468.4599999999991</v>
      </c>
    </row>
    <row r="52" spans="2:4" x14ac:dyDescent="0.25">
      <c r="B52" s="3" t="s">
        <v>8</v>
      </c>
      <c r="C52" s="8">
        <f>SUM(C48:C51)</f>
        <v>7771</v>
      </c>
      <c r="D52" s="4">
        <f>SUM(D48:D51)</f>
        <v>43107.360000000001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2833</v>
      </c>
      <c r="D56" s="25">
        <v>15268</v>
      </c>
    </row>
    <row r="57" spans="2:4" x14ac:dyDescent="0.25">
      <c r="B57" s="10" t="s">
        <v>8</v>
      </c>
      <c r="C57" s="8">
        <f>SUM(C56:C56)</f>
        <v>2833</v>
      </c>
      <c r="D57" s="4">
        <f>SUM(D56:D56)</f>
        <v>15268</v>
      </c>
    </row>
    <row r="59" spans="2:4" x14ac:dyDescent="0.25">
      <c r="B59" s="12" t="s">
        <v>13</v>
      </c>
      <c r="C59" s="13">
        <f>SUM(C10+C28+C36+C57+C19+C44+C52)</f>
        <v>94390</v>
      </c>
      <c r="D59" s="13">
        <f>SUM(D10+D28+D36+D57+D19+D44+D52)</f>
        <v>1149499.58</v>
      </c>
    </row>
  </sheetData>
  <mergeCells count="7">
    <mergeCell ref="B54:D54"/>
    <mergeCell ref="B46:D46"/>
    <mergeCell ref="B12:D12"/>
    <mergeCell ref="B38:D38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04 JUN'!C6, 'REPORTE DIARIO'!C:C)</f>
        <v>14129</v>
      </c>
      <c r="E6" s="16">
        <f>SUMIF('REPORTE DIARIO'!B:B,'EPR 04 JUN'!C6, 'REPORTE DIARIO'!D:D)</f>
        <v>394000.29000000004</v>
      </c>
      <c r="F6" s="16">
        <f>J6*D6</f>
        <v>1332162.857142857</v>
      </c>
      <c r="G6" s="16">
        <f>+E6-F6</f>
        <v>-938162.56714285701</v>
      </c>
      <c r="H6" s="15">
        <f>ABS(G6/F6)</f>
        <v>0.70424014760100107</v>
      </c>
      <c r="I6" s="16">
        <f>E6/D6</f>
        <v>27.885928940477037</v>
      </c>
      <c r="J6" s="16">
        <f>(220/7)*3</f>
        <v>94.285714285714278</v>
      </c>
      <c r="K6" s="16">
        <f>+I6-J6</f>
        <v>-66.399785345237234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04 JUN'!C7, 'REPORTE DIARIO'!C:C)</f>
        <v>11638</v>
      </c>
      <c r="E7" s="16">
        <f>SUMIF('REPORTE DIARIO'!B:B,'EPR 04 JUN'!C7, 'REPORTE DIARIO'!D:D)</f>
        <v>326784.82</v>
      </c>
      <c r="F7" s="16">
        <f>J7*D7</f>
        <v>548648.57142857136</v>
      </c>
      <c r="G7" s="16">
        <f>+E7-F7</f>
        <v>-221863.75142857136</v>
      </c>
      <c r="H7" s="15">
        <f>ABS(G7/F7)</f>
        <v>0.40438226395246496</v>
      </c>
      <c r="I7" s="16">
        <f>E7/D7</f>
        <v>28.079121842240937</v>
      </c>
      <c r="J7" s="16">
        <f>(110/7)*3</f>
        <v>47.142857142857139</v>
      </c>
      <c r="K7" s="16">
        <f t="shared" ref="K7:K9" si="0">+I7-J7</f>
        <v>-19.063735300616202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04 JUN'!C8, 'REPORTE DIARIO'!C:C)</f>
        <v>13415</v>
      </c>
      <c r="E8" s="16">
        <f>SUMIF('REPORTE DIARIO'!B:B,'EPR 04 JUN'!C8, 'REPORTE DIARIO'!D:D)</f>
        <v>207827.93</v>
      </c>
      <c r="F8" s="16">
        <f>J8*D8</f>
        <v>258717.85714285713</v>
      </c>
      <c r="G8" s="16">
        <f>+E8-F8</f>
        <v>-50889.927142857137</v>
      </c>
      <c r="H8" s="15">
        <f>ABS(G8/F8)</f>
        <v>0.19670048177137256</v>
      </c>
      <c r="I8" s="16">
        <f>E8/D8</f>
        <v>15.492204994409242</v>
      </c>
      <c r="J8" s="16">
        <f>(45/7)*3</f>
        <v>19.285714285714285</v>
      </c>
      <c r="K8" s="16">
        <f t="shared" si="0"/>
        <v>-3.7935092913050426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04 JUN'!C9, 'REPORTE DIARIO'!C:C)</f>
        <v>55194</v>
      </c>
      <c r="E9" s="16">
        <f>SUMIF('REPORTE DIARIO'!B:B,'EPR 04 JUN'!C9, 'REPORTE DIARIO'!D:D)</f>
        <v>220886.54</v>
      </c>
      <c r="F9" s="16">
        <f>J9*D9</f>
        <v>354818.57142857142</v>
      </c>
      <c r="G9" s="16">
        <f>+E9-F9</f>
        <v>-133932.03142857141</v>
      </c>
      <c r="H9" s="15">
        <f>ABS(G9/F9)</f>
        <v>0.37746623827871784</v>
      </c>
      <c r="I9" s="16">
        <f>E9/D9</f>
        <v>4.002002753922528</v>
      </c>
      <c r="J9" s="16">
        <f>(15/7)*3</f>
        <v>6.4285714285714288</v>
      </c>
      <c r="K9" s="16">
        <f t="shared" si="0"/>
        <v>-2.4265686746489008</v>
      </c>
    </row>
    <row r="10" spans="2:12" x14ac:dyDescent="0.25">
      <c r="B10" s="16"/>
      <c r="C10" s="19" t="s">
        <v>17</v>
      </c>
      <c r="D10" s="24">
        <f>SUM(D6:D9)</f>
        <v>94376</v>
      </c>
      <c r="E10" s="20">
        <f>SUM(E6:E9)</f>
        <v>1149499.58</v>
      </c>
      <c r="F10" s="20">
        <f>SUM(F6:F9)</f>
        <v>2494347.8571428568</v>
      </c>
      <c r="G10" s="20">
        <f>+E10-F10</f>
        <v>-1344848.2771428567</v>
      </c>
      <c r="H10" s="21">
        <f>ABS(G10/F10)</f>
        <v>0.53915827068455047</v>
      </c>
      <c r="I10" s="20">
        <f>E10/D10</f>
        <v>12.179998940408579</v>
      </c>
      <c r="J10" s="20">
        <f>F10/D10</f>
        <v>26.429895917848359</v>
      </c>
      <c r="K10" s="20">
        <f>I10-J10</f>
        <v>-14.24989697743978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04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2025-06-04T14:54:52Z</dcterms:modified>
</cp:coreProperties>
</file>