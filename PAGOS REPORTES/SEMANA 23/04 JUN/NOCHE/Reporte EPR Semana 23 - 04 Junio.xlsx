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4 JUN\NOCHE\"/>
    </mc:Choice>
  </mc:AlternateContent>
  <xr:revisionPtr revIDLastSave="0" documentId="13_ncr:1_{EB9CF468-19AC-4451-9271-EF4AA9D7FA36}" xr6:coauthVersionLast="47" xr6:coauthVersionMax="47" xr10:uidLastSave="{00000000-0000-0000-0000-000000000000}"/>
  <bookViews>
    <workbookView xWindow="21825" yWindow="8280" windowWidth="10005" windowHeight="5445" activeTab="2" xr2:uid="{4DC6C92A-CD8A-4966-829B-0B6A986E825B}"/>
  </bookViews>
  <sheets>
    <sheet name="REPORTE DIARIO" sheetId="1" r:id="rId1"/>
    <sheet name="DATA" sheetId="4" r:id="rId2"/>
    <sheet name="EPR 04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J6" i="3"/>
  <c r="D57" i="1"/>
  <c r="D36" i="1"/>
  <c r="C36" i="1"/>
  <c r="C57" i="1"/>
  <c r="D19" i="1" l="1"/>
  <c r="C19" i="1"/>
  <c r="J9" i="3"/>
  <c r="J8" i="3"/>
  <c r="J7" i="3"/>
  <c r="D6" i="3"/>
  <c r="F6" i="3" s="1"/>
  <c r="D41" i="1"/>
  <c r="C41" i="1"/>
  <c r="D49" i="1"/>
  <c r="C49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<sst xmlns="http://schemas.openxmlformats.org/spreadsheetml/2006/main" count="88" uniqueCount="36">
  <si>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</si>
  <si>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</si>
  <si>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</si>
  <si>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</si>
  <si>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</si>
  <si>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</si>
  <si>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</si>
  <si>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</si>
  <si>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</si>
  <si>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</si>
  <si>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</si>
  <si>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</si>
  <si>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</si>
  <si>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</si>
  <si>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</si>
  <si>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</si>
  <si>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</si>
  <si>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</si>
  <si>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</si>
  <si>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</si>
  <si>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</si>
  <si>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</si>
  <si>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</si>
  <si>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</si>
  <si>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</si>
  <si>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</si>
  <si>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</si>
  <si>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</si>
  <si>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</si>
  <si>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</si>
  <si>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</si>
  <si>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</si>
  <si>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</si>
  <si>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</si>
  <si>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</si>
  <si>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04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</si>
</sst>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2626</v>
      </c>
      <c r="D5" s="25">
        <v>32234.47</v>
      </c>
    </row>
    <row r="6" spans="2:8" x14ac:dyDescent="0.25">
      <c r="B6" s="1" t="s">
        <v>5</v>
      </c>
      <c r="C6" s="6">
        <v>2960</v>
      </c>
      <c r="D6" s="25">
        <v>35646</v>
      </c>
    </row>
    <row r="7" spans="2:8" x14ac:dyDescent="0.25">
      <c r="B7" s="1" t="s">
        <v>6</v>
      </c>
      <c r="C7" s="6">
        <v>5515</v>
      </c>
      <c r="D7" s="25">
        <v>25708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11575</v>
      </c>
      <c r="D9" s="25">
        <v>67988.69</v>
      </c>
    </row>
    <row r="10" spans="2:8" x14ac:dyDescent="0.25">
      <c r="B10" s="3" t="s">
        <v>8</v>
      </c>
      <c r="C10" s="8">
        <f>SUM(C5:C9)</f>
        <v>22687</v>
      </c>
      <c r="D10" s="4">
        <f>SUM(D5:D9)</f>
        <v>161577.16</v>
      </c>
    </row>
    <row r="12" spans="2:8" x14ac:dyDescent="0.25">
      <c r="B12" s="28" t="s">
        <v>29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2880</v>
      </c>
      <c r="D14" s="25">
        <v>34192</v>
      </c>
    </row>
    <row r="15" spans="2:8" x14ac:dyDescent="0.25">
      <c r="B15" s="1" t="s">
        <v>5</v>
      </c>
      <c r="C15" s="6">
        <v>2114</v>
      </c>
      <c r="D15" s="25">
        <v>33455</v>
      </c>
    </row>
    <row r="16" spans="2:8" x14ac:dyDescent="0.25">
      <c r="B16" s="1" t="s">
        <v>6</v>
      </c>
      <c r="C16" s="6">
        <v>2743</v>
      </c>
      <c r="D16" s="25">
        <v>6910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17881</v>
      </c>
      <c r="D18" s="25">
        <v>15599.73</v>
      </c>
    </row>
    <row r="19" spans="2:11" x14ac:dyDescent="0.25">
      <c r="B19" s="3" t="s">
        <v>8</v>
      </c>
      <c r="C19" s="8">
        <f>SUM(C14:C18)</f>
        <v>25620</v>
      </c>
      <c r="D19" s="4">
        <f>SUM(D14:D18)</f>
        <v>90156.73</v>
      </c>
    </row>
    <row r="21" spans="2:11" x14ac:dyDescent="0.25">
      <c r="B21" s="29" t="s">
        <v>10</v>
      </c>
      <c r="C21" s="29"/>
      <c r="D21" s="29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3218</v>
      </c>
      <c r="D23" s="25">
        <v>56506.840000000004</v>
      </c>
    </row>
    <row r="24" spans="2:11" x14ac:dyDescent="0.25">
      <c r="B24" s="9" t="s">
        <v>5</v>
      </c>
      <c r="C24" s="6">
        <v>1015</v>
      </c>
      <c r="D24" s="25">
        <v>942</v>
      </c>
    </row>
    <row r="25" spans="2:11" x14ac:dyDescent="0.25">
      <c r="B25" s="9" t="s">
        <v>6</v>
      </c>
      <c r="C25" s="6">
        <v>2120</v>
      </c>
      <c r="D25" s="25">
        <v>1038</v>
      </c>
    </row>
    <row r="26" spans="2:11" x14ac:dyDescent="0.25">
      <c r="B26" s="5" t="s">
        <v>12</v>
      </c>
      <c r="C26" s="7">
        <v>1</v>
      </c>
      <c r="D26" s="27">
        <v>0</v>
      </c>
      <c r="K26" s="7"/>
    </row>
    <row r="27" spans="2:11" x14ac:dyDescent="0.25">
      <c r="B27" s="9" t="s">
        <v>7</v>
      </c>
      <c r="C27" s="6">
        <v>16874</v>
      </c>
      <c r="D27" s="25">
        <v>2053.0100000000002</v>
      </c>
    </row>
    <row r="28" spans="2:11" x14ac:dyDescent="0.25">
      <c r="B28" s="10" t="s">
        <v>8</v>
      </c>
      <c r="C28" s="8">
        <f>SUM(C23:C27)</f>
        <v>23228</v>
      </c>
      <c r="D28" s="4">
        <f>SUM(D23:D27)</f>
        <v>60539.850000000006</v>
      </c>
    </row>
    <row r="30" spans="2:11" x14ac:dyDescent="0.25">
      <c r="B30" s="28" t="s">
        <v>31</v>
      </c>
      <c r="C30" s="28"/>
      <c r="D30" s="28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2196</v>
      </c>
      <c r="D32" s="25">
        <v>8794</v>
      </c>
    </row>
    <row r="33" spans="2:4" x14ac:dyDescent="0.25">
      <c r="B33" s="1" t="s">
        <v>5</v>
      </c>
      <c r="C33" s="6">
        <v>1346</v>
      </c>
      <c r="D33" s="25">
        <v>1663</v>
      </c>
    </row>
    <row r="34" spans="2:4" x14ac:dyDescent="0.25">
      <c r="B34" s="1" t="s">
        <v>6</v>
      </c>
      <c r="C34" s="6">
        <v>2200</v>
      </c>
      <c r="D34" s="25">
        <v>1000</v>
      </c>
    </row>
    <row r="35" spans="2:4" x14ac:dyDescent="0.25">
      <c r="B35" s="1" t="s">
        <v>7</v>
      </c>
      <c r="C35" s="6">
        <v>2186</v>
      </c>
      <c r="D35" s="25">
        <v>45111.75</v>
      </c>
    </row>
    <row r="36" spans="2:4" x14ac:dyDescent="0.25">
      <c r="B36" s="3" t="s">
        <v>8</v>
      </c>
      <c r="C36" s="8">
        <f>SUM(C32:C35)</f>
        <v>7928</v>
      </c>
      <c r="D36" s="4">
        <f>SUM(D32:D35)</f>
        <v>56568.75</v>
      </c>
    </row>
    <row r="38" spans="2:4" x14ac:dyDescent="0.25">
      <c r="B38" s="29" t="s">
        <v>11</v>
      </c>
      <c r="C38" s="29"/>
      <c r="D38" s="29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2837</v>
      </c>
      <c r="D40" s="25">
        <v>41811</v>
      </c>
    </row>
    <row r="41" spans="2:4" x14ac:dyDescent="0.25">
      <c r="B41" s="10" t="s">
        <v>8</v>
      </c>
      <c r="C41" s="8">
        <f>SUM(C40:C40)</f>
        <v>2837</v>
      </c>
      <c r="D41" s="4">
        <f>SUM(D40:D40)</f>
        <v>41811</v>
      </c>
    </row>
    <row r="43" spans="2:4" x14ac:dyDescent="0.25">
      <c r="B43" s="28" t="s">
        <v>9</v>
      </c>
      <c r="C43" s="28"/>
      <c r="D43" s="28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52</v>
      </c>
      <c r="D45" s="25">
        <v>1801</v>
      </c>
    </row>
    <row r="46" spans="2:4" x14ac:dyDescent="0.25">
      <c r="B46" s="9" t="s">
        <v>5</v>
      </c>
      <c r="C46" s="6">
        <v>3312</v>
      </c>
      <c r="D46" s="25">
        <v>25052.260000000002</v>
      </c>
    </row>
    <row r="47" spans="2:4" x14ac:dyDescent="0.25">
      <c r="B47" s="9" t="s">
        <v>6</v>
      </c>
      <c r="C47" s="6">
        <v>286</v>
      </c>
      <c r="D47" s="26">
        <v>0</v>
      </c>
    </row>
    <row r="48" spans="2:4" x14ac:dyDescent="0.25">
      <c r="B48" s="9" t="s">
        <v>7</v>
      </c>
      <c r="C48" s="6">
        <v>3953</v>
      </c>
      <c r="D48" s="25">
        <v>770</v>
      </c>
    </row>
    <row r="49" spans="2:4" x14ac:dyDescent="0.25">
      <c r="B49" s="10" t="s">
        <v>8</v>
      </c>
      <c r="C49" s="8">
        <f>SUM(C45:C48)</f>
        <v>7603</v>
      </c>
      <c r="D49" s="4">
        <f>SUM(D45:D48)</f>
        <v>27623.260000000002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585</v>
      </c>
      <c r="D53" s="25">
        <v>1420</v>
      </c>
    </row>
    <row r="54" spans="2:4" x14ac:dyDescent="0.25">
      <c r="B54" s="1" t="s">
        <v>5</v>
      </c>
      <c r="C54" s="6">
        <v>642</v>
      </c>
      <c r="D54" s="25">
        <v>1000</v>
      </c>
    </row>
    <row r="55" spans="2:4" x14ac:dyDescent="0.25">
      <c r="B55" s="1" t="s">
        <v>6</v>
      </c>
      <c r="C55" s="6">
        <v>805</v>
      </c>
      <c r="D55" s="26">
        <v>0</v>
      </c>
    </row>
    <row r="56" spans="2:4" x14ac:dyDescent="0.25">
      <c r="B56" s="1" t="s">
        <v>7</v>
      </c>
      <c r="C56" s="6">
        <v>2469</v>
      </c>
      <c r="D56" s="25">
        <v>1867</v>
      </c>
    </row>
    <row r="57" spans="2:4" x14ac:dyDescent="0.25">
      <c r="B57" s="3" t="s">
        <v>8</v>
      </c>
      <c r="C57" s="8">
        <f>SUM(C53:C56)</f>
        <v>4501</v>
      </c>
      <c r="D57" s="4">
        <f>SUM(D53:D56)</f>
        <v>4287</v>
      </c>
    </row>
    <row r="59" spans="2:4" x14ac:dyDescent="0.25">
      <c r="B59" s="11" t="s">
        <v>13</v>
      </c>
      <c r="C59" s="12">
        <f>SUM(C10+C49+C28+C41+C19+C57+C36)</f>
        <v>94404</v>
      </c>
      <c r="D59" s="12">
        <f>SUM(D10+D49+D28+D41+D19+D57+D36)</f>
        <v>442563.75</v>
      </c>
    </row>
  </sheetData>
  <mergeCells count="7">
    <mergeCell ref="B3:D3"/>
    <mergeCell ref="B43:D43"/>
    <mergeCell ref="B38:D38"/>
    <mergeCell ref="B51:D51"/>
    <mergeCell ref="B12:D12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04 JUN'!C6, 'REPORTE DIARIO'!C:C)</f>
        <v>14394</v>
      </c>
      <c r="E6" s="15">
        <f>SUMIF('REPORTE DIARIO'!B:B,'EPR 04 JUN'!C6, 'REPORTE DIARIO'!D:D)</f>
        <v>176759.31</v>
      </c>
      <c r="F6" s="15">
        <f>J6*D6</f>
        <v>452382.8571428571</v>
      </c>
      <c r="G6" s="15">
        <f>+E6-F6</f>
        <v>-275623.5471428571</v>
      </c>
      <c r="H6" s="14">
        <f>ABS(G6/F6)</f>
        <v>0.609270538860889</v>
      </c>
      <c r="I6" s="15">
        <f>E6/D6</f>
        <v>12.280068778657775</v>
      </c>
      <c r="J6" s="15">
        <f>220/7</f>
        <v>31.428571428571427</v>
      </c>
      <c r="K6" s="15">
        <f>+I6-J6</f>
        <v>-19.148502649913652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04 JUN'!C7, 'REPORTE DIARIO'!C:C)</f>
        <v>11389</v>
      </c>
      <c r="E7" s="15">
        <f>SUMIF('REPORTE DIARIO'!B:B,'EPR 04 JUN'!C7, 'REPORTE DIARIO'!D:D)</f>
        <v>97758.260000000009</v>
      </c>
      <c r="F7" s="15">
        <f>J7*D7</f>
        <v>178970</v>
      </c>
      <c r="G7" s="15">
        <f>+E7-F7</f>
        <v>-81211.739999999991</v>
      </c>
      <c r="H7" s="14">
        <f>ABS(G7/F7)</f>
        <v>0.4537729228362295</v>
      </c>
      <c r="I7" s="15">
        <f>E7/D7</f>
        <v>8.5835683554306801</v>
      </c>
      <c r="J7" s="15">
        <f>110/7</f>
        <v>15.714285714285714</v>
      </c>
      <c r="K7" s="15">
        <f t="shared" ref="K7:K9" si="0">+I7-J7</f>
        <v>-7.1307173588550334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04 JUN'!C8, 'REPORTE DIARIO'!C:C)</f>
        <v>13669</v>
      </c>
      <c r="E8" s="15">
        <f>SUMIF('REPORTE DIARIO'!B:B,'EPR 04 JUN'!C8, 'REPORTE DIARIO'!D:D)</f>
        <v>34656</v>
      </c>
      <c r="F8" s="15">
        <f>J8*D8</f>
        <v>87872.142857142855</v>
      </c>
      <c r="G8" s="15">
        <f>+E8-F8</f>
        <v>-53216.142857142855</v>
      </c>
      <c r="H8" s="14">
        <f>ABS(G8/F8)</f>
        <v>0.60560879849781746</v>
      </c>
      <c r="I8" s="15">
        <f>E8/D8</f>
        <v>2.5353720096568879</v>
      </c>
      <c r="J8" s="15">
        <f>45/7</f>
        <v>6.4285714285714288</v>
      </c>
      <c r="K8" s="15">
        <f t="shared" si="0"/>
        <v>-3.8931994189145409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04 JUN'!C9, 'REPORTE DIARIO'!C:C)</f>
        <v>54938</v>
      </c>
      <c r="E9" s="15">
        <f>SUMIF('REPORTE DIARIO'!B:B,'EPR 04 JUN'!C9, 'REPORTE DIARIO'!D:D)</f>
        <v>133390.18</v>
      </c>
      <c r="F9" s="15">
        <f>J9*D9</f>
        <v>117724.28571428571</v>
      </c>
      <c r="G9" s="15">
        <f>+E9-F9</f>
        <v>15665.894285714283</v>
      </c>
      <c r="H9" s="14">
        <f>ABS(G9/F9)</f>
        <v>0.13307274867426308</v>
      </c>
      <c r="I9" s="15">
        <f>E9/D9</f>
        <v>2.4280130328734209</v>
      </c>
      <c r="J9" s="15">
        <f>15/7</f>
        <v>2.1428571428571428</v>
      </c>
      <c r="K9" s="15">
        <f t="shared" si="0"/>
        <v>0.28515589001627806</v>
      </c>
    </row>
    <row r="10" spans="2:12" x14ac:dyDescent="0.25">
      <c r="B10" s="15"/>
      <c r="C10" s="18" t="s">
        <v>16</v>
      </c>
      <c r="D10" s="23">
        <f>SUM(D6:D9)</f>
        <v>94390</v>
      </c>
      <c r="E10" s="19">
        <f>SUM(E6:E9)</f>
        <v>442563.75</v>
      </c>
      <c r="F10" s="19">
        <f>SUM(F6:F9)</f>
        <v>836949.28571428556</v>
      </c>
      <c r="G10" s="19">
        <f>+E10-F10</f>
        <v>-394385.53571428556</v>
      </c>
      <c r="H10" s="20">
        <f>ABS(G10/F10)</f>
        <v>0.47121796080834383</v>
      </c>
      <c r="I10" s="19">
        <f>E10/D10</f>
        <v>4.6886719991524526</v>
      </c>
      <c r="J10" s="19">
        <f>F10/D10</f>
        <v>8.866927489292145</v>
      </c>
      <c r="K10" s="19">
        <f>I10-J10</f>
        <v>-4.1782554901396924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04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2025-06-05T04:12:05Z</dcterms:modified>
</cp:coreProperties>
</file>