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8 JUN\MAÑANA\"/>
    </mc:Choice>
  </mc:AlternateContent>
  <xr:revisionPtr revIDLastSave="0" documentId="13_ncr:1_{3ED86ED9-4979-44A7-A949-9FFA03C4207E}" xr6:coauthVersionLast="47" xr6:coauthVersionMax="47" xr10:uidLastSave="{00000000-0000-0000-0000-000000000000}"/>
  <bookViews>
    <workbookView xWindow="-120" yWindow="-120" windowWidth="51840" windowHeight="21120" firstSheet="1" activeTab="2" xr2:uid="{4DC6C92A-CD8A-4966-829B-0B6A986E825B}"/>
  </bookViews>
  <sheets>
    <sheet name="REPORTE DIARIO" sheetId="1" r:id="rId1"/>
    <sheet name="DATA" sheetId="4" r:id="rId2"/>
    <sheet name="EPR 08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<sst xmlns="http://schemas.openxmlformats.org/spreadsheetml/2006/main" count="89" uniqueCount="37">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</sst>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2778</v>
      </c>
      <c r="D5" s="25">
        <v>421781.63999999996</v>
      </c>
    </row>
    <row r="6" spans="2:8" x14ac:dyDescent="0.25">
      <c r="B6" s="1" t="s">
        <v>5</v>
      </c>
      <c r="C6" s="6">
        <v>3104</v>
      </c>
      <c r="D6" s="25">
        <v>392326.9</v>
      </c>
    </row>
    <row r="7" spans="2:8" x14ac:dyDescent="0.25">
      <c r="B7" s="1" t="s">
        <v>6</v>
      </c>
      <c r="C7" s="6">
        <v>5654</v>
      </c>
      <c r="D7" s="25">
        <v>285287.51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11931</v>
      </c>
      <c r="D9" s="25">
        <v>430072.85</v>
      </c>
      <c r="E9" s="14"/>
      <c r="F9" s="7"/>
    </row>
    <row r="10" spans="2:8" x14ac:dyDescent="0.25">
      <c r="B10" s="3" t="s">
        <v>8</v>
      </c>
      <c r="C10" s="8">
        <f>SUM(C5:C9)</f>
        <v>23478</v>
      </c>
      <c r="D10" s="4">
        <f>SUM(D5:D9)</f>
        <v>1529968.9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2908</v>
      </c>
      <c r="D14" s="25">
        <v>301211.10000000003</v>
      </c>
    </row>
    <row r="15" spans="2:8" x14ac:dyDescent="0.25">
      <c r="B15" s="1" t="s">
        <v>5</v>
      </c>
      <c r="C15" s="6">
        <v>2090</v>
      </c>
      <c r="D15" s="25">
        <v>103155.94000000002</v>
      </c>
    </row>
    <row r="16" spans="2:8" x14ac:dyDescent="0.25">
      <c r="B16" s="1" t="s">
        <v>6</v>
      </c>
      <c r="C16" s="6">
        <v>2808</v>
      </c>
      <c r="D16" s="25">
        <v>179539.16999999998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17928</v>
      </c>
      <c r="D18" s="25">
        <v>136059.16999999998</v>
      </c>
    </row>
    <row r="19" spans="2:4" x14ac:dyDescent="0.25">
      <c r="B19" s="3" t="s">
        <v>8</v>
      </c>
      <c r="C19" s="8">
        <f>SUM(C14:C18)</f>
        <v>25736</v>
      </c>
      <c r="D19" s="4">
        <f>SUM(D14:D18)</f>
        <v>719965.37999999989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3795</v>
      </c>
      <c r="D23" s="25">
        <v>327563.94000000012</v>
      </c>
    </row>
    <row r="24" spans="2:4" x14ac:dyDescent="0.25">
      <c r="B24" s="9" t="s">
        <v>5</v>
      </c>
      <c r="C24" s="6">
        <v>976</v>
      </c>
      <c r="D24" s="25">
        <v>55359.11</v>
      </c>
    </row>
    <row r="25" spans="2:4" x14ac:dyDescent="0.25">
      <c r="B25" s="9" t="s">
        <v>6</v>
      </c>
      <c r="C25" s="6">
        <v>2118</v>
      </c>
      <c r="D25" s="25">
        <v>42403.45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16874</v>
      </c>
      <c r="D27" s="25">
        <v>64864.72</v>
      </c>
    </row>
    <row r="28" spans="2:4" x14ac:dyDescent="0.25">
      <c r="B28" s="10" t="s">
        <v>8</v>
      </c>
      <c r="C28" s="8">
        <f>SUM(C23:C27)</f>
        <v>23764</v>
      </c>
      <c r="D28" s="4">
        <f>SUM(D23:D27)</f>
        <v>490230.22000000009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</v>
      </c>
      <c r="D32" s="25">
        <v>23713.5</v>
      </c>
    </row>
    <row r="33" spans="2:4" x14ac:dyDescent="0.25">
      <c r="B33" s="9" t="s">
        <v>5</v>
      </c>
      <c r="C33" s="6">
        <v>3270</v>
      </c>
      <c r="D33" s="25">
        <v>216840.66999999998</v>
      </c>
    </row>
    <row r="34" spans="2:4" x14ac:dyDescent="0.25">
      <c r="B34" s="9" t="s">
        <v>6</v>
      </c>
      <c r="C34" s="6">
        <v>285</v>
      </c>
      <c r="D34" s="25">
        <v>20043</v>
      </c>
    </row>
    <row r="35" spans="2:4" x14ac:dyDescent="0.25">
      <c r="B35" s="9" t="s">
        <v>7</v>
      </c>
      <c r="C35" s="6">
        <v>3954</v>
      </c>
      <c r="D35" s="25">
        <v>16077</v>
      </c>
    </row>
    <row r="36" spans="2:4" x14ac:dyDescent="0.25">
      <c r="B36" s="10" t="s">
        <v>8</v>
      </c>
      <c r="C36" s="8">
        <f>SUM(C32:C35)</f>
        <v>7558</v>
      </c>
      <c r="D36" s="4">
        <f>SUM(D32:D35)</f>
        <v>276674.17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2256</v>
      </c>
      <c r="D40" s="25">
        <v>67417.899999999994</v>
      </c>
    </row>
    <row r="41" spans="2:4" x14ac:dyDescent="0.25">
      <c r="B41" s="1" t="s">
        <v>5</v>
      </c>
      <c r="C41" s="6">
        <v>1396</v>
      </c>
      <c r="D41" s="25">
        <v>13944</v>
      </c>
    </row>
    <row r="42" spans="2:4" x14ac:dyDescent="0.25">
      <c r="B42" s="1" t="s">
        <v>6</v>
      </c>
      <c r="C42" s="6">
        <v>2259</v>
      </c>
      <c r="D42" s="25">
        <v>7901</v>
      </c>
    </row>
    <row r="43" spans="2:4" x14ac:dyDescent="0.25">
      <c r="B43" s="1" t="s">
        <v>7</v>
      </c>
      <c r="C43" s="6">
        <v>2238</v>
      </c>
      <c r="D43" s="25">
        <v>60952.21</v>
      </c>
    </row>
    <row r="44" spans="2:4" x14ac:dyDescent="0.25">
      <c r="B44" s="3" t="s">
        <v>8</v>
      </c>
      <c r="C44" s="8">
        <f>SUM(C40:C43)</f>
        <v>8149</v>
      </c>
      <c r="D44" s="4">
        <f>SUM(D40:D43)</f>
        <v>150215.10999999999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2804</v>
      </c>
      <c r="D48" s="25">
        <v>102462</v>
      </c>
    </row>
    <row r="49" spans="2:4" x14ac:dyDescent="0.25">
      <c r="B49" s="10" t="s">
        <v>8</v>
      </c>
      <c r="C49" s="8">
        <f>SUM(C48:C48)</f>
        <v>2804</v>
      </c>
      <c r="D49" s="4">
        <f>SUM(D48:D48)</f>
        <v>102462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67569.929999999993</v>
      </c>
    </row>
    <row r="54" spans="2:4" x14ac:dyDescent="0.25">
      <c r="B54" s="1" t="s">
        <v>5</v>
      </c>
      <c r="C54" s="6">
        <v>622</v>
      </c>
      <c r="D54" s="25">
        <v>9576</v>
      </c>
    </row>
    <row r="55" spans="2:4" x14ac:dyDescent="0.25">
      <c r="B55" s="1" t="s">
        <v>6</v>
      </c>
      <c r="C55" s="6">
        <v>805</v>
      </c>
      <c r="D55" s="25">
        <v>3599</v>
      </c>
    </row>
    <row r="56" spans="2:4" x14ac:dyDescent="0.25">
      <c r="B56" s="1" t="s">
        <v>7</v>
      </c>
      <c r="C56" s="6">
        <v>2469</v>
      </c>
      <c r="D56" s="25">
        <v>10247</v>
      </c>
    </row>
    <row r="57" spans="2:4" x14ac:dyDescent="0.25">
      <c r="B57" s="3" t="s">
        <v>8</v>
      </c>
      <c r="C57" s="8">
        <f>SUM(C53:C56)</f>
        <v>4480</v>
      </c>
      <c r="D57" s="4">
        <f>SUM(D53:D56)</f>
        <v>90991.93</v>
      </c>
    </row>
    <row r="59" spans="2:4" x14ac:dyDescent="0.25">
      <c r="B59" s="12" t="s">
        <v>13</v>
      </c>
      <c r="C59" s="13">
        <f>SUM(C10+C28+C36+C49+C19+C57+C44)</f>
        <v>95969</v>
      </c>
      <c r="D59" s="13">
        <f>SUM(D10+D28+D36+D49+D19+D57+D44)</f>
        <v>3360507.71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5" sqref="B5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08 JUN'!C6, 'REPORTE DIARIO'!C:C)</f>
        <v>15174</v>
      </c>
      <c r="E6" s="16">
        <f>SUMIF('REPORTE DIARIO'!B:B,'EPR 08 JUN'!C6, 'REPORTE DIARIO'!D:D)</f>
        <v>1311720.01</v>
      </c>
      <c r="F6" s="16">
        <f>J6*D6</f>
        <v>3338280</v>
      </c>
      <c r="G6" s="16">
        <f>+E6-F6</f>
        <v>-2026559.99</v>
      </c>
      <c r="H6" s="15">
        <f>ABS(G6/F6)</f>
        <v>0.60706710940963615</v>
      </c>
      <c r="I6" s="16">
        <f>E6/D6</f>
        <v>86.445235929880056</v>
      </c>
      <c r="J6" s="16">
        <f>(220/7)*7</f>
        <v>220</v>
      </c>
      <c r="K6" s="16">
        <f>+I6-J6</f>
        <v>-133.55476407011994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08 JUN'!C7, 'REPORTE DIARIO'!C:C)</f>
        <v>11458</v>
      </c>
      <c r="E7" s="16">
        <f>SUMIF('REPORTE DIARIO'!B:B,'EPR 08 JUN'!C7, 'REPORTE DIARIO'!D:D)</f>
        <v>791202.62000000011</v>
      </c>
      <c r="F7" s="16">
        <f>J7*D7</f>
        <v>1260380</v>
      </c>
      <c r="G7" s="16">
        <f>+E7-F7</f>
        <v>-469177.37999999989</v>
      </c>
      <c r="H7" s="15">
        <f>ABS(G7/F7)</f>
        <v>0.37225073390564739</v>
      </c>
      <c r="I7" s="16">
        <f>E7/D7</f>
        <v>69.052419270378778</v>
      </c>
      <c r="J7" s="16">
        <f>(110/7)*7</f>
        <v>110</v>
      </c>
      <c r="K7" s="16">
        <f t="shared" ref="K7:K9" si="0">+I7-J7</f>
        <v>-40.947580729621222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08 JUN'!C8, 'REPORTE DIARIO'!C:C)</f>
        <v>13929</v>
      </c>
      <c r="E8" s="16">
        <f>SUMIF('REPORTE DIARIO'!B:B,'EPR 08 JUN'!C8, 'REPORTE DIARIO'!D:D)</f>
        <v>538773.13</v>
      </c>
      <c r="F8" s="16">
        <f>J8*D8</f>
        <v>626805</v>
      </c>
      <c r="G8" s="16">
        <f>+E8-F8</f>
        <v>-88031.87</v>
      </c>
      <c r="H8" s="15">
        <f>ABS(G8/F8)</f>
        <v>0.14044538572602325</v>
      </c>
      <c r="I8" s="16">
        <f>E8/D8</f>
        <v>38.679957642328951</v>
      </c>
      <c r="J8" s="16">
        <f>(45/7)*7</f>
        <v>45</v>
      </c>
      <c r="K8" s="16">
        <f t="shared" si="0"/>
        <v>-6.3200423576710492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08 JUN'!C9, 'REPORTE DIARIO'!C:C)</f>
        <v>55394</v>
      </c>
      <c r="E9" s="16">
        <f>SUMIF('REPORTE DIARIO'!B:B,'EPR 08 JUN'!C9, 'REPORTE DIARIO'!D:D)</f>
        <v>718272.95</v>
      </c>
      <c r="F9" s="16">
        <f>J9*D9</f>
        <v>830910</v>
      </c>
      <c r="G9" s="16">
        <f>+E9-F9</f>
        <v>-112637.05000000005</v>
      </c>
      <c r="H9" s="15">
        <f>ABS(G9/F9)</f>
        <v>0.13555866459664712</v>
      </c>
      <c r="I9" s="16">
        <f>E9/D9</f>
        <v>12.966620031050294</v>
      </c>
      <c r="J9" s="16">
        <f>(15/7)*7</f>
        <v>15</v>
      </c>
      <c r="K9" s="16">
        <f t="shared" si="0"/>
        <v>-2.0333799689497063</v>
      </c>
    </row>
    <row r="10" spans="2:12" x14ac:dyDescent="0.25">
      <c r="B10" s="16"/>
      <c r="C10" s="19" t="s">
        <v>17</v>
      </c>
      <c r="D10" s="24">
        <f>SUM(D6:D9)</f>
        <v>95955</v>
      </c>
      <c r="E10" s="20">
        <f>SUM(E6:E9)</f>
        <v>3359968.71</v>
      </c>
      <c r="F10" s="20">
        <f>SUM(F6:F9)</f>
        <v>6056375</v>
      </c>
      <c r="G10" s="20">
        <f>+E10-F10</f>
        <v>-2696406.29</v>
      </c>
      <c r="H10" s="21">
        <f>ABS(G10/F10)</f>
        <v>0.4452178555654166</v>
      </c>
      <c r="I10" s="20">
        <f>E10/D10</f>
        <v>35.016087853681412</v>
      </c>
      <c r="J10" s="20">
        <f>F10/D10</f>
        <v>63.116825595331143</v>
      </c>
      <c r="K10" s="20">
        <f>I10-J10</f>
        <v>-28.100737741649731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08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2025-06-08T15:26:12Z</dcterms:modified>
</cp:coreProperties>
</file>