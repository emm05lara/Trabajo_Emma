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8 JUN\NOCHE\"/>
    </mc:Choice>
  </mc:AlternateContent>
  <xr:revisionPtr revIDLastSave="0" documentId="13_ncr:1_{092BACA2-3061-4324-B989-D917626F4120}" xr6:coauthVersionLast="47" xr6:coauthVersionMax="47" xr10:uidLastSave="{00000000-0000-0000-0000-000000000000}"/>
  <bookViews>
    <workbookView xWindow="3840" yWindow="3840" windowWidth="10005" windowHeight="5445" xr2:uid="{4DC6C92A-CD8A-4966-829B-0B6A986E825B}"/>
  </bookViews>
  <sheets>
    <sheet name="REPORTE DIARIO" sheetId="1" r:id="rId1"/>
    <sheet name="DATA" sheetId="4" r:id="rId2"/>
    <sheet name="EPR 08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<sst xmlns="http://schemas.openxmlformats.org/spreadsheetml/2006/main" count="89" uniqueCount="37">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</sst>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28" zoomScaleNormal="100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2752</v>
      </c>
      <c r="D5" s="25">
        <v>533101.50999999989</v>
      </c>
    </row>
    <row r="6" spans="2:8" x14ac:dyDescent="0.25">
      <c r="B6" s="1" t="s">
        <v>5</v>
      </c>
      <c r="C6" s="6">
        <v>3095</v>
      </c>
      <c r="D6" s="25">
        <v>437880.9</v>
      </c>
    </row>
    <row r="7" spans="2:8" x14ac:dyDescent="0.25">
      <c r="B7" s="1" t="s">
        <v>6</v>
      </c>
      <c r="C7" s="6">
        <v>6031</v>
      </c>
      <c r="D7" s="25">
        <v>346469.51</v>
      </c>
    </row>
    <row r="8" spans="2:8" x14ac:dyDescent="0.25">
      <c r="B8" s="5" t="s">
        <v>12</v>
      </c>
      <c r="C8" s="7">
        <v>11</v>
      </c>
      <c r="D8" s="25">
        <v>500</v>
      </c>
    </row>
    <row r="9" spans="2:8" x14ac:dyDescent="0.25">
      <c r="B9" s="1" t="s">
        <v>7</v>
      </c>
      <c r="C9" s="6">
        <v>12028</v>
      </c>
      <c r="D9" s="25">
        <v>511982.08999999997</v>
      </c>
      <c r="E9" s="14"/>
      <c r="F9" s="7"/>
    </row>
    <row r="10" spans="2:8" x14ac:dyDescent="0.25">
      <c r="B10" s="3" t="s">
        <v>8</v>
      </c>
      <c r="C10" s="8">
        <f>SUM(C5:C9)</f>
        <v>23917</v>
      </c>
      <c r="D10" s="4">
        <f>SUM(D5:D9)</f>
        <v>1829934.0099999998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2916</v>
      </c>
      <c r="D14" s="25">
        <v>327828.10000000003</v>
      </c>
    </row>
    <row r="15" spans="2:8" x14ac:dyDescent="0.25">
      <c r="B15" s="1" t="s">
        <v>5</v>
      </c>
      <c r="C15" s="6">
        <v>2040</v>
      </c>
      <c r="D15" s="25">
        <v>107898.94000000002</v>
      </c>
    </row>
    <row r="16" spans="2:8" x14ac:dyDescent="0.25">
      <c r="B16" s="1" t="s">
        <v>6</v>
      </c>
      <c r="C16" s="6">
        <v>2825</v>
      </c>
      <c r="D16" s="25">
        <v>200505.16999999998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13268</v>
      </c>
      <c r="D18" s="25">
        <v>154023.16999999998</v>
      </c>
    </row>
    <row r="19" spans="2:4" x14ac:dyDescent="0.25">
      <c r="B19" s="3" t="s">
        <v>8</v>
      </c>
      <c r="C19" s="8">
        <f>SUM(C14:C18)</f>
        <v>21051</v>
      </c>
      <c r="D19" s="4">
        <f>SUM(D14:D18)</f>
        <v>790255.37999999989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3796</v>
      </c>
      <c r="D23" s="25">
        <v>437835.00000000012</v>
      </c>
    </row>
    <row r="24" spans="2:4" x14ac:dyDescent="0.25">
      <c r="B24" s="9" t="s">
        <v>5</v>
      </c>
      <c r="C24" s="6">
        <v>926</v>
      </c>
      <c r="D24" s="25">
        <v>63257.11</v>
      </c>
    </row>
    <row r="25" spans="2:4" x14ac:dyDescent="0.25">
      <c r="B25" s="9" t="s">
        <v>6</v>
      </c>
      <c r="C25" s="6">
        <v>2113</v>
      </c>
      <c r="D25" s="25">
        <v>48112.45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16873</v>
      </c>
      <c r="D27" s="25">
        <v>91209.72</v>
      </c>
    </row>
    <row r="28" spans="2:4" x14ac:dyDescent="0.25">
      <c r="B28" s="10" t="s">
        <v>8</v>
      </c>
      <c r="C28" s="8">
        <f>SUM(C23:C27)</f>
        <v>23709</v>
      </c>
      <c r="D28" s="4">
        <f>SUM(D23:D27)</f>
        <v>640453.28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</v>
      </c>
      <c r="D32" s="25">
        <v>24417.5</v>
      </c>
    </row>
    <row r="33" spans="2:4" x14ac:dyDescent="0.25">
      <c r="B33" s="9" t="s">
        <v>5</v>
      </c>
      <c r="C33" s="6">
        <v>3229</v>
      </c>
      <c r="D33" s="25">
        <v>236525.66999999998</v>
      </c>
    </row>
    <row r="34" spans="2:4" x14ac:dyDescent="0.25">
      <c r="B34" s="9" t="s">
        <v>6</v>
      </c>
      <c r="C34" s="6">
        <v>285</v>
      </c>
      <c r="D34" s="25">
        <v>20669</v>
      </c>
    </row>
    <row r="35" spans="2:4" x14ac:dyDescent="0.25">
      <c r="B35" s="9" t="s">
        <v>7</v>
      </c>
      <c r="C35" s="6">
        <v>3954</v>
      </c>
      <c r="D35" s="25">
        <v>16179</v>
      </c>
    </row>
    <row r="36" spans="2:4" x14ac:dyDescent="0.25">
      <c r="B36" s="10" t="s">
        <v>8</v>
      </c>
      <c r="C36" s="8">
        <f>SUM(C32:C35)</f>
        <v>7517</v>
      </c>
      <c r="D36" s="4">
        <f>SUM(D32:D35)</f>
        <v>297791.17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2274</v>
      </c>
      <c r="D40" s="25">
        <v>71049.899999999994</v>
      </c>
    </row>
    <row r="41" spans="2:4" x14ac:dyDescent="0.25">
      <c r="B41" s="1" t="s">
        <v>5</v>
      </c>
      <c r="C41" s="6">
        <v>1412</v>
      </c>
      <c r="D41" s="25">
        <v>19120</v>
      </c>
    </row>
    <row r="42" spans="2:4" x14ac:dyDescent="0.25">
      <c r="B42" s="1" t="s">
        <v>6</v>
      </c>
      <c r="C42" s="6">
        <v>2310</v>
      </c>
      <c r="D42" s="25">
        <v>8901</v>
      </c>
    </row>
    <row r="43" spans="2:4" x14ac:dyDescent="0.25">
      <c r="B43" s="1" t="s">
        <v>7</v>
      </c>
      <c r="C43" s="6">
        <v>2008</v>
      </c>
      <c r="D43" s="25">
        <v>63144.21</v>
      </c>
    </row>
    <row r="44" spans="2:4" x14ac:dyDescent="0.25">
      <c r="B44" s="3" t="s">
        <v>8</v>
      </c>
      <c r="C44" s="8">
        <f>SUM(C40:C43)</f>
        <v>8004</v>
      </c>
      <c r="D44" s="4">
        <f>SUM(D40:D43)</f>
        <v>162215.10999999999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2748</v>
      </c>
      <c r="D48" s="25">
        <v>105330</v>
      </c>
    </row>
    <row r="49" spans="2:4" x14ac:dyDescent="0.25">
      <c r="B49" s="10" t="s">
        <v>8</v>
      </c>
      <c r="C49" s="8">
        <f>SUM(C48:C48)</f>
        <v>2748</v>
      </c>
      <c r="D49" s="4">
        <f>SUM(D48:D48)</f>
        <v>105330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584</v>
      </c>
      <c r="D53" s="25">
        <v>71138.929999999993</v>
      </c>
    </row>
    <row r="54" spans="2:4" x14ac:dyDescent="0.25">
      <c r="B54" s="1" t="s">
        <v>5</v>
      </c>
      <c r="C54" s="6">
        <v>611</v>
      </c>
      <c r="D54" s="25">
        <v>9576</v>
      </c>
    </row>
    <row r="55" spans="2:4" x14ac:dyDescent="0.25">
      <c r="B55" s="1" t="s">
        <v>6</v>
      </c>
      <c r="C55" s="6">
        <v>805</v>
      </c>
      <c r="D55" s="25">
        <v>3599</v>
      </c>
    </row>
    <row r="56" spans="2:4" x14ac:dyDescent="0.25">
      <c r="B56" s="1" t="s">
        <v>7</v>
      </c>
      <c r="C56" s="6">
        <v>2469</v>
      </c>
      <c r="D56" s="25">
        <v>17976</v>
      </c>
    </row>
    <row r="57" spans="2:4" x14ac:dyDescent="0.25">
      <c r="B57" s="3" t="s">
        <v>8</v>
      </c>
      <c r="C57" s="8">
        <f>SUM(C53:C56)</f>
        <v>4469</v>
      </c>
      <c r="D57" s="4">
        <f>SUM(D53:D56)</f>
        <v>102289.93</v>
      </c>
    </row>
    <row r="59" spans="2:4" x14ac:dyDescent="0.25">
      <c r="B59" s="12" t="s">
        <v>13</v>
      </c>
      <c r="C59" s="13">
        <f>SUM(C10+C28+C36+C49+C19+C57+C44)</f>
        <v>91415</v>
      </c>
      <c r="D59" s="13">
        <f>SUM(D10+D28+D36+D49+D19+D57+D44)</f>
        <v>3928268.88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5" sqref="B5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08 JUN'!C6, 'REPORTE DIARIO'!C:C)</f>
        <v>15119</v>
      </c>
      <c r="E6" s="16">
        <f>SUMIF('REPORTE DIARIO'!B:B,'EPR 08 JUN'!C6, 'REPORTE DIARIO'!D:D)</f>
        <v>1570700.9399999997</v>
      </c>
      <c r="F6" s="16">
        <f>J6*D6</f>
        <v>3326180</v>
      </c>
      <c r="G6" s="16">
        <f>+E6-F6</f>
        <v>-1755479.0600000003</v>
      </c>
      <c r="H6" s="15">
        <f>ABS(G6/F6)</f>
        <v>0.52777632599558666</v>
      </c>
      <c r="I6" s="16">
        <f>E6/D6</f>
        <v>103.88920828097095</v>
      </c>
      <c r="J6" s="16">
        <f>(220/7)*7</f>
        <v>220</v>
      </c>
      <c r="K6" s="16">
        <f>+I6-J6</f>
        <v>-116.11079171902905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08 JUN'!C7, 'REPORTE DIARIO'!C:C)</f>
        <v>11313</v>
      </c>
      <c r="E7" s="16">
        <f>SUMIF('REPORTE DIARIO'!B:B,'EPR 08 JUN'!C7, 'REPORTE DIARIO'!D:D)</f>
        <v>874258.62000000011</v>
      </c>
      <c r="F7" s="16">
        <f>J7*D7</f>
        <v>1244430</v>
      </c>
      <c r="G7" s="16">
        <f>+E7-F7</f>
        <v>-370171.37999999989</v>
      </c>
      <c r="H7" s="15">
        <f>ABS(G7/F7)</f>
        <v>0.29746259733371894</v>
      </c>
      <c r="I7" s="16">
        <f>E7/D7</f>
        <v>77.279114293290917</v>
      </c>
      <c r="J7" s="16">
        <f>(110/7)*7</f>
        <v>110</v>
      </c>
      <c r="K7" s="16">
        <f t="shared" ref="K7:K9" si="0">+I7-J7</f>
        <v>-32.720885706709083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08 JUN'!C8, 'REPORTE DIARIO'!C:C)</f>
        <v>14369</v>
      </c>
      <c r="E8" s="16">
        <f>SUMIF('REPORTE DIARIO'!B:B,'EPR 08 JUN'!C8, 'REPORTE DIARIO'!D:D)</f>
        <v>628256.12999999989</v>
      </c>
      <c r="F8" s="16">
        <f>J8*D8</f>
        <v>646605</v>
      </c>
      <c r="G8" s="16">
        <f>+E8-F8</f>
        <v>-18348.870000000112</v>
      </c>
      <c r="H8" s="15">
        <f>ABS(G8/F8)</f>
        <v>2.8377247314821431E-2</v>
      </c>
      <c r="I8" s="16">
        <f>E8/D8</f>
        <v>43.723023870833039</v>
      </c>
      <c r="J8" s="16">
        <f>(45/7)*7</f>
        <v>45</v>
      </c>
      <c r="K8" s="16">
        <f t="shared" si="0"/>
        <v>-1.276976129166961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08 JUN'!C9, 'REPORTE DIARIO'!C:C)</f>
        <v>50600</v>
      </c>
      <c r="E9" s="16">
        <f>SUMIF('REPORTE DIARIO'!B:B,'EPR 08 JUN'!C9, 'REPORTE DIARIO'!D:D)</f>
        <v>854514.19</v>
      </c>
      <c r="F9" s="16">
        <f>J9*D9</f>
        <v>759000</v>
      </c>
      <c r="G9" s="16">
        <f>+E9-F9</f>
        <v>95514.189999999944</v>
      </c>
      <c r="H9" s="15">
        <f>ABS(G9/F9)</f>
        <v>0.12584214756258227</v>
      </c>
      <c r="I9" s="16">
        <f>E9/D9</f>
        <v>16.887632213438735</v>
      </c>
      <c r="J9" s="16">
        <f>(15/7)*7</f>
        <v>15</v>
      </c>
      <c r="K9" s="16">
        <f t="shared" si="0"/>
        <v>1.8876322134387351</v>
      </c>
    </row>
    <row r="10" spans="2:12" x14ac:dyDescent="0.25">
      <c r="B10" s="16"/>
      <c r="C10" s="19" t="s">
        <v>17</v>
      </c>
      <c r="D10" s="24">
        <f>SUM(D6:D9)</f>
        <v>91401</v>
      </c>
      <c r="E10" s="20">
        <f>SUM(E6:E9)</f>
        <v>3927729.8799999994</v>
      </c>
      <c r="F10" s="20">
        <f>SUM(F6:F9)</f>
        <v>5976215</v>
      </c>
      <c r="G10" s="20">
        <f>+E10-F10</f>
        <v>-2048485.1200000006</v>
      </c>
      <c r="H10" s="21">
        <f>ABS(G10/F10)</f>
        <v>0.342772995951451</v>
      </c>
      <c r="I10" s="20">
        <f>E10/D10</f>
        <v>42.972504458375724</v>
      </c>
      <c r="J10" s="20">
        <f>F10/D10</f>
        <v>65.384569096618193</v>
      </c>
      <c r="K10" s="20">
        <f>I10-J10</f>
        <v>-22.41206463824247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08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2025-06-09T03:14:01Z</dcterms:modified>
</cp:coreProperties>
</file>