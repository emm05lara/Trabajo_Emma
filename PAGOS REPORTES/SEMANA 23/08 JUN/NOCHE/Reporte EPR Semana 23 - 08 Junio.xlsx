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3\08 JUN\NOCHE\"/>
    </mc:Choice>
  </mc:AlternateContent>
  <xr:revisionPtr revIDLastSave="0" documentId="13_ncr:1_{B817AF67-73AC-47E8-9A2D-4AFC150A7810}" xr6:coauthVersionLast="47" xr6:coauthVersionMax="47" xr10:uidLastSave="{00000000-0000-0000-0000-000000000000}"/>
  <bookViews>
    <workbookView xWindow="3495" yWindow="3495" windowWidth="10005" windowHeight="5445" activeTab="2" xr2:uid="{4DC6C92A-CD8A-4966-829B-0B6A986E825B}"/>
  </bookViews>
  <sheets>
    <sheet name="REPORTE DIARIO" sheetId="1" r:id="rId1"/>
    <sheet name="DATA" sheetId="4" r:id="rId2"/>
    <sheet name="EPR 08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C19" i="1"/>
  <c r="J6" i="3"/>
  <c r="D52" i="1"/>
  <c r="D44" i="1"/>
  <c r="C44" i="1"/>
  <c r="C52" i="1"/>
  <c r="D28" i="1" l="1"/>
  <c r="C28" i="1"/>
  <c r="J9" i="3"/>
  <c r="J8" i="3"/>
  <c r="J7" i="3"/>
  <c r="D6" i="3"/>
  <c r="F6" i="3" s="1"/>
  <c r="D57" i="1"/>
  <c r="C57" i="1"/>
  <c r="D36" i="1"/>
  <c r="C36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9" i="1" l="1"/>
  <c r="C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<sst xmlns="http://schemas.openxmlformats.org/spreadsheetml/2006/main" count="88" uniqueCount="36">
  <si>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</si>
  <si>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</si>
  <si>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</si>
  <si>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</si>
  <si>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</si>
  <si>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</si>
  <si>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</si>
  <si>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</si>
  <si>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</si>
  <si>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</si>
  <si>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</si>
  <si>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</si>
  <si>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</si>
  <si>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</si>
  <si>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</si>
  <si>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</si>
  <si>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</si>
  <si>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</si>
  <si>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</si>
  <si>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</si>
  <si>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</si>
  <si>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</si>
  <si>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</si>
  <si>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</si>
  <si>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</si>
  <si>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</si>
  <si>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</si>
  <si>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</si>
  <si>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</si>
  <si>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</si>
  <si>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</si>
  <si>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</si>
  <si>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</si>
  <si>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</si>
  <si>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</si>
  <si>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08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</si>
</sst>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0" xfId="0" applyNumberFormat="1" applyFill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topLeftCell="A40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2752</v>
      </c>
      <c r="D5" s="25">
        <v>111319.87</v>
      </c>
    </row>
    <row r="6" spans="2:8" x14ac:dyDescent="0.25">
      <c r="B6" s="1" t="s">
        <v>5</v>
      </c>
      <c r="C6" s="6">
        <v>3095</v>
      </c>
      <c r="D6" s="25">
        <v>45554</v>
      </c>
    </row>
    <row r="7" spans="2:8" x14ac:dyDescent="0.25">
      <c r="B7" s="1" t="s">
        <v>6</v>
      </c>
      <c r="C7" s="6">
        <v>6031</v>
      </c>
      <c r="D7" s="25">
        <v>61182</v>
      </c>
    </row>
    <row r="8" spans="2:8" x14ac:dyDescent="0.25">
      <c r="B8" s="5" t="s">
        <v>12</v>
      </c>
      <c r="C8" s="7">
        <v>11</v>
      </c>
      <c r="D8" s="27">
        <v>0</v>
      </c>
    </row>
    <row r="9" spans="2:8" x14ac:dyDescent="0.25">
      <c r="B9" s="1" t="s">
        <v>7</v>
      </c>
      <c r="C9" s="6">
        <v>12028</v>
      </c>
      <c r="D9" s="25">
        <v>81909.239999999991</v>
      </c>
    </row>
    <row r="10" spans="2:8" x14ac:dyDescent="0.25">
      <c r="B10" s="3" t="s">
        <v>8</v>
      </c>
      <c r="C10" s="8">
        <f>SUM(C5:C9)</f>
        <v>23917</v>
      </c>
      <c r="D10" s="4">
        <f>SUM(D5:D9)</f>
        <v>299965.11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3796</v>
      </c>
      <c r="D14" s="25">
        <v>110271.06</v>
      </c>
    </row>
    <row r="15" spans="2:8" x14ac:dyDescent="0.25">
      <c r="B15" s="9" t="s">
        <v>5</v>
      </c>
      <c r="C15" s="6">
        <v>926</v>
      </c>
      <c r="D15" s="25">
        <v>7898</v>
      </c>
    </row>
    <row r="16" spans="2:8" x14ac:dyDescent="0.25">
      <c r="B16" s="9" t="s">
        <v>6</v>
      </c>
      <c r="C16" s="6">
        <v>2113</v>
      </c>
      <c r="D16" s="25">
        <v>5709</v>
      </c>
    </row>
    <row r="17" spans="2:11" x14ac:dyDescent="0.25">
      <c r="B17" s="5" t="s">
        <v>12</v>
      </c>
      <c r="C17" s="7">
        <v>1</v>
      </c>
      <c r="D17" s="26">
        <v>0</v>
      </c>
    </row>
    <row r="18" spans="2:11" x14ac:dyDescent="0.25">
      <c r="B18" s="9" t="s">
        <v>7</v>
      </c>
      <c r="C18" s="6">
        <v>16873</v>
      </c>
      <c r="D18" s="25">
        <v>26345</v>
      </c>
    </row>
    <row r="19" spans="2:11" x14ac:dyDescent="0.25">
      <c r="B19" s="10" t="s">
        <v>8</v>
      </c>
      <c r="C19" s="8">
        <f>SUM(C14:C18)</f>
        <v>23709</v>
      </c>
      <c r="D19" s="4">
        <f>SUM(D14:D18)</f>
        <v>150223.06</v>
      </c>
    </row>
    <row r="21" spans="2:11" x14ac:dyDescent="0.25">
      <c r="B21" s="28" t="s">
        <v>29</v>
      </c>
      <c r="C21" s="28"/>
      <c r="D21" s="28"/>
    </row>
    <row r="22" spans="2:11" x14ac:dyDescent="0.25">
      <c r="B22" s="2" t="s">
        <v>1</v>
      </c>
      <c r="C22" s="2" t="s">
        <v>2</v>
      </c>
      <c r="D22" s="2" t="s">
        <v>3</v>
      </c>
    </row>
    <row r="23" spans="2:11" x14ac:dyDescent="0.25">
      <c r="B23" s="1" t="s">
        <v>4</v>
      </c>
      <c r="C23" s="6">
        <v>2916</v>
      </c>
      <c r="D23" s="25">
        <v>26617</v>
      </c>
    </row>
    <row r="24" spans="2:11" x14ac:dyDescent="0.25">
      <c r="B24" s="1" t="s">
        <v>5</v>
      </c>
      <c r="C24" s="6">
        <v>2040</v>
      </c>
      <c r="D24" s="25">
        <v>4743</v>
      </c>
    </row>
    <row r="25" spans="2:11" x14ac:dyDescent="0.25">
      <c r="B25" s="1" t="s">
        <v>6</v>
      </c>
      <c r="C25" s="6">
        <v>2825</v>
      </c>
      <c r="D25" s="25">
        <v>20966</v>
      </c>
    </row>
    <row r="26" spans="2:11" x14ac:dyDescent="0.25">
      <c r="B26" s="5" t="s">
        <v>12</v>
      </c>
      <c r="C26" s="7">
        <v>2</v>
      </c>
      <c r="D26" s="24">
        <v>0</v>
      </c>
      <c r="K26" s="7"/>
    </row>
    <row r="27" spans="2:11" x14ac:dyDescent="0.25">
      <c r="B27" s="1" t="s">
        <v>7</v>
      </c>
      <c r="C27" s="6">
        <v>13268</v>
      </c>
      <c r="D27" s="25">
        <v>17964</v>
      </c>
    </row>
    <row r="28" spans="2:11" x14ac:dyDescent="0.25">
      <c r="B28" s="3" t="s">
        <v>8</v>
      </c>
      <c r="C28" s="8">
        <f>SUM(C23:C27)</f>
        <v>21051</v>
      </c>
      <c r="D28" s="4">
        <f>SUM(D23:D27)</f>
        <v>70290</v>
      </c>
    </row>
    <row r="30" spans="2:11" x14ac:dyDescent="0.25">
      <c r="B30" s="28" t="s">
        <v>9</v>
      </c>
      <c r="C30" s="28"/>
      <c r="D30" s="28"/>
    </row>
    <row r="31" spans="2:11" x14ac:dyDescent="0.25">
      <c r="B31" s="2" t="s">
        <v>1</v>
      </c>
      <c r="C31" s="2" t="s">
        <v>2</v>
      </c>
      <c r="D31" s="2" t="s">
        <v>3</v>
      </c>
    </row>
    <row r="32" spans="2:11" x14ac:dyDescent="0.25">
      <c r="B32" s="9" t="s">
        <v>4</v>
      </c>
      <c r="C32" s="6">
        <v>49</v>
      </c>
      <c r="D32" s="25">
        <v>704</v>
      </c>
    </row>
    <row r="33" spans="2:4" x14ac:dyDescent="0.25">
      <c r="B33" s="9" t="s">
        <v>5</v>
      </c>
      <c r="C33" s="6">
        <v>3229</v>
      </c>
      <c r="D33" s="25">
        <v>19685</v>
      </c>
    </row>
    <row r="34" spans="2:4" x14ac:dyDescent="0.25">
      <c r="B34" s="9" t="s">
        <v>6</v>
      </c>
      <c r="C34" s="6">
        <v>285</v>
      </c>
      <c r="D34" s="25">
        <v>626</v>
      </c>
    </row>
    <row r="35" spans="2:4" x14ac:dyDescent="0.25">
      <c r="B35" s="9" t="s">
        <v>7</v>
      </c>
      <c r="C35" s="6">
        <v>3954</v>
      </c>
      <c r="D35" s="25">
        <v>102</v>
      </c>
    </row>
    <row r="36" spans="2:4" x14ac:dyDescent="0.25">
      <c r="B36" s="10" t="s">
        <v>8</v>
      </c>
      <c r="C36" s="8">
        <f>SUM(C32:C35)</f>
        <v>7517</v>
      </c>
      <c r="D36" s="4">
        <f>SUM(D32:D35)</f>
        <v>21117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2274</v>
      </c>
      <c r="D40" s="25">
        <v>3632</v>
      </c>
    </row>
    <row r="41" spans="2:4" x14ac:dyDescent="0.25">
      <c r="B41" s="1" t="s">
        <v>5</v>
      </c>
      <c r="C41" s="6">
        <v>1412</v>
      </c>
      <c r="D41" s="25">
        <v>5176</v>
      </c>
    </row>
    <row r="42" spans="2:4" x14ac:dyDescent="0.25">
      <c r="B42" s="1" t="s">
        <v>6</v>
      </c>
      <c r="C42" s="6">
        <v>2310</v>
      </c>
      <c r="D42" s="25">
        <v>1000</v>
      </c>
    </row>
    <row r="43" spans="2:4" x14ac:dyDescent="0.25">
      <c r="B43" s="1" t="s">
        <v>7</v>
      </c>
      <c r="C43" s="6">
        <v>2008</v>
      </c>
      <c r="D43" s="25">
        <v>2192</v>
      </c>
    </row>
    <row r="44" spans="2:4" x14ac:dyDescent="0.25">
      <c r="B44" s="3" t="s">
        <v>8</v>
      </c>
      <c r="C44" s="8">
        <f>SUM(C40:C43)</f>
        <v>8004</v>
      </c>
      <c r="D44" s="4">
        <f>SUM(D40:D43)</f>
        <v>12000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584</v>
      </c>
      <c r="D48" s="25">
        <v>3569</v>
      </c>
    </row>
    <row r="49" spans="2:4" x14ac:dyDescent="0.25">
      <c r="B49" s="1" t="s">
        <v>5</v>
      </c>
      <c r="C49" s="6">
        <v>611</v>
      </c>
      <c r="D49" s="27">
        <v>0</v>
      </c>
    </row>
    <row r="50" spans="2:4" x14ac:dyDescent="0.25">
      <c r="B50" s="1" t="s">
        <v>6</v>
      </c>
      <c r="C50" s="6">
        <v>805</v>
      </c>
      <c r="D50" s="27">
        <v>0</v>
      </c>
    </row>
    <row r="51" spans="2:4" x14ac:dyDescent="0.25">
      <c r="B51" s="1" t="s">
        <v>7</v>
      </c>
      <c r="C51" s="6">
        <v>2469</v>
      </c>
      <c r="D51" s="25">
        <v>7729</v>
      </c>
    </row>
    <row r="52" spans="2:4" x14ac:dyDescent="0.25">
      <c r="B52" s="3" t="s">
        <v>8</v>
      </c>
      <c r="C52" s="8">
        <f>SUM(C48:C51)</f>
        <v>4469</v>
      </c>
      <c r="D52" s="4">
        <f>SUM(D48:D51)</f>
        <v>11298</v>
      </c>
    </row>
    <row r="54" spans="2:4" x14ac:dyDescent="0.25">
      <c r="B54" s="29" t="s">
        <v>11</v>
      </c>
      <c r="C54" s="29"/>
      <c r="D54" s="29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2748</v>
      </c>
      <c r="D56" s="25">
        <v>2868</v>
      </c>
    </row>
    <row r="57" spans="2:4" x14ac:dyDescent="0.25">
      <c r="B57" s="10" t="s">
        <v>8</v>
      </c>
      <c r="C57" s="8">
        <f>SUM(C56:C56)</f>
        <v>2748</v>
      </c>
      <c r="D57" s="4">
        <f>SUM(D56:D56)</f>
        <v>2868</v>
      </c>
    </row>
    <row r="59" spans="2:4" x14ac:dyDescent="0.25">
      <c r="B59" s="11" t="s">
        <v>13</v>
      </c>
      <c r="C59" s="12">
        <f>SUM(C10+C36+C19+C57+C28+C52+C44)</f>
        <v>91415</v>
      </c>
      <c r="D59" s="12">
        <f>SUM(D10+D36+D19+D57+D28+D52+D44)</f>
        <v>567761.16999999993</v>
      </c>
    </row>
  </sheetData>
  <mergeCells count="7">
    <mergeCell ref="B3:D3"/>
    <mergeCell ref="B30:D30"/>
    <mergeCell ref="B54:D54"/>
    <mergeCell ref="B46:D46"/>
    <mergeCell ref="B21:D21"/>
    <mergeCell ref="B12:D12"/>
    <mergeCell ref="B38:D38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:K14"/>
    </sheetView>
  </sheetViews>
  <sheetFormatPr baseColWidth="10" defaultRowHeight="15" x14ac:dyDescent="0.25"/>
  <cols>
    <col min="2" max="2" width="20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08 JUN'!C6, 'REPORTE DIARIO'!C:C)</f>
        <v>15119</v>
      </c>
      <c r="E6" s="15">
        <f>SUMIF('REPORTE DIARIO'!B:B,'EPR 08 JUN'!C6, 'REPORTE DIARIO'!D:D)</f>
        <v>258980.93</v>
      </c>
      <c r="F6" s="15">
        <f>J6*D6</f>
        <v>475168.57142857142</v>
      </c>
      <c r="G6" s="15">
        <f>+E6-F6</f>
        <v>-216187.64142857143</v>
      </c>
      <c r="H6" s="14">
        <f>ABS(G6/F6)</f>
        <v>0.45497041350738687</v>
      </c>
      <c r="I6" s="15">
        <f>E6/D6</f>
        <v>17.129501289767841</v>
      </c>
      <c r="J6" s="15">
        <f>220/7</f>
        <v>31.428571428571427</v>
      </c>
      <c r="K6" s="15">
        <f>+I6-J6</f>
        <v>-14.299070138803586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08 JUN'!C7, 'REPORTE DIARIO'!C:C)</f>
        <v>11313</v>
      </c>
      <c r="E7" s="15">
        <f>SUMIF('REPORTE DIARIO'!B:B,'EPR 08 JUN'!C7, 'REPORTE DIARIO'!D:D)</f>
        <v>83056</v>
      </c>
      <c r="F7" s="15">
        <f>J7*D7</f>
        <v>177775.71428571429</v>
      </c>
      <c r="G7" s="15">
        <f>+E7-F7</f>
        <v>-94719.71428571429</v>
      </c>
      <c r="H7" s="14">
        <f>ABS(G7/F7)</f>
        <v>0.53280457719598528</v>
      </c>
      <c r="I7" s="15">
        <f>E7/D7</f>
        <v>7.3416423583488024</v>
      </c>
      <c r="J7" s="15">
        <f>110/7</f>
        <v>15.714285714285714</v>
      </c>
      <c r="K7" s="15">
        <f t="shared" ref="K7:K9" si="0">+I7-J7</f>
        <v>-8.372643355936912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08 JUN'!C8, 'REPORTE DIARIO'!C:C)</f>
        <v>14369</v>
      </c>
      <c r="E8" s="15">
        <f>SUMIF('REPORTE DIARIO'!B:B,'EPR 08 JUN'!C8, 'REPORTE DIARIO'!D:D)</f>
        <v>89483</v>
      </c>
      <c r="F8" s="15">
        <f>J8*D8</f>
        <v>92372.142857142855</v>
      </c>
      <c r="G8" s="15">
        <f>+E8-F8</f>
        <v>-2889.1428571428551</v>
      </c>
      <c r="H8" s="14">
        <f>ABS(G8/F8)</f>
        <v>3.1277209424610056E-2</v>
      </c>
      <c r="I8" s="15">
        <f>E8/D8</f>
        <v>6.2275036536989354</v>
      </c>
      <c r="J8" s="15">
        <f>45/7</f>
        <v>6.4285714285714288</v>
      </c>
      <c r="K8" s="15">
        <f t="shared" si="0"/>
        <v>-0.20106777487249339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08 JUN'!C9, 'REPORTE DIARIO'!C:C)</f>
        <v>50600</v>
      </c>
      <c r="E9" s="15">
        <f>SUMIF('REPORTE DIARIO'!B:B,'EPR 08 JUN'!C9, 'REPORTE DIARIO'!D:D)</f>
        <v>136241.24</v>
      </c>
      <c r="F9" s="15">
        <f>J9*D9</f>
        <v>108428.57142857142</v>
      </c>
      <c r="G9" s="15">
        <f>+E9-F9</f>
        <v>27812.66857142857</v>
      </c>
      <c r="H9" s="14">
        <f>ABS(G9/F9)</f>
        <v>0.25650682476943348</v>
      </c>
      <c r="I9" s="15">
        <f>E9/D9</f>
        <v>2.6925146245059288</v>
      </c>
      <c r="J9" s="15">
        <f>15/7</f>
        <v>2.1428571428571428</v>
      </c>
      <c r="K9" s="15">
        <f t="shared" si="0"/>
        <v>0.54965748164878603</v>
      </c>
    </row>
    <row r="10" spans="2:12" x14ac:dyDescent="0.25">
      <c r="B10" s="15"/>
      <c r="C10" s="18" t="s">
        <v>16</v>
      </c>
      <c r="D10" s="23">
        <f>SUM(D6:D9)</f>
        <v>91401</v>
      </c>
      <c r="E10" s="19">
        <f>SUM(E6:E9)</f>
        <v>567761.16999999993</v>
      </c>
      <c r="F10" s="19">
        <f>SUM(F6:F9)</f>
        <v>853745</v>
      </c>
      <c r="G10" s="19">
        <f>+E10-F10</f>
        <v>-285983.83000000007</v>
      </c>
      <c r="H10" s="20">
        <f>ABS(G10/F10)</f>
        <v>0.33497570117540959</v>
      </c>
      <c r="I10" s="19">
        <f>E10/D10</f>
        <v>6.2117610310609281</v>
      </c>
      <c r="J10" s="19">
        <f>F10/D10</f>
        <v>9.3406527280883136</v>
      </c>
      <c r="K10" s="19">
        <f>I10-J10</f>
        <v>-3.1288916970273855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08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2025-05-19T02:14:07Z</cp:lastPrinted>
  <dcterms:created xsi:type="dcterms:W3CDTF">2025-01-27T15:11:28Z</dcterms:created>
  <dcterms:modified xsi:type="dcterms:W3CDTF">2025-06-09T03:11:29Z</dcterms:modified>
</cp:coreProperties>
</file>