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3\05 JUN\MAÑANA\"/>
    </mc:Choice>
  </mc:AlternateContent>
  <xr:revisionPtr revIDLastSave="0" documentId="13_ncr:1_{ECC134AE-8482-4795-A0BA-1D5D690B678F}" xr6:coauthVersionLast="47" xr6:coauthVersionMax="47" xr10:uidLastSave="{00000000-0000-0000-0000-000000000000}"/>
  <bookViews>
    <workbookView xWindow="23550" yWindow="10005" windowWidth="10005" windowHeight="5445" activeTab="2" xr2:uid="{4DC6C92A-CD8A-4966-829B-0B6A986E825B}"/>
  </bookViews>
  <sheets>
    <sheet name="REPORTE DIARIO" sheetId="1" r:id="rId1"/>
    <sheet name="DATA" sheetId="4" r:id="rId2"/>
    <sheet name="EPR 05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19" i="1" l="1"/>
  <c r="D19" i="1"/>
  <c r="D28" i="1"/>
  <c r="C28" i="1"/>
  <c r="D6" i="3"/>
  <c r="D44" i="1"/>
  <c r="C44" i="1"/>
  <c r="D52" i="1"/>
  <c r="C52" i="1"/>
  <c r="D57" i="1" l="1"/>
  <c r="C57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<sst xmlns="http://schemas.openxmlformats.org/spreadsheetml/2006/main" count="89" uniqueCount="37">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</sst>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zoomScaleNormal="100" workbookViewId="0">
      <selection activeCell="B3" sqref="B3:D5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2626</v>
      </c>
      <c r="D5" s="25">
        <v>144367.04999999999</v>
      </c>
    </row>
    <row r="6" spans="2:8" x14ac:dyDescent="0.25">
      <c r="B6" s="1" t="s">
        <v>5</v>
      </c>
      <c r="C6" s="6">
        <v>2960</v>
      </c>
      <c r="D6" s="25">
        <v>227179.88</v>
      </c>
    </row>
    <row r="7" spans="2:8" x14ac:dyDescent="0.25">
      <c r="B7" s="1" t="s">
        <v>6</v>
      </c>
      <c r="C7" s="6">
        <v>5515</v>
      </c>
      <c r="D7" s="25">
        <v>139276.31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11575</v>
      </c>
      <c r="D9" s="25">
        <v>227260.38</v>
      </c>
      <c r="E9" s="14"/>
      <c r="F9" s="7"/>
    </row>
    <row r="10" spans="2:8" x14ac:dyDescent="0.25">
      <c r="B10" s="3" t="s">
        <v>8</v>
      </c>
      <c r="C10" s="8">
        <f>SUM(C5:C9)</f>
        <v>22687</v>
      </c>
      <c r="D10" s="4">
        <f>SUM(D5:D9)</f>
        <v>738083.62</v>
      </c>
      <c r="E10" s="11" t="s">
        <v>14</v>
      </c>
    </row>
    <row r="12" spans="2:8" x14ac:dyDescent="0.25">
      <c r="B12" s="28" t="s">
        <v>30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2880</v>
      </c>
      <c r="D14" s="25">
        <v>130108.04999999999</v>
      </c>
    </row>
    <row r="15" spans="2:8" x14ac:dyDescent="0.25">
      <c r="B15" s="1" t="s">
        <v>5</v>
      </c>
      <c r="C15" s="6">
        <v>2114</v>
      </c>
      <c r="D15" s="25">
        <v>66982.94</v>
      </c>
    </row>
    <row r="16" spans="2:8" x14ac:dyDescent="0.25">
      <c r="B16" s="1" t="s">
        <v>6</v>
      </c>
      <c r="C16" s="6">
        <v>2743</v>
      </c>
      <c r="D16" s="25">
        <v>70615.17</v>
      </c>
    </row>
    <row r="17" spans="2:4" x14ac:dyDescent="0.25">
      <c r="B17" s="5" t="s">
        <v>12</v>
      </c>
      <c r="C17" s="7">
        <v>2</v>
      </c>
      <c r="D17" s="26">
        <v>0</v>
      </c>
    </row>
    <row r="18" spans="2:4" x14ac:dyDescent="0.25">
      <c r="B18" s="1" t="s">
        <v>7</v>
      </c>
      <c r="C18" s="6">
        <v>17881</v>
      </c>
      <c r="D18" s="25">
        <v>45850.73</v>
      </c>
    </row>
    <row r="19" spans="2:4" x14ac:dyDescent="0.25">
      <c r="B19" s="3" t="s">
        <v>8</v>
      </c>
      <c r="C19" s="8">
        <f>SUM(C14:C18)</f>
        <v>25620</v>
      </c>
      <c r="D19" s="4">
        <f>SUM(D14:D18)</f>
        <v>313556.88999999996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3218</v>
      </c>
      <c r="D23" s="25">
        <v>143081.26999999999</v>
      </c>
    </row>
    <row r="24" spans="2:4" x14ac:dyDescent="0.25">
      <c r="B24" s="9" t="s">
        <v>5</v>
      </c>
      <c r="C24" s="6">
        <v>1015</v>
      </c>
      <c r="D24" s="25">
        <v>21319.61</v>
      </c>
    </row>
    <row r="25" spans="2:4" x14ac:dyDescent="0.25">
      <c r="B25" s="9" t="s">
        <v>6</v>
      </c>
      <c r="C25" s="6">
        <v>2120</v>
      </c>
      <c r="D25" s="25">
        <v>17192.45</v>
      </c>
    </row>
    <row r="26" spans="2:4" x14ac:dyDescent="0.25">
      <c r="B26" s="5" t="s">
        <v>12</v>
      </c>
      <c r="C26" s="7">
        <v>1</v>
      </c>
      <c r="D26" s="26">
        <v>0</v>
      </c>
    </row>
    <row r="27" spans="2:4" x14ac:dyDescent="0.25">
      <c r="B27" s="9" t="s">
        <v>7</v>
      </c>
      <c r="C27" s="6">
        <v>16874</v>
      </c>
      <c r="D27" s="25">
        <v>21522.399999999998</v>
      </c>
    </row>
    <row r="28" spans="2:4" x14ac:dyDescent="0.25">
      <c r="B28" s="10" t="s">
        <v>8</v>
      </c>
      <c r="C28" s="8">
        <f>SUM(C23:C27)</f>
        <v>23228</v>
      </c>
      <c r="D28" s="4">
        <f>SUM(D23:D27)</f>
        <v>203115.73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52</v>
      </c>
      <c r="D32" s="25">
        <v>8731.5</v>
      </c>
    </row>
    <row r="33" spans="2:4" x14ac:dyDescent="0.25">
      <c r="B33" s="9" t="s">
        <v>5</v>
      </c>
      <c r="C33" s="6">
        <v>3312</v>
      </c>
      <c r="D33" s="25">
        <v>103973.56999999999</v>
      </c>
    </row>
    <row r="34" spans="2:4" x14ac:dyDescent="0.25">
      <c r="B34" s="9" t="s">
        <v>6</v>
      </c>
      <c r="C34" s="6">
        <v>286</v>
      </c>
      <c r="D34" s="25">
        <v>14808</v>
      </c>
    </row>
    <row r="35" spans="2:4" x14ac:dyDescent="0.25">
      <c r="B35" s="9" t="s">
        <v>7</v>
      </c>
      <c r="C35" s="6">
        <v>3953</v>
      </c>
      <c r="D35" s="25">
        <v>3219</v>
      </c>
    </row>
    <row r="36" spans="2:4" x14ac:dyDescent="0.25">
      <c r="B36" s="10" t="s">
        <v>8</v>
      </c>
      <c r="C36" s="8">
        <f>SUM(C32:C35)</f>
        <v>7603</v>
      </c>
      <c r="D36" s="4">
        <f>SUM(D32:D35)</f>
        <v>130732.06999999999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2196</v>
      </c>
      <c r="D40" s="25">
        <v>40213.9</v>
      </c>
    </row>
    <row r="41" spans="2:4" x14ac:dyDescent="0.25">
      <c r="B41" s="1" t="s">
        <v>5</v>
      </c>
      <c r="C41" s="6">
        <v>1346</v>
      </c>
      <c r="D41" s="25">
        <v>4985</v>
      </c>
    </row>
    <row r="42" spans="2:4" x14ac:dyDescent="0.25">
      <c r="B42" s="1" t="s">
        <v>6</v>
      </c>
      <c r="C42" s="6">
        <v>2200</v>
      </c>
      <c r="D42" s="25">
        <v>1731</v>
      </c>
    </row>
    <row r="43" spans="2:4" x14ac:dyDescent="0.25">
      <c r="B43" s="1" t="s">
        <v>7</v>
      </c>
      <c r="C43" s="6">
        <v>2186</v>
      </c>
      <c r="D43" s="25">
        <v>53809.21</v>
      </c>
    </row>
    <row r="44" spans="2:4" x14ac:dyDescent="0.25">
      <c r="B44" s="3" t="s">
        <v>8</v>
      </c>
      <c r="C44" s="8">
        <f>SUM(C40:C43)</f>
        <v>7928</v>
      </c>
      <c r="D44" s="4">
        <f>SUM(D40:D43)</f>
        <v>100739.11</v>
      </c>
    </row>
    <row r="46" spans="2:4" x14ac:dyDescent="0.25">
      <c r="B46" s="28" t="s">
        <v>31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585</v>
      </c>
      <c r="D48" s="25">
        <v>59365.93</v>
      </c>
    </row>
    <row r="49" spans="2:4" x14ac:dyDescent="0.25">
      <c r="B49" s="1" t="s">
        <v>5</v>
      </c>
      <c r="C49" s="6">
        <v>642</v>
      </c>
      <c r="D49" s="25">
        <v>5963</v>
      </c>
    </row>
    <row r="50" spans="2:4" x14ac:dyDescent="0.25">
      <c r="B50" s="1" t="s">
        <v>6</v>
      </c>
      <c r="C50" s="6">
        <v>805</v>
      </c>
      <c r="D50" s="25">
        <v>491</v>
      </c>
    </row>
    <row r="51" spans="2:4" x14ac:dyDescent="0.25">
      <c r="B51" s="1" t="s">
        <v>7</v>
      </c>
      <c r="C51" s="6">
        <v>2469</v>
      </c>
      <c r="D51" s="25">
        <v>8061</v>
      </c>
    </row>
    <row r="52" spans="2:4" x14ac:dyDescent="0.25">
      <c r="B52" s="3" t="s">
        <v>8</v>
      </c>
      <c r="C52" s="8">
        <f>SUM(C48:C51)</f>
        <v>4501</v>
      </c>
      <c r="D52" s="4">
        <f>SUM(D48:D51)</f>
        <v>73880.929999999993</v>
      </c>
    </row>
    <row r="54" spans="2:4" x14ac:dyDescent="0.25">
      <c r="B54" s="27" t="s">
        <v>11</v>
      </c>
      <c r="C54" s="27"/>
      <c r="D54" s="27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2837</v>
      </c>
      <c r="D56" s="25">
        <v>57079</v>
      </c>
    </row>
    <row r="57" spans="2:4" x14ac:dyDescent="0.25">
      <c r="B57" s="10" t="s">
        <v>8</v>
      </c>
      <c r="C57" s="8">
        <f>SUM(C56:C56)</f>
        <v>2837</v>
      </c>
      <c r="D57" s="4">
        <f>SUM(D56:D56)</f>
        <v>57079</v>
      </c>
    </row>
    <row r="59" spans="2:4" x14ac:dyDescent="0.25">
      <c r="B59" s="12" t="s">
        <v>13</v>
      </c>
      <c r="C59" s="13">
        <f>SUM(C10+C28+C36+C57+C19+C52+C44)</f>
        <v>94404</v>
      </c>
      <c r="D59" s="13">
        <f>SUM(D10+D28+D36+D57+D19+D52+D44)</f>
        <v>1617187.3499999999</v>
      </c>
    </row>
  </sheetData>
  <mergeCells count="7">
    <mergeCell ref="B54:D54"/>
    <mergeCell ref="B38:D38"/>
    <mergeCell ref="B12:D12"/>
    <mergeCell ref="B46:D46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B2" sqref="B2:K14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05 JUN'!C6, 'REPORTE DIARIO'!C:C)</f>
        <v>14394</v>
      </c>
      <c r="E6" s="16">
        <f>SUMIF('REPORTE DIARIO'!B:B,'EPR 05 JUN'!C6, 'REPORTE DIARIO'!D:D)</f>
        <v>582946.70000000007</v>
      </c>
      <c r="F6" s="16">
        <f>J6*D6</f>
        <v>1809531.4285714284</v>
      </c>
      <c r="G6" s="16">
        <f>+E6-F6</f>
        <v>-1226584.7285714285</v>
      </c>
      <c r="H6" s="15">
        <f>ABS(G6/F6)</f>
        <v>0.67784660117220563</v>
      </c>
      <c r="I6" s="16">
        <f>E6/D6</f>
        <v>40.499284424065586</v>
      </c>
      <c r="J6" s="16">
        <f>(220/7)*4</f>
        <v>125.71428571428571</v>
      </c>
      <c r="K6" s="16">
        <f>+I6-J6</f>
        <v>-85.21500129022013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05 JUN'!C7, 'REPORTE DIARIO'!C:C)</f>
        <v>11389</v>
      </c>
      <c r="E7" s="16">
        <f>SUMIF('REPORTE DIARIO'!B:B,'EPR 05 JUN'!C7, 'REPORTE DIARIO'!D:D)</f>
        <v>430404</v>
      </c>
      <c r="F7" s="16">
        <f>J7*D7</f>
        <v>715880</v>
      </c>
      <c r="G7" s="16">
        <f>+E7-F7</f>
        <v>-285476</v>
      </c>
      <c r="H7" s="15">
        <f>ABS(G7/F7)</f>
        <v>0.39877633122869754</v>
      </c>
      <c r="I7" s="16">
        <f>E7/D7</f>
        <v>37.791202037053296</v>
      </c>
      <c r="J7" s="16">
        <f>(110/7)*4</f>
        <v>62.857142857142854</v>
      </c>
      <c r="K7" s="16">
        <f t="shared" ref="K7:K9" si="0">+I7-J7</f>
        <v>-25.065940820089558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05 JUN'!C8, 'REPORTE DIARIO'!C:C)</f>
        <v>13669</v>
      </c>
      <c r="E8" s="16">
        <f>SUMIF('REPORTE DIARIO'!B:B,'EPR 05 JUN'!C8, 'REPORTE DIARIO'!D:D)</f>
        <v>244113.93</v>
      </c>
      <c r="F8" s="16">
        <f>J8*D8</f>
        <v>351488.57142857142</v>
      </c>
      <c r="G8" s="16">
        <f>+E8-F8</f>
        <v>-107374.64142857143</v>
      </c>
      <c r="H8" s="15">
        <f>ABS(G8/F8)</f>
        <v>0.30548544150998608</v>
      </c>
      <c r="I8" s="16">
        <f>E8/D8</f>
        <v>17.858945789743213</v>
      </c>
      <c r="J8" s="16">
        <f>(45/7)*4</f>
        <v>25.714285714285715</v>
      </c>
      <c r="K8" s="16">
        <f t="shared" si="0"/>
        <v>-7.855339924542502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05 JUN'!C9, 'REPORTE DIARIO'!C:C)</f>
        <v>54938</v>
      </c>
      <c r="E9" s="16">
        <f>SUMIF('REPORTE DIARIO'!B:B,'EPR 05 JUN'!C9, 'REPORTE DIARIO'!D:D)</f>
        <v>359722.72000000003</v>
      </c>
      <c r="F9" s="16">
        <f>J9*D9</f>
        <v>470897.14285714284</v>
      </c>
      <c r="G9" s="16">
        <f>+E9-F9</f>
        <v>-111174.42285714281</v>
      </c>
      <c r="H9" s="15">
        <f>ABS(G9/F9)</f>
        <v>0.23609067190893968</v>
      </c>
      <c r="I9" s="16">
        <f>E9/D9</f>
        <v>6.547794240780517</v>
      </c>
      <c r="J9" s="16">
        <f>(15/7)*4</f>
        <v>8.5714285714285712</v>
      </c>
      <c r="K9" s="16">
        <f t="shared" si="0"/>
        <v>-2.0236343306480542</v>
      </c>
    </row>
    <row r="10" spans="2:12" x14ac:dyDescent="0.25">
      <c r="B10" s="16"/>
      <c r="C10" s="19" t="s">
        <v>17</v>
      </c>
      <c r="D10" s="24">
        <f>SUM(D6:D9)</f>
        <v>94390</v>
      </c>
      <c r="E10" s="20">
        <f>SUM(E6:E9)</f>
        <v>1617187.35</v>
      </c>
      <c r="F10" s="20">
        <f>SUM(F6:F9)</f>
        <v>3347797.1428571423</v>
      </c>
      <c r="G10" s="20">
        <f>+E10-F10</f>
        <v>-1730609.7928571422</v>
      </c>
      <c r="H10" s="21">
        <f>ABS(G10/F10)</f>
        <v>0.51693986194760044</v>
      </c>
      <c r="I10" s="20">
        <f>E10/D10</f>
        <v>17.133036868312324</v>
      </c>
      <c r="J10" s="20">
        <f>F10/D10</f>
        <v>35.46770995716858</v>
      </c>
      <c r="K10" s="20">
        <f>I10-J10</f>
        <v>-18.334673088856256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05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2025-06-05T16:41:57Z</dcterms:modified>
</cp:coreProperties>
</file>