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5 JUN\NOCHE\"/>
    </mc:Choice>
  </mc:AlternateContent>
  <xr:revisionPtr revIDLastSave="0" documentId="13_ncr:1_{5202C9BA-41C6-48B1-9CE8-098EFBCFEE63}" xr6:coauthVersionLast="47" xr6:coauthVersionMax="47" xr10:uidLastSave="{00000000-0000-0000-0000-000000000000}"/>
  <bookViews>
    <workbookView xWindow="24585" yWindow="11040" windowWidth="10005" windowHeight="5445" xr2:uid="{4DC6C92A-CD8A-4966-829B-0B6A986E825B}"/>
  </bookViews>
  <sheets>
    <sheet name="REPORTE DIARIO" sheetId="1" r:id="rId1"/>
    <sheet name="DATA" sheetId="4" r:id="rId2"/>
    <sheet name="EPR 05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" l="1"/>
  <c r="C19" i="1"/>
  <c r="J6" i="3"/>
  <c r="D57" i="1"/>
  <c r="D44" i="1"/>
  <c r="C44" i="1"/>
  <c r="C57" i="1"/>
  <c r="D28" i="1" l="1"/>
  <c r="C28" i="1"/>
  <c r="J9" i="3"/>
  <c r="J8" i="3"/>
  <c r="J7" i="3"/>
  <c r="D6" i="3"/>
  <c r="F6" i="3" s="1"/>
  <c r="D49" i="1"/>
  <c r="C49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<sst xmlns="http://schemas.openxmlformats.org/spreadsheetml/2006/main" count="88" uniqueCount="36">
  <si>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</si>
  <si>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</si>
  <si>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</si>
  <si>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</si>
  <si>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</si>
  <si>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</si>
  <si>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</si>
  <si>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</si>
  <si>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</si>
  <si>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</si>
  <si>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</si>
  <si>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</si>
  <si>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</si>
  <si>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</si>
  <si>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</si>
  <si>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</si>
  <si>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</si>
  <si>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</si>
  <si>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</si>
  <si>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</si>
  <si>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</si>
  <si>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</si>
  <si>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</si>
  <si>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</si>
  <si>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</si>
  <si>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</si>
  <si>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</si>
  <si>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</si>
  <si>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</si>
  <si>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</si>
  <si>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</si>
  <si>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</si>
  <si>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</si>
  <si>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</si>
  <si>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</si>
  <si>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05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</si>
</sst>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3" fillId="0" borderId="2" xfId="0" applyNumberFormat="1" applyFon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19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2815</v>
      </c>
      <c r="D5" s="25">
        <v>71670.289999999994</v>
      </c>
    </row>
    <row r="6" spans="2:8" x14ac:dyDescent="0.25">
      <c r="B6" s="1" t="s">
        <v>5</v>
      </c>
      <c r="C6" s="6">
        <v>3013</v>
      </c>
      <c r="D6" s="25">
        <v>45735</v>
      </c>
    </row>
    <row r="7" spans="2:8" x14ac:dyDescent="0.25">
      <c r="B7" s="1" t="s">
        <v>6</v>
      </c>
      <c r="C7" s="6">
        <v>5539</v>
      </c>
      <c r="D7" s="25">
        <v>28465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11611</v>
      </c>
      <c r="D9" s="25">
        <v>24861</v>
      </c>
    </row>
    <row r="10" spans="2:8" x14ac:dyDescent="0.25">
      <c r="B10" s="3" t="s">
        <v>8</v>
      </c>
      <c r="C10" s="8">
        <f>SUM(C5:C9)</f>
        <v>22989</v>
      </c>
      <c r="D10" s="4">
        <f>SUM(D5:D9)</f>
        <v>170731.28999999998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3832</v>
      </c>
      <c r="D14" s="25">
        <v>41013.43</v>
      </c>
    </row>
    <row r="15" spans="2:8" x14ac:dyDescent="0.25">
      <c r="B15" s="9" t="s">
        <v>5</v>
      </c>
      <c r="C15" s="6">
        <v>1009</v>
      </c>
      <c r="D15" s="25">
        <v>21127.5</v>
      </c>
    </row>
    <row r="16" spans="2:8" x14ac:dyDescent="0.25">
      <c r="B16" s="9" t="s">
        <v>6</v>
      </c>
      <c r="C16" s="6">
        <v>2118</v>
      </c>
      <c r="D16" s="25">
        <v>2435</v>
      </c>
    </row>
    <row r="17" spans="2:11" x14ac:dyDescent="0.25">
      <c r="B17" s="5" t="s">
        <v>12</v>
      </c>
      <c r="C17" s="7">
        <v>1</v>
      </c>
      <c r="D17" s="27">
        <v>0</v>
      </c>
    </row>
    <row r="18" spans="2:11" x14ac:dyDescent="0.25">
      <c r="B18" s="9" t="s">
        <v>7</v>
      </c>
      <c r="C18" s="6">
        <v>16874</v>
      </c>
      <c r="D18" s="25">
        <v>11575.720000000001</v>
      </c>
    </row>
    <row r="19" spans="2:11" x14ac:dyDescent="0.25">
      <c r="B19" s="10" t="s">
        <v>8</v>
      </c>
      <c r="C19" s="8">
        <f>SUM(C14:C18)</f>
        <v>23834</v>
      </c>
      <c r="D19" s="4">
        <f>SUM(D14:D18)</f>
        <v>76151.649999999994</v>
      </c>
    </row>
    <row r="21" spans="2:11" x14ac:dyDescent="0.25">
      <c r="B21" s="28" t="s">
        <v>29</v>
      </c>
      <c r="C21" s="28"/>
      <c r="D21" s="28"/>
    </row>
    <row r="22" spans="2:11" x14ac:dyDescent="0.25">
      <c r="B22" s="2" t="s">
        <v>1</v>
      </c>
      <c r="C22" s="2" t="s">
        <v>2</v>
      </c>
      <c r="D22" s="2" t="s">
        <v>3</v>
      </c>
    </row>
    <row r="23" spans="2:11" x14ac:dyDescent="0.25">
      <c r="B23" s="1" t="s">
        <v>4</v>
      </c>
      <c r="C23" s="6">
        <v>2908</v>
      </c>
      <c r="D23" s="25">
        <v>16594.2</v>
      </c>
    </row>
    <row r="24" spans="2:11" x14ac:dyDescent="0.25">
      <c r="B24" s="1" t="s">
        <v>5</v>
      </c>
      <c r="C24" s="6">
        <v>2106</v>
      </c>
      <c r="D24" s="25">
        <v>3502</v>
      </c>
    </row>
    <row r="25" spans="2:11" x14ac:dyDescent="0.25">
      <c r="B25" s="1" t="s">
        <v>6</v>
      </c>
      <c r="C25" s="6">
        <v>2758</v>
      </c>
      <c r="D25" s="25">
        <v>11999</v>
      </c>
    </row>
    <row r="26" spans="2:11" x14ac:dyDescent="0.25">
      <c r="B26" s="5" t="s">
        <v>12</v>
      </c>
      <c r="C26" s="7">
        <v>2</v>
      </c>
      <c r="D26" s="24">
        <v>0</v>
      </c>
      <c r="K26" s="7"/>
    </row>
    <row r="27" spans="2:11" x14ac:dyDescent="0.25">
      <c r="B27" s="1" t="s">
        <v>7</v>
      </c>
      <c r="C27" s="6">
        <v>17898</v>
      </c>
      <c r="D27" s="25">
        <v>18180.41</v>
      </c>
    </row>
    <row r="28" spans="2:11" x14ac:dyDescent="0.25">
      <c r="B28" s="3" t="s">
        <v>8</v>
      </c>
      <c r="C28" s="8">
        <f>SUM(C23:C27)</f>
        <v>25672</v>
      </c>
      <c r="D28" s="4">
        <f>SUM(D23:D27)</f>
        <v>50275.61</v>
      </c>
    </row>
    <row r="30" spans="2:11" x14ac:dyDescent="0.25">
      <c r="B30" s="28" t="s">
        <v>9</v>
      </c>
      <c r="C30" s="28"/>
      <c r="D30" s="28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51</v>
      </c>
      <c r="D32" s="25">
        <v>552</v>
      </c>
    </row>
    <row r="33" spans="2:4" x14ac:dyDescent="0.25">
      <c r="B33" s="9" t="s">
        <v>5</v>
      </c>
      <c r="C33" s="6">
        <v>3307</v>
      </c>
      <c r="D33" s="25">
        <v>32422</v>
      </c>
    </row>
    <row r="34" spans="2:4" x14ac:dyDescent="0.25">
      <c r="B34" s="9" t="s">
        <v>6</v>
      </c>
      <c r="C34" s="6">
        <v>285</v>
      </c>
      <c r="D34" s="25">
        <v>2966</v>
      </c>
    </row>
    <row r="35" spans="2:4" x14ac:dyDescent="0.25">
      <c r="B35" s="9" t="s">
        <v>7</v>
      </c>
      <c r="C35" s="6">
        <v>3953</v>
      </c>
      <c r="D35" s="25">
        <v>337</v>
      </c>
    </row>
    <row r="36" spans="2:4" x14ac:dyDescent="0.25">
      <c r="B36" s="10" t="s">
        <v>8</v>
      </c>
      <c r="C36" s="8">
        <f>SUM(C32:C35)</f>
        <v>7596</v>
      </c>
      <c r="D36" s="4">
        <f>SUM(D32:D35)</f>
        <v>36277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2229</v>
      </c>
      <c r="D40" s="25">
        <v>15177</v>
      </c>
    </row>
    <row r="41" spans="2:4" x14ac:dyDescent="0.25">
      <c r="B41" s="1" t="s">
        <v>5</v>
      </c>
      <c r="C41" s="6">
        <v>1359</v>
      </c>
      <c r="D41" s="25">
        <v>1500</v>
      </c>
    </row>
    <row r="42" spans="2:4" x14ac:dyDescent="0.25">
      <c r="B42" s="1" t="s">
        <v>6</v>
      </c>
      <c r="C42" s="6">
        <v>2216</v>
      </c>
      <c r="D42" s="25">
        <v>500</v>
      </c>
    </row>
    <row r="43" spans="2:4" x14ac:dyDescent="0.25">
      <c r="B43" s="1" t="s">
        <v>7</v>
      </c>
      <c r="C43" s="6">
        <v>2211</v>
      </c>
      <c r="D43" s="25">
        <v>1270</v>
      </c>
    </row>
    <row r="44" spans="2:4" x14ac:dyDescent="0.25">
      <c r="B44" s="3" t="s">
        <v>8</v>
      </c>
      <c r="C44" s="8">
        <f>SUM(C40:C43)</f>
        <v>8015</v>
      </c>
      <c r="D44" s="4">
        <f>SUM(D40:D43)</f>
        <v>18447</v>
      </c>
    </row>
    <row r="46" spans="2:4" x14ac:dyDescent="0.25">
      <c r="B46" s="29" t="s">
        <v>11</v>
      </c>
      <c r="C46" s="29"/>
      <c r="D46" s="29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2845</v>
      </c>
      <c r="D48" s="25">
        <v>9524</v>
      </c>
    </row>
    <row r="49" spans="2:4" x14ac:dyDescent="0.25">
      <c r="B49" s="10" t="s">
        <v>8</v>
      </c>
      <c r="C49" s="8">
        <f>SUM(C48:C48)</f>
        <v>2845</v>
      </c>
      <c r="D49" s="4">
        <f>SUM(D48:D48)</f>
        <v>9524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585</v>
      </c>
      <c r="D53" s="25">
        <v>810</v>
      </c>
    </row>
    <row r="54" spans="2:4" x14ac:dyDescent="0.25">
      <c r="B54" s="1" t="s">
        <v>5</v>
      </c>
      <c r="C54" s="6">
        <v>635</v>
      </c>
      <c r="D54" s="25">
        <v>300</v>
      </c>
    </row>
    <row r="55" spans="2:4" x14ac:dyDescent="0.25">
      <c r="B55" s="1" t="s">
        <v>6</v>
      </c>
      <c r="C55" s="6">
        <v>805</v>
      </c>
      <c r="D55" s="25">
        <v>141</v>
      </c>
    </row>
    <row r="56" spans="2:4" x14ac:dyDescent="0.25">
      <c r="B56" s="1" t="s">
        <v>7</v>
      </c>
      <c r="C56" s="6">
        <v>2469</v>
      </c>
      <c r="D56" s="30">
        <v>0</v>
      </c>
    </row>
    <row r="57" spans="2:4" x14ac:dyDescent="0.25">
      <c r="B57" s="3" t="s">
        <v>8</v>
      </c>
      <c r="C57" s="8">
        <f>SUM(C53:C56)</f>
        <v>4494</v>
      </c>
      <c r="D57" s="4">
        <f>SUM(D53:D56)</f>
        <v>1251</v>
      </c>
    </row>
    <row r="59" spans="2:4" x14ac:dyDescent="0.25">
      <c r="B59" s="11" t="s">
        <v>13</v>
      </c>
      <c r="C59" s="12">
        <f>SUM(C10+C36+C19+C49+C28+C57+C44)</f>
        <v>95445</v>
      </c>
      <c r="D59" s="12">
        <f>SUM(D10+D36+D19+D49+D28+D57+D44)</f>
        <v>362657.54999999993</v>
      </c>
    </row>
  </sheetData>
  <mergeCells count="7">
    <mergeCell ref="B3:D3"/>
    <mergeCell ref="B30:D30"/>
    <mergeCell ref="B46:D46"/>
    <mergeCell ref="B51:D51"/>
    <mergeCell ref="B21:D21"/>
    <mergeCell ref="B12:D12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J10" sqref="J10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05 JUN'!C6, 'REPORTE DIARIO'!C:C)</f>
        <v>15265</v>
      </c>
      <c r="E6" s="15">
        <f>SUMIF('REPORTE DIARIO'!B:B,'EPR 05 JUN'!C6, 'REPORTE DIARIO'!D:D)</f>
        <v>155340.91999999998</v>
      </c>
      <c r="F6" s="15">
        <f>J6*D6</f>
        <v>479757.14285714284</v>
      </c>
      <c r="G6" s="15">
        <f>+E6-F6</f>
        <v>-324416.22285714286</v>
      </c>
      <c r="H6" s="14">
        <f>ABS(G6/F6)</f>
        <v>0.67620926063782272</v>
      </c>
      <c r="I6" s="15">
        <f>E6/D6</f>
        <v>10.176280379954143</v>
      </c>
      <c r="J6" s="15">
        <f>220/7</f>
        <v>31.428571428571427</v>
      </c>
      <c r="K6" s="15">
        <f>+I6-J6</f>
        <v>-21.252291048617284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05 JUN'!C7, 'REPORTE DIARIO'!C:C)</f>
        <v>11429</v>
      </c>
      <c r="E7" s="15">
        <f>SUMIF('REPORTE DIARIO'!B:B,'EPR 05 JUN'!C7, 'REPORTE DIARIO'!D:D)</f>
        <v>104586.5</v>
      </c>
      <c r="F7" s="15">
        <f>J7*D7</f>
        <v>179598.57142857142</v>
      </c>
      <c r="G7" s="15">
        <f>+E7-F7</f>
        <v>-75012.07142857142</v>
      </c>
      <c r="H7" s="14">
        <f>ABS(G7/F7)</f>
        <v>0.41766518982810868</v>
      </c>
      <c r="I7" s="15">
        <f>E7/D7</f>
        <v>9.1509755884154345</v>
      </c>
      <c r="J7" s="15">
        <f>110/7</f>
        <v>15.714285714285714</v>
      </c>
      <c r="K7" s="15">
        <f t="shared" ref="K7:K9" si="0">+I7-J7</f>
        <v>-6.5633101258702791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05 JUN'!C8, 'REPORTE DIARIO'!C:C)</f>
        <v>13721</v>
      </c>
      <c r="E8" s="15">
        <f>SUMIF('REPORTE DIARIO'!B:B,'EPR 05 JUN'!C8, 'REPORTE DIARIO'!D:D)</f>
        <v>46506</v>
      </c>
      <c r="F8" s="15">
        <f>J8*D8</f>
        <v>88206.42857142858</v>
      </c>
      <c r="G8" s="15">
        <f>+E8-F8</f>
        <v>-41700.42857142858</v>
      </c>
      <c r="H8" s="14">
        <f>ABS(G8/F8)</f>
        <v>0.47275951704200381</v>
      </c>
      <c r="I8" s="15">
        <f>E8/D8</f>
        <v>3.389403104729976</v>
      </c>
      <c r="J8" s="15">
        <f>45/7</f>
        <v>6.4285714285714288</v>
      </c>
      <c r="K8" s="15">
        <f t="shared" si="0"/>
        <v>-3.0391683238414529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05 JUN'!C9, 'REPORTE DIARIO'!C:C)</f>
        <v>55016</v>
      </c>
      <c r="E9" s="15">
        <f>SUMIF('REPORTE DIARIO'!B:B,'EPR 05 JUN'!C9, 'REPORTE DIARIO'!D:D)</f>
        <v>56224.130000000005</v>
      </c>
      <c r="F9" s="15">
        <f>J9*D9</f>
        <v>117891.42857142857</v>
      </c>
      <c r="G9" s="15">
        <f>+E9-F9</f>
        <v>-61667.298571428561</v>
      </c>
      <c r="H9" s="14">
        <f>ABS(G9/F9)</f>
        <v>0.52308551451698893</v>
      </c>
      <c r="I9" s="15">
        <f>E9/D9</f>
        <v>1.0219596117493093</v>
      </c>
      <c r="J9" s="15">
        <f>15/7</f>
        <v>2.1428571428571428</v>
      </c>
      <c r="K9" s="15">
        <f t="shared" si="0"/>
        <v>-1.1208975311078335</v>
      </c>
    </row>
    <row r="10" spans="2:12" x14ac:dyDescent="0.25">
      <c r="B10" s="15"/>
      <c r="C10" s="18" t="s">
        <v>16</v>
      </c>
      <c r="D10" s="23">
        <f>SUM(D6:D9)</f>
        <v>95431</v>
      </c>
      <c r="E10" s="19">
        <f>SUM(E6:E9)</f>
        <v>362657.55</v>
      </c>
      <c r="F10" s="19">
        <f>SUM(F6:F9)</f>
        <v>865453.57142857148</v>
      </c>
      <c r="G10" s="19">
        <f>+E10-F10</f>
        <v>-502796.02142857149</v>
      </c>
      <c r="H10" s="20">
        <f>ABS(G10/F10)</f>
        <v>0.58096244331007274</v>
      </c>
      <c r="I10" s="19">
        <f>E10/D10</f>
        <v>3.8002069558110048</v>
      </c>
      <c r="J10" s="19">
        <f>F10/D10</f>
        <v>9.0688934563042558</v>
      </c>
      <c r="K10" s="19">
        <f>I10-J10</f>
        <v>-5.268686500493251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05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2025-06-06T03:41:45Z</dcterms:modified>
</cp:coreProperties>
</file>