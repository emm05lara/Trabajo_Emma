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3 JUN\MAÑANA\"/>
    </mc:Choice>
  </mc:AlternateContent>
  <xr:revisionPtr revIDLastSave="0" documentId="13_ncr:1_{90714EE2-1CE7-4BDA-8DDB-BF1C9862128E}" xr6:coauthVersionLast="47" xr6:coauthVersionMax="47" xr10:uidLastSave="{00000000-0000-0000-0000-000000000000}"/>
  <bookViews>
    <workbookView xWindow="15615" yWindow="2070" windowWidth="10005" windowHeight="5445" xr2:uid="{4DC6C92A-CD8A-4966-829B-0B6A986E825B}"/>
  </bookViews>
  <sheets>
    <sheet name="REPORTE DIARIO" sheetId="1" r:id="rId1"/>
    <sheet name="DATA" sheetId="4" r:id="rId2"/>
    <sheet name="EPR 03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52" i="1"/>
  <c r="C52" i="1"/>
  <c r="D36" i="1"/>
  <c r="C36" i="1"/>
  <c r="D57" i="1" l="1"/>
  <c r="C57" i="1"/>
  <c r="D44" i="1"/>
  <c r="C44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<sst xmlns="http://schemas.openxmlformats.org/spreadsheetml/2006/main" count="89" uniqueCount="37">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</sst>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2485</v>
      </c>
      <c r="D5" s="25">
        <v>70217.89</v>
      </c>
    </row>
    <row r="6" spans="2:8" x14ac:dyDescent="0.25">
      <c r="B6" s="1" t="s">
        <v>5</v>
      </c>
      <c r="C6" s="6">
        <v>2914</v>
      </c>
      <c r="D6" s="25">
        <v>74035.88</v>
      </c>
    </row>
    <row r="7" spans="2:8" x14ac:dyDescent="0.25">
      <c r="B7" s="1" t="s">
        <v>6</v>
      </c>
      <c r="C7" s="6">
        <v>5095</v>
      </c>
      <c r="D7" s="25">
        <v>87020.299999999988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11392</v>
      </c>
      <c r="D9" s="25">
        <v>114262.69</v>
      </c>
      <c r="E9" s="14"/>
      <c r="F9" s="7"/>
    </row>
    <row r="10" spans="2:8" x14ac:dyDescent="0.25">
      <c r="B10" s="3" t="s">
        <v>8</v>
      </c>
      <c r="C10" s="8">
        <f>SUM(C5:C9)</f>
        <v>21897</v>
      </c>
      <c r="D10" s="4">
        <f>SUM(D5:D9)</f>
        <v>345536.76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2791</v>
      </c>
      <c r="D14" s="25">
        <v>66990.28</v>
      </c>
    </row>
    <row r="15" spans="2:8" x14ac:dyDescent="0.25">
      <c r="B15" s="1" t="s">
        <v>5</v>
      </c>
      <c r="C15" s="6">
        <v>2174</v>
      </c>
      <c r="D15" s="25">
        <v>22410.010000000002</v>
      </c>
    </row>
    <row r="16" spans="2:8" x14ac:dyDescent="0.25">
      <c r="B16" s="1" t="s">
        <v>6</v>
      </c>
      <c r="C16" s="6">
        <v>2555</v>
      </c>
      <c r="D16" s="25">
        <v>15416.17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17753</v>
      </c>
      <c r="D18" s="25">
        <v>22742</v>
      </c>
    </row>
    <row r="19" spans="2:4" x14ac:dyDescent="0.25">
      <c r="B19" s="3" t="s">
        <v>8</v>
      </c>
      <c r="C19" s="8">
        <f>SUM(C14:C18)</f>
        <v>25275</v>
      </c>
      <c r="D19" s="4">
        <f>SUM(D14:D18)</f>
        <v>127558.46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3145</v>
      </c>
      <c r="D23" s="25">
        <v>68880.87</v>
      </c>
    </row>
    <row r="24" spans="2:4" x14ac:dyDescent="0.25">
      <c r="B24" s="9" t="s">
        <v>5</v>
      </c>
      <c r="C24" s="6">
        <v>1138</v>
      </c>
      <c r="D24" s="25">
        <v>16273.61</v>
      </c>
    </row>
    <row r="25" spans="2:4" x14ac:dyDescent="0.25">
      <c r="B25" s="9" t="s">
        <v>6</v>
      </c>
      <c r="C25" s="6">
        <v>2148</v>
      </c>
      <c r="D25" s="25">
        <v>14124.45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17174</v>
      </c>
      <c r="D27" s="25">
        <v>16732.39</v>
      </c>
    </row>
    <row r="28" spans="2:4" x14ac:dyDescent="0.25">
      <c r="B28" s="10" t="s">
        <v>8</v>
      </c>
      <c r="C28" s="8">
        <f>SUM(C23:C27)</f>
        <v>23606</v>
      </c>
      <c r="D28" s="4">
        <f>SUM(D23:D27)</f>
        <v>116011.31999999999</v>
      </c>
    </row>
    <row r="30" spans="2:4" x14ac:dyDescent="0.25">
      <c r="B30" s="28" t="s">
        <v>31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586</v>
      </c>
      <c r="D32" s="25">
        <v>55401.93</v>
      </c>
    </row>
    <row r="33" spans="2:4" x14ac:dyDescent="0.25">
      <c r="B33" s="1" t="s">
        <v>5</v>
      </c>
      <c r="C33" s="6">
        <v>647</v>
      </c>
      <c r="D33" s="25">
        <v>4323</v>
      </c>
    </row>
    <row r="34" spans="2:4" x14ac:dyDescent="0.25">
      <c r="B34" s="1" t="s">
        <v>6</v>
      </c>
      <c r="C34" s="6">
        <v>807</v>
      </c>
      <c r="D34" s="25">
        <v>491</v>
      </c>
    </row>
    <row r="35" spans="2:4" x14ac:dyDescent="0.25">
      <c r="B35" s="1" t="s">
        <v>7</v>
      </c>
      <c r="C35" s="6">
        <v>2471</v>
      </c>
      <c r="D35" s="25">
        <v>5694</v>
      </c>
    </row>
    <row r="36" spans="2:4" x14ac:dyDescent="0.25">
      <c r="B36" s="3" t="s">
        <v>8</v>
      </c>
      <c r="C36" s="8">
        <f>SUM(C32:C35)</f>
        <v>4511</v>
      </c>
      <c r="D36" s="4">
        <f>SUM(D32:D35)</f>
        <v>65909.929999999993</v>
      </c>
    </row>
    <row r="38" spans="2:4" x14ac:dyDescent="0.25">
      <c r="B38" s="28" t="s">
        <v>9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53</v>
      </c>
      <c r="D40" s="25">
        <v>4052.5</v>
      </c>
    </row>
    <row r="41" spans="2:4" x14ac:dyDescent="0.25">
      <c r="B41" s="9" t="s">
        <v>5</v>
      </c>
      <c r="C41" s="6">
        <v>3433</v>
      </c>
      <c r="D41" s="25">
        <v>47931.39</v>
      </c>
    </row>
    <row r="42" spans="2:4" x14ac:dyDescent="0.25">
      <c r="B42" s="9" t="s">
        <v>6</v>
      </c>
      <c r="C42" s="6">
        <v>289</v>
      </c>
      <c r="D42" s="25">
        <v>3860</v>
      </c>
    </row>
    <row r="43" spans="2:4" x14ac:dyDescent="0.25">
      <c r="B43" s="9" t="s">
        <v>7</v>
      </c>
      <c r="C43" s="6">
        <v>3972</v>
      </c>
      <c r="D43" s="25">
        <v>1112</v>
      </c>
    </row>
    <row r="44" spans="2:4" x14ac:dyDescent="0.25">
      <c r="B44" s="10" t="s">
        <v>8</v>
      </c>
      <c r="C44" s="8">
        <f>SUM(C40:C43)</f>
        <v>7747</v>
      </c>
      <c r="D44" s="4">
        <f>SUM(D40:D43)</f>
        <v>56955.89</v>
      </c>
    </row>
    <row r="46" spans="2:4" x14ac:dyDescent="0.25">
      <c r="B46" s="28" t="s">
        <v>32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2071</v>
      </c>
      <c r="D48" s="25">
        <v>15981.9</v>
      </c>
    </row>
    <row r="49" spans="2:4" x14ac:dyDescent="0.25">
      <c r="B49" s="1" t="s">
        <v>5</v>
      </c>
      <c r="C49" s="6">
        <v>1291</v>
      </c>
      <c r="D49" s="25">
        <v>1406</v>
      </c>
    </row>
    <row r="50" spans="2:4" x14ac:dyDescent="0.25">
      <c r="B50" s="1" t="s">
        <v>6</v>
      </c>
      <c r="C50" s="6">
        <v>2017</v>
      </c>
      <c r="D50" s="26">
        <v>0</v>
      </c>
    </row>
    <row r="51" spans="2:4" x14ac:dyDescent="0.25">
      <c r="B51" s="1" t="s">
        <v>7</v>
      </c>
      <c r="C51" s="6">
        <v>2046</v>
      </c>
      <c r="D51" s="25">
        <v>4827.46</v>
      </c>
    </row>
    <row r="52" spans="2:4" x14ac:dyDescent="0.25">
      <c r="B52" s="3" t="s">
        <v>8</v>
      </c>
      <c r="C52" s="8">
        <f>SUM(C48:C51)</f>
        <v>7425</v>
      </c>
      <c r="D52" s="4">
        <f>SUM(D48:D51)</f>
        <v>22215.360000000001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2814</v>
      </c>
      <c r="D56" s="25">
        <v>11321</v>
      </c>
    </row>
    <row r="57" spans="2:4" x14ac:dyDescent="0.25">
      <c r="B57" s="10" t="s">
        <v>8</v>
      </c>
      <c r="C57" s="8">
        <f>SUM(C56:C56)</f>
        <v>2814</v>
      </c>
      <c r="D57" s="4">
        <f>SUM(D56:D56)</f>
        <v>11321</v>
      </c>
    </row>
    <row r="59" spans="2:4" x14ac:dyDescent="0.25">
      <c r="B59" s="12" t="s">
        <v>13</v>
      </c>
      <c r="C59" s="13">
        <f>SUM(C10+C28+C44+C57+C19+C36+C52)</f>
        <v>93275</v>
      </c>
      <c r="D59" s="13">
        <f>SUM(D10+D28+D44+D57+D19+D36+D52)</f>
        <v>745508.71999999986</v>
      </c>
    </row>
  </sheetData>
  <mergeCells count="7">
    <mergeCell ref="B54:D54"/>
    <mergeCell ref="B46:D46"/>
    <mergeCell ref="B12:D12"/>
    <mergeCell ref="B30:D30"/>
    <mergeCell ref="B3:D3"/>
    <mergeCell ref="B21:D21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5" sqref="B5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03 JUN'!C6, 'REPORTE DIARIO'!C:C)</f>
        <v>13945</v>
      </c>
      <c r="E6" s="16">
        <f>SUMIF('REPORTE DIARIO'!B:B,'EPR 03 JUN'!C6, 'REPORTE DIARIO'!D:D)</f>
        <v>292846.37</v>
      </c>
      <c r="F6" s="16">
        <f>J6*D6</f>
        <v>876542.85714285704</v>
      </c>
      <c r="G6" s="16">
        <f>+E6-F6</f>
        <v>-583696.48714285705</v>
      </c>
      <c r="H6" s="15">
        <f>ABS(G6/F6)</f>
        <v>0.66590752795071539</v>
      </c>
      <c r="I6" s="16">
        <f>E6/D6</f>
        <v>21.000098243097884</v>
      </c>
      <c r="J6" s="16">
        <f>(220/7)*2</f>
        <v>62.857142857142854</v>
      </c>
      <c r="K6" s="16">
        <f>+I6-J6</f>
        <v>-41.857044614044966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03 JUN'!C7, 'REPORTE DIARIO'!C:C)</f>
        <v>11597</v>
      </c>
      <c r="E7" s="16">
        <f>SUMIF('REPORTE DIARIO'!B:B,'EPR 03 JUN'!C7, 'REPORTE DIARIO'!D:D)</f>
        <v>166379.89000000001</v>
      </c>
      <c r="F7" s="16">
        <f>J7*D7</f>
        <v>364477.14285714284</v>
      </c>
      <c r="G7" s="16">
        <f>+E7-F7</f>
        <v>-198097.25285714283</v>
      </c>
      <c r="H7" s="15">
        <f>ABS(G7/F7)</f>
        <v>0.54351077081063282</v>
      </c>
      <c r="I7" s="16">
        <f>E7/D7</f>
        <v>14.34680434595154</v>
      </c>
      <c r="J7" s="16">
        <f>(110/7)*2</f>
        <v>31.428571428571427</v>
      </c>
      <c r="K7" s="16">
        <f t="shared" ref="K7:K9" si="0">+I7-J7</f>
        <v>-17.081767082619887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03 JUN'!C8, 'REPORTE DIARIO'!C:C)</f>
        <v>12911</v>
      </c>
      <c r="E8" s="16">
        <f>SUMIF('REPORTE DIARIO'!B:B,'EPR 03 JUN'!C8, 'REPORTE DIARIO'!D:D)</f>
        <v>120911.91999999998</v>
      </c>
      <c r="F8" s="16">
        <f>J8*D8</f>
        <v>165998.57142857145</v>
      </c>
      <c r="G8" s="16">
        <f>+E8-F8</f>
        <v>-45086.651428571466</v>
      </c>
      <c r="H8" s="15">
        <f>ABS(G8/F8)</f>
        <v>0.27160867133107874</v>
      </c>
      <c r="I8" s="16">
        <f>E8/D8</f>
        <v>9.3650313686004178</v>
      </c>
      <c r="J8" s="16">
        <f>(45/7)*2</f>
        <v>12.857142857142858</v>
      </c>
      <c r="K8" s="16">
        <f t="shared" si="0"/>
        <v>-3.4921114885424398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03 JUN'!C9, 'REPORTE DIARIO'!C:C)</f>
        <v>54808</v>
      </c>
      <c r="E9" s="16">
        <f>SUMIF('REPORTE DIARIO'!B:B,'EPR 03 JUN'!C9, 'REPORTE DIARIO'!D:D)</f>
        <v>165370.54</v>
      </c>
      <c r="F9" s="16">
        <f>J9*D9</f>
        <v>234891.42857142855</v>
      </c>
      <c r="G9" s="16">
        <f>+E9-F9</f>
        <v>-69520.888571428542</v>
      </c>
      <c r="H9" s="15">
        <f>ABS(G9/F9)</f>
        <v>0.29597030847078276</v>
      </c>
      <c r="I9" s="16">
        <f>E9/D9</f>
        <v>3.0172701065537879</v>
      </c>
      <c r="J9" s="16">
        <f>(15/7)*2</f>
        <v>4.2857142857142856</v>
      </c>
      <c r="K9" s="16">
        <f t="shared" si="0"/>
        <v>-1.2684441791604977</v>
      </c>
    </row>
    <row r="10" spans="2:12" x14ac:dyDescent="0.25">
      <c r="B10" s="16"/>
      <c r="C10" s="19" t="s">
        <v>17</v>
      </c>
      <c r="D10" s="24">
        <f>SUM(D6:D9)</f>
        <v>93261</v>
      </c>
      <c r="E10" s="20">
        <f>SUM(E6:E9)</f>
        <v>745508.72</v>
      </c>
      <c r="F10" s="20">
        <f>SUM(F6:F9)</f>
        <v>1641910</v>
      </c>
      <c r="G10" s="20">
        <f>+E10-F10</f>
        <v>-896401.28</v>
      </c>
      <c r="H10" s="21">
        <f>ABS(G10/F10)</f>
        <v>0.5459503139636156</v>
      </c>
      <c r="I10" s="20">
        <f>E10/D10</f>
        <v>7.9937886147478583</v>
      </c>
      <c r="J10" s="20">
        <f>F10/D10</f>
        <v>17.605537148432891</v>
      </c>
      <c r="K10" s="20">
        <f>I10-J10</f>
        <v>-9.6117485336850326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03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2025-06-03T14:54:41Z</dcterms:modified>
</cp:coreProperties>
</file>