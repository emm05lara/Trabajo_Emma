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NOCHE\"/>
    </mc:Choice>
  </mc:AlternateContent>
  <xr:revisionPtr revIDLastSave="0" documentId="13_ncr:1_{727C655C-AEE5-4AB6-9166-DBAB1C55FA8B}" xr6:coauthVersionLast="47" xr6:coauthVersionMax="47" xr10:uidLastSave="{00000000-0000-0000-0000-000000000000}"/>
  <bookViews>
    <workbookView xWindow="18030" yWindow="4485" windowWidth="10005" windowHeight="5445" xr2:uid="{4DC6C92A-CD8A-4966-829B-0B6A986E825B}"/>
  </bookViews>
  <sheets>
    <sheet name="REPORTE DIARIO" sheetId="1" r:id="rId1"/>
    <sheet name="DATA" sheetId="4" r:id="rId2"/>
    <sheet name="EPR 0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J6" i="3"/>
  <c r="D52" i="1"/>
  <c r="D44" i="1"/>
  <c r="C44" i="1"/>
  <c r="C52" i="1"/>
  <c r="D19" i="1" l="1"/>
  <c r="C19" i="1"/>
  <c r="J9" i="3"/>
  <c r="J8" i="3"/>
  <c r="J7" i="3"/>
  <c r="D6" i="3"/>
  <c r="F6" i="3" s="1"/>
  <c r="D57" i="1"/>
  <c r="C57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<sst xmlns="http://schemas.openxmlformats.org/spreadsheetml/2006/main" count="88" uniqueCount="36">
  <si>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</si>
  <si>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</si>
  <si>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</si>
  <si>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</si>
  <si>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</si>
  <si>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</si>
  <si>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</si>
  <si>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</si>
  <si>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</si>
  <si>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</si>
  <si>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</si>
  <si>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</si>
  <si>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</si>
  <si>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</si>
  <si>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</si>
  <si>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</si>
  <si>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</si>
  <si>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</si>
  <si>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</si>
  <si>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</si>
  <si>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</si>
  <si>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</si>
  <si>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</si>
  <si>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</si>
  <si>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</si>
  <si>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</si>
  <si>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</si>
  <si>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</si>
  <si>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</si>
  <si>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</si>
  <si>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</si>
  <si>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</si>
  <si>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</si>
  <si>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</si>
  <si>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</si>
  <si>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03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</si>
</sst>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37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32507.69</v>
      </c>
    </row>
    <row r="6" spans="2:8" x14ac:dyDescent="0.25">
      <c r="B6" s="1" t="s">
        <v>5</v>
      </c>
      <c r="C6" s="6">
        <v>2929</v>
      </c>
      <c r="D6" s="25">
        <v>110365</v>
      </c>
    </row>
    <row r="7" spans="2:8" x14ac:dyDescent="0.25">
      <c r="B7" s="1" t="s">
        <v>6</v>
      </c>
      <c r="C7" s="6">
        <v>5267</v>
      </c>
      <c r="D7" s="25">
        <v>29528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11548</v>
      </c>
      <c r="D9" s="25">
        <v>33582</v>
      </c>
    </row>
    <row r="10" spans="2:8" x14ac:dyDescent="0.25">
      <c r="B10" s="3" t="s">
        <v>8</v>
      </c>
      <c r="C10" s="8">
        <f>SUM(C5:C9)</f>
        <v>22292</v>
      </c>
      <c r="D10" s="4">
        <f>SUM(D5:D9)</f>
        <v>205982.69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2836</v>
      </c>
      <c r="D14" s="25">
        <v>21472.59</v>
      </c>
    </row>
    <row r="15" spans="2:8" x14ac:dyDescent="0.25">
      <c r="B15" s="1" t="s">
        <v>5</v>
      </c>
      <c r="C15" s="6">
        <v>2182</v>
      </c>
      <c r="D15" s="25">
        <v>9006</v>
      </c>
    </row>
    <row r="16" spans="2:8" x14ac:dyDescent="0.25">
      <c r="B16" s="1" t="s">
        <v>6</v>
      </c>
      <c r="C16" s="6">
        <v>2723</v>
      </c>
      <c r="D16" s="25">
        <v>48050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17866</v>
      </c>
      <c r="D18" s="25">
        <v>3748</v>
      </c>
    </row>
    <row r="19" spans="2:11" x14ac:dyDescent="0.25">
      <c r="B19" s="3" t="s">
        <v>8</v>
      </c>
      <c r="C19" s="8">
        <f>SUM(C14:C18)</f>
        <v>25609</v>
      </c>
      <c r="D19" s="4">
        <f>SUM(D14:D18)</f>
        <v>82276.59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53</v>
      </c>
      <c r="D23" s="25">
        <v>1466</v>
      </c>
    </row>
    <row r="24" spans="2:11" x14ac:dyDescent="0.25">
      <c r="B24" s="9" t="s">
        <v>5</v>
      </c>
      <c r="C24" s="6">
        <v>3433</v>
      </c>
      <c r="D24" s="25">
        <v>37125</v>
      </c>
    </row>
    <row r="25" spans="2:11" x14ac:dyDescent="0.25">
      <c r="B25" s="9" t="s">
        <v>6</v>
      </c>
      <c r="C25" s="6">
        <v>289</v>
      </c>
      <c r="D25" s="25">
        <v>6943</v>
      </c>
    </row>
    <row r="26" spans="2:11" x14ac:dyDescent="0.25">
      <c r="B26" s="9" t="s">
        <v>7</v>
      </c>
      <c r="C26" s="6">
        <v>3972</v>
      </c>
      <c r="D26" s="25">
        <v>1000</v>
      </c>
      <c r="K26" s="7"/>
    </row>
    <row r="27" spans="2:11" x14ac:dyDescent="0.25">
      <c r="B27" s="10" t="s">
        <v>8</v>
      </c>
      <c r="C27" s="8">
        <f>SUM(C23:C26)</f>
        <v>7747</v>
      </c>
      <c r="D27" s="4">
        <f>SUM(D23:D26)</f>
        <v>46534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3170</v>
      </c>
      <c r="D31" s="25">
        <v>13456.640000000001</v>
      </c>
    </row>
    <row r="32" spans="2:11" x14ac:dyDescent="0.25">
      <c r="B32" s="9" t="s">
        <v>5</v>
      </c>
      <c r="C32" s="6">
        <v>1138</v>
      </c>
      <c r="D32" s="25">
        <v>3973</v>
      </c>
    </row>
    <row r="33" spans="2:4" x14ac:dyDescent="0.25">
      <c r="B33" s="9" t="s">
        <v>6</v>
      </c>
      <c r="C33" s="6">
        <v>2148</v>
      </c>
      <c r="D33" s="25">
        <v>2671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17171</v>
      </c>
      <c r="D35" s="25">
        <v>3819</v>
      </c>
    </row>
    <row r="36" spans="2:4" x14ac:dyDescent="0.25">
      <c r="B36" s="10" t="s">
        <v>8</v>
      </c>
      <c r="C36" s="8">
        <f>SUM(C31:C35)</f>
        <v>23628</v>
      </c>
      <c r="D36" s="4">
        <f>SUM(D31:D35)</f>
        <v>23919.64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2114</v>
      </c>
      <c r="D40" s="25">
        <v>13004</v>
      </c>
    </row>
    <row r="41" spans="2:4" x14ac:dyDescent="0.25">
      <c r="B41" s="1" t="s">
        <v>5</v>
      </c>
      <c r="C41" s="6">
        <v>1309</v>
      </c>
      <c r="D41" s="25">
        <v>770</v>
      </c>
    </row>
    <row r="42" spans="2:4" x14ac:dyDescent="0.25">
      <c r="B42" s="1" t="s">
        <v>6</v>
      </c>
      <c r="C42" s="6">
        <v>2182</v>
      </c>
      <c r="D42" s="25">
        <v>231</v>
      </c>
    </row>
    <row r="43" spans="2:4" x14ac:dyDescent="0.25">
      <c r="B43" s="1" t="s">
        <v>7</v>
      </c>
      <c r="C43" s="6">
        <v>2166</v>
      </c>
      <c r="D43" s="25">
        <v>3011</v>
      </c>
    </row>
    <row r="44" spans="2:4" x14ac:dyDescent="0.25">
      <c r="B44" s="3" t="s">
        <v>8</v>
      </c>
      <c r="C44" s="8">
        <f>SUM(C40:C43)</f>
        <v>7771</v>
      </c>
      <c r="D44" s="4">
        <f>SUM(D40:D43)</f>
        <v>17016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586</v>
      </c>
      <c r="D48" s="25">
        <v>2544</v>
      </c>
    </row>
    <row r="49" spans="2:4" x14ac:dyDescent="0.25">
      <c r="B49" s="1" t="s">
        <v>5</v>
      </c>
      <c r="C49" s="6">
        <v>647</v>
      </c>
      <c r="D49" s="25">
        <v>640</v>
      </c>
    </row>
    <row r="50" spans="2:4" x14ac:dyDescent="0.25">
      <c r="B50" s="1" t="s">
        <v>6</v>
      </c>
      <c r="C50" s="6">
        <v>806</v>
      </c>
      <c r="D50" s="26">
        <v>0</v>
      </c>
    </row>
    <row r="51" spans="2:4" x14ac:dyDescent="0.25">
      <c r="B51" s="1" t="s">
        <v>7</v>
      </c>
      <c r="C51" s="6">
        <v>2471</v>
      </c>
      <c r="D51" s="25">
        <v>500</v>
      </c>
    </row>
    <row r="52" spans="2:4" x14ac:dyDescent="0.25">
      <c r="B52" s="3" t="s">
        <v>8</v>
      </c>
      <c r="C52" s="8">
        <f>SUM(C48:C51)</f>
        <v>4510</v>
      </c>
      <c r="D52" s="4">
        <f>SUM(D48:D51)</f>
        <v>3684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2833</v>
      </c>
      <c r="D56" s="25">
        <v>2069</v>
      </c>
    </row>
    <row r="57" spans="2:4" x14ac:dyDescent="0.25">
      <c r="B57" s="10" t="s">
        <v>8</v>
      </c>
      <c r="C57" s="8">
        <f>SUM(C56:C56)</f>
        <v>2833</v>
      </c>
      <c r="D57" s="4">
        <f>SUM(D56:D56)</f>
        <v>2069</v>
      </c>
    </row>
    <row r="59" spans="2:4" x14ac:dyDescent="0.25">
      <c r="B59" s="11" t="s">
        <v>13</v>
      </c>
      <c r="C59" s="12">
        <f>SUM(C10+C27+C36+C57+C19+C52+C44)</f>
        <v>94390</v>
      </c>
      <c r="D59" s="12">
        <f>SUM(D10+D27+D36+D57+D19+D52+D44)</f>
        <v>381481.92000000004</v>
      </c>
    </row>
  </sheetData>
  <mergeCells count="7">
    <mergeCell ref="B3:D3"/>
    <mergeCell ref="B21:D21"/>
    <mergeCell ref="B54:D54"/>
    <mergeCell ref="B46:D46"/>
    <mergeCell ref="B12:D12"/>
    <mergeCell ref="B29:D29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03 JUN'!C6, 'REPORTE DIARIO'!C:C)</f>
        <v>14129</v>
      </c>
      <c r="E6" s="15">
        <f>SUMIF('REPORTE DIARIO'!B:B,'EPR 03 JUN'!C6, 'REPORTE DIARIO'!D:D)</f>
        <v>86519.92</v>
      </c>
      <c r="F6" s="15">
        <f>J6*D6</f>
        <v>444054.28571428568</v>
      </c>
      <c r="G6" s="15">
        <f>+E6-F6</f>
        <v>-357534.3657142857</v>
      </c>
      <c r="H6" s="14">
        <f>ABS(G6/F6)</f>
        <v>0.80515913755718416</v>
      </c>
      <c r="I6" s="15">
        <f>E6/D6</f>
        <v>6.1235699624884985</v>
      </c>
      <c r="J6" s="15">
        <f>220/7</f>
        <v>31.428571428571427</v>
      </c>
      <c r="K6" s="15">
        <f>+I6-J6</f>
        <v>-25.305001466082928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03 JUN'!C7, 'REPORTE DIARIO'!C:C)</f>
        <v>11638</v>
      </c>
      <c r="E7" s="15">
        <f>SUMIF('REPORTE DIARIO'!B:B,'EPR 03 JUN'!C7, 'REPORTE DIARIO'!D:D)</f>
        <v>161879</v>
      </c>
      <c r="F7" s="15">
        <f>J7*D7</f>
        <v>182882.85714285713</v>
      </c>
      <c r="G7" s="15">
        <f>+E7-F7</f>
        <v>-21003.85714285713</v>
      </c>
      <c r="H7" s="14">
        <f>ABS(G7/F7)</f>
        <v>0.11484869315252537</v>
      </c>
      <c r="I7" s="15">
        <f>E7/D7</f>
        <v>13.9095205361746</v>
      </c>
      <c r="J7" s="15">
        <f>110/7</f>
        <v>15.714285714285714</v>
      </c>
      <c r="K7" s="15">
        <f t="shared" ref="K7:K9" si="0">+I7-J7</f>
        <v>-1.8047651781111131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03 JUN'!C8, 'REPORTE DIARIO'!C:C)</f>
        <v>13415</v>
      </c>
      <c r="E8" s="15">
        <f>SUMIF('REPORTE DIARIO'!B:B,'EPR 03 JUN'!C8, 'REPORTE DIARIO'!D:D)</f>
        <v>87423</v>
      </c>
      <c r="F8" s="15">
        <f>J8*D8</f>
        <v>86239.285714285725</v>
      </c>
      <c r="G8" s="15">
        <f>+E8-F8</f>
        <v>1183.7142857142753</v>
      </c>
      <c r="H8" s="14">
        <f>ABS(G8/F8)</f>
        <v>1.3725928686793268E-2</v>
      </c>
      <c r="I8" s="15">
        <f>E8/D8</f>
        <v>6.5168095415579579</v>
      </c>
      <c r="J8" s="15">
        <f>45/7</f>
        <v>6.4285714285714288</v>
      </c>
      <c r="K8" s="15">
        <f t="shared" si="0"/>
        <v>8.823811298652906E-2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03 JUN'!C9, 'REPORTE DIARIO'!C:C)</f>
        <v>55194</v>
      </c>
      <c r="E9" s="15">
        <f>SUMIF('REPORTE DIARIO'!B:B,'EPR 03 JUN'!C9, 'REPORTE DIARIO'!D:D)</f>
        <v>45660</v>
      </c>
      <c r="F9" s="15">
        <f>J9*D9</f>
        <v>118272.85714285714</v>
      </c>
      <c r="G9" s="15">
        <f>+E9-F9</f>
        <v>-72612.857142857145</v>
      </c>
      <c r="H9" s="14">
        <f>ABS(G9/F9)</f>
        <v>0.6139435445881799</v>
      </c>
      <c r="I9" s="15">
        <f>E9/D9</f>
        <v>0.8272638330253288</v>
      </c>
      <c r="J9" s="15">
        <f>15/7</f>
        <v>2.1428571428571428</v>
      </c>
      <c r="K9" s="15">
        <f t="shared" si="0"/>
        <v>-1.315593309831814</v>
      </c>
    </row>
    <row r="10" spans="2:12" x14ac:dyDescent="0.25">
      <c r="B10" s="15"/>
      <c r="C10" s="18" t="s">
        <v>16</v>
      </c>
      <c r="D10" s="23">
        <f>SUM(D6:D9)</f>
        <v>94376</v>
      </c>
      <c r="E10" s="19">
        <f>SUM(E6:E9)</f>
        <v>381481.92</v>
      </c>
      <c r="F10" s="19">
        <f>SUM(F6:F9)</f>
        <v>831449.28571428568</v>
      </c>
      <c r="G10" s="19">
        <f>+E10-F10</f>
        <v>-449967.3657142857</v>
      </c>
      <c r="H10" s="20">
        <f>ABS(G10/F10)</f>
        <v>0.54118437942697306</v>
      </c>
      <c r="I10" s="19">
        <f>E10/D10</f>
        <v>4.0421496990760364</v>
      </c>
      <c r="J10" s="19">
        <f>F10/D10</f>
        <v>8.8099653059494543</v>
      </c>
      <c r="K10" s="19">
        <f>I10-J10</f>
        <v>-4.7678156068734179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2025-06-04T02:31:48Z</dcterms:modified>
</cp:coreProperties>
</file>