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3\07 JUN\NOCHE\"/>
    </mc:Choice>
  </mc:AlternateContent>
  <xr:revisionPtr revIDLastSave="0" documentId="13_ncr:1_{5E510314-3E3B-4F96-970D-7198812E0B57}" xr6:coauthVersionLast="47" xr6:coauthVersionMax="47" xr10:uidLastSave="{00000000-0000-0000-0000-000000000000}"/>
  <bookViews>
    <workbookView xWindow="-120" yWindow="-120" windowWidth="51840" windowHeight="21120" firstSheet="1" activeTab="2" xr2:uid="{4DC6C92A-CD8A-4966-829B-0B6A986E825B}"/>
  </bookViews>
  <sheets>
    <sheet name="REPORTE DIARIO" sheetId="1" r:id="rId1"/>
    <sheet name="DATA" sheetId="4" r:id="rId2"/>
    <sheet name="EPR 07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C19" i="1" l="1"/>
  <c r="D19" i="1"/>
  <c r="D28" i="1"/>
  <c r="C28" i="1"/>
  <c r="D6" i="3"/>
  <c r="D44" i="1"/>
  <c r="C44" i="1"/>
  <c r="D57" i="1"/>
  <c r="C57" i="1"/>
  <c r="D49" i="1" l="1"/>
  <c r="C49" i="1"/>
  <c r="D36" i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<sst xmlns="http://schemas.openxmlformats.org/spreadsheetml/2006/main" count="89" uniqueCount="37">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</sst>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topLeftCell="A3" zoomScaleNormal="100" workbookViewId="0">
      <selection activeCell="B3" sqref="B3:D3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2778</v>
      </c>
      <c r="D5" s="25">
        <v>414461.63999999996</v>
      </c>
    </row>
    <row r="6" spans="2:8" x14ac:dyDescent="0.25">
      <c r="B6" s="1" t="s">
        <v>5</v>
      </c>
      <c r="C6" s="6">
        <v>3104</v>
      </c>
      <c r="D6" s="25">
        <v>387227.9</v>
      </c>
    </row>
    <row r="7" spans="2:8" x14ac:dyDescent="0.25">
      <c r="B7" s="1" t="s">
        <v>6</v>
      </c>
      <c r="C7" s="6">
        <v>5654</v>
      </c>
      <c r="D7" s="25">
        <v>283840.51</v>
      </c>
    </row>
    <row r="8" spans="2:8" x14ac:dyDescent="0.25">
      <c r="B8" s="5" t="s">
        <v>12</v>
      </c>
      <c r="C8" s="7">
        <v>11</v>
      </c>
      <c r="D8" s="25">
        <v>500</v>
      </c>
    </row>
    <row r="9" spans="2:8" x14ac:dyDescent="0.25">
      <c r="B9" s="1" t="s">
        <v>7</v>
      </c>
      <c r="C9" s="6">
        <v>11931</v>
      </c>
      <c r="D9" s="25">
        <v>428471.85</v>
      </c>
      <c r="E9" s="14"/>
      <c r="F9" s="7"/>
    </row>
    <row r="10" spans="2:8" x14ac:dyDescent="0.25">
      <c r="B10" s="3" t="s">
        <v>8</v>
      </c>
      <c r="C10" s="8">
        <f>SUM(C5:C9)</f>
        <v>23478</v>
      </c>
      <c r="D10" s="4">
        <f>SUM(D5:D9)</f>
        <v>1514501.9</v>
      </c>
      <c r="E10" s="11" t="s">
        <v>14</v>
      </c>
    </row>
    <row r="12" spans="2:8" x14ac:dyDescent="0.25">
      <c r="B12" s="28" t="s">
        <v>30</v>
      </c>
      <c r="C12" s="28"/>
      <c r="D12" s="28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2908</v>
      </c>
      <c r="D14" s="25">
        <v>298352.09999999998</v>
      </c>
    </row>
    <row r="15" spans="2:8" x14ac:dyDescent="0.25">
      <c r="B15" s="1" t="s">
        <v>5</v>
      </c>
      <c r="C15" s="6">
        <v>2090</v>
      </c>
      <c r="D15" s="25">
        <v>101521.94</v>
      </c>
    </row>
    <row r="16" spans="2:8" x14ac:dyDescent="0.25">
      <c r="B16" s="1" t="s">
        <v>6</v>
      </c>
      <c r="C16" s="6">
        <v>2808</v>
      </c>
      <c r="D16" s="25">
        <v>182139.16999999998</v>
      </c>
    </row>
    <row r="17" spans="2:4" x14ac:dyDescent="0.25">
      <c r="B17" s="5" t="s">
        <v>12</v>
      </c>
      <c r="C17" s="7">
        <v>2</v>
      </c>
      <c r="D17" s="26">
        <v>0</v>
      </c>
    </row>
    <row r="18" spans="2:4" x14ac:dyDescent="0.25">
      <c r="B18" s="1" t="s">
        <v>7</v>
      </c>
      <c r="C18" s="6">
        <v>17928</v>
      </c>
      <c r="D18" s="25">
        <v>135520.17000000001</v>
      </c>
    </row>
    <row r="19" spans="2:4" x14ac:dyDescent="0.25">
      <c r="B19" s="3" t="s">
        <v>8</v>
      </c>
      <c r="C19" s="8">
        <f>SUM(C14:C18)</f>
        <v>25736</v>
      </c>
      <c r="D19" s="4">
        <f>SUM(D14:D18)</f>
        <v>717533.38</v>
      </c>
    </row>
    <row r="21" spans="2:4" x14ac:dyDescent="0.25">
      <c r="B21" s="27" t="s">
        <v>10</v>
      </c>
      <c r="C21" s="27"/>
      <c r="D21" s="27"/>
    </row>
    <row r="22" spans="2:4" x14ac:dyDescent="0.25">
      <c r="B22" s="4" t="s">
        <v>1</v>
      </c>
      <c r="C22" s="4" t="s">
        <v>2</v>
      </c>
      <c r="D22" s="4" t="s">
        <v>3</v>
      </c>
    </row>
    <row r="23" spans="2:4" x14ac:dyDescent="0.25">
      <c r="B23" s="9" t="s">
        <v>4</v>
      </c>
      <c r="C23" s="6">
        <v>3795</v>
      </c>
      <c r="D23" s="25">
        <v>327697.56000000011</v>
      </c>
    </row>
    <row r="24" spans="2:4" x14ac:dyDescent="0.25">
      <c r="B24" s="9" t="s">
        <v>5</v>
      </c>
      <c r="C24" s="6">
        <v>976</v>
      </c>
      <c r="D24" s="25">
        <v>55276.11</v>
      </c>
    </row>
    <row r="25" spans="2:4" x14ac:dyDescent="0.25">
      <c r="B25" s="9" t="s">
        <v>6</v>
      </c>
      <c r="C25" s="6">
        <v>2118</v>
      </c>
      <c r="D25" s="25">
        <v>41850.449999999997</v>
      </c>
    </row>
    <row r="26" spans="2:4" x14ac:dyDescent="0.25">
      <c r="B26" s="5" t="s">
        <v>12</v>
      </c>
      <c r="C26" s="7">
        <v>1</v>
      </c>
      <c r="D26" s="25">
        <v>39</v>
      </c>
    </row>
    <row r="27" spans="2:4" x14ac:dyDescent="0.25">
      <c r="B27" s="9" t="s">
        <v>7</v>
      </c>
      <c r="C27" s="6">
        <v>16874</v>
      </c>
      <c r="D27" s="25">
        <v>65561.72</v>
      </c>
    </row>
    <row r="28" spans="2:4" x14ac:dyDescent="0.25">
      <c r="B28" s="10" t="s">
        <v>8</v>
      </c>
      <c r="C28" s="8">
        <f>SUM(C23:C27)</f>
        <v>23764</v>
      </c>
      <c r="D28" s="4">
        <f>SUM(D23:D27)</f>
        <v>490424.84000000008</v>
      </c>
    </row>
    <row r="30" spans="2:4" x14ac:dyDescent="0.25">
      <c r="B30" s="28" t="s">
        <v>9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49</v>
      </c>
      <c r="D32" s="25">
        <v>23713.5</v>
      </c>
    </row>
    <row r="33" spans="2:4" x14ac:dyDescent="0.25">
      <c r="B33" s="9" t="s">
        <v>5</v>
      </c>
      <c r="C33" s="6">
        <v>3270</v>
      </c>
      <c r="D33" s="25">
        <v>226890.66999999998</v>
      </c>
    </row>
    <row r="34" spans="2:4" x14ac:dyDescent="0.25">
      <c r="B34" s="9" t="s">
        <v>6</v>
      </c>
      <c r="C34" s="6">
        <v>285</v>
      </c>
      <c r="D34" s="25">
        <v>20043</v>
      </c>
    </row>
    <row r="35" spans="2:4" x14ac:dyDescent="0.25">
      <c r="B35" s="9" t="s">
        <v>7</v>
      </c>
      <c r="C35" s="6">
        <v>3954</v>
      </c>
      <c r="D35" s="25">
        <v>16027</v>
      </c>
    </row>
    <row r="36" spans="2:4" x14ac:dyDescent="0.25">
      <c r="B36" s="10" t="s">
        <v>8</v>
      </c>
      <c r="C36" s="8">
        <f>SUM(C32:C35)</f>
        <v>7558</v>
      </c>
      <c r="D36" s="4">
        <f>SUM(D32:D35)</f>
        <v>286674.17</v>
      </c>
    </row>
    <row r="38" spans="2:4" x14ac:dyDescent="0.25">
      <c r="B38" s="28" t="s">
        <v>32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2256</v>
      </c>
      <c r="D40" s="25">
        <v>66239.899999999994</v>
      </c>
    </row>
    <row r="41" spans="2:4" x14ac:dyDescent="0.25">
      <c r="B41" s="1" t="s">
        <v>5</v>
      </c>
      <c r="C41" s="6">
        <v>1396</v>
      </c>
      <c r="D41" s="25">
        <v>13944</v>
      </c>
    </row>
    <row r="42" spans="2:4" x14ac:dyDescent="0.25">
      <c r="B42" s="1" t="s">
        <v>6</v>
      </c>
      <c r="C42" s="6">
        <v>2259</v>
      </c>
      <c r="D42" s="25">
        <v>7821</v>
      </c>
    </row>
    <row r="43" spans="2:4" x14ac:dyDescent="0.25">
      <c r="B43" s="1" t="s">
        <v>7</v>
      </c>
      <c r="C43" s="6">
        <v>2238</v>
      </c>
      <c r="D43" s="25">
        <v>59998.21</v>
      </c>
    </row>
    <row r="44" spans="2:4" x14ac:dyDescent="0.25">
      <c r="B44" s="3" t="s">
        <v>8</v>
      </c>
      <c r="C44" s="8">
        <f>SUM(C40:C43)</f>
        <v>8149</v>
      </c>
      <c r="D44" s="4">
        <f>SUM(D40:D43)</f>
        <v>148003.10999999999</v>
      </c>
    </row>
    <row r="46" spans="2:4" x14ac:dyDescent="0.25">
      <c r="B46" s="27" t="s">
        <v>11</v>
      </c>
      <c r="C46" s="27"/>
      <c r="D46" s="27"/>
    </row>
    <row r="47" spans="2:4" x14ac:dyDescent="0.25">
      <c r="B47" s="4" t="s">
        <v>1</v>
      </c>
      <c r="C47" s="4" t="s">
        <v>2</v>
      </c>
      <c r="D47" s="4" t="s">
        <v>3</v>
      </c>
    </row>
    <row r="48" spans="2:4" x14ac:dyDescent="0.25">
      <c r="B48" s="9" t="s">
        <v>4</v>
      </c>
      <c r="C48" s="6">
        <v>2804</v>
      </c>
      <c r="D48" s="25">
        <v>102462</v>
      </c>
    </row>
    <row r="49" spans="2:4" x14ac:dyDescent="0.25">
      <c r="B49" s="10" t="s">
        <v>8</v>
      </c>
      <c r="C49" s="8">
        <f>SUM(C48:C48)</f>
        <v>2804</v>
      </c>
      <c r="D49" s="4">
        <f>SUM(D48:D48)</f>
        <v>102462</v>
      </c>
    </row>
    <row r="51" spans="2:4" x14ac:dyDescent="0.25">
      <c r="B51" s="28" t="s">
        <v>31</v>
      </c>
      <c r="C51" s="28"/>
      <c r="D51" s="28"/>
    </row>
    <row r="52" spans="2:4" x14ac:dyDescent="0.25">
      <c r="B52" s="2" t="s">
        <v>1</v>
      </c>
      <c r="C52" s="2" t="s">
        <v>2</v>
      </c>
      <c r="D52" s="2" t="s">
        <v>3</v>
      </c>
    </row>
    <row r="53" spans="2:4" x14ac:dyDescent="0.25">
      <c r="B53" s="9" t="s">
        <v>4</v>
      </c>
      <c r="C53" s="6">
        <v>584</v>
      </c>
      <c r="D53" s="25">
        <v>67060.929999999993</v>
      </c>
    </row>
    <row r="54" spans="2:4" x14ac:dyDescent="0.25">
      <c r="B54" s="1" t="s">
        <v>5</v>
      </c>
      <c r="C54" s="6">
        <v>622</v>
      </c>
      <c r="D54" s="25">
        <v>9576</v>
      </c>
    </row>
    <row r="55" spans="2:4" x14ac:dyDescent="0.25">
      <c r="B55" s="1" t="s">
        <v>6</v>
      </c>
      <c r="C55" s="6">
        <v>805</v>
      </c>
      <c r="D55" s="25">
        <v>3599</v>
      </c>
    </row>
    <row r="56" spans="2:4" x14ac:dyDescent="0.25">
      <c r="B56" s="1" t="s">
        <v>7</v>
      </c>
      <c r="C56" s="6">
        <v>2469</v>
      </c>
      <c r="D56" s="25">
        <v>9847</v>
      </c>
    </row>
    <row r="57" spans="2:4" x14ac:dyDescent="0.25">
      <c r="B57" s="3" t="s">
        <v>8</v>
      </c>
      <c r="C57" s="8">
        <f>SUM(C53:C56)</f>
        <v>4480</v>
      </c>
      <c r="D57" s="4">
        <f>SUM(D53:D56)</f>
        <v>90082.93</v>
      </c>
    </row>
    <row r="59" spans="2:4" x14ac:dyDescent="0.25">
      <c r="B59" s="12" t="s">
        <v>13</v>
      </c>
      <c r="C59" s="13">
        <f>SUM(C10+C28+C36+C49+C19+C57+C44)</f>
        <v>95969</v>
      </c>
      <c r="D59" s="13">
        <f>SUM(D10+D28+D36+D49+D19+D57+D44)</f>
        <v>3349682.33</v>
      </c>
    </row>
  </sheetData>
  <mergeCells count="7">
    <mergeCell ref="B46:D46"/>
    <mergeCell ref="B38:D38"/>
    <mergeCell ref="B12:D12"/>
    <mergeCell ref="B51:D51"/>
    <mergeCell ref="B3:D3"/>
    <mergeCell ref="B21:D21"/>
    <mergeCell ref="B30:D30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topLeftCell="D8" zoomScale="145" zoomScaleNormal="145" workbookViewId="0">
      <selection activeCell="E9" sqref="E9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34</v>
      </c>
      <c r="C6" s="16" t="s">
        <v>4</v>
      </c>
      <c r="D6" s="23">
        <f>SUMIF('REPORTE DIARIO'!B:B,'EPR 07 JUN'!C6, 'REPORTE DIARIO'!C:C)</f>
        <v>15174</v>
      </c>
      <c r="E6" s="16">
        <f>SUMIF('REPORTE DIARIO'!B:B,'EPR 07 JUN'!C6, 'REPORTE DIARIO'!D:D)</f>
        <v>1299987.6299999999</v>
      </c>
      <c r="F6" s="16">
        <f>J6*D6</f>
        <v>2861382.8571428568</v>
      </c>
      <c r="G6" s="16">
        <f>+E6-F6</f>
        <v>-1561395.2271428569</v>
      </c>
      <c r="H6" s="15">
        <f>ABS(G6/F6)</f>
        <v>0.54567854254286641</v>
      </c>
      <c r="I6" s="16">
        <f>E6/D6</f>
        <v>85.672046263345194</v>
      </c>
      <c r="J6" s="16">
        <f>(220/7)*6</f>
        <v>188.57142857142856</v>
      </c>
      <c r="K6" s="16">
        <f>+I6-J6</f>
        <v>-102.89938230808336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07 JUN'!C7, 'REPORTE DIARIO'!C:C)</f>
        <v>11458</v>
      </c>
      <c r="E7" s="16">
        <f>SUMIF('REPORTE DIARIO'!B:B,'EPR 07 JUN'!C7, 'REPORTE DIARIO'!D:D)</f>
        <v>794436.62000000011</v>
      </c>
      <c r="F7" s="16">
        <f>J7*D7</f>
        <v>1080325.7142857141</v>
      </c>
      <c r="G7" s="16">
        <f>+E7-F7</f>
        <v>-285889.09428571397</v>
      </c>
      <c r="H7" s="15">
        <f>ABS(G7/F7)</f>
        <v>0.26463231459295322</v>
      </c>
      <c r="I7" s="16">
        <f>E7/D7</f>
        <v>69.334667481235826</v>
      </c>
      <c r="J7" s="16">
        <f>(110/7)*6</f>
        <v>94.285714285714278</v>
      </c>
      <c r="K7" s="16">
        <f t="shared" ref="K7:K9" si="0">+I7-J7</f>
        <v>-24.951046804478452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07 JUN'!C8, 'REPORTE DIARIO'!C:C)</f>
        <v>13929</v>
      </c>
      <c r="E8" s="16">
        <f>SUMIF('REPORTE DIARIO'!B:B,'EPR 07 JUN'!C8, 'REPORTE DIARIO'!D:D)</f>
        <v>539293.13</v>
      </c>
      <c r="F8" s="16">
        <f>J8*D8</f>
        <v>537261.42857142852</v>
      </c>
      <c r="G8" s="16">
        <f>+E8-F8</f>
        <v>2031.7014285714831</v>
      </c>
      <c r="H8" s="15">
        <f>ABS(G8/F8)</f>
        <v>3.781588106880764E-3</v>
      </c>
      <c r="I8" s="16">
        <f>E8/D8</f>
        <v>38.71728982697968</v>
      </c>
      <c r="J8" s="16">
        <f>(45/7)*6</f>
        <v>38.571428571428569</v>
      </c>
      <c r="K8" s="16">
        <f t="shared" si="0"/>
        <v>0.14586125555111096</v>
      </c>
      <c r="L8" s="15"/>
    </row>
    <row r="9" spans="2:12" x14ac:dyDescent="0.25">
      <c r="B9" s="16" t="s">
        <v>35</v>
      </c>
      <c r="C9" s="16" t="s">
        <v>7</v>
      </c>
      <c r="D9" s="23">
        <f>SUMIF('REPORTE DIARIO'!B:B,'EPR 07 JUN'!C9, 'REPORTE DIARIO'!C:C)</f>
        <v>55394</v>
      </c>
      <c r="E9" s="16">
        <f>SUMIF('REPORTE DIARIO'!B:B,'EPR 07 JUN'!C9, 'REPORTE DIARIO'!D:D)</f>
        <v>715425.95</v>
      </c>
      <c r="F9" s="16">
        <f>J9*D9</f>
        <v>712208.57142857148</v>
      </c>
      <c r="G9" s="16">
        <f>+E9-F9</f>
        <v>3217.378571428475</v>
      </c>
      <c r="H9" s="15">
        <f>ABS(G9/F9)</f>
        <v>4.5174667934351738E-3</v>
      </c>
      <c r="I9" s="16">
        <f>E9/D9</f>
        <v>12.915224573058453</v>
      </c>
      <c r="J9" s="16">
        <f>(15/7)*6</f>
        <v>12.857142857142858</v>
      </c>
      <c r="K9" s="16">
        <f t="shared" si="0"/>
        <v>5.8081715915594856E-2</v>
      </c>
    </row>
    <row r="10" spans="2:12" x14ac:dyDescent="0.25">
      <c r="B10" s="16"/>
      <c r="C10" s="19" t="s">
        <v>17</v>
      </c>
      <c r="D10" s="24">
        <f>SUM(D6:D9)</f>
        <v>95955</v>
      </c>
      <c r="E10" s="20">
        <f>SUM(E6:E9)</f>
        <v>3349143.33</v>
      </c>
      <c r="F10" s="20">
        <f>SUM(F6:F9)</f>
        <v>5191178.5714285709</v>
      </c>
      <c r="G10" s="20">
        <f>+E10-F10</f>
        <v>-1842035.2414285708</v>
      </c>
      <c r="H10" s="21">
        <f>ABS(G10/F10)</f>
        <v>0.35483950630533934</v>
      </c>
      <c r="I10" s="20">
        <f>E10/D10</f>
        <v>34.903270595591685</v>
      </c>
      <c r="J10" s="20">
        <f>F10/D10</f>
        <v>54.100136224569546</v>
      </c>
      <c r="K10" s="20">
        <f>I10-J10</f>
        <v>-19.196865628977861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07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2025-05-23T14:10:25Z</cp:lastPrinted>
  <dcterms:created xsi:type="dcterms:W3CDTF">2025-01-27T15:11:28Z</dcterms:created>
  <dcterms:modified xsi:type="dcterms:W3CDTF">2025-06-08T05:08:00Z</dcterms:modified>
</cp:coreProperties>
</file>