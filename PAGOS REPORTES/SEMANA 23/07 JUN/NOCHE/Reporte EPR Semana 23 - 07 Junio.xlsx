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7 JUN\NOCHE\"/>
    </mc:Choice>
  </mc:AlternateContent>
  <xr:revisionPtr revIDLastSave="0" documentId="13_ncr:1_{98C8DC67-079B-49E0-A2B5-B57BE8BA7AFA}" xr6:coauthVersionLast="47" xr6:coauthVersionMax="47" xr10:uidLastSave="{00000000-0000-0000-0000-000000000000}"/>
  <bookViews>
    <workbookView xWindow="32175" yWindow="15435" windowWidth="10005" windowHeight="5445" xr2:uid="{4DC6C92A-CD8A-4966-829B-0B6A986E825B}"/>
  </bookViews>
  <sheets>
    <sheet name="REPORTE DIARIO" sheetId="1" r:id="rId1"/>
    <sheet name="DATA" sheetId="4" r:id="rId2"/>
    <sheet name="EPR 07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49" i="1"/>
  <c r="C49" i="1"/>
  <c r="C57" i="1"/>
  <c r="D19" i="1" l="1"/>
  <c r="C19" i="1"/>
  <c r="J9" i="3"/>
  <c r="J8" i="3"/>
  <c r="J7" i="3"/>
  <c r="D6" i="3"/>
  <c r="F6" i="3" s="1"/>
  <c r="D41" i="1"/>
  <c r="C41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<sst xmlns="http://schemas.openxmlformats.org/spreadsheetml/2006/main" count="88" uniqueCount="36">
  <si>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</si>
  <si>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</si>
  <si>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</si>
  <si>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</si>
  <si>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</si>
  <si>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</si>
  <si>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</si>
  <si>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</si>
  <si>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</si>
  <si>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</si>
  <si>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</si>
  <si>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</si>
  <si>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</si>
  <si>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</si>
  <si>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</si>
  <si>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</si>
  <si>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</si>
  <si>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</si>
  <si>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</si>
  <si>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</si>
  <si>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</si>
  <si>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</si>
  <si>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</si>
  <si>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</si>
  <si>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</si>
  <si>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</si>
  <si>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</si>
  <si>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</si>
  <si>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</si>
  <si>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</si>
  <si>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</si>
  <si>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</si>
  <si>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</si>
  <si>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</si>
  <si>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</si>
  <si>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07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</si>
</sst>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34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2778</v>
      </c>
      <c r="D5" s="25">
        <v>93402</v>
      </c>
    </row>
    <row r="6" spans="2:8" x14ac:dyDescent="0.25">
      <c r="B6" s="1" t="s">
        <v>5</v>
      </c>
      <c r="C6" s="6">
        <v>3104</v>
      </c>
      <c r="D6" s="25">
        <v>55923</v>
      </c>
    </row>
    <row r="7" spans="2:8" x14ac:dyDescent="0.25">
      <c r="B7" s="1" t="s">
        <v>6</v>
      </c>
      <c r="C7" s="6">
        <v>5654</v>
      </c>
      <c r="D7" s="25">
        <v>67942</v>
      </c>
    </row>
    <row r="8" spans="2:8" x14ac:dyDescent="0.25">
      <c r="B8" s="5" t="s">
        <v>12</v>
      </c>
      <c r="C8" s="7">
        <v>11</v>
      </c>
      <c r="D8" s="29">
        <v>0</v>
      </c>
    </row>
    <row r="9" spans="2:8" x14ac:dyDescent="0.25">
      <c r="B9" s="1" t="s">
        <v>7</v>
      </c>
      <c r="C9" s="6">
        <v>11931</v>
      </c>
      <c r="D9" s="25">
        <v>107204</v>
      </c>
    </row>
    <row r="10" spans="2:8" x14ac:dyDescent="0.25">
      <c r="B10" s="3" t="s">
        <v>8</v>
      </c>
      <c r="C10" s="8">
        <f>SUM(C5:C9)</f>
        <v>23478</v>
      </c>
      <c r="D10" s="4">
        <f>SUM(D5:D9)</f>
        <v>324471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2908</v>
      </c>
      <c r="D14" s="25">
        <v>40348</v>
      </c>
    </row>
    <row r="15" spans="2:8" x14ac:dyDescent="0.25">
      <c r="B15" s="1" t="s">
        <v>5</v>
      </c>
      <c r="C15" s="6">
        <v>2090</v>
      </c>
      <c r="D15" s="25">
        <v>7853</v>
      </c>
    </row>
    <row r="16" spans="2:8" x14ac:dyDescent="0.25">
      <c r="B16" s="1" t="s">
        <v>6</v>
      </c>
      <c r="C16" s="6">
        <v>2808</v>
      </c>
      <c r="D16" s="25">
        <v>43593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17928</v>
      </c>
      <c r="D18" s="25">
        <v>20127</v>
      </c>
    </row>
    <row r="19" spans="2:11" x14ac:dyDescent="0.25">
      <c r="B19" s="3" t="s">
        <v>8</v>
      </c>
      <c r="C19" s="8">
        <f>SUM(C14:C18)</f>
        <v>25736</v>
      </c>
      <c r="D19" s="4">
        <f>SUM(D14:D18)</f>
        <v>111921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3795</v>
      </c>
      <c r="D23" s="25">
        <v>48970.98</v>
      </c>
    </row>
    <row r="24" spans="2:11" x14ac:dyDescent="0.25">
      <c r="B24" s="9" t="s">
        <v>5</v>
      </c>
      <c r="C24" s="6">
        <v>976</v>
      </c>
      <c r="D24" s="25">
        <v>6978</v>
      </c>
    </row>
    <row r="25" spans="2:11" x14ac:dyDescent="0.25">
      <c r="B25" s="9" t="s">
        <v>6</v>
      </c>
      <c r="C25" s="6">
        <v>2118</v>
      </c>
      <c r="D25" s="25">
        <v>6706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16874</v>
      </c>
      <c r="D27" s="25">
        <v>26451.599999999999</v>
      </c>
    </row>
    <row r="28" spans="2:11" x14ac:dyDescent="0.25">
      <c r="B28" s="10" t="s">
        <v>8</v>
      </c>
      <c r="C28" s="8">
        <f>SUM(C23:C27)</f>
        <v>23764</v>
      </c>
      <c r="D28" s="4">
        <f>SUM(D23:D27)</f>
        <v>89106.58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49</v>
      </c>
      <c r="D32" s="25">
        <v>163</v>
      </c>
    </row>
    <row r="33" spans="2:4" x14ac:dyDescent="0.25">
      <c r="B33" s="9" t="s">
        <v>5</v>
      </c>
      <c r="C33" s="6">
        <v>3270</v>
      </c>
      <c r="D33" s="25">
        <v>22488</v>
      </c>
    </row>
    <row r="34" spans="2:4" x14ac:dyDescent="0.25">
      <c r="B34" s="9" t="s">
        <v>6</v>
      </c>
      <c r="C34" s="6">
        <v>285</v>
      </c>
      <c r="D34" s="25">
        <v>857</v>
      </c>
    </row>
    <row r="35" spans="2:4" x14ac:dyDescent="0.25">
      <c r="B35" s="9" t="s">
        <v>7</v>
      </c>
      <c r="C35" s="6">
        <v>3954</v>
      </c>
      <c r="D35" s="25">
        <v>11698</v>
      </c>
    </row>
    <row r="36" spans="2:4" x14ac:dyDescent="0.25">
      <c r="B36" s="10" t="s">
        <v>8</v>
      </c>
      <c r="C36" s="8">
        <f>SUM(C32:C35)</f>
        <v>7558</v>
      </c>
      <c r="D36" s="4">
        <f>SUM(D32:D35)</f>
        <v>35206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2804</v>
      </c>
      <c r="D40" s="25">
        <v>23632</v>
      </c>
    </row>
    <row r="41" spans="2:4" x14ac:dyDescent="0.25">
      <c r="B41" s="10" t="s">
        <v>8</v>
      </c>
      <c r="C41" s="8">
        <f>SUM(C40:C40)</f>
        <v>2804</v>
      </c>
      <c r="D41" s="4">
        <f>SUM(D40:D40)</f>
        <v>23632</v>
      </c>
    </row>
    <row r="43" spans="2:4" x14ac:dyDescent="0.25">
      <c r="B43" s="27" t="s">
        <v>31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2256</v>
      </c>
      <c r="D45" s="25">
        <v>8138</v>
      </c>
    </row>
    <row r="46" spans="2:4" x14ac:dyDescent="0.25">
      <c r="B46" s="1" t="s">
        <v>5</v>
      </c>
      <c r="C46" s="6">
        <v>1396</v>
      </c>
      <c r="D46" s="25">
        <v>5608</v>
      </c>
    </row>
    <row r="47" spans="2:4" x14ac:dyDescent="0.25">
      <c r="B47" s="1" t="s">
        <v>6</v>
      </c>
      <c r="C47" s="6">
        <v>2259</v>
      </c>
      <c r="D47" s="25">
        <v>3430</v>
      </c>
    </row>
    <row r="48" spans="2:4" x14ac:dyDescent="0.25">
      <c r="B48" s="1" t="s">
        <v>7</v>
      </c>
      <c r="C48" s="6">
        <v>2238</v>
      </c>
      <c r="D48" s="25">
        <v>2219</v>
      </c>
    </row>
    <row r="49" spans="2:4" x14ac:dyDescent="0.25">
      <c r="B49" s="3" t="s">
        <v>8</v>
      </c>
      <c r="C49" s="8">
        <f>SUM(C45:C48)</f>
        <v>8149</v>
      </c>
      <c r="D49" s="4">
        <f>SUM(D45:D48)</f>
        <v>19395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2355</v>
      </c>
    </row>
    <row r="54" spans="2:4" x14ac:dyDescent="0.25">
      <c r="B54" s="1" t="s">
        <v>5</v>
      </c>
      <c r="C54" s="6">
        <v>622</v>
      </c>
      <c r="D54" s="25">
        <v>1813</v>
      </c>
    </row>
    <row r="55" spans="2:4" x14ac:dyDescent="0.25">
      <c r="B55" s="1" t="s">
        <v>6</v>
      </c>
      <c r="C55" s="6">
        <v>805</v>
      </c>
      <c r="D55" s="25">
        <v>1647</v>
      </c>
    </row>
    <row r="56" spans="2:4" x14ac:dyDescent="0.25">
      <c r="B56" s="1" t="s">
        <v>7</v>
      </c>
      <c r="C56" s="6">
        <v>2469</v>
      </c>
      <c r="D56" s="25">
        <v>1229</v>
      </c>
    </row>
    <row r="57" spans="2:4" x14ac:dyDescent="0.25">
      <c r="B57" s="3" t="s">
        <v>8</v>
      </c>
      <c r="C57" s="8">
        <f>SUM(C53:C56)</f>
        <v>4480</v>
      </c>
      <c r="D57" s="4">
        <f>SUM(D53:D56)</f>
        <v>7044</v>
      </c>
    </row>
    <row r="59" spans="2:4" x14ac:dyDescent="0.25">
      <c r="B59" s="11" t="s">
        <v>13</v>
      </c>
      <c r="C59" s="12">
        <f>SUM(C10+C36+C28+C41+C19+C57+C49)</f>
        <v>95969</v>
      </c>
      <c r="D59" s="12">
        <f>SUM(D10+D36+D28+D41+D19+D57+D49)</f>
        <v>610775.58000000007</v>
      </c>
    </row>
  </sheetData>
  <mergeCells count="7">
    <mergeCell ref="B3:D3"/>
    <mergeCell ref="B30:D30"/>
    <mergeCell ref="B38:D38"/>
    <mergeCell ref="B51:D51"/>
    <mergeCell ref="B12:D12"/>
    <mergeCell ref="B21:D21"/>
    <mergeCell ref="B43:D4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3" sqref="B3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07 JUN'!C6, 'REPORTE DIARIO'!C:C)</f>
        <v>15174</v>
      </c>
      <c r="E6" s="15">
        <f>SUMIF('REPORTE DIARIO'!B:B,'EPR 07 JUN'!C6, 'REPORTE DIARIO'!D:D)</f>
        <v>217008.98</v>
      </c>
      <c r="F6" s="15">
        <f>J6*D6</f>
        <v>476897.14285714284</v>
      </c>
      <c r="G6" s="15">
        <f>+E6-F6</f>
        <v>-259888.16285714283</v>
      </c>
      <c r="H6" s="14">
        <f>ABS(G6/F6)</f>
        <v>0.54495642666283228</v>
      </c>
      <c r="I6" s="15">
        <f>E6/D6</f>
        <v>14.301369447739555</v>
      </c>
      <c r="J6" s="15">
        <f>220/7</f>
        <v>31.428571428571427</v>
      </c>
      <c r="K6" s="15">
        <f>+I6-J6</f>
        <v>-17.12720198083187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07 JUN'!C7, 'REPORTE DIARIO'!C:C)</f>
        <v>11458</v>
      </c>
      <c r="E7" s="15">
        <f>SUMIF('REPORTE DIARIO'!B:B,'EPR 07 JUN'!C7, 'REPORTE DIARIO'!D:D)</f>
        <v>100663</v>
      </c>
      <c r="F7" s="15">
        <f>J7*D7</f>
        <v>180054.28571428571</v>
      </c>
      <c r="G7" s="15">
        <f>+E7-F7</f>
        <v>-79391.28571428571</v>
      </c>
      <c r="H7" s="14">
        <f>ABS(G7/F7)</f>
        <v>0.44092971960837207</v>
      </c>
      <c r="I7" s="15">
        <f>E7/D7</f>
        <v>8.7853901204398674</v>
      </c>
      <c r="J7" s="15">
        <f>110/7</f>
        <v>15.714285714285714</v>
      </c>
      <c r="K7" s="15">
        <f t="shared" ref="K7:K9" si="0">+I7-J7</f>
        <v>-6.9288955938458461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07 JUN'!C8, 'REPORTE DIARIO'!C:C)</f>
        <v>13929</v>
      </c>
      <c r="E8" s="15">
        <f>SUMIF('REPORTE DIARIO'!B:B,'EPR 07 JUN'!C8, 'REPORTE DIARIO'!D:D)</f>
        <v>124175</v>
      </c>
      <c r="F8" s="15">
        <f>J8*D8</f>
        <v>89543.571428571435</v>
      </c>
      <c r="G8" s="15">
        <f>+E8-F8</f>
        <v>34631.428571428565</v>
      </c>
      <c r="H8" s="14">
        <f>ABS(G8/F8)</f>
        <v>0.38675505141152344</v>
      </c>
      <c r="I8" s="15">
        <f>E8/D8</f>
        <v>8.9148539019312221</v>
      </c>
      <c r="J8" s="15">
        <f>45/7</f>
        <v>6.4285714285714288</v>
      </c>
      <c r="K8" s="15">
        <f t="shared" si="0"/>
        <v>2.4862824733597932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07 JUN'!C9, 'REPORTE DIARIO'!C:C)</f>
        <v>55394</v>
      </c>
      <c r="E9" s="15">
        <f>SUMIF('REPORTE DIARIO'!B:B,'EPR 07 JUN'!C9, 'REPORTE DIARIO'!D:D)</f>
        <v>168928.6</v>
      </c>
      <c r="F9" s="15">
        <f>J9*D9</f>
        <v>118701.42857142857</v>
      </c>
      <c r="G9" s="15">
        <f>+E9-F9</f>
        <v>50227.171428571441</v>
      </c>
      <c r="H9" s="14">
        <f>ABS(G9/F9)</f>
        <v>0.42313872741933556</v>
      </c>
      <c r="I9" s="15">
        <f>E9/D9</f>
        <v>3.0495829873271476</v>
      </c>
      <c r="J9" s="15">
        <f>15/7</f>
        <v>2.1428571428571428</v>
      </c>
      <c r="K9" s="15">
        <f t="shared" si="0"/>
        <v>0.90672584447000482</v>
      </c>
    </row>
    <row r="10" spans="2:12" x14ac:dyDescent="0.25">
      <c r="B10" s="15"/>
      <c r="C10" s="18" t="s">
        <v>16</v>
      </c>
      <c r="D10" s="23">
        <f>SUM(D6:D9)</f>
        <v>95955</v>
      </c>
      <c r="E10" s="19">
        <f>SUM(E6:E9)</f>
        <v>610775.57999999996</v>
      </c>
      <c r="F10" s="19">
        <f>SUM(F6:F9)</f>
        <v>865196.42857142852</v>
      </c>
      <c r="G10" s="19">
        <f>+E10-F10</f>
        <v>-254420.84857142856</v>
      </c>
      <c r="H10" s="20">
        <f>ABS(G10/F10)</f>
        <v>0.29406137169511465</v>
      </c>
      <c r="I10" s="19">
        <f>E10/D10</f>
        <v>6.3652293262466779</v>
      </c>
      <c r="J10" s="19">
        <f>F10/D10</f>
        <v>9.0166893707615916</v>
      </c>
      <c r="K10" s="19">
        <f>I10-J10</f>
        <v>-2.6514600445149137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07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2025-06-08T05:03:13Z</dcterms:modified>
</cp:coreProperties>
</file>