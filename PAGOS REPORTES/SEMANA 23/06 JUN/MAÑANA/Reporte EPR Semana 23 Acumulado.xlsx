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6 JUN\MAÑANA\"/>
    </mc:Choice>
  </mc:AlternateContent>
  <xr:revisionPtr revIDLastSave="0" documentId="13_ncr:1_{CC7496FD-684F-4FA0-9B9A-A4D68BC84285}" xr6:coauthVersionLast="47" xr6:coauthVersionMax="47" xr10:uidLastSave="{00000000-0000-0000-0000-000000000000}"/>
  <bookViews>
    <workbookView xWindow="24930" yWindow="11385" windowWidth="10005" windowHeight="5445" xr2:uid="{4DC6C92A-CD8A-4966-829B-0B6A986E825B}"/>
  </bookViews>
  <sheets>
    <sheet name="REPORTE DIARIO" sheetId="1" r:id="rId1"/>
    <sheet name="DATA" sheetId="4" r:id="rId2"/>
    <sheet name="EPR 0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<sst xmlns="http://schemas.openxmlformats.org/spreadsheetml/2006/main" count="89" uniqueCount="37">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</sst>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2815</v>
      </c>
      <c r="D5" s="25">
        <v>241323.34</v>
      </c>
    </row>
    <row r="6" spans="2:8" x14ac:dyDescent="0.25">
      <c r="B6" s="1" t="s">
        <v>5</v>
      </c>
      <c r="C6" s="6">
        <v>3013</v>
      </c>
      <c r="D6" s="25">
        <v>273875.90000000002</v>
      </c>
    </row>
    <row r="7" spans="2:8" x14ac:dyDescent="0.25">
      <c r="B7" s="1" t="s">
        <v>6</v>
      </c>
      <c r="C7" s="6">
        <v>5539</v>
      </c>
      <c r="D7" s="25">
        <v>168909.51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11611</v>
      </c>
      <c r="D9" s="25">
        <v>254994.38</v>
      </c>
      <c r="E9" s="14"/>
      <c r="F9" s="7"/>
    </row>
    <row r="10" spans="2:8" x14ac:dyDescent="0.25">
      <c r="B10" s="3" t="s">
        <v>8</v>
      </c>
      <c r="C10" s="8">
        <f>SUM(C5:C9)</f>
        <v>22989</v>
      </c>
      <c r="D10" s="4">
        <f>SUM(D5:D9)</f>
        <v>939103.13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2908</v>
      </c>
      <c r="D14" s="25">
        <v>151704.24999999997</v>
      </c>
    </row>
    <row r="15" spans="2:8" x14ac:dyDescent="0.25">
      <c r="B15" s="1" t="s">
        <v>5</v>
      </c>
      <c r="C15" s="6">
        <v>2106</v>
      </c>
      <c r="D15" s="25">
        <v>72709.94</v>
      </c>
    </row>
    <row r="16" spans="2:8" x14ac:dyDescent="0.25">
      <c r="B16" s="1" t="s">
        <v>6</v>
      </c>
      <c r="C16" s="6">
        <v>2758</v>
      </c>
      <c r="D16" s="25">
        <v>83158.17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17898</v>
      </c>
      <c r="D18" s="25">
        <v>66592.170000000013</v>
      </c>
    </row>
    <row r="19" spans="2:4" x14ac:dyDescent="0.25">
      <c r="B19" s="3" t="s">
        <v>8</v>
      </c>
      <c r="C19" s="8">
        <f>SUM(C14:C18)</f>
        <v>25672</v>
      </c>
      <c r="D19" s="4">
        <f>SUM(D14:D18)</f>
        <v>374164.53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3832</v>
      </c>
      <c r="D23" s="25">
        <v>208239.65000000002</v>
      </c>
    </row>
    <row r="24" spans="2:4" x14ac:dyDescent="0.25">
      <c r="B24" s="9" t="s">
        <v>5</v>
      </c>
      <c r="C24" s="6">
        <v>1009</v>
      </c>
      <c r="D24" s="25">
        <v>42447.11</v>
      </c>
    </row>
    <row r="25" spans="2:4" x14ac:dyDescent="0.25">
      <c r="B25" s="9" t="s">
        <v>6</v>
      </c>
      <c r="C25" s="6">
        <v>2118</v>
      </c>
      <c r="D25" s="25">
        <v>20497.45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16874</v>
      </c>
      <c r="D27" s="25">
        <v>33169.119999999995</v>
      </c>
    </row>
    <row r="28" spans="2:4" x14ac:dyDescent="0.25">
      <c r="B28" s="10" t="s">
        <v>8</v>
      </c>
      <c r="C28" s="8">
        <f>SUM(C23:C27)</f>
        <v>23834</v>
      </c>
      <c r="D28" s="4">
        <f>SUM(D23:D27)</f>
        <v>304392.33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51</v>
      </c>
      <c r="D32" s="25">
        <v>9283.5</v>
      </c>
    </row>
    <row r="33" spans="2:4" x14ac:dyDescent="0.25">
      <c r="B33" s="9" t="s">
        <v>5</v>
      </c>
      <c r="C33" s="6">
        <v>3307</v>
      </c>
      <c r="D33" s="25">
        <v>136814.57</v>
      </c>
    </row>
    <row r="34" spans="2:4" x14ac:dyDescent="0.25">
      <c r="B34" s="9" t="s">
        <v>6</v>
      </c>
      <c r="C34" s="6">
        <v>285</v>
      </c>
      <c r="D34" s="25">
        <v>17774</v>
      </c>
    </row>
    <row r="35" spans="2:4" x14ac:dyDescent="0.25">
      <c r="B35" s="9" t="s">
        <v>7</v>
      </c>
      <c r="C35" s="6">
        <v>3953</v>
      </c>
      <c r="D35" s="25">
        <v>3219</v>
      </c>
    </row>
    <row r="36" spans="2:4" x14ac:dyDescent="0.25">
      <c r="B36" s="10" t="s">
        <v>8</v>
      </c>
      <c r="C36" s="8">
        <f>SUM(C32:C35)</f>
        <v>7596</v>
      </c>
      <c r="D36" s="4">
        <f>SUM(D32:D35)</f>
        <v>167091.07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2229</v>
      </c>
      <c r="D40" s="25">
        <v>55056.9</v>
      </c>
    </row>
    <row r="41" spans="2:4" x14ac:dyDescent="0.25">
      <c r="B41" s="1" t="s">
        <v>5</v>
      </c>
      <c r="C41" s="6">
        <v>1359</v>
      </c>
      <c r="D41" s="25">
        <v>6485</v>
      </c>
    </row>
    <row r="42" spans="2:4" x14ac:dyDescent="0.25">
      <c r="B42" s="1" t="s">
        <v>6</v>
      </c>
      <c r="C42" s="6">
        <v>2216</v>
      </c>
      <c r="D42" s="25">
        <v>2231</v>
      </c>
    </row>
    <row r="43" spans="2:4" x14ac:dyDescent="0.25">
      <c r="B43" s="1" t="s">
        <v>7</v>
      </c>
      <c r="C43" s="6">
        <v>2211</v>
      </c>
      <c r="D43" s="25">
        <v>55079.21</v>
      </c>
    </row>
    <row r="44" spans="2:4" x14ac:dyDescent="0.25">
      <c r="B44" s="3" t="s">
        <v>8</v>
      </c>
      <c r="C44" s="8">
        <f>SUM(C40:C43)</f>
        <v>8015</v>
      </c>
      <c r="D44" s="4">
        <f>SUM(D40:D43)</f>
        <v>118852.11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585</v>
      </c>
      <c r="D48" s="25">
        <v>60175.93</v>
      </c>
    </row>
    <row r="49" spans="2:4" x14ac:dyDescent="0.25">
      <c r="B49" s="1" t="s">
        <v>5</v>
      </c>
      <c r="C49" s="6">
        <v>635</v>
      </c>
      <c r="D49" s="25">
        <v>6263</v>
      </c>
    </row>
    <row r="50" spans="2:4" x14ac:dyDescent="0.25">
      <c r="B50" s="1" t="s">
        <v>6</v>
      </c>
      <c r="C50" s="6">
        <v>805</v>
      </c>
      <c r="D50" s="25">
        <v>632</v>
      </c>
    </row>
    <row r="51" spans="2:4" x14ac:dyDescent="0.25">
      <c r="B51" s="1" t="s">
        <v>7</v>
      </c>
      <c r="C51" s="6">
        <v>2469</v>
      </c>
      <c r="D51" s="25">
        <v>8061</v>
      </c>
    </row>
    <row r="52" spans="2:4" x14ac:dyDescent="0.25">
      <c r="B52" s="3" t="s">
        <v>8</v>
      </c>
      <c r="C52" s="8">
        <f>SUM(C48:C51)</f>
        <v>4494</v>
      </c>
      <c r="D52" s="4">
        <f>SUM(D48:D51)</f>
        <v>75131.929999999993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2845</v>
      </c>
      <c r="D56" s="25">
        <v>66603</v>
      </c>
    </row>
    <row r="57" spans="2:4" x14ac:dyDescent="0.25">
      <c r="B57" s="10" t="s">
        <v>8</v>
      </c>
      <c r="C57" s="8">
        <f>SUM(C56:C56)</f>
        <v>2845</v>
      </c>
      <c r="D57" s="4">
        <f>SUM(D56:D56)</f>
        <v>66603</v>
      </c>
    </row>
    <row r="59" spans="2:4" x14ac:dyDescent="0.25">
      <c r="B59" s="12" t="s">
        <v>13</v>
      </c>
      <c r="C59" s="13">
        <f>SUM(C10+C28+C36+C57+C19+C52+C44)</f>
        <v>95445</v>
      </c>
      <c r="D59" s="13">
        <f>SUM(D10+D28+D36+D57+D19+D52+D44)</f>
        <v>2045338.1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06 JUN'!C6, 'REPORTE DIARIO'!C:C)</f>
        <v>15265</v>
      </c>
      <c r="E6" s="16">
        <f>SUMIF('REPORTE DIARIO'!B:B,'EPR 06 JUN'!C6, 'REPORTE DIARIO'!D:D)</f>
        <v>792386.57000000007</v>
      </c>
      <c r="F6" s="16">
        <f>J6*D6</f>
        <v>2398785.7142857141</v>
      </c>
      <c r="G6" s="16">
        <f>+E6-F6</f>
        <v>-1606399.144285714</v>
      </c>
      <c r="H6" s="15">
        <f>ABS(G6/F6)</f>
        <v>0.66967179882678729</v>
      </c>
      <c r="I6" s="16">
        <f>E6/D6</f>
        <v>51.908717327219136</v>
      </c>
      <c r="J6" s="16">
        <f>(220/7)*5</f>
        <v>157.14285714285714</v>
      </c>
      <c r="K6" s="16">
        <f>+I6-J6</f>
        <v>-105.234139815638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06 JUN'!C7, 'REPORTE DIARIO'!C:C)</f>
        <v>11429</v>
      </c>
      <c r="E7" s="16">
        <f>SUMIF('REPORTE DIARIO'!B:B,'EPR 06 JUN'!C7, 'REPORTE DIARIO'!D:D)</f>
        <v>538595.52</v>
      </c>
      <c r="F7" s="16">
        <f>J7*D7</f>
        <v>897992.85714285716</v>
      </c>
      <c r="G7" s="16">
        <f>+E7-F7</f>
        <v>-359397.33714285714</v>
      </c>
      <c r="H7" s="15">
        <f>ABS(G7/F7)</f>
        <v>0.40022293527629077</v>
      </c>
      <c r="I7" s="16">
        <f>E7/D7</f>
        <v>47.125340799720014</v>
      </c>
      <c r="J7" s="16">
        <f>(110/7)*5</f>
        <v>78.571428571428569</v>
      </c>
      <c r="K7" s="16">
        <f t="shared" ref="K7:K9" si="0">+I7-J7</f>
        <v>-31.446087771708555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06 JUN'!C8, 'REPORTE DIARIO'!C:C)</f>
        <v>13721</v>
      </c>
      <c r="E8" s="16">
        <f>SUMIF('REPORTE DIARIO'!B:B,'EPR 06 JUN'!C8, 'REPORTE DIARIO'!D:D)</f>
        <v>293202.13</v>
      </c>
      <c r="F8" s="16">
        <f>J8*D8</f>
        <v>441032.1428571429</v>
      </c>
      <c r="G8" s="16">
        <f>+E8-F8</f>
        <v>-147830.01285714289</v>
      </c>
      <c r="H8" s="15">
        <f>ABS(G8/F8)</f>
        <v>0.3351910178234499</v>
      </c>
      <c r="I8" s="16">
        <f>E8/D8</f>
        <v>21.368860141389113</v>
      </c>
      <c r="J8" s="16">
        <f>(45/7)*5</f>
        <v>32.142857142857146</v>
      </c>
      <c r="K8" s="16">
        <f t="shared" si="0"/>
        <v>-10.773997001468032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06 JUN'!C9, 'REPORTE DIARIO'!C:C)</f>
        <v>55016</v>
      </c>
      <c r="E9" s="16">
        <f>SUMIF('REPORTE DIARIO'!B:B,'EPR 06 JUN'!C9, 'REPORTE DIARIO'!D:D)</f>
        <v>421114.88000000006</v>
      </c>
      <c r="F9" s="16">
        <f>J9*D9</f>
        <v>589457.14285714284</v>
      </c>
      <c r="G9" s="16">
        <f>+E9-F9</f>
        <v>-168342.26285714278</v>
      </c>
      <c r="H9" s="15">
        <f>ABS(G9/F9)</f>
        <v>0.28558863845669125</v>
      </c>
      <c r="I9" s="16">
        <f>E9/D9</f>
        <v>7.6544074451068793</v>
      </c>
      <c r="J9" s="16">
        <f>(15/7)*5</f>
        <v>10.714285714285714</v>
      </c>
      <c r="K9" s="16">
        <f t="shared" si="0"/>
        <v>-3.0598782691788342</v>
      </c>
    </row>
    <row r="10" spans="2:12" x14ac:dyDescent="0.25">
      <c r="B10" s="16"/>
      <c r="C10" s="19" t="s">
        <v>17</v>
      </c>
      <c r="D10" s="24">
        <f>SUM(D6:D9)</f>
        <v>95431</v>
      </c>
      <c r="E10" s="20">
        <f>SUM(E6:E9)</f>
        <v>2045299.1000000003</v>
      </c>
      <c r="F10" s="20">
        <f>SUM(F6:F9)</f>
        <v>4327267.8571428573</v>
      </c>
      <c r="G10" s="20">
        <f>+E10-F10</f>
        <v>-2281968.7571428567</v>
      </c>
      <c r="H10" s="21">
        <f>ABS(G10/F10)</f>
        <v>0.5273463146904801</v>
      </c>
      <c r="I10" s="20">
        <f>E10/D10</f>
        <v>21.432229569007976</v>
      </c>
      <c r="J10" s="20">
        <f>F10/D10</f>
        <v>45.344467281521283</v>
      </c>
      <c r="K10" s="20">
        <f>I10-J10</f>
        <v>-23.912237712513306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2025-06-06T15:24:31Z</dcterms:modified>
</cp:coreProperties>
</file>