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6 JUN\NOCHE\"/>
    </mc:Choice>
  </mc:AlternateContent>
  <xr:revisionPtr revIDLastSave="0" documentId="13_ncr:1_{A0D3AF1C-E105-42D0-A00A-52FA3169BE23}" xr6:coauthVersionLast="47" xr6:coauthVersionMax="47" xr10:uidLastSave="{00000000-0000-0000-0000-000000000000}"/>
  <bookViews>
    <workbookView xWindow="27000" yWindow="13455" windowWidth="10005" windowHeight="5445" xr2:uid="{4DC6C92A-CD8A-4966-829B-0B6A986E825B}"/>
  </bookViews>
  <sheets>
    <sheet name="REPORTE DIARIO" sheetId="1" r:id="rId1"/>
    <sheet name="DATA" sheetId="4" r:id="rId2"/>
    <sheet name="EPR 0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44" i="1"/>
  <c r="C44" i="1"/>
  <c r="D52" i="1"/>
  <c r="C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<sst xmlns="http://schemas.openxmlformats.org/spreadsheetml/2006/main" count="89" uniqueCount="37">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</sst>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2808</v>
      </c>
      <c r="D5" s="25">
        <v>321600.59999999998</v>
      </c>
    </row>
    <row r="6" spans="2:8" x14ac:dyDescent="0.25">
      <c r="B6" s="1" t="s">
        <v>5</v>
      </c>
      <c r="C6" s="6">
        <v>3066</v>
      </c>
      <c r="D6" s="25">
        <v>326650.90000000002</v>
      </c>
    </row>
    <row r="7" spans="2:8" x14ac:dyDescent="0.25">
      <c r="B7" s="1" t="s">
        <v>6</v>
      </c>
      <c r="C7" s="6">
        <v>5633</v>
      </c>
      <c r="D7" s="25">
        <v>207585.51</v>
      </c>
    </row>
    <row r="8" spans="2:8" x14ac:dyDescent="0.25">
      <c r="B8" s="5" t="s">
        <v>12</v>
      </c>
      <c r="C8" s="7">
        <v>11</v>
      </c>
      <c r="D8" s="25">
        <v>500</v>
      </c>
    </row>
    <row r="9" spans="2:8" x14ac:dyDescent="0.25">
      <c r="B9" s="1" t="s">
        <v>7</v>
      </c>
      <c r="C9" s="6">
        <v>11844</v>
      </c>
      <c r="D9" s="25">
        <v>315821.84999999998</v>
      </c>
      <c r="E9" s="14"/>
      <c r="F9" s="7"/>
    </row>
    <row r="10" spans="2:8" x14ac:dyDescent="0.25">
      <c r="B10" s="3" t="s">
        <v>8</v>
      </c>
      <c r="C10" s="8">
        <f>SUM(C5:C9)</f>
        <v>23362</v>
      </c>
      <c r="D10" s="4">
        <f>SUM(D5:D9)</f>
        <v>1172158.8599999999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2906</v>
      </c>
      <c r="D14" s="25">
        <v>253181.09999999998</v>
      </c>
    </row>
    <row r="15" spans="2:8" x14ac:dyDescent="0.25">
      <c r="B15" s="1" t="s">
        <v>5</v>
      </c>
      <c r="C15" s="6">
        <v>2081</v>
      </c>
      <c r="D15" s="25">
        <v>93860.94</v>
      </c>
    </row>
    <row r="16" spans="2:8" x14ac:dyDescent="0.25">
      <c r="B16" s="1" t="s">
        <v>6</v>
      </c>
      <c r="C16" s="6">
        <v>2796</v>
      </c>
      <c r="D16" s="25">
        <v>135483.16999999998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17925</v>
      </c>
      <c r="D18" s="25">
        <v>92413.170000000013</v>
      </c>
    </row>
    <row r="19" spans="2:4" x14ac:dyDescent="0.25">
      <c r="B19" s="3" t="s">
        <v>8</v>
      </c>
      <c r="C19" s="8">
        <f>SUM(C14:C18)</f>
        <v>25710</v>
      </c>
      <c r="D19" s="4">
        <f>SUM(D14:D18)</f>
        <v>574938.38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3805</v>
      </c>
      <c r="D23" s="25">
        <v>288010.48000000004</v>
      </c>
    </row>
    <row r="24" spans="2:4" x14ac:dyDescent="0.25">
      <c r="B24" s="9" t="s">
        <v>5</v>
      </c>
      <c r="C24" s="6">
        <v>977</v>
      </c>
      <c r="D24" s="25">
        <v>47436.11</v>
      </c>
    </row>
    <row r="25" spans="2:4" x14ac:dyDescent="0.25">
      <c r="B25" s="9" t="s">
        <v>6</v>
      </c>
      <c r="C25" s="6">
        <v>2119</v>
      </c>
      <c r="D25" s="25">
        <v>32169.45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16874</v>
      </c>
      <c r="D27" s="25">
        <v>36753.119999999995</v>
      </c>
    </row>
    <row r="28" spans="2:4" x14ac:dyDescent="0.25">
      <c r="B28" s="10" t="s">
        <v>8</v>
      </c>
      <c r="C28" s="8">
        <f>SUM(C23:C27)</f>
        <v>23776</v>
      </c>
      <c r="D28" s="4">
        <f>SUM(D23:D27)</f>
        <v>404408.16000000003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50</v>
      </c>
      <c r="D32" s="25">
        <v>23550.5</v>
      </c>
    </row>
    <row r="33" spans="2:4" x14ac:dyDescent="0.25">
      <c r="B33" s="9" t="s">
        <v>5</v>
      </c>
      <c r="C33" s="6">
        <v>3273</v>
      </c>
      <c r="D33" s="25">
        <v>181052.34</v>
      </c>
    </row>
    <row r="34" spans="2:4" x14ac:dyDescent="0.25">
      <c r="B34" s="9" t="s">
        <v>6</v>
      </c>
      <c r="C34" s="6">
        <v>285</v>
      </c>
      <c r="D34" s="25">
        <v>18766</v>
      </c>
    </row>
    <row r="35" spans="2:4" x14ac:dyDescent="0.25">
      <c r="B35" s="9" t="s">
        <v>7</v>
      </c>
      <c r="C35" s="6">
        <v>3953</v>
      </c>
      <c r="D35" s="25">
        <v>4190</v>
      </c>
    </row>
    <row r="36" spans="2:4" x14ac:dyDescent="0.25">
      <c r="B36" s="10" t="s">
        <v>8</v>
      </c>
      <c r="C36" s="8">
        <f>SUM(C32:C35)</f>
        <v>7561</v>
      </c>
      <c r="D36" s="4">
        <f>SUM(D32:D35)</f>
        <v>227558.84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2245</v>
      </c>
      <c r="D40" s="25">
        <v>57501.9</v>
      </c>
    </row>
    <row r="41" spans="2:4" x14ac:dyDescent="0.25">
      <c r="B41" s="1" t="s">
        <v>5</v>
      </c>
      <c r="C41" s="6">
        <v>1381</v>
      </c>
      <c r="D41" s="25">
        <v>8113</v>
      </c>
    </row>
    <row r="42" spans="2:4" x14ac:dyDescent="0.25">
      <c r="B42" s="1" t="s">
        <v>6</v>
      </c>
      <c r="C42" s="6">
        <v>2249</v>
      </c>
      <c r="D42" s="25">
        <v>4056</v>
      </c>
    </row>
    <row r="43" spans="2:4" x14ac:dyDescent="0.25">
      <c r="B43" s="1" t="s">
        <v>7</v>
      </c>
      <c r="C43" s="6">
        <v>2230</v>
      </c>
      <c r="D43" s="25">
        <v>57779.21</v>
      </c>
    </row>
    <row r="44" spans="2:4" x14ac:dyDescent="0.25">
      <c r="B44" s="3" t="s">
        <v>8</v>
      </c>
      <c r="C44" s="8">
        <f>SUM(C40:C43)</f>
        <v>8105</v>
      </c>
      <c r="D44" s="4">
        <f>SUM(D40:D43)</f>
        <v>127450.10999999999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584</v>
      </c>
      <c r="D48" s="25">
        <v>64705.93</v>
      </c>
    </row>
    <row r="49" spans="2:4" x14ac:dyDescent="0.25">
      <c r="B49" s="1" t="s">
        <v>5</v>
      </c>
      <c r="C49" s="6">
        <v>628</v>
      </c>
      <c r="D49" s="25">
        <v>7763</v>
      </c>
    </row>
    <row r="50" spans="2:4" x14ac:dyDescent="0.25">
      <c r="B50" s="1" t="s">
        <v>6</v>
      </c>
      <c r="C50" s="6">
        <v>805</v>
      </c>
      <c r="D50" s="25">
        <v>1952</v>
      </c>
    </row>
    <row r="51" spans="2:4" x14ac:dyDescent="0.25">
      <c r="B51" s="1" t="s">
        <v>7</v>
      </c>
      <c r="C51" s="6">
        <v>2469</v>
      </c>
      <c r="D51" s="25">
        <v>8618</v>
      </c>
    </row>
    <row r="52" spans="2:4" x14ac:dyDescent="0.25">
      <c r="B52" s="3" t="s">
        <v>8</v>
      </c>
      <c r="C52" s="8">
        <f>SUM(C48:C51)</f>
        <v>4486</v>
      </c>
      <c r="D52" s="4">
        <f>SUM(D48:D51)</f>
        <v>83038.929999999993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2824</v>
      </c>
      <c r="D56" s="25">
        <v>76736</v>
      </c>
    </row>
    <row r="57" spans="2:4" x14ac:dyDescent="0.25">
      <c r="B57" s="10" t="s">
        <v>8</v>
      </c>
      <c r="C57" s="8">
        <f>SUM(C56:C56)</f>
        <v>2824</v>
      </c>
      <c r="D57" s="4">
        <f>SUM(D56:D56)</f>
        <v>76736</v>
      </c>
    </row>
    <row r="59" spans="2:4" x14ac:dyDescent="0.25">
      <c r="B59" s="12" t="s">
        <v>13</v>
      </c>
      <c r="C59" s="13">
        <f>SUM(C10+C28+C36+C57+C19+C52+C44)</f>
        <v>95824</v>
      </c>
      <c r="D59" s="13">
        <f>SUM(D10+D28+D36+D57+D19+D52+D44)</f>
        <v>2666289.2800000003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06 JUN'!C6, 'REPORTE DIARIO'!C:C)</f>
        <v>15222</v>
      </c>
      <c r="E6" s="16">
        <f>SUMIF('REPORTE DIARIO'!B:B,'EPR 06 JUN'!C6, 'REPORTE DIARIO'!D:D)</f>
        <v>1085286.51</v>
      </c>
      <c r="F6" s="16">
        <f>J6*D6</f>
        <v>2392028.5714285714</v>
      </c>
      <c r="G6" s="16">
        <f>+E6-F6</f>
        <v>-1306742.0614285714</v>
      </c>
      <c r="H6" s="15">
        <f>ABS(G6/F6)</f>
        <v>0.54629032321639726</v>
      </c>
      <c r="I6" s="16">
        <f>E6/D6</f>
        <v>71.297234923137566</v>
      </c>
      <c r="J6" s="16">
        <f>(220/7)*5</f>
        <v>157.14285714285714</v>
      </c>
      <c r="K6" s="16">
        <f>+I6-J6</f>
        <v>-85.845622219719573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06 JUN'!C7, 'REPORTE DIARIO'!C:C)</f>
        <v>11406</v>
      </c>
      <c r="E7" s="16">
        <f>SUMIF('REPORTE DIARIO'!B:B,'EPR 06 JUN'!C7, 'REPORTE DIARIO'!D:D)</f>
        <v>664876.29</v>
      </c>
      <c r="F7" s="16">
        <f>J7*D7</f>
        <v>896185.71428571432</v>
      </c>
      <c r="G7" s="16">
        <f>+E7-F7</f>
        <v>-231309.42428571428</v>
      </c>
      <c r="H7" s="15">
        <f>ABS(G7/F7)</f>
        <v>0.25810434221223277</v>
      </c>
      <c r="I7" s="16">
        <f>E7/D7</f>
        <v>58.291801683324572</v>
      </c>
      <c r="J7" s="16">
        <f>(110/7)*5</f>
        <v>78.571428571428569</v>
      </c>
      <c r="K7" s="16">
        <f t="shared" ref="K7:K9" si="0">+I7-J7</f>
        <v>-20.279626888103998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06 JUN'!C8, 'REPORTE DIARIO'!C:C)</f>
        <v>13887</v>
      </c>
      <c r="E8" s="16">
        <f>SUMIF('REPORTE DIARIO'!B:B,'EPR 06 JUN'!C8, 'REPORTE DIARIO'!D:D)</f>
        <v>400012.13</v>
      </c>
      <c r="F8" s="16">
        <f>J8*D8</f>
        <v>446367.85714285716</v>
      </c>
      <c r="G8" s="16">
        <f>+E8-F8</f>
        <v>-46355.727142857155</v>
      </c>
      <c r="H8" s="15">
        <f>ABS(G8/F8)</f>
        <v>0.10385095252954404</v>
      </c>
      <c r="I8" s="16">
        <f>E8/D8</f>
        <v>28.804790811550372</v>
      </c>
      <c r="J8" s="16">
        <f>(45/7)*5</f>
        <v>32.142857142857146</v>
      </c>
      <c r="K8" s="16">
        <f t="shared" si="0"/>
        <v>-3.3380663313067735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06 JUN'!C9, 'REPORTE DIARIO'!C:C)</f>
        <v>55295</v>
      </c>
      <c r="E9" s="16">
        <f>SUMIF('REPORTE DIARIO'!B:B,'EPR 06 JUN'!C9, 'REPORTE DIARIO'!D:D)</f>
        <v>515575.35000000003</v>
      </c>
      <c r="F9" s="16">
        <f>J9*D9</f>
        <v>592446.42857142852</v>
      </c>
      <c r="G9" s="16">
        <f>+E9-F9</f>
        <v>-76871.078571428487</v>
      </c>
      <c r="H9" s="15">
        <f>ABS(G9/F9)</f>
        <v>0.12975194863911732</v>
      </c>
      <c r="I9" s="16">
        <f>E9/D9</f>
        <v>9.3240862645808846</v>
      </c>
      <c r="J9" s="16">
        <f>(15/7)*5</f>
        <v>10.714285714285714</v>
      </c>
      <c r="K9" s="16">
        <f t="shared" si="0"/>
        <v>-1.3901994497048289</v>
      </c>
    </row>
    <row r="10" spans="2:12" x14ac:dyDescent="0.25">
      <c r="B10" s="16"/>
      <c r="C10" s="19" t="s">
        <v>17</v>
      </c>
      <c r="D10" s="24">
        <f>SUM(D6:D9)</f>
        <v>95810</v>
      </c>
      <c r="E10" s="20">
        <f>SUM(E6:E9)</f>
        <v>2665750.2800000003</v>
      </c>
      <c r="F10" s="20">
        <f>SUM(F6:F9)</f>
        <v>4327028.5714285709</v>
      </c>
      <c r="G10" s="20">
        <f>+E10-F10</f>
        <v>-1661278.2914285706</v>
      </c>
      <c r="H10" s="21">
        <f>ABS(G10/F10)</f>
        <v>0.38393051120531396</v>
      </c>
      <c r="I10" s="20">
        <f>E10/D10</f>
        <v>27.823299029328883</v>
      </c>
      <c r="J10" s="20">
        <f>F10/D10</f>
        <v>45.16259859543441</v>
      </c>
      <c r="K10" s="20">
        <f>I10-J10</f>
        <v>-17.339299566105527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2025-06-07T03:03:02Z</dcterms:modified>
</cp:coreProperties>
</file>