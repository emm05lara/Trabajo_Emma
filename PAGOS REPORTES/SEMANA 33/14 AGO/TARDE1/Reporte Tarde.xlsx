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3\14 AGO\TARDE1\"/>
    </mc:Choice>
  </mc:AlternateContent>
  <xr:revisionPtr revIDLastSave="0" documentId="8_{1DB43A4D-575C-41EF-8601-D747F2FCBE1A}" xr6:coauthVersionLast="47" xr6:coauthVersionMax="47" xr10:uidLastSave="{00000000-0000-0000-0000-000000000000}"/>
  <bookViews>
    <workbookView xWindow="-120" yWindow="-120" windowWidth="51840" windowHeight="21120" xr2:uid="{1115F1AF-DCED-4EA0-B9E8-754727922719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3" l="1"/>
  <c r="D8" i="2"/>
  <c r="D7" i="1"/>
</calcChain>
</file>

<file path=xl/sharedStrings.xml><?xml version="1.0" encoding="utf-8"?>
<sst xmlns="http://schemas.openxmlformats.org/spreadsheetml/2006/main" count="119" uniqueCount="23">
  <si>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</si>
  <si>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</si>
  <si>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</si>
  <si>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</si>
  <si>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</si>
  <si>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</si>
  <si>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</si>
  <si>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</si>
  <si>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</si>
  <si>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</si>
  <si>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</si>
  <si>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OLGUIN</t>
  </si>
  <si>
    <t>SOFIA</t>
  </si>
  <si>
    <t>TOTAL COBRADO</t>
  </si>
  <si>
    <t>Segmento</t>
  </si>
  <si>
    <t>CONSUMO</t>
  </si>
  <si>
    <t>CREDIMAX</t>
  </si>
  <si>
    <t>REESTRUCTURA</t>
  </si>
  <si>
    <t>TOR</t>
  </si>
  <si>
    <t>ITALIKA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</si>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</sst>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2D5CD-2C41-4AB8-B8A9-8B644AE9120C}">
  <dimension ref="B2:D47"/>
  <sheetViews>
    <sheetView tabSelected="1" workbookViewId="0">
      <selection activeCell="B2" sqref="B2:D47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48058.51</v>
      </c>
    </row>
    <row r="5" spans="2:4" x14ac:dyDescent="0.25">
      <c r="B5" s="2" t="s">
        <v>2</v>
      </c>
      <c r="C5" s="3">
        <v>17080.8</v>
      </c>
    </row>
    <row r="6" spans="2:4" ht="15.75" thickBot="1" x14ac:dyDescent="0.3">
      <c r="B6" s="2" t="s">
        <v>3</v>
      </c>
      <c r="C6" s="3">
        <v>4644</v>
      </c>
      <c r="D6" s="1" t="s">
        <v>13</v>
      </c>
    </row>
    <row r="7" spans="2:4" ht="15.75" thickTop="1" x14ac:dyDescent="0.25">
      <c r="B7" s="4" t="s">
        <v>4</v>
      </c>
      <c r="C7" s="5">
        <v>69783.31</v>
      </c>
      <c r="D7" s="5">
        <f>SUMIF(B:B, "Total general", C:C)</f>
        <v>180409.27</v>
      </c>
    </row>
    <row r="9" spans="2:4" x14ac:dyDescent="0.25">
      <c r="B9" s="6" t="s">
        <v>7</v>
      </c>
      <c r="C9" s="6"/>
    </row>
    <row r="10" spans="2:4" x14ac:dyDescent="0.25">
      <c r="B10" s="1" t="s">
        <v>14</v>
      </c>
      <c r="C10" s="1" t="s">
        <v>0</v>
      </c>
    </row>
    <row r="11" spans="2:4" x14ac:dyDescent="0.25">
      <c r="B11" s="2" t="s">
        <v>1</v>
      </c>
      <c r="C11" s="3">
        <v>29507.600000000002</v>
      </c>
    </row>
    <row r="12" spans="2:4" x14ac:dyDescent="0.25">
      <c r="B12" s="2" t="s">
        <v>2</v>
      </c>
      <c r="C12" s="3">
        <v>332</v>
      </c>
    </row>
    <row r="13" spans="2:4" ht="15.75" thickBot="1" x14ac:dyDescent="0.3">
      <c r="B13" s="2" t="s">
        <v>3</v>
      </c>
      <c r="C13" s="3">
        <v>2000</v>
      </c>
    </row>
    <row r="14" spans="2:4" ht="15.75" thickTop="1" x14ac:dyDescent="0.25">
      <c r="B14" s="4" t="s">
        <v>4</v>
      </c>
      <c r="C14" s="5">
        <v>31839.600000000002</v>
      </c>
    </row>
    <row r="16" spans="2:4" x14ac:dyDescent="0.25">
      <c r="B16" s="6" t="s">
        <v>6</v>
      </c>
      <c r="C16" s="6"/>
    </row>
    <row r="17" spans="2:3" x14ac:dyDescent="0.25">
      <c r="B17" s="1" t="s">
        <v>14</v>
      </c>
      <c r="C17" s="1" t="s">
        <v>0</v>
      </c>
    </row>
    <row r="18" spans="2:3" x14ac:dyDescent="0.25">
      <c r="B18" s="2" t="s">
        <v>1</v>
      </c>
      <c r="C18" s="3">
        <v>24619.66</v>
      </c>
    </row>
    <row r="19" spans="2:3" x14ac:dyDescent="0.25">
      <c r="B19" s="2" t="s">
        <v>2</v>
      </c>
      <c r="C19" s="3">
        <v>336.2</v>
      </c>
    </row>
    <row r="20" spans="2:3" ht="15.75" thickBot="1" x14ac:dyDescent="0.3">
      <c r="B20" s="2" t="s">
        <v>3</v>
      </c>
      <c r="C20" s="3">
        <v>1680</v>
      </c>
    </row>
    <row r="21" spans="2:3" ht="15.75" thickTop="1" x14ac:dyDescent="0.25">
      <c r="B21" s="4" t="s">
        <v>4</v>
      </c>
      <c r="C21" s="5">
        <v>26635.86</v>
      </c>
    </row>
    <row r="23" spans="2:3" x14ac:dyDescent="0.25">
      <c r="B23" s="6" t="s">
        <v>11</v>
      </c>
      <c r="C23" s="6"/>
    </row>
    <row r="24" spans="2:3" x14ac:dyDescent="0.25">
      <c r="B24" s="1" t="s">
        <v>14</v>
      </c>
      <c r="C24" s="1" t="s">
        <v>0</v>
      </c>
    </row>
    <row r="25" spans="2:3" x14ac:dyDescent="0.25">
      <c r="B25" s="2" t="s">
        <v>1</v>
      </c>
      <c r="C25" s="3">
        <v>20823.63</v>
      </c>
    </row>
    <row r="26" spans="2:3" x14ac:dyDescent="0.25">
      <c r="B26" s="2" t="s">
        <v>2</v>
      </c>
      <c r="C26" s="3">
        <v>708</v>
      </c>
    </row>
    <row r="27" spans="2:3" ht="15.75" thickBot="1" x14ac:dyDescent="0.3">
      <c r="B27" s="2" t="s">
        <v>3</v>
      </c>
      <c r="C27" s="3">
        <v>113</v>
      </c>
    </row>
    <row r="28" spans="2:3" ht="15.75" thickTop="1" x14ac:dyDescent="0.25">
      <c r="B28" s="4" t="s">
        <v>4</v>
      </c>
      <c r="C28" s="5">
        <v>21644.63</v>
      </c>
    </row>
    <row r="30" spans="2:3" x14ac:dyDescent="0.25">
      <c r="B30" s="6" t="s">
        <v>9</v>
      </c>
      <c r="C30" s="6"/>
    </row>
    <row r="31" spans="2:3" x14ac:dyDescent="0.25">
      <c r="B31" s="1" t="s">
        <v>14</v>
      </c>
      <c r="C31" s="1" t="s">
        <v>0</v>
      </c>
    </row>
    <row r="32" spans="2:3" x14ac:dyDescent="0.25">
      <c r="B32" s="2" t="s">
        <v>10</v>
      </c>
      <c r="C32" s="3">
        <v>10720</v>
      </c>
    </row>
    <row r="33" spans="2:3" ht="15.75" thickBot="1" x14ac:dyDescent="0.3">
      <c r="B33" s="2" t="s">
        <v>1</v>
      </c>
      <c r="C33" s="3">
        <v>4558</v>
      </c>
    </row>
    <row r="34" spans="2:3" ht="15.75" thickTop="1" x14ac:dyDescent="0.25">
      <c r="B34" s="4" t="s">
        <v>4</v>
      </c>
      <c r="C34" s="5">
        <v>15278</v>
      </c>
    </row>
    <row r="36" spans="2:3" x14ac:dyDescent="0.25">
      <c r="B36" s="6" t="s">
        <v>12</v>
      </c>
      <c r="C36" s="6"/>
    </row>
    <row r="37" spans="2:3" x14ac:dyDescent="0.25">
      <c r="B37" s="1" t="s">
        <v>14</v>
      </c>
      <c r="C37" s="1" t="s">
        <v>0</v>
      </c>
    </row>
    <row r="38" spans="2:3" x14ac:dyDescent="0.25">
      <c r="B38" s="2" t="s">
        <v>1</v>
      </c>
      <c r="C38" s="3">
        <v>12004.869999999999</v>
      </c>
    </row>
    <row r="39" spans="2:3" x14ac:dyDescent="0.25">
      <c r="B39" s="2" t="s">
        <v>2</v>
      </c>
      <c r="C39" s="3">
        <v>184</v>
      </c>
    </row>
    <row r="40" spans="2:3" ht="15.75" thickBot="1" x14ac:dyDescent="0.3">
      <c r="B40" s="2" t="s">
        <v>3</v>
      </c>
      <c r="C40" s="3">
        <v>827</v>
      </c>
    </row>
    <row r="41" spans="2:3" ht="15.75" thickTop="1" x14ac:dyDescent="0.25">
      <c r="B41" s="4" t="s">
        <v>4</v>
      </c>
      <c r="C41" s="5">
        <v>13015.869999999999</v>
      </c>
    </row>
    <row r="43" spans="2:3" x14ac:dyDescent="0.25">
      <c r="B43" s="6" t="s">
        <v>8</v>
      </c>
      <c r="C43" s="6"/>
    </row>
    <row r="44" spans="2:3" x14ac:dyDescent="0.25">
      <c r="B44" s="1" t="s">
        <v>14</v>
      </c>
      <c r="C44" s="1" t="s">
        <v>0</v>
      </c>
    </row>
    <row r="45" spans="2:3" x14ac:dyDescent="0.25">
      <c r="B45" s="2" t="s">
        <v>1</v>
      </c>
      <c r="C45" s="3">
        <v>1242</v>
      </c>
    </row>
    <row r="46" spans="2:3" ht="15.75" thickBot="1" x14ac:dyDescent="0.3">
      <c r="B46" s="2" t="s">
        <v>2</v>
      </c>
      <c r="C46" s="3">
        <v>970</v>
      </c>
    </row>
    <row r="47" spans="2:3" ht="15.75" thickTop="1" x14ac:dyDescent="0.25">
      <c r="B47" s="4" t="s">
        <v>4</v>
      </c>
      <c r="C47" s="5">
        <v>2212</v>
      </c>
    </row>
  </sheetData>
  <mergeCells count="7">
    <mergeCell ref="B36:C36"/>
    <mergeCell ref="B2:C2"/>
    <mergeCell ref="B16:C16"/>
    <mergeCell ref="B9:C9"/>
    <mergeCell ref="B43:C43"/>
    <mergeCell ref="B30:C30"/>
    <mergeCell ref="B23:C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31921-EB10-4F0C-85EF-1B6E0B17D5C5}">
  <dimension ref="B2:D49"/>
  <sheetViews>
    <sheetView workbookViewId="0">
      <selection activeCell="B3" sqref="B3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5</v>
      </c>
      <c r="C2" s="6"/>
    </row>
    <row r="3" spans="2:4" x14ac:dyDescent="0.25">
      <c r="B3" s="1" t="s">
        <v>20</v>
      </c>
      <c r="C3" s="1" t="s">
        <v>0</v>
      </c>
    </row>
    <row r="4" spans="2:4" x14ac:dyDescent="0.25">
      <c r="B4" s="2" t="s">
        <v>15</v>
      </c>
      <c r="C4" s="3">
        <v>6933.8</v>
      </c>
    </row>
    <row r="5" spans="2:4" x14ac:dyDescent="0.25">
      <c r="B5" s="2" t="s">
        <v>16</v>
      </c>
      <c r="C5" s="3">
        <v>1200</v>
      </c>
    </row>
    <row r="6" spans="2:4" x14ac:dyDescent="0.25">
      <c r="B6" s="2" t="s">
        <v>17</v>
      </c>
      <c r="C6" s="3">
        <v>4004</v>
      </c>
    </row>
    <row r="7" spans="2:4" ht="15.75" thickBot="1" x14ac:dyDescent="0.3">
      <c r="B7" s="2" t="s">
        <v>18</v>
      </c>
      <c r="C7" s="3">
        <v>57645.51</v>
      </c>
      <c r="D7" s="1" t="s">
        <v>13</v>
      </c>
    </row>
    <row r="8" spans="2:4" ht="15.75" thickTop="1" x14ac:dyDescent="0.25">
      <c r="B8" s="4" t="s">
        <v>4</v>
      </c>
      <c r="C8" s="5">
        <v>69783.31</v>
      </c>
      <c r="D8" s="5">
        <f>SUMIF(B:B, "Total general", C:C)</f>
        <v>180409.27</v>
      </c>
    </row>
    <row r="10" spans="2:4" x14ac:dyDescent="0.25">
      <c r="B10" s="6" t="s">
        <v>7</v>
      </c>
      <c r="C10" s="6"/>
    </row>
    <row r="11" spans="2:4" x14ac:dyDescent="0.25">
      <c r="B11" s="1" t="s">
        <v>20</v>
      </c>
      <c r="C11" s="1" t="s">
        <v>0</v>
      </c>
    </row>
    <row r="12" spans="2:4" ht="15.75" thickBot="1" x14ac:dyDescent="0.3">
      <c r="B12" s="2" t="s">
        <v>18</v>
      </c>
      <c r="C12" s="3">
        <v>31839.600000000002</v>
      </c>
    </row>
    <row r="13" spans="2:4" ht="15.75" thickTop="1" x14ac:dyDescent="0.25">
      <c r="B13" s="4" t="s">
        <v>4</v>
      </c>
      <c r="C13" s="5">
        <v>31839.600000000002</v>
      </c>
    </row>
    <row r="15" spans="2:4" x14ac:dyDescent="0.25">
      <c r="B15" s="6" t="s">
        <v>6</v>
      </c>
      <c r="C15" s="6"/>
    </row>
    <row r="16" spans="2:4" x14ac:dyDescent="0.25">
      <c r="B16" s="1" t="s">
        <v>20</v>
      </c>
      <c r="C16" s="1" t="s">
        <v>0</v>
      </c>
    </row>
    <row r="17" spans="2:3" x14ac:dyDescent="0.25">
      <c r="B17" s="2" t="s">
        <v>15</v>
      </c>
      <c r="C17" s="3">
        <v>2911.3599999999997</v>
      </c>
    </row>
    <row r="18" spans="2:3" x14ac:dyDescent="0.25">
      <c r="B18" s="2" t="s">
        <v>16</v>
      </c>
      <c r="C18" s="3">
        <v>2734</v>
      </c>
    </row>
    <row r="19" spans="2:3" x14ac:dyDescent="0.25">
      <c r="B19" s="2" t="s">
        <v>19</v>
      </c>
      <c r="C19" s="3">
        <v>709</v>
      </c>
    </row>
    <row r="20" spans="2:3" x14ac:dyDescent="0.25">
      <c r="B20" s="2" t="s">
        <v>17</v>
      </c>
      <c r="C20" s="3">
        <v>684</v>
      </c>
    </row>
    <row r="21" spans="2:3" ht="15.75" thickBot="1" x14ac:dyDescent="0.3">
      <c r="B21" s="2" t="s">
        <v>18</v>
      </c>
      <c r="C21" s="3">
        <v>19597.5</v>
      </c>
    </row>
    <row r="22" spans="2:3" ht="15.75" thickTop="1" x14ac:dyDescent="0.25">
      <c r="B22" s="4" t="s">
        <v>4</v>
      </c>
      <c r="C22" s="5">
        <v>26635.86</v>
      </c>
    </row>
    <row r="24" spans="2:3" x14ac:dyDescent="0.25">
      <c r="B24" s="6" t="s">
        <v>11</v>
      </c>
      <c r="C24" s="6"/>
    </row>
    <row r="25" spans="2:3" x14ac:dyDescent="0.25">
      <c r="B25" s="1" t="s">
        <v>20</v>
      </c>
      <c r="C25" s="1" t="s">
        <v>0</v>
      </c>
    </row>
    <row r="26" spans="2:3" x14ac:dyDescent="0.25">
      <c r="B26" s="2" t="s">
        <v>15</v>
      </c>
      <c r="C26" s="3">
        <v>4070.77</v>
      </c>
    </row>
    <row r="27" spans="2:3" x14ac:dyDescent="0.25">
      <c r="B27" s="2" t="s">
        <v>16</v>
      </c>
      <c r="C27" s="3">
        <v>500</v>
      </c>
    </row>
    <row r="28" spans="2:3" x14ac:dyDescent="0.25">
      <c r="B28" s="2" t="s">
        <v>19</v>
      </c>
      <c r="C28" s="3">
        <v>13862.73</v>
      </c>
    </row>
    <row r="29" spans="2:3" ht="15.75" thickBot="1" x14ac:dyDescent="0.3">
      <c r="B29" s="2" t="s">
        <v>18</v>
      </c>
      <c r="C29" s="3">
        <v>3211.13</v>
      </c>
    </row>
    <row r="30" spans="2:3" ht="15.75" thickTop="1" x14ac:dyDescent="0.25">
      <c r="B30" s="4" t="s">
        <v>4</v>
      </c>
      <c r="C30" s="5">
        <v>21644.63</v>
      </c>
    </row>
    <row r="32" spans="2:3" x14ac:dyDescent="0.25">
      <c r="B32" s="6" t="s">
        <v>9</v>
      </c>
      <c r="C32" s="6"/>
    </row>
    <row r="33" spans="2:3" x14ac:dyDescent="0.25">
      <c r="B33" s="1" t="s">
        <v>20</v>
      </c>
      <c r="C33" s="1" t="s">
        <v>0</v>
      </c>
    </row>
    <row r="34" spans="2:3" x14ac:dyDescent="0.25">
      <c r="B34" s="2" t="s">
        <v>15</v>
      </c>
      <c r="C34" s="3">
        <v>4008</v>
      </c>
    </row>
    <row r="35" spans="2:3" x14ac:dyDescent="0.25">
      <c r="B35" s="2" t="s">
        <v>19</v>
      </c>
      <c r="C35" s="3">
        <v>10720</v>
      </c>
    </row>
    <row r="36" spans="2:3" ht="15.75" thickBot="1" x14ac:dyDescent="0.3">
      <c r="B36" s="2" t="s">
        <v>17</v>
      </c>
      <c r="C36" s="3">
        <v>550</v>
      </c>
    </row>
    <row r="37" spans="2:3" ht="15.75" thickTop="1" x14ac:dyDescent="0.25">
      <c r="B37" s="4" t="s">
        <v>4</v>
      </c>
      <c r="C37" s="5">
        <v>15278</v>
      </c>
    </row>
    <row r="39" spans="2:3" x14ac:dyDescent="0.25">
      <c r="B39" s="6" t="s">
        <v>12</v>
      </c>
      <c r="C39" s="6"/>
    </row>
    <row r="40" spans="2:3" x14ac:dyDescent="0.25">
      <c r="B40" s="1" t="s">
        <v>20</v>
      </c>
      <c r="C40" s="1" t="s">
        <v>0</v>
      </c>
    </row>
    <row r="41" spans="2:3" x14ac:dyDescent="0.25">
      <c r="B41" s="2" t="s">
        <v>17</v>
      </c>
      <c r="C41" s="3">
        <v>2089</v>
      </c>
    </row>
    <row r="42" spans="2:3" ht="15.75" thickBot="1" x14ac:dyDescent="0.3">
      <c r="B42" s="2" t="s">
        <v>18</v>
      </c>
      <c r="C42" s="3">
        <v>10926.869999999999</v>
      </c>
    </row>
    <row r="43" spans="2:3" ht="15.75" thickTop="1" x14ac:dyDescent="0.25">
      <c r="B43" s="4" t="s">
        <v>4</v>
      </c>
      <c r="C43" s="5">
        <v>13015.869999999999</v>
      </c>
    </row>
    <row r="45" spans="2:3" x14ac:dyDescent="0.25">
      <c r="B45" s="6" t="s">
        <v>8</v>
      </c>
      <c r="C45" s="6"/>
    </row>
    <row r="46" spans="2:3" x14ac:dyDescent="0.25">
      <c r="B46" s="1" t="s">
        <v>20</v>
      </c>
      <c r="C46" s="1" t="s">
        <v>0</v>
      </c>
    </row>
    <row r="47" spans="2:3" x14ac:dyDescent="0.25">
      <c r="B47" s="2" t="s">
        <v>16</v>
      </c>
      <c r="C47" s="3">
        <v>970</v>
      </c>
    </row>
    <row r="48" spans="2:3" ht="15.75" thickBot="1" x14ac:dyDescent="0.3">
      <c r="B48" s="2" t="s">
        <v>18</v>
      </c>
      <c r="C48" s="3">
        <v>1242</v>
      </c>
    </row>
    <row r="49" spans="2:3" ht="15.75" thickTop="1" x14ac:dyDescent="0.25">
      <c r="B49" s="4" t="s">
        <v>4</v>
      </c>
      <c r="C49" s="5">
        <v>2212</v>
      </c>
    </row>
  </sheetData>
  <mergeCells count="7">
    <mergeCell ref="B45:C45"/>
    <mergeCell ref="B2:C2"/>
    <mergeCell ref="B10:C10"/>
    <mergeCell ref="B15:C15"/>
    <mergeCell ref="B24:C24"/>
    <mergeCell ref="B32:C32"/>
    <mergeCell ref="B39:C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D7AA9-C9D3-4E87-97AA-8633E76079C5}">
  <dimension ref="B2:D20"/>
  <sheetViews>
    <sheetView workbookViewId="0">
      <selection activeCell="B4" sqref="B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22</v>
      </c>
      <c r="C2" s="6"/>
    </row>
    <row r="3" spans="2:4" x14ac:dyDescent="0.25">
      <c r="B3" s="6" t="s">
        <v>21</v>
      </c>
      <c r="C3" s="6"/>
    </row>
    <row r="4" spans="2:4" x14ac:dyDescent="0.25">
      <c r="B4" s="1" t="s">
        <v>14</v>
      </c>
      <c r="C4" s="1" t="s">
        <v>0</v>
      </c>
    </row>
    <row r="5" spans="2:4" x14ac:dyDescent="0.25">
      <c r="B5" s="2" t="s">
        <v>1</v>
      </c>
      <c r="C5" s="3">
        <v>50265.409999999996</v>
      </c>
    </row>
    <row r="6" spans="2:4" ht="15.75" thickBot="1" x14ac:dyDescent="0.3">
      <c r="B6" s="2" t="s">
        <v>2</v>
      </c>
      <c r="C6" s="3">
        <v>835</v>
      </c>
      <c r="D6" s="1" t="s">
        <v>13</v>
      </c>
    </row>
    <row r="7" spans="2:4" ht="15.75" thickTop="1" x14ac:dyDescent="0.25">
      <c r="B7" s="4" t="s">
        <v>4</v>
      </c>
      <c r="C7" s="5">
        <v>51100.409999999996</v>
      </c>
      <c r="D7" s="5">
        <f>SUMIF(B:B, "Total general", C:C)</f>
        <v>87015.039999999994</v>
      </c>
    </row>
    <row r="9" spans="2:4" x14ac:dyDescent="0.25">
      <c r="B9" s="6" t="s">
        <v>11</v>
      </c>
      <c r="C9" s="6"/>
    </row>
    <row r="10" spans="2:4" x14ac:dyDescent="0.25">
      <c r="B10" s="1" t="s">
        <v>14</v>
      </c>
      <c r="C10" s="1" t="s">
        <v>0</v>
      </c>
    </row>
    <row r="11" spans="2:4" x14ac:dyDescent="0.25">
      <c r="B11" s="2" t="s">
        <v>1</v>
      </c>
      <c r="C11" s="3">
        <v>20823.63</v>
      </c>
    </row>
    <row r="12" spans="2:4" x14ac:dyDescent="0.25">
      <c r="B12" s="2" t="s">
        <v>2</v>
      </c>
      <c r="C12" s="3">
        <v>708</v>
      </c>
    </row>
    <row r="13" spans="2:4" ht="15.75" thickBot="1" x14ac:dyDescent="0.3">
      <c r="B13" s="2" t="s">
        <v>3</v>
      </c>
      <c r="C13" s="3">
        <v>113</v>
      </c>
    </row>
    <row r="14" spans="2:4" ht="15.75" thickTop="1" x14ac:dyDescent="0.25">
      <c r="B14" s="4" t="s">
        <v>4</v>
      </c>
      <c r="C14" s="5">
        <v>21644.63</v>
      </c>
    </row>
    <row r="16" spans="2:4" x14ac:dyDescent="0.25">
      <c r="B16" s="6" t="s">
        <v>9</v>
      </c>
      <c r="C16" s="6"/>
    </row>
    <row r="17" spans="2:3" x14ac:dyDescent="0.25">
      <c r="B17" s="1" t="s">
        <v>14</v>
      </c>
      <c r="C17" s="1" t="s">
        <v>0</v>
      </c>
    </row>
    <row r="18" spans="2:3" x14ac:dyDescent="0.25">
      <c r="B18" s="2" t="s">
        <v>10</v>
      </c>
      <c r="C18" s="3">
        <v>10720</v>
      </c>
    </row>
    <row r="19" spans="2:3" ht="15.75" thickBot="1" x14ac:dyDescent="0.3">
      <c r="B19" s="2" t="s">
        <v>1</v>
      </c>
      <c r="C19" s="3">
        <v>3550</v>
      </c>
    </row>
    <row r="20" spans="2:3" ht="15.75" thickTop="1" x14ac:dyDescent="0.25">
      <c r="B20" s="4" t="s">
        <v>4</v>
      </c>
      <c r="C20" s="5">
        <v>14270</v>
      </c>
    </row>
  </sheetData>
  <mergeCells count="4">
    <mergeCell ref="B3:C3"/>
    <mergeCell ref="B2:C2"/>
    <mergeCell ref="B16:C16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2025-08-14T20:05:21Z</dcterms:created>
  <dcterms:modified xsi:type="dcterms:W3CDTF">2025-08-14T20:12:44Z</dcterms:modified>
</cp:coreProperties>
</file>