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7 AGO\NOCHE\"/>
    </mc:Choice>
  </mc:AlternateContent>
  <xr:revisionPtr revIDLastSave="0" documentId="13_ncr:1_{CF298685-744C-48A9-B766-138ECB37B330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6" l="1"/>
  <c r="C6" i="6"/>
  <c r="C5" i="6"/>
  <c r="C4" i="6"/>
  <c r="C3" i="6"/>
  <c r="D8" i="6"/>
  <c r="D60" i="5"/>
  <c r="D43" i="5"/>
  <c r="D25" i="5"/>
  <c r="C25" i="5"/>
  <c r="D59" i="1"/>
  <c r="C59" i="1"/>
  <c r="D68" i="5"/>
  <c r="C60" i="5"/>
  <c r="C68" i="5"/>
  <c r="C43" i="5"/>
  <c r="D52" i="5"/>
  <c r="C52" i="5"/>
  <c r="D34" i="5"/>
  <c r="C34" i="5"/>
  <c r="D65" i="1"/>
  <c r="C65" i="1"/>
  <c r="D10" i="5"/>
  <c r="D18" i="5"/>
  <c r="C18" i="5"/>
  <c r="C10" i="5"/>
  <c r="J9" i="3"/>
  <c r="J8" i="3"/>
  <c r="J7" i="3"/>
  <c r="J6" i="3"/>
  <c r="C52" i="1"/>
  <c r="C8" i="6" l="1"/>
  <c r="D70" i="5"/>
  <c r="C70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<sst xmlns="http://schemas.openxmlformats.org/spreadsheetml/2006/main" count="187" uniqueCount="40">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</sst>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zoomScaleNormal="100" workbookViewId="0">
      <selection activeCell="B3" sqref="B3:D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5">
        <v>199627.32</v>
      </c>
    </row>
    <row r="6" spans="2:8" x14ac:dyDescent="0.25">
      <c r="B6" s="1" t="s">
        <v>5</v>
      </c>
      <c r="C6" s="6">
        <v>8979</v>
      </c>
      <c r="D6" s="25">
        <v>1114029.0899999999</v>
      </c>
    </row>
    <row r="7" spans="2:8" x14ac:dyDescent="0.25">
      <c r="B7" s="1" t="s">
        <v>6</v>
      </c>
      <c r="C7" s="6">
        <v>7284</v>
      </c>
      <c r="D7" s="25">
        <v>412663.55</v>
      </c>
    </row>
    <row r="8" spans="2:8" x14ac:dyDescent="0.25">
      <c r="B8" s="5" t="s">
        <v>12</v>
      </c>
      <c r="C8" s="7">
        <v>1244</v>
      </c>
      <c r="D8" s="25">
        <v>1000</v>
      </c>
    </row>
    <row r="9" spans="2:8" x14ac:dyDescent="0.25">
      <c r="B9" s="1" t="s">
        <v>7</v>
      </c>
      <c r="C9" s="6">
        <v>33618</v>
      </c>
      <c r="D9" s="25">
        <v>544592.37999999989</v>
      </c>
      <c r="E9" s="14"/>
      <c r="F9" s="7"/>
    </row>
    <row r="10" spans="2:8" x14ac:dyDescent="0.25">
      <c r="B10" s="3" t="s">
        <v>8</v>
      </c>
      <c r="C10" s="8">
        <f>SUM(C5:C9)</f>
        <v>51126</v>
      </c>
      <c r="D10" s="4">
        <f>SUM(D5:D9)</f>
        <v>2271912.34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9</v>
      </c>
      <c r="D14" s="25">
        <v>71486.23</v>
      </c>
    </row>
    <row r="15" spans="2:8" x14ac:dyDescent="0.25">
      <c r="B15" s="9" t="s">
        <v>5</v>
      </c>
      <c r="C15" s="6">
        <v>2882</v>
      </c>
      <c r="D15" s="25">
        <v>350357.51999999996</v>
      </c>
    </row>
    <row r="16" spans="2:8" x14ac:dyDescent="0.25">
      <c r="B16" s="9" t="s">
        <v>6</v>
      </c>
      <c r="C16" s="6">
        <v>788</v>
      </c>
      <c r="D16" s="25">
        <v>85747.8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12551</v>
      </c>
      <c r="D18" s="25">
        <v>110080.31</v>
      </c>
    </row>
    <row r="19" spans="2:4" x14ac:dyDescent="0.25">
      <c r="B19" s="10" t="s">
        <v>8</v>
      </c>
      <c r="C19" s="8">
        <f>SUM(C14:C18)</f>
        <v>16231</v>
      </c>
      <c r="D19" s="4">
        <f>SUM(D14:D18)</f>
        <v>617710.85999999987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5">
        <v>9186</v>
      </c>
    </row>
    <row r="24" spans="2:4" x14ac:dyDescent="0.25">
      <c r="B24" s="1" t="s">
        <v>5</v>
      </c>
      <c r="C24" s="6">
        <v>2591</v>
      </c>
      <c r="D24" s="25">
        <v>207677.03</v>
      </c>
    </row>
    <row r="25" spans="2:4" x14ac:dyDescent="0.25">
      <c r="B25" s="1" t="s">
        <v>6</v>
      </c>
      <c r="C25" s="6">
        <v>3486</v>
      </c>
      <c r="D25" s="25">
        <v>128712.2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18217</v>
      </c>
      <c r="D27" s="25">
        <v>222786</v>
      </c>
    </row>
    <row r="28" spans="2:4" x14ac:dyDescent="0.25">
      <c r="B28" s="3" t="s">
        <v>8</v>
      </c>
      <c r="C28" s="8">
        <f>SUM(C23:C27)</f>
        <v>24294</v>
      </c>
      <c r="D28" s="4">
        <f>SUM(D23:D27)</f>
        <v>568361.23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</v>
      </c>
      <c r="D32" s="25">
        <v>16598.010000000002</v>
      </c>
    </row>
    <row r="33" spans="2:4" x14ac:dyDescent="0.25">
      <c r="B33" s="9" t="s">
        <v>5</v>
      </c>
      <c r="C33" s="6">
        <v>1307</v>
      </c>
      <c r="D33" s="25">
        <v>179545.97</v>
      </c>
    </row>
    <row r="34" spans="2:4" x14ac:dyDescent="0.25">
      <c r="B34" s="9" t="s">
        <v>6</v>
      </c>
      <c r="C34" s="6">
        <v>895</v>
      </c>
      <c r="D34" s="25">
        <v>59521.7</v>
      </c>
    </row>
    <row r="35" spans="2:4" x14ac:dyDescent="0.25">
      <c r="B35" s="9" t="s">
        <v>7</v>
      </c>
      <c r="C35" s="6">
        <v>1970</v>
      </c>
      <c r="D35" s="25">
        <v>24774.32</v>
      </c>
    </row>
    <row r="36" spans="2:4" x14ac:dyDescent="0.25">
      <c r="B36" s="10" t="s">
        <v>8</v>
      </c>
      <c r="C36" s="8">
        <f>SUM(C32:C35)</f>
        <v>4173</v>
      </c>
      <c r="D36" s="4">
        <f>SUM(D32:D35)</f>
        <v>280440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364</v>
      </c>
      <c r="D40" s="25">
        <v>7907.1</v>
      </c>
    </row>
    <row r="41" spans="2:4" x14ac:dyDescent="0.25">
      <c r="B41" s="1" t="s">
        <v>5</v>
      </c>
      <c r="C41" s="6">
        <v>2159</v>
      </c>
      <c r="D41" s="25">
        <v>88446.86</v>
      </c>
    </row>
    <row r="42" spans="2:4" x14ac:dyDescent="0.25">
      <c r="B42" s="1" t="s">
        <v>6</v>
      </c>
      <c r="C42" s="6">
        <v>1377</v>
      </c>
      <c r="D42" s="25">
        <v>67140.87</v>
      </c>
    </row>
    <row r="43" spans="2:4" x14ac:dyDescent="0.25">
      <c r="B43" s="1" t="s">
        <v>7</v>
      </c>
      <c r="C43" s="6">
        <v>368</v>
      </c>
      <c r="D43" s="25">
        <v>6445</v>
      </c>
    </row>
    <row r="44" spans="2:4" x14ac:dyDescent="0.25">
      <c r="B44" s="3" t="s">
        <v>8</v>
      </c>
      <c r="C44" s="8">
        <f>SUM(C40:C43)</f>
        <v>4268</v>
      </c>
      <c r="D44" s="4">
        <f>SUM(D40:D43)</f>
        <v>169939.83000000002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0</v>
      </c>
      <c r="D48" s="25">
        <v>2962</v>
      </c>
    </row>
    <row r="49" spans="2:4" x14ac:dyDescent="0.25">
      <c r="B49" s="1" t="s">
        <v>5</v>
      </c>
      <c r="C49" s="6">
        <v>576</v>
      </c>
      <c r="D49" s="25">
        <v>99712.27</v>
      </c>
    </row>
    <row r="50" spans="2:4" x14ac:dyDescent="0.25">
      <c r="B50" s="1" t="s">
        <v>6</v>
      </c>
      <c r="C50" s="6">
        <v>522</v>
      </c>
      <c r="D50" s="25">
        <v>8885</v>
      </c>
    </row>
    <row r="51" spans="2:4" x14ac:dyDescent="0.25">
      <c r="B51" s="1" t="s">
        <v>7</v>
      </c>
      <c r="C51" s="6">
        <v>2296</v>
      </c>
      <c r="D51" s="25">
        <v>13843</v>
      </c>
    </row>
    <row r="52" spans="2:4" x14ac:dyDescent="0.25">
      <c r="B52" s="3" t="s">
        <v>8</v>
      </c>
      <c r="C52" s="8">
        <f>SUM(C48:C51)</f>
        <v>3394</v>
      </c>
      <c r="D52" s="4">
        <f>SUM(D48:D51)</f>
        <v>125402.27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357</v>
      </c>
      <c r="D56" s="25">
        <v>32601</v>
      </c>
    </row>
    <row r="57" spans="2:4" x14ac:dyDescent="0.25">
      <c r="B57" s="1" t="s">
        <v>5</v>
      </c>
      <c r="C57" s="6">
        <v>2319</v>
      </c>
      <c r="D57" s="25">
        <v>55393.829999999994</v>
      </c>
    </row>
    <row r="58" spans="2:4" x14ac:dyDescent="0.25">
      <c r="B58" s="1" t="s">
        <v>6</v>
      </c>
      <c r="C58" s="6">
        <v>371</v>
      </c>
      <c r="D58" s="26">
        <v>0</v>
      </c>
    </row>
    <row r="59" spans="2:4" x14ac:dyDescent="0.25">
      <c r="B59" s="10" t="s">
        <v>8</v>
      </c>
      <c r="C59" s="8">
        <f>SUM(C56:C58)</f>
        <v>3047</v>
      </c>
      <c r="D59" s="4">
        <f>SUM(D56:D58)</f>
        <v>87994.829999999987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1864</v>
      </c>
      <c r="D64" s="25">
        <v>16902.27</v>
      </c>
    </row>
    <row r="65" spans="2:4" x14ac:dyDescent="0.25">
      <c r="B65" s="3" t="s">
        <v>8</v>
      </c>
      <c r="C65" s="8">
        <f>SUM(C63:C64)</f>
        <v>1864</v>
      </c>
      <c r="D65" s="4">
        <f>SUM(D63:D64)</f>
        <v>16902.27</v>
      </c>
    </row>
    <row r="67" spans="2:4" x14ac:dyDescent="0.25">
      <c r="B67" s="12" t="s">
        <v>13</v>
      </c>
      <c r="C67" s="13">
        <f>SUMIF(B:B, "Total general", C:C)</f>
        <v>108397</v>
      </c>
      <c r="D67" s="13">
        <f>SUMIF(B:B, "Total general", D:D)</f>
        <v>4138663.63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opLeftCell="A24" zoomScaleNormal="100" workbookViewId="0">
      <selection activeCell="E5" sqref="E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5">
        <v>76668</v>
      </c>
      <c r="E5" s="11"/>
    </row>
    <row r="6" spans="2:8" x14ac:dyDescent="0.25">
      <c r="B6" s="1" t="s">
        <v>5</v>
      </c>
      <c r="C6" s="27">
        <v>15538</v>
      </c>
      <c r="D6" s="25">
        <v>413095.22000000003</v>
      </c>
    </row>
    <row r="7" spans="2:8" x14ac:dyDescent="0.25">
      <c r="B7" s="1" t="s">
        <v>6</v>
      </c>
      <c r="C7" s="27">
        <v>9359</v>
      </c>
      <c r="D7" s="25">
        <v>31342</v>
      </c>
    </row>
    <row r="8" spans="2:8" x14ac:dyDescent="0.25">
      <c r="B8" s="5" t="s">
        <v>12</v>
      </c>
      <c r="C8" s="27">
        <v>2739</v>
      </c>
      <c r="D8" s="25">
        <v>1000</v>
      </c>
    </row>
    <row r="9" spans="2:8" x14ac:dyDescent="0.25">
      <c r="B9" s="1" t="s">
        <v>7</v>
      </c>
      <c r="C9" s="27">
        <v>61792</v>
      </c>
      <c r="D9" s="25">
        <v>26423.52</v>
      </c>
      <c r="E9" s="14"/>
      <c r="F9" s="7"/>
    </row>
    <row r="10" spans="2:8" x14ac:dyDescent="0.25">
      <c r="B10" s="3" t="s">
        <v>8</v>
      </c>
      <c r="C10" s="8">
        <f>SUM(C5:C9)</f>
        <v>89434</v>
      </c>
      <c r="D10" s="4">
        <f>SUM(D5:D9)</f>
        <v>548528.74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167</v>
      </c>
      <c r="D14" s="25">
        <v>7214</v>
      </c>
    </row>
    <row r="15" spans="2:8" x14ac:dyDescent="0.25">
      <c r="B15" s="1" t="s">
        <v>5</v>
      </c>
      <c r="C15">
        <v>2140</v>
      </c>
      <c r="D15" s="25">
        <v>88446.86</v>
      </c>
    </row>
    <row r="16" spans="2:8" x14ac:dyDescent="0.25">
      <c r="B16" s="1" t="s">
        <v>6</v>
      </c>
      <c r="C16">
        <v>1225</v>
      </c>
      <c r="D16" s="25">
        <v>66040.87</v>
      </c>
    </row>
    <row r="17" spans="2:4" x14ac:dyDescent="0.25">
      <c r="B17" s="1" t="s">
        <v>7</v>
      </c>
      <c r="C17">
        <v>367</v>
      </c>
      <c r="D17" s="25">
        <v>6445</v>
      </c>
    </row>
    <row r="18" spans="2:4" x14ac:dyDescent="0.25">
      <c r="B18" s="3" t="s">
        <v>8</v>
      </c>
      <c r="C18" s="8">
        <f>SUM(C14:C17)</f>
        <v>3899</v>
      </c>
      <c r="D18" s="4">
        <f>SUM(D14:D17)</f>
        <v>168146.72999999998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164</v>
      </c>
      <c r="D22" s="25">
        <v>13227</v>
      </c>
    </row>
    <row r="23" spans="2:4" x14ac:dyDescent="0.25">
      <c r="B23" s="1" t="s">
        <v>5</v>
      </c>
      <c r="C23">
        <v>652</v>
      </c>
      <c r="D23" s="25">
        <v>15179.83</v>
      </c>
    </row>
    <row r="24" spans="2:4" x14ac:dyDescent="0.25">
      <c r="B24" s="1" t="s">
        <v>6</v>
      </c>
      <c r="C24">
        <v>223</v>
      </c>
      <c r="D24" s="26">
        <v>0</v>
      </c>
    </row>
    <row r="25" spans="2:4" x14ac:dyDescent="0.25">
      <c r="B25" s="10" t="s">
        <v>8</v>
      </c>
      <c r="C25" s="8">
        <f>SUM(C22:C24)</f>
        <v>1039</v>
      </c>
      <c r="D25" s="4">
        <f>SUM(D22:D24)</f>
        <v>28406.83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5">
        <v>744</v>
      </c>
    </row>
    <row r="30" spans="2:4" x14ac:dyDescent="0.25">
      <c r="B30" s="1" t="s">
        <v>5</v>
      </c>
      <c r="C30">
        <v>20</v>
      </c>
      <c r="D30" s="25">
        <v>5981</v>
      </c>
    </row>
    <row r="31" spans="2:4" x14ac:dyDescent="0.25">
      <c r="B31" s="1" t="s">
        <v>6</v>
      </c>
      <c r="C31">
        <v>78</v>
      </c>
      <c r="D31" s="25">
        <v>3007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304</v>
      </c>
      <c r="D33" s="25">
        <v>11697.04</v>
      </c>
    </row>
    <row r="34" spans="2:4" x14ac:dyDescent="0.25">
      <c r="B34" s="3" t="s">
        <v>8</v>
      </c>
      <c r="C34" s="8">
        <f>SUM(C29:C33)</f>
        <v>403</v>
      </c>
      <c r="D34" s="4">
        <f>SUM(D29:D33)</f>
        <v>21429.040000000001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26">
        <v>0</v>
      </c>
      <c r="D38" s="26">
        <v>0</v>
      </c>
    </row>
    <row r="39" spans="2:4" x14ac:dyDescent="0.25">
      <c r="B39" s="1" t="s">
        <v>5</v>
      </c>
      <c r="C39">
        <v>6</v>
      </c>
      <c r="D39" s="25">
        <v>2290</v>
      </c>
    </row>
    <row r="40" spans="2:4" x14ac:dyDescent="0.25">
      <c r="B40" s="1" t="s">
        <v>6</v>
      </c>
      <c r="C40">
        <v>44</v>
      </c>
      <c r="D40" s="26">
        <v>0</v>
      </c>
    </row>
    <row r="41" spans="2:4" x14ac:dyDescent="0.25">
      <c r="B41" s="5" t="s">
        <v>12</v>
      </c>
      <c r="C41" s="6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12275</v>
      </c>
    </row>
    <row r="43" spans="2:4" x14ac:dyDescent="0.25">
      <c r="B43" s="3" t="s">
        <v>8</v>
      </c>
      <c r="C43" s="8">
        <f>SUM(C38:C42)</f>
        <v>383</v>
      </c>
      <c r="D43" s="4">
        <f>SUM(D38:D42)</f>
        <v>14565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>
        <v>1</v>
      </c>
      <c r="D47" s="25">
        <v>375.82</v>
      </c>
    </row>
    <row r="48" spans="2:4" x14ac:dyDescent="0.25">
      <c r="B48" s="9" t="s">
        <v>5</v>
      </c>
      <c r="C48">
        <v>6</v>
      </c>
      <c r="D48" s="25">
        <v>532</v>
      </c>
    </row>
    <row r="49" spans="2:4" x14ac:dyDescent="0.25">
      <c r="B49" s="9" t="s">
        <v>6</v>
      </c>
      <c r="C49">
        <v>17</v>
      </c>
      <c r="D49" s="25">
        <v>2898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168</v>
      </c>
      <c r="D51" s="25">
        <v>1986</v>
      </c>
    </row>
    <row r="52" spans="2:4" x14ac:dyDescent="0.25">
      <c r="B52" s="10" t="s">
        <v>8</v>
      </c>
      <c r="C52" s="8">
        <f>SUM(C47:C51)</f>
        <v>192</v>
      </c>
      <c r="D52" s="4">
        <f>SUM(D47:D51)</f>
        <v>5791.82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9</v>
      </c>
      <c r="D58" s="26">
        <v>0</v>
      </c>
    </row>
    <row r="59" spans="2:4" x14ac:dyDescent="0.25">
      <c r="B59" s="1" t="s">
        <v>7</v>
      </c>
      <c r="C59">
        <v>64</v>
      </c>
      <c r="D59" s="25">
        <v>557</v>
      </c>
    </row>
    <row r="60" spans="2:4" x14ac:dyDescent="0.25">
      <c r="B60" s="3" t="s">
        <v>8</v>
      </c>
      <c r="C60" s="8">
        <f>SUM(C56:C59)</f>
        <v>76</v>
      </c>
      <c r="D60" s="4">
        <f>SUM(D56:D59)</f>
        <v>557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95489</v>
      </c>
      <c r="D70" s="13">
        <f>SUMIF(B:B, "Total general", D:D)</f>
        <v>787425.15999999992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338</v>
      </c>
      <c r="D3" s="14">
        <v>98228.82</v>
      </c>
    </row>
    <row r="4" spans="2:6" x14ac:dyDescent="0.25">
      <c r="B4" s="1" t="s">
        <v>5</v>
      </c>
      <c r="C4" s="6">
        <f>SUMIF('CDC-OLGUIN'!B:B, "Extrajudicial - 29 a 39 semanas de atraso", 'CDC-OLGUIN'!C:C)</f>
        <v>18365</v>
      </c>
      <c r="D4" s="14">
        <v>525524.91</v>
      </c>
    </row>
    <row r="5" spans="2:6" x14ac:dyDescent="0.25">
      <c r="B5" s="1" t="s">
        <v>6</v>
      </c>
      <c r="C5" s="6">
        <f>SUMIF('CDC-OLGUIN'!B:B, "Extrajudicial - 40 a 55 semanas de atraso", 'CDC-OLGUIN'!C:C)</f>
        <v>10957</v>
      </c>
      <c r="D5" s="14">
        <v>103287.87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v>1000</v>
      </c>
    </row>
    <row r="7" spans="2:6" x14ac:dyDescent="0.25">
      <c r="B7" s="1" t="s">
        <v>7</v>
      </c>
      <c r="C7" s="6">
        <f>SUMIF('CDC-OLGUIN'!B:B, "Mas 55 semanas de atraso", 'CDC-OLGUIN'!C:C)</f>
        <v>63089</v>
      </c>
      <c r="D7" s="14">
        <v>59383.56</v>
      </c>
      <c r="E7" s="14"/>
      <c r="F7" s="7"/>
    </row>
    <row r="8" spans="2:6" x14ac:dyDescent="0.25">
      <c r="B8" s="3" t="s">
        <v>8</v>
      </c>
      <c r="C8" s="8">
        <f>SUM(C3:C7)</f>
        <v>95489</v>
      </c>
      <c r="D8" s="4">
        <f>SUM(D3:D7)</f>
        <v>787425.15999999992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732</v>
      </c>
      <c r="E6" s="16">
        <f>SUMIF('REPORTE DIARIO'!B:B,'EPR 26 JUN'!C6, 'REPORTE DIARIO'!D:D)</f>
        <v>340367.66</v>
      </c>
      <c r="F6" s="16">
        <f>J6*D6</f>
        <v>46011.428571428572</v>
      </c>
      <c r="G6" s="16">
        <f>+E6-F6</f>
        <v>294356.23142857139</v>
      </c>
      <c r="H6" s="15">
        <f>ABS(G6/F6)</f>
        <v>6.3974590784898151</v>
      </c>
      <c r="I6" s="16">
        <f>E6/D6</f>
        <v>464.9831420765027</v>
      </c>
      <c r="J6" s="16">
        <f>(220/7)*2</f>
        <v>62.857142857142854</v>
      </c>
      <c r="K6" s="16">
        <f>+I6-J6</f>
        <v>402.12599921935987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22677</v>
      </c>
      <c r="E7" s="16">
        <f>SUMIF('REPORTE DIARIO'!B:B,'EPR 26 JUN'!C7, 'REPORTE DIARIO'!D:D)</f>
        <v>2112064.84</v>
      </c>
      <c r="F7" s="16">
        <f>J7*D7</f>
        <v>712705.7142857142</v>
      </c>
      <c r="G7" s="16">
        <f>+E7-F7</f>
        <v>1399359.1257142858</v>
      </c>
      <c r="H7" s="15">
        <f>ABS(G7/F7)</f>
        <v>1.9634459183714379</v>
      </c>
      <c r="I7" s="16">
        <f>E7/D7</f>
        <v>93.136871720245182</v>
      </c>
      <c r="J7" s="16">
        <f>(110/7)*2</f>
        <v>31.428571428571427</v>
      </c>
      <c r="K7" s="16">
        <f t="shared" ref="K7:K9" si="0">+I7-J7</f>
        <v>61.708300291673751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14723</v>
      </c>
      <c r="E8" s="16">
        <f>SUMIF('REPORTE DIARIO'!B:B,'EPR 26 JUN'!C8, 'REPORTE DIARIO'!D:D)</f>
        <v>762671.11999999988</v>
      </c>
      <c r="F8" s="16">
        <f>J8*D8</f>
        <v>189295.71428571429</v>
      </c>
      <c r="G8" s="16">
        <f>+E8-F8</f>
        <v>573375.40571428556</v>
      </c>
      <c r="H8" s="15">
        <f>ABS(G8/F8)</f>
        <v>3.0289930645173455</v>
      </c>
      <c r="I8" s="16">
        <f>E8/D8</f>
        <v>51.801339400937302</v>
      </c>
      <c r="J8" s="16">
        <f>(45/7)*2</f>
        <v>12.857142857142858</v>
      </c>
      <c r="K8" s="16">
        <f t="shared" si="0"/>
        <v>38.944196543794448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69020</v>
      </c>
      <c r="E9" s="16">
        <f>SUMIF('REPORTE DIARIO'!B:B,'EPR 26 JUN'!C9, 'REPORTE DIARIO'!D:D)</f>
        <v>922521.00999999989</v>
      </c>
      <c r="F9" s="16">
        <f>J9*D9</f>
        <v>295800</v>
      </c>
      <c r="G9" s="16">
        <f>+E9-F9</f>
        <v>626721.00999999989</v>
      </c>
      <c r="H9" s="15">
        <f>ABS(G9/F9)</f>
        <v>2.118732285327924</v>
      </c>
      <c r="I9" s="16">
        <f>E9/D9</f>
        <v>13.365995508548245</v>
      </c>
      <c r="J9" s="16">
        <f>(15/7)*2</f>
        <v>4.2857142857142856</v>
      </c>
      <c r="K9" s="16">
        <f t="shared" si="0"/>
        <v>9.0802812228339604</v>
      </c>
    </row>
    <row r="10" spans="2:12" x14ac:dyDescent="0.25">
      <c r="B10" s="16"/>
      <c r="C10" s="19" t="s">
        <v>17</v>
      </c>
      <c r="D10" s="24">
        <f>SUM(D6:D9)</f>
        <v>107152</v>
      </c>
      <c r="E10" s="20">
        <f>SUM(E6:E9)</f>
        <v>4137624.63</v>
      </c>
      <c r="F10" s="20">
        <f>SUM(F6:F9)</f>
        <v>1243812.857142857</v>
      </c>
      <c r="G10" s="20">
        <f>+E10-F10</f>
        <v>2893811.7728571426</v>
      </c>
      <c r="H10" s="21">
        <f>ABS(G10/F10)</f>
        <v>2.3265652515479478</v>
      </c>
      <c r="I10" s="20">
        <f>E10/D10</f>
        <v>38.614534773032702</v>
      </c>
      <c r="J10" s="20">
        <f>F10/D10</f>
        <v>11.607929456686362</v>
      </c>
      <c r="K10" s="20">
        <f>I10-J10</f>
        <v>27.006605316346338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2025-08-14T15:08:10Z</cp:lastPrinted>
  <dcterms:created xsi:type="dcterms:W3CDTF">2025-01-27T15:11:28Z</dcterms:created>
  <dcterms:modified xsi:type="dcterms:W3CDTF">2025-08-18T03:20:07Z</dcterms:modified>
</cp:coreProperties>
</file>