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G:\PAGOS REPORTES\SEMANA 33\17 AGO\MAÑANA\"/>
    </mc:Choice>
  </mc:AlternateContent>
  <xr:revisionPtr revIDLastSave="0" documentId="13_ncr:1_{45D78E69-C6B9-4D11-A8C1-50228DC98F0F}" xr6:coauthVersionLast="47" xr6:coauthVersionMax="47" xr10:uidLastSave="{00000000-0000-0000-0000-000000000000}"/>
  <bookViews>
    <workbookView xWindow="23610" yWindow="10695" windowWidth="11130" windowHeight="6570" activeTab="1" xr2:uid="{4DC6C92A-CD8A-4966-829B-0B6A986E825B}"/>
  </bookViews>
  <sheets>
    <sheet name="REPORTE DIARIO" sheetId="1" r:id="rId1"/>
    <sheet name="CDC-OLGUIN" sheetId="5" r:id="rId2"/>
    <sheet name="EPR 26 JUN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25" i="5" l="1"/>
  <c r="C25" i="5"/>
  <c r="D59" i="1"/>
  <c r="C59" i="1"/>
  <c r="D68" i="5"/>
  <c r="D60" i="5"/>
  <c r="C60" i="5"/>
  <c r="C68" i="5"/>
  <c r="D43" i="5"/>
  <c r="C43" i="5"/>
  <c r="D52" i="5"/>
  <c r="C52" i="5"/>
  <c r="D34" i="5"/>
  <c r="C34" i="5"/>
  <c r="D65" i="1"/>
  <c r="C65" i="1"/>
  <c r="D10" i="5"/>
  <c r="D18" i="5"/>
  <c r="C18" i="5"/>
  <c r="C10" i="5"/>
  <c r="J9" i="3"/>
  <c r="J8" i="3"/>
  <c r="J7" i="3"/>
  <c r="J6" i="3"/>
  <c r="C52" i="1"/>
  <c r="D70" i="5" l="1"/>
  <c r="C70" i="5"/>
  <c r="C28" i="1"/>
  <c r="D28" i="1"/>
  <c r="D19" i="1"/>
  <c r="C19" i="1"/>
  <c r="D6" i="3"/>
  <c r="D44" i="1"/>
  <c r="C44" i="1"/>
  <c r="D52" i="1"/>
  <c r="D36" i="1" l="1"/>
  <c r="C36" i="1"/>
  <c r="D10" i="1"/>
  <c r="C10" i="1"/>
  <c r="F6" i="3"/>
  <c r="E7" i="3"/>
  <c r="E8" i="3"/>
  <c r="E9" i="3"/>
  <c r="E6" i="3"/>
  <c r="D7" i="3"/>
  <c r="F7" i="3" s="1"/>
  <c r="D8" i="3"/>
  <c r="F8" i="3" s="1"/>
  <c r="D9" i="3"/>
  <c r="F9" i="3" s="1"/>
  <c r="C67" i="1" l="1"/>
  <c r="D67" i="1"/>
  <c r="G7" i="3"/>
  <c r="H7" i="3" s="1"/>
  <c r="G8" i="3"/>
  <c r="H8" i="3" s="1"/>
  <c r="G9" i="3"/>
  <c r="H9" i="3" s="1"/>
  <c r="D10" i="3"/>
  <c r="E10" i="3"/>
  <c r="I6" i="3"/>
  <c r="K6" i="3" s="1"/>
  <c r="I9" i="3"/>
  <c r="K9" i="3" s="1"/>
  <c r="I8" i="3"/>
  <c r="K8" i="3" s="1"/>
  <c r="I7" i="3"/>
  <c r="K7" i="3" s="1"/>
  <c r="I10" i="3" l="1"/>
  <c r="G6" i="3"/>
  <c r="H6" i="3" s="1"/>
  <c r="F10" i="3"/>
  <c r="J10" i="3" s="1"/>
  <c r="G10" i="3" l="1"/>
  <c r="H10" i="3" s="1"/>
  <c r="K10" i="3"/>
</calcChain>
</file>

<file path=xl/sharedStrings.xml><?xml version="1.0" encoding="utf-8"?>
<sst xmlns="http://schemas.openxmlformats.org/spreadsheetml/2006/main" count="176" uniqueCount="40">
  <si>
    <t>COBRANZA GENERAL  SAMANTHA</t>
  </si>
  <si>
    <t>Segmento</t>
  </si>
  <si>
    <t>Cuentas</t>
  </si>
  <si>
    <t>Recuperación</t>
  </si>
  <si>
    <t>Extrajudicial - 0 a 28 semanas de atraso</t>
  </si>
  <si>
    <t>Extrajudicial - 29 a 39 semanas de atraso</t>
  </si>
  <si>
    <t>Extrajudicial - 40 a 55 semanas de atraso</t>
  </si>
  <si>
    <t>Mas 55 semanas de atraso</t>
  </si>
  <si>
    <t>Total general</t>
  </si>
  <si>
    <t>COBRANZA GENERAL  SOFIA</t>
  </si>
  <si>
    <t>COBRANZA GENERAL  EDITH</t>
  </si>
  <si>
    <t>COBRANZA GENERAL  FERNANDO</t>
  </si>
  <si>
    <t>JUDICIAL</t>
  </si>
  <si>
    <t>Cobranza Total</t>
  </si>
  <si>
    <t xml:space="preserve"> </t>
  </si>
  <si>
    <t>CUENTAS</t>
  </si>
  <si>
    <t>EPR</t>
  </si>
  <si>
    <t>TOTAL</t>
  </si>
  <si>
    <t>EPR IDEAL</t>
  </si>
  <si>
    <t>CUOTA IDEAL</t>
  </si>
  <si>
    <t>VARIACION</t>
  </si>
  <si>
    <t>REPORTE CONSOLIDADO POR SEGMENTOS</t>
  </si>
  <si>
    <t>% VAR</t>
  </si>
  <si>
    <t>VAR EPR</t>
  </si>
  <si>
    <t>Nota:</t>
  </si>
  <si>
    <t>El saldo consolidado incluye los siguientes despachos</t>
  </si>
  <si>
    <t>COBRANZA REAL</t>
  </si>
  <si>
    <t>COORDINADOR</t>
  </si>
  <si>
    <t>SEGMENTO</t>
  </si>
  <si>
    <t>Gabriel</t>
  </si>
  <si>
    <t>COBRANZA GENERAL  FEDERICO</t>
  </si>
  <si>
    <t>COBRANZA GENERAL  OLGUIN</t>
  </si>
  <si>
    <t>Samantha, Samantha 2, Sofia, Edith, Fernando, Olguin y Federico</t>
  </si>
  <si>
    <t>Zareth</t>
  </si>
  <si>
    <t>Fernando (Naucalpan)</t>
  </si>
  <si>
    <t>SALDO ACUMULADO SEMANA 26</t>
  </si>
  <si>
    <t>COBRANZA GENERAL  ANDREA</t>
  </si>
  <si>
    <t>COBRANZA GENERAL  CDC 100</t>
  </si>
  <si>
    <t>COBRANZA GENERAL COREFORCE</t>
  </si>
  <si>
    <t>ETIQUETA PROYECTO CDC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</si>
</sst>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6" formatCode="&quot;$&quot;#,##0;[Red]\-&quot;$&quot;#,##0"/>
    <numFmt numFmtId="41" formatCode="_-* #,##0_-;\-* #,##0_-;_-* &quot;-&quot;_-;_-@_-"/>
    <numFmt numFmtId="43" formatCode="_-* #,##0.00_-;\-* #,##0.00_-;_-* &quot;-&quot;??_-;_-@_-"/>
    <numFmt numFmtId="164" formatCode="_-* #,##0_-;\-* #,##0_-;_-* &quot;-&quot;??_-;_-@_-"/>
    <numFmt numFmtId="165" formatCode="#,##0_ ;[Red]\-#,##0\ 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theme="6" tint="0.79998168889431442"/>
      </top>
      <bottom style="thin">
        <color theme="6" tint="0.79998168889431442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0">
    <xf numFmtId="0" fontId="0" fillId="0" borderId="0" xfId="0"/>
    <xf numFmtId="0" fontId="0" fillId="0" borderId="1" xfId="0" applyBorder="1" applyAlignment="1">
      <alignment horizontal="left"/>
    </xf>
    <xf numFmtId="0" fontId="3" fillId="3" borderId="0" xfId="0" applyFont="1" applyFill="1"/>
    <xf numFmtId="0" fontId="3" fillId="3" borderId="0" xfId="0" applyFont="1" applyFill="1" applyAlignment="1">
      <alignment horizontal="left"/>
    </xf>
    <xf numFmtId="43" fontId="3" fillId="3" borderId="0" xfId="1" applyFont="1" applyFill="1"/>
    <xf numFmtId="0" fontId="0" fillId="0" borderId="0" xfId="0" applyAlignment="1">
      <alignment horizontal="left"/>
    </xf>
    <xf numFmtId="164" fontId="0" fillId="0" borderId="0" xfId="1" applyNumberFormat="1" applyFont="1"/>
    <xf numFmtId="164" fontId="0" fillId="0" borderId="0" xfId="0" applyNumberFormat="1"/>
    <xf numFmtId="164" fontId="3" fillId="3" borderId="0" xfId="1" applyNumberFormat="1" applyFont="1" applyFill="1"/>
    <xf numFmtId="43" fontId="0" fillId="0" borderId="1" xfId="1" applyFont="1" applyBorder="1" applyAlignment="1">
      <alignment horizontal="left"/>
    </xf>
    <xf numFmtId="43" fontId="3" fillId="3" borderId="0" xfId="1" applyFont="1" applyFill="1" applyBorder="1" applyAlignment="1">
      <alignment horizontal="left"/>
    </xf>
    <xf numFmtId="43" fontId="0" fillId="0" borderId="0" xfId="0" applyNumberFormat="1"/>
    <xf numFmtId="43" fontId="2" fillId="2" borderId="0" xfId="1" applyFont="1" applyFill="1"/>
    <xf numFmtId="164" fontId="2" fillId="2" borderId="0" xfId="1" applyNumberFormat="1" applyFont="1" applyFill="1"/>
    <xf numFmtId="4" fontId="0" fillId="0" borderId="0" xfId="0" applyNumberFormat="1"/>
    <xf numFmtId="10" fontId="0" fillId="0" borderId="0" xfId="0" applyNumberFormat="1"/>
    <xf numFmtId="6" fontId="0" fillId="0" borderId="0" xfId="0" applyNumberFormat="1"/>
    <xf numFmtId="0" fontId="3" fillId="0" borderId="0" xfId="0" applyFont="1"/>
    <xf numFmtId="0" fontId="5" fillId="0" borderId="0" xfId="0" applyFont="1"/>
    <xf numFmtId="0" fontId="3" fillId="0" borderId="0" xfId="0" applyFont="1" applyAlignment="1">
      <alignment horizontal="left"/>
    </xf>
    <xf numFmtId="6" fontId="3" fillId="0" borderId="0" xfId="0" applyNumberFormat="1" applyFont="1"/>
    <xf numFmtId="10" fontId="3" fillId="0" borderId="0" xfId="0" applyNumberFormat="1" applyFont="1"/>
    <xf numFmtId="0" fontId="6" fillId="0" borderId="0" xfId="0" applyFont="1"/>
    <xf numFmtId="165" fontId="0" fillId="0" borderId="0" xfId="0" applyNumberFormat="1"/>
    <xf numFmtId="165" fontId="3" fillId="0" borderId="0" xfId="0" applyNumberFormat="1" applyFont="1"/>
    <xf numFmtId="4" fontId="0" fillId="0" borderId="1" xfId="0" applyNumberFormat="1" applyBorder="1"/>
    <xf numFmtId="43" fontId="0" fillId="0" borderId="1" xfId="0" applyNumberFormat="1" applyBorder="1"/>
    <xf numFmtId="41" fontId="0" fillId="0" borderId="0" xfId="0" applyNumberFormat="1"/>
    <xf numFmtId="0" fontId="4" fillId="2" borderId="0" xfId="0" applyFont="1" applyFill="1" applyAlignment="1">
      <alignment horizontal="center"/>
    </xf>
    <xf numFmtId="43" fontId="4" fillId="2" borderId="0" xfId="1" applyFont="1" applyFill="1" applyAlignment="1">
      <alignment horizontal="center"/>
    </xf>
  </cellXfs>
  <cellStyles count="2">
    <cellStyle name="Millares" xfId="1" builtinId="3"/>
    <cellStyle name="Normal" xfId="0" builtinId="0"/>
  </cellStyles>
  <dxfs count="10">
    <dxf>
      <numFmt numFmtId="10" formatCode="&quot;$&quot;#,##0;[Red]\-&quot;$&quot;#,##0"/>
    </dxf>
    <dxf>
      <numFmt numFmtId="10" formatCode="&quot;$&quot;#,##0;[Red]\-&quot;$&quot;#,##0"/>
    </dxf>
    <dxf>
      <numFmt numFmtId="10" formatCode="&quot;$&quot;#,##0;[Red]\-&quot;$&quot;#,##0"/>
    </dxf>
    <dxf>
      <numFmt numFmtId="14" formatCode="0.00%"/>
    </dxf>
    <dxf>
      <numFmt numFmtId="10" formatCode="&quot;$&quot;#,##0;[Red]\-&quot;$&quot;#,##0"/>
    </dxf>
    <dxf>
      <numFmt numFmtId="10" formatCode="&quot;$&quot;#,##0;[Red]\-&quot;$&quot;#,##0"/>
    </dxf>
    <dxf>
      <numFmt numFmtId="10" formatCode="&quot;$&quot;#,##0;[Red]\-&quot;$&quot;#,##0"/>
    </dxf>
    <dxf>
      <numFmt numFmtId="165" formatCode="#,##0_ ;[Red]\-#,##0\ "/>
    </dxf>
    <dxf>
      <alignment horizontal="left" vertical="bottom" textRotation="0" wrapText="0" indent="0" justifyLastLine="0" shrinkToFit="0" readingOrder="0"/>
      <border diagonalUp="0" diagonalDown="0">
        <left/>
        <right/>
        <top style="thin">
          <color theme="6" tint="0.79998168889431442"/>
        </top>
        <bottom style="thin">
          <color theme="6" tint="0.79998168889431442"/>
        </bottom>
        <vertical/>
        <horizontal/>
      </border>
    </dxf>
    <dxf>
      <numFmt numFmtId="10" formatCode="&quot;$&quot;#,##0;[Red]\-&quot;$&quot;#,##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A773813-1BB0-406E-8C5E-325AD33F0061}" name="Tabla1" displayName="Tabla1" ref="B5:K10" totalsRowShown="0">
  <tableColumns count="10">
    <tableColumn id="10" xr3:uid="{E2572DBF-4CD3-4511-AFD2-8A81A35C7CDE}" name="COORDINADOR" dataDxfId="9"/>
    <tableColumn id="1" xr3:uid="{9B9925FF-5C6A-4926-9062-251DAD38C2AE}" name="SEGMENTO" dataDxfId="8"/>
    <tableColumn id="2" xr3:uid="{E838DF92-80B1-4D21-9BF7-A170DE386593}" name="CUENTAS" dataDxfId="7"/>
    <tableColumn id="3" xr3:uid="{F53A5B40-25BE-4590-A6F8-C5317A4E1532}" name="COBRANZA REAL" dataDxfId="6"/>
    <tableColumn id="4" xr3:uid="{0F8304F9-3539-4520-BB51-0958821ACD10}" name="CUOTA IDEAL" dataDxfId="5"/>
    <tableColumn id="5" xr3:uid="{BA014B50-E674-49B5-943E-C0F72C0EFA90}" name="VARIACION" dataDxfId="4">
      <calculatedColumnFormula>+E6-F6</calculatedColumnFormula>
    </tableColumn>
    <tableColumn id="6" xr3:uid="{0E52C3C2-FFCD-49C1-927E-6CFD2905826E}" name="% VAR" dataDxfId="3">
      <calculatedColumnFormula>ABS(G6/F6)</calculatedColumnFormula>
    </tableColumn>
    <tableColumn id="7" xr3:uid="{56C4AF7A-4382-4885-8E24-E18838844108}" name="EPR" dataDxfId="2">
      <calculatedColumnFormula>E6/D6</calculatedColumnFormula>
    </tableColumn>
    <tableColumn id="8" xr3:uid="{AD8D2FB3-FFB7-40C5-8D63-52490141D6A2}" name="EPR IDEAL" dataDxfId="1"/>
    <tableColumn id="9" xr3:uid="{BA296C31-B5A5-48A3-8CF1-8EF6BCE87A97}" name="VAR EPR" dataDxfId="0"/>
  </tableColumns>
  <tableStyleInfo name="TableStyleMedium21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5BEB46-E3E9-496B-A9C1-F479BA991037}">
  <dimension ref="B3:H67"/>
  <sheetViews>
    <sheetView showGridLines="0" topLeftCell="A14" zoomScaleNormal="100" workbookViewId="0">
      <selection activeCell="B3" sqref="B3:D67"/>
    </sheetView>
  </sheetViews>
  <sheetFormatPr baseColWidth="10" defaultRowHeight="15" x14ac:dyDescent="0.25"/>
  <cols>
    <col min="2" max="2" width="36.85546875" customWidth="1"/>
    <col min="4" max="4" width="13.140625" bestFit="1" customWidth="1"/>
    <col min="6" max="6" width="13.140625" bestFit="1" customWidth="1"/>
  </cols>
  <sheetData>
    <row r="3" spans="2:8" x14ac:dyDescent="0.25">
      <c r="B3" s="28" t="s">
        <v>0</v>
      </c>
      <c r="C3" s="28"/>
      <c r="D3" s="28"/>
      <c r="H3" s="8"/>
    </row>
    <row r="4" spans="2:8" x14ac:dyDescent="0.25">
      <c r="B4" s="2" t="s">
        <v>1</v>
      </c>
      <c r="C4" s="2" t="s">
        <v>2</v>
      </c>
      <c r="D4" s="2" t="s">
        <v>3</v>
      </c>
    </row>
    <row r="5" spans="2:8" x14ac:dyDescent="0.25">
      <c r="B5" s="1" t="s">
        <v>4</v>
      </c>
      <c r="C5" s="6">
        <v>1</v>
      </c>
      <c r="D5" s="25">
        <v>199627.32</v>
      </c>
    </row>
    <row r="6" spans="2:8" x14ac:dyDescent="0.25">
      <c r="B6" s="1" t="s">
        <v>5</v>
      </c>
      <c r="C6" s="6">
        <v>9008</v>
      </c>
      <c r="D6" s="25">
        <v>873895.86</v>
      </c>
    </row>
    <row r="7" spans="2:8" x14ac:dyDescent="0.25">
      <c r="B7" s="1" t="s">
        <v>6</v>
      </c>
      <c r="C7" s="6">
        <v>7130</v>
      </c>
      <c r="D7" s="25">
        <v>331403.55</v>
      </c>
    </row>
    <row r="8" spans="2:8" x14ac:dyDescent="0.25">
      <c r="B8" s="5" t="s">
        <v>12</v>
      </c>
      <c r="C8" s="7">
        <v>1244</v>
      </c>
      <c r="D8" s="25">
        <v>1000</v>
      </c>
    </row>
    <row r="9" spans="2:8" x14ac:dyDescent="0.25">
      <c r="B9" s="1" t="s">
        <v>7</v>
      </c>
      <c r="C9" s="6">
        <v>33565</v>
      </c>
      <c r="D9" s="25">
        <v>487344.37999999995</v>
      </c>
      <c r="E9" s="14"/>
      <c r="F9" s="7"/>
    </row>
    <row r="10" spans="2:8" x14ac:dyDescent="0.25">
      <c r="B10" s="3" t="s">
        <v>8</v>
      </c>
      <c r="C10" s="8">
        <f>SUM(C5:C9)</f>
        <v>50948</v>
      </c>
      <c r="D10" s="4">
        <f>SUM(D5:D9)</f>
        <v>1893271.1099999999</v>
      </c>
      <c r="E10" s="11" t="s">
        <v>14</v>
      </c>
    </row>
    <row r="12" spans="2:8" x14ac:dyDescent="0.25">
      <c r="B12" s="29" t="s">
        <v>10</v>
      </c>
      <c r="C12" s="29"/>
      <c r="D12" s="29"/>
    </row>
    <row r="13" spans="2:8" x14ac:dyDescent="0.25">
      <c r="B13" s="4" t="s">
        <v>1</v>
      </c>
      <c r="C13" s="4" t="s">
        <v>2</v>
      </c>
      <c r="D13" s="4" t="s">
        <v>3</v>
      </c>
    </row>
    <row r="14" spans="2:8" x14ac:dyDescent="0.25">
      <c r="B14" s="9" t="s">
        <v>4</v>
      </c>
      <c r="C14" s="6">
        <v>10</v>
      </c>
      <c r="D14" s="25">
        <v>71486.23</v>
      </c>
    </row>
    <row r="15" spans="2:8" x14ac:dyDescent="0.25">
      <c r="B15" s="9" t="s">
        <v>5</v>
      </c>
      <c r="C15" s="6">
        <v>2891</v>
      </c>
      <c r="D15" s="25">
        <v>312929.32999999996</v>
      </c>
    </row>
    <row r="16" spans="2:8" x14ac:dyDescent="0.25">
      <c r="B16" s="9" t="s">
        <v>6</v>
      </c>
      <c r="C16" s="6">
        <v>798</v>
      </c>
      <c r="D16" s="25">
        <v>81938.8</v>
      </c>
    </row>
    <row r="17" spans="2:4" x14ac:dyDescent="0.25">
      <c r="B17" s="5" t="s">
        <v>12</v>
      </c>
      <c r="C17" s="7">
        <v>1</v>
      </c>
      <c r="D17" s="25">
        <v>39</v>
      </c>
    </row>
    <row r="18" spans="2:4" x14ac:dyDescent="0.25">
      <c r="B18" s="9" t="s">
        <v>7</v>
      </c>
      <c r="C18" s="6">
        <v>12545</v>
      </c>
      <c r="D18" s="25">
        <v>99571.31</v>
      </c>
    </row>
    <row r="19" spans="2:4" x14ac:dyDescent="0.25">
      <c r="B19" s="10" t="s">
        <v>8</v>
      </c>
      <c r="C19" s="8">
        <f>SUM(C14:C18)</f>
        <v>16245</v>
      </c>
      <c r="D19" s="4">
        <f>SUM(D14:D18)</f>
        <v>565964.66999999993</v>
      </c>
    </row>
    <row r="21" spans="2:4" x14ac:dyDescent="0.25">
      <c r="B21" s="28" t="s">
        <v>36</v>
      </c>
      <c r="C21" s="28"/>
      <c r="D21" s="28"/>
    </row>
    <row r="22" spans="2:4" x14ac:dyDescent="0.25">
      <c r="B22" s="2" t="s">
        <v>1</v>
      </c>
      <c r="C22" s="2" t="s">
        <v>2</v>
      </c>
      <c r="D22" s="2" t="s">
        <v>3</v>
      </c>
    </row>
    <row r="23" spans="2:4" x14ac:dyDescent="0.25">
      <c r="B23" s="1" t="s">
        <v>4</v>
      </c>
      <c r="C23" s="6">
        <v>0</v>
      </c>
      <c r="D23" s="25">
        <v>9186</v>
      </c>
    </row>
    <row r="24" spans="2:4" x14ac:dyDescent="0.25">
      <c r="B24" s="1" t="s">
        <v>5</v>
      </c>
      <c r="C24" s="6">
        <v>2655</v>
      </c>
      <c r="D24" s="25">
        <v>164795.03</v>
      </c>
    </row>
    <row r="25" spans="2:4" x14ac:dyDescent="0.25">
      <c r="B25" s="1" t="s">
        <v>6</v>
      </c>
      <c r="C25" s="6">
        <v>3468</v>
      </c>
      <c r="D25" s="25">
        <v>115937.2</v>
      </c>
    </row>
    <row r="26" spans="2:4" x14ac:dyDescent="0.25">
      <c r="B26" s="5" t="s">
        <v>12</v>
      </c>
      <c r="C26" s="6">
        <v>0</v>
      </c>
      <c r="D26" s="11">
        <v>0</v>
      </c>
    </row>
    <row r="27" spans="2:4" x14ac:dyDescent="0.25">
      <c r="B27" s="1" t="s">
        <v>7</v>
      </c>
      <c r="C27" s="7">
        <v>18222</v>
      </c>
      <c r="D27" s="25">
        <v>203740</v>
      </c>
    </row>
    <row r="28" spans="2:4" x14ac:dyDescent="0.25">
      <c r="B28" s="3" t="s">
        <v>8</v>
      </c>
      <c r="C28" s="8">
        <f>SUM(C23:C27)</f>
        <v>24345</v>
      </c>
      <c r="D28" s="4">
        <f>SUM(D23:D27)</f>
        <v>493658.23</v>
      </c>
    </row>
    <row r="30" spans="2:4" x14ac:dyDescent="0.25">
      <c r="B30" s="28" t="s">
        <v>9</v>
      </c>
      <c r="C30" s="28"/>
      <c r="D30" s="28"/>
    </row>
    <row r="31" spans="2:4" x14ac:dyDescent="0.25">
      <c r="B31" s="2" t="s">
        <v>1</v>
      </c>
      <c r="C31" s="2" t="s">
        <v>2</v>
      </c>
      <c r="D31" s="2" t="s">
        <v>3</v>
      </c>
    </row>
    <row r="32" spans="2:4" x14ac:dyDescent="0.25">
      <c r="B32" s="9" t="s">
        <v>4</v>
      </c>
      <c r="C32" s="6">
        <v>1</v>
      </c>
      <c r="D32" s="25">
        <v>16598.010000000002</v>
      </c>
    </row>
    <row r="33" spans="2:4" x14ac:dyDescent="0.25">
      <c r="B33" s="9" t="s">
        <v>5</v>
      </c>
      <c r="C33" s="6">
        <v>1330</v>
      </c>
      <c r="D33" s="25">
        <v>152673.65</v>
      </c>
    </row>
    <row r="34" spans="2:4" x14ac:dyDescent="0.25">
      <c r="B34" s="9" t="s">
        <v>6</v>
      </c>
      <c r="C34" s="6">
        <v>731</v>
      </c>
      <c r="D34" s="25">
        <v>56168.7</v>
      </c>
    </row>
    <row r="35" spans="2:4" x14ac:dyDescent="0.25">
      <c r="B35" s="9" t="s">
        <v>7</v>
      </c>
      <c r="C35" s="6">
        <v>1911</v>
      </c>
      <c r="D35" s="25">
        <v>23166.32</v>
      </c>
    </row>
    <row r="36" spans="2:4" x14ac:dyDescent="0.25">
      <c r="B36" s="10" t="s">
        <v>8</v>
      </c>
      <c r="C36" s="8">
        <f>SUM(C32:C35)</f>
        <v>3973</v>
      </c>
      <c r="D36" s="4">
        <f>SUM(D32:D35)</f>
        <v>248606.68</v>
      </c>
    </row>
    <row r="38" spans="2:4" x14ac:dyDescent="0.25">
      <c r="B38" s="28" t="s">
        <v>31</v>
      </c>
      <c r="C38" s="28"/>
      <c r="D38" s="28"/>
    </row>
    <row r="39" spans="2:4" x14ac:dyDescent="0.25">
      <c r="B39" s="2" t="s">
        <v>1</v>
      </c>
      <c r="C39" s="2" t="s">
        <v>2</v>
      </c>
      <c r="D39" s="2" t="s">
        <v>3</v>
      </c>
    </row>
    <row r="40" spans="2:4" x14ac:dyDescent="0.25">
      <c r="B40" s="9" t="s">
        <v>4</v>
      </c>
      <c r="C40" s="6">
        <v>268</v>
      </c>
      <c r="D40" s="25">
        <v>7207.1</v>
      </c>
    </row>
    <row r="41" spans="2:4" x14ac:dyDescent="0.25">
      <c r="B41" s="1" t="s">
        <v>5</v>
      </c>
      <c r="C41" s="6">
        <v>2160</v>
      </c>
      <c r="D41" s="25">
        <v>80033.63</v>
      </c>
    </row>
    <row r="42" spans="2:4" x14ac:dyDescent="0.25">
      <c r="B42" s="1" t="s">
        <v>6</v>
      </c>
      <c r="C42" s="6">
        <v>1281</v>
      </c>
      <c r="D42" s="25">
        <v>62469.87</v>
      </c>
    </row>
    <row r="43" spans="2:4" x14ac:dyDescent="0.25">
      <c r="B43" s="1" t="s">
        <v>7</v>
      </c>
      <c r="C43" s="6">
        <v>368</v>
      </c>
      <c r="D43" s="25">
        <v>6445</v>
      </c>
    </row>
    <row r="44" spans="2:4" x14ac:dyDescent="0.25">
      <c r="B44" s="3" t="s">
        <v>8</v>
      </c>
      <c r="C44" s="8">
        <f>SUM(C40:C43)</f>
        <v>4077</v>
      </c>
      <c r="D44" s="4">
        <f>SUM(D40:D43)</f>
        <v>156155.6</v>
      </c>
    </row>
    <row r="46" spans="2:4" x14ac:dyDescent="0.25">
      <c r="B46" s="28" t="s">
        <v>30</v>
      </c>
      <c r="C46" s="28"/>
      <c r="D46" s="28"/>
    </row>
    <row r="47" spans="2:4" x14ac:dyDescent="0.25">
      <c r="B47" s="2" t="s">
        <v>1</v>
      </c>
      <c r="C47" s="2" t="s">
        <v>2</v>
      </c>
      <c r="D47" s="2" t="s">
        <v>3</v>
      </c>
    </row>
    <row r="48" spans="2:4" x14ac:dyDescent="0.25">
      <c r="B48" s="9" t="s">
        <v>4</v>
      </c>
      <c r="C48" s="6">
        <v>0</v>
      </c>
      <c r="D48" s="25">
        <v>2962</v>
      </c>
    </row>
    <row r="49" spans="2:4" x14ac:dyDescent="0.25">
      <c r="B49" s="1" t="s">
        <v>5</v>
      </c>
      <c r="C49" s="6">
        <v>577</v>
      </c>
      <c r="D49" s="25">
        <v>85563.02</v>
      </c>
    </row>
    <row r="50" spans="2:4" x14ac:dyDescent="0.25">
      <c r="B50" s="1" t="s">
        <v>6</v>
      </c>
      <c r="C50" s="6">
        <v>525</v>
      </c>
      <c r="D50" s="25">
        <v>8885</v>
      </c>
    </row>
    <row r="51" spans="2:4" x14ac:dyDescent="0.25">
      <c r="B51" s="1" t="s">
        <v>7</v>
      </c>
      <c r="C51" s="6">
        <v>2296</v>
      </c>
      <c r="D51" s="25">
        <v>12043</v>
      </c>
    </row>
    <row r="52" spans="2:4" x14ac:dyDescent="0.25">
      <c r="B52" s="3" t="s">
        <v>8</v>
      </c>
      <c r="C52" s="8">
        <f>SUM(C48:C51)</f>
        <v>3398</v>
      </c>
      <c r="D52" s="4">
        <f>SUM(D48:D51)</f>
        <v>109453.02</v>
      </c>
    </row>
    <row r="54" spans="2:4" x14ac:dyDescent="0.25">
      <c r="B54" s="29" t="s">
        <v>11</v>
      </c>
      <c r="C54" s="29"/>
      <c r="D54" s="29"/>
    </row>
    <row r="55" spans="2:4" x14ac:dyDescent="0.25">
      <c r="B55" s="4" t="s">
        <v>1</v>
      </c>
      <c r="C55" s="4" t="s">
        <v>2</v>
      </c>
      <c r="D55" s="4" t="s">
        <v>3</v>
      </c>
    </row>
    <row r="56" spans="2:4" x14ac:dyDescent="0.25">
      <c r="B56" s="9" t="s">
        <v>4</v>
      </c>
      <c r="C56" s="6">
        <v>262</v>
      </c>
      <c r="D56" s="25">
        <v>32601</v>
      </c>
    </row>
    <row r="57" spans="2:4" x14ac:dyDescent="0.25">
      <c r="B57" s="1" t="s">
        <v>5</v>
      </c>
      <c r="C57" s="6">
        <v>2319</v>
      </c>
      <c r="D57" s="25">
        <v>46068.829999999994</v>
      </c>
    </row>
    <row r="58" spans="2:4" x14ac:dyDescent="0.25">
      <c r="B58" s="1" t="s">
        <v>6</v>
      </c>
      <c r="C58" s="6">
        <v>276</v>
      </c>
      <c r="D58" s="26">
        <v>0</v>
      </c>
    </row>
    <row r="59" spans="2:4" x14ac:dyDescent="0.25">
      <c r="B59" s="10" t="s">
        <v>8</v>
      </c>
      <c r="C59" s="8">
        <f>SUM(C56:C58)</f>
        <v>2857</v>
      </c>
      <c r="D59" s="4">
        <f>SUM(D56:D58)</f>
        <v>78669.829999999987</v>
      </c>
    </row>
    <row r="61" spans="2:4" x14ac:dyDescent="0.25">
      <c r="B61" s="28" t="s">
        <v>38</v>
      </c>
      <c r="C61" s="28"/>
      <c r="D61" s="28"/>
    </row>
    <row r="62" spans="2:4" x14ac:dyDescent="0.25">
      <c r="B62" s="2" t="s">
        <v>1</v>
      </c>
      <c r="C62" s="2" t="s">
        <v>2</v>
      </c>
      <c r="D62" s="2" t="s">
        <v>3</v>
      </c>
    </row>
    <row r="63" spans="2:4" x14ac:dyDescent="0.25">
      <c r="B63" s="9" t="s">
        <v>4</v>
      </c>
      <c r="C63" s="6">
        <v>0</v>
      </c>
      <c r="D63" s="26">
        <v>0</v>
      </c>
    </row>
    <row r="64" spans="2:4" x14ac:dyDescent="0.25">
      <c r="B64" s="1" t="s">
        <v>5</v>
      </c>
      <c r="C64" s="6">
        <v>1918</v>
      </c>
      <c r="D64" s="25">
        <v>10402.27</v>
      </c>
    </row>
    <row r="65" spans="2:4" x14ac:dyDescent="0.25">
      <c r="B65" s="3" t="s">
        <v>8</v>
      </c>
      <c r="C65" s="8">
        <f>SUM(C63:C64)</f>
        <v>1918</v>
      </c>
      <c r="D65" s="4">
        <f>SUM(D63:D64)</f>
        <v>10402.27</v>
      </c>
    </row>
    <row r="67" spans="2:4" x14ac:dyDescent="0.25">
      <c r="B67" s="12" t="s">
        <v>13</v>
      </c>
      <c r="C67" s="13">
        <f>SUMIF(B:B, "Total general", C:C)</f>
        <v>107761</v>
      </c>
      <c r="D67" s="13">
        <f>SUMIF(B:B, "Total general", D:D)</f>
        <v>3556181.41</v>
      </c>
    </row>
  </sheetData>
  <mergeCells count="8">
    <mergeCell ref="B3:D3"/>
    <mergeCell ref="B12:D12"/>
    <mergeCell ref="B30:D30"/>
    <mergeCell ref="B61:D61"/>
    <mergeCell ref="B54:D54"/>
    <mergeCell ref="B38:D38"/>
    <mergeCell ref="B21:D21"/>
    <mergeCell ref="B46:D46"/>
  </mergeCells>
  <pageMargins left="0.7" right="0.7" top="0.75" bottom="0.75" header="0.3" footer="0.3"/>
  <pageSetup paperSize="9" scale="7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7AD579-ABE3-47BF-9C80-EABF3E3D7F80}">
  <dimension ref="B1:H70"/>
  <sheetViews>
    <sheetView showGridLines="0" tabSelected="1" zoomScaleNormal="100" workbookViewId="0">
      <selection activeCell="B1" sqref="B1:D70"/>
    </sheetView>
  </sheetViews>
  <sheetFormatPr baseColWidth="10" defaultRowHeight="15" x14ac:dyDescent="0.25"/>
  <cols>
    <col min="2" max="2" width="36.85546875" customWidth="1"/>
    <col min="4" max="4" width="13.140625" bestFit="1" customWidth="1"/>
    <col min="6" max="6" width="13.140625" bestFit="1" customWidth="1"/>
  </cols>
  <sheetData>
    <row r="1" spans="2:8" x14ac:dyDescent="0.25">
      <c r="B1" s="28" t="s">
        <v>39</v>
      </c>
      <c r="C1" s="28"/>
      <c r="D1" s="28"/>
    </row>
    <row r="3" spans="2:8" x14ac:dyDescent="0.25">
      <c r="B3" s="28" t="s">
        <v>37</v>
      </c>
      <c r="C3" s="28"/>
      <c r="D3" s="28"/>
      <c r="H3" s="8"/>
    </row>
    <row r="4" spans="2:8" x14ac:dyDescent="0.25">
      <c r="B4" s="2" t="s">
        <v>1</v>
      </c>
      <c r="C4" s="2" t="s">
        <v>2</v>
      </c>
      <c r="D4" s="2" t="s">
        <v>3</v>
      </c>
    </row>
    <row r="5" spans="2:8" x14ac:dyDescent="0.25">
      <c r="B5" s="1" t="s">
        <v>4</v>
      </c>
      <c r="C5" s="6">
        <v>6</v>
      </c>
      <c r="D5" s="25">
        <v>76668</v>
      </c>
    </row>
    <row r="6" spans="2:8" x14ac:dyDescent="0.25">
      <c r="B6" s="1" t="s">
        <v>5</v>
      </c>
      <c r="C6" s="27">
        <v>15683</v>
      </c>
      <c r="D6" s="25">
        <v>346592.54000000004</v>
      </c>
    </row>
    <row r="7" spans="2:8" x14ac:dyDescent="0.25">
      <c r="B7" s="1" t="s">
        <v>6</v>
      </c>
      <c r="C7" s="27">
        <v>9293</v>
      </c>
      <c r="D7" s="25">
        <v>26725</v>
      </c>
    </row>
    <row r="8" spans="2:8" x14ac:dyDescent="0.25">
      <c r="B8" s="5" t="s">
        <v>12</v>
      </c>
      <c r="C8" s="27">
        <v>2739</v>
      </c>
      <c r="D8" s="25">
        <v>1000</v>
      </c>
    </row>
    <row r="9" spans="2:8" x14ac:dyDescent="0.25">
      <c r="B9" s="1" t="s">
        <v>7</v>
      </c>
      <c r="C9" s="27">
        <v>61722</v>
      </c>
      <c r="D9" s="25">
        <v>23193.52</v>
      </c>
      <c r="E9" s="14"/>
      <c r="F9" s="7"/>
    </row>
    <row r="10" spans="2:8" x14ac:dyDescent="0.25">
      <c r="B10" s="3" t="s">
        <v>8</v>
      </c>
      <c r="C10" s="8">
        <f>SUM(C5:C9)</f>
        <v>89443</v>
      </c>
      <c r="D10" s="4">
        <f>SUM(D5:D9)</f>
        <v>474179.06000000006</v>
      </c>
      <c r="E10" s="11" t="s">
        <v>14</v>
      </c>
    </row>
    <row r="12" spans="2:8" x14ac:dyDescent="0.25">
      <c r="B12" s="28" t="s">
        <v>31</v>
      </c>
      <c r="C12" s="28"/>
      <c r="D12" s="28"/>
    </row>
    <row r="13" spans="2:8" x14ac:dyDescent="0.25">
      <c r="B13" s="2" t="s">
        <v>1</v>
      </c>
      <c r="C13" s="2" t="s">
        <v>2</v>
      </c>
      <c r="D13" s="2" t="s">
        <v>3</v>
      </c>
    </row>
    <row r="14" spans="2:8" x14ac:dyDescent="0.25">
      <c r="B14" s="9" t="s">
        <v>4</v>
      </c>
      <c r="C14">
        <v>167</v>
      </c>
      <c r="D14" s="25">
        <v>6514</v>
      </c>
    </row>
    <row r="15" spans="2:8" x14ac:dyDescent="0.25">
      <c r="B15" s="1" t="s">
        <v>5</v>
      </c>
      <c r="C15">
        <v>2140</v>
      </c>
      <c r="D15" s="25">
        <v>80033.63</v>
      </c>
    </row>
    <row r="16" spans="2:8" x14ac:dyDescent="0.25">
      <c r="B16" s="1" t="s">
        <v>6</v>
      </c>
      <c r="C16">
        <v>1225</v>
      </c>
      <c r="D16" s="25">
        <v>61369.87</v>
      </c>
    </row>
    <row r="17" spans="2:4" x14ac:dyDescent="0.25">
      <c r="B17" s="1" t="s">
        <v>7</v>
      </c>
      <c r="C17">
        <v>367</v>
      </c>
      <c r="D17" s="25">
        <v>6445</v>
      </c>
    </row>
    <row r="18" spans="2:4" x14ac:dyDescent="0.25">
      <c r="B18" s="3" t="s">
        <v>8</v>
      </c>
      <c r="C18" s="8">
        <f>SUM(C14:C17)</f>
        <v>3899</v>
      </c>
      <c r="D18" s="4">
        <f>SUM(D14:D17)</f>
        <v>154362.5</v>
      </c>
    </row>
    <row r="20" spans="2:4" x14ac:dyDescent="0.25">
      <c r="B20" s="29" t="s">
        <v>11</v>
      </c>
      <c r="C20" s="29"/>
      <c r="D20" s="29"/>
    </row>
    <row r="21" spans="2:4" x14ac:dyDescent="0.25">
      <c r="B21" s="4" t="s">
        <v>1</v>
      </c>
      <c r="C21" s="4" t="s">
        <v>2</v>
      </c>
      <c r="D21" s="4" t="s">
        <v>3</v>
      </c>
    </row>
    <row r="22" spans="2:4" x14ac:dyDescent="0.25">
      <c r="B22" s="9" t="s">
        <v>4</v>
      </c>
      <c r="C22">
        <v>3</v>
      </c>
      <c r="D22" s="25">
        <v>13227</v>
      </c>
    </row>
    <row r="23" spans="2:4" x14ac:dyDescent="0.25">
      <c r="B23" s="1" t="s">
        <v>5</v>
      </c>
      <c r="C23">
        <v>9</v>
      </c>
      <c r="D23" s="25">
        <v>13887.83</v>
      </c>
    </row>
    <row r="24" spans="2:4" x14ac:dyDescent="0.25">
      <c r="B24" s="1" t="s">
        <v>6</v>
      </c>
      <c r="C24">
        <v>64</v>
      </c>
      <c r="D24" s="26">
        <v>0</v>
      </c>
    </row>
    <row r="25" spans="2:4" x14ac:dyDescent="0.25">
      <c r="B25" s="10" t="s">
        <v>8</v>
      </c>
      <c r="C25" s="8">
        <f>SUM(C22:C24)</f>
        <v>76</v>
      </c>
      <c r="D25" s="4">
        <f>SUM(D22:D24)</f>
        <v>27114.83</v>
      </c>
    </row>
    <row r="27" spans="2:4" x14ac:dyDescent="0.25">
      <c r="B27" s="28" t="s">
        <v>0</v>
      </c>
      <c r="C27" s="28"/>
      <c r="D27" s="28"/>
    </row>
    <row r="28" spans="2:4" x14ac:dyDescent="0.25">
      <c r="B28" s="2" t="s">
        <v>1</v>
      </c>
      <c r="C28" s="2" t="s">
        <v>2</v>
      </c>
      <c r="D28" s="2" t="s">
        <v>3</v>
      </c>
    </row>
    <row r="29" spans="2:4" x14ac:dyDescent="0.25">
      <c r="B29" s="1" t="s">
        <v>4</v>
      </c>
      <c r="C29" s="27">
        <v>0</v>
      </c>
      <c r="D29" s="25">
        <v>744</v>
      </c>
    </row>
    <row r="30" spans="2:4" x14ac:dyDescent="0.25">
      <c r="B30" s="1" t="s">
        <v>5</v>
      </c>
      <c r="C30">
        <v>20</v>
      </c>
      <c r="D30" s="25">
        <v>4730</v>
      </c>
    </row>
    <row r="31" spans="2:4" x14ac:dyDescent="0.25">
      <c r="B31" s="1" t="s">
        <v>6</v>
      </c>
      <c r="C31">
        <v>78</v>
      </c>
      <c r="D31" s="25">
        <v>1689</v>
      </c>
    </row>
    <row r="32" spans="2:4" x14ac:dyDescent="0.25">
      <c r="B32" s="5" t="s">
        <v>12</v>
      </c>
      <c r="C32">
        <v>1</v>
      </c>
      <c r="D32" s="26">
        <v>0</v>
      </c>
    </row>
    <row r="33" spans="2:4" x14ac:dyDescent="0.25">
      <c r="B33" s="1" t="s">
        <v>7</v>
      </c>
      <c r="C33">
        <v>304</v>
      </c>
      <c r="D33" s="25">
        <v>10697.04</v>
      </c>
    </row>
    <row r="34" spans="2:4" x14ac:dyDescent="0.25">
      <c r="B34" s="3" t="s">
        <v>8</v>
      </c>
      <c r="C34" s="8">
        <f>SUM(C29:C33)</f>
        <v>403</v>
      </c>
      <c r="D34" s="4">
        <f>SUM(D29:D33)</f>
        <v>17860.04</v>
      </c>
    </row>
    <row r="36" spans="2:4" x14ac:dyDescent="0.25">
      <c r="B36" s="28" t="s">
        <v>36</v>
      </c>
      <c r="C36" s="28"/>
      <c r="D36" s="28"/>
    </row>
    <row r="37" spans="2:4" x14ac:dyDescent="0.25">
      <c r="B37" s="2" t="s">
        <v>1</v>
      </c>
      <c r="C37" s="2" t="s">
        <v>2</v>
      </c>
      <c r="D37" s="2" t="s">
        <v>3</v>
      </c>
    </row>
    <row r="38" spans="2:4" x14ac:dyDescent="0.25">
      <c r="B38" s="1" t="s">
        <v>4</v>
      </c>
      <c r="C38" s="26">
        <v>0</v>
      </c>
      <c r="D38" s="26">
        <v>0</v>
      </c>
    </row>
    <row r="39" spans="2:4" x14ac:dyDescent="0.25">
      <c r="B39" s="1" t="s">
        <v>5</v>
      </c>
      <c r="C39">
        <v>6</v>
      </c>
      <c r="D39" s="25">
        <v>2290</v>
      </c>
    </row>
    <row r="40" spans="2:4" x14ac:dyDescent="0.25">
      <c r="B40" s="1" t="s">
        <v>6</v>
      </c>
      <c r="C40">
        <v>44</v>
      </c>
      <c r="D40" s="26">
        <v>0</v>
      </c>
    </row>
    <row r="41" spans="2:4" x14ac:dyDescent="0.25">
      <c r="B41" s="5" t="s">
        <v>12</v>
      </c>
      <c r="C41" s="6">
        <v>0</v>
      </c>
      <c r="D41" s="26">
        <v>0</v>
      </c>
    </row>
    <row r="42" spans="2:4" x14ac:dyDescent="0.25">
      <c r="B42" s="1" t="s">
        <v>7</v>
      </c>
      <c r="C42">
        <v>333</v>
      </c>
      <c r="D42" s="25">
        <v>11775</v>
      </c>
    </row>
    <row r="43" spans="2:4" x14ac:dyDescent="0.25">
      <c r="B43" s="3" t="s">
        <v>8</v>
      </c>
      <c r="C43" s="8">
        <f>SUM(C38:C42)</f>
        <v>383</v>
      </c>
      <c r="D43" s="4">
        <f>SUM(D38:D42)</f>
        <v>14065</v>
      </c>
    </row>
    <row r="45" spans="2:4" x14ac:dyDescent="0.25">
      <c r="B45" s="29" t="s">
        <v>10</v>
      </c>
      <c r="C45" s="29"/>
      <c r="D45" s="29"/>
    </row>
    <row r="46" spans="2:4" x14ac:dyDescent="0.25">
      <c r="B46" s="4" t="s">
        <v>1</v>
      </c>
      <c r="C46" s="4" t="s">
        <v>2</v>
      </c>
      <c r="D46" s="4" t="s">
        <v>3</v>
      </c>
    </row>
    <row r="47" spans="2:4" x14ac:dyDescent="0.25">
      <c r="B47" s="9" t="s">
        <v>4</v>
      </c>
      <c r="C47">
        <v>1</v>
      </c>
      <c r="D47" s="25">
        <v>375.82</v>
      </c>
    </row>
    <row r="48" spans="2:4" x14ac:dyDescent="0.25">
      <c r="B48" s="9" t="s">
        <v>5</v>
      </c>
      <c r="C48">
        <v>6</v>
      </c>
      <c r="D48" s="25">
        <v>532</v>
      </c>
    </row>
    <row r="49" spans="2:4" x14ac:dyDescent="0.25">
      <c r="B49" s="9" t="s">
        <v>6</v>
      </c>
      <c r="C49">
        <v>17</v>
      </c>
      <c r="D49" s="25">
        <v>2898</v>
      </c>
    </row>
    <row r="50" spans="2:4" x14ac:dyDescent="0.25">
      <c r="B50" s="5" t="s">
        <v>12</v>
      </c>
      <c r="C50" s="7">
        <v>0</v>
      </c>
      <c r="D50" s="7">
        <v>0</v>
      </c>
    </row>
    <row r="51" spans="2:4" x14ac:dyDescent="0.25">
      <c r="B51" s="9" t="s">
        <v>7</v>
      </c>
      <c r="C51">
        <v>168</v>
      </c>
      <c r="D51" s="25">
        <v>1986</v>
      </c>
    </row>
    <row r="52" spans="2:4" x14ac:dyDescent="0.25">
      <c r="B52" s="10" t="s">
        <v>8</v>
      </c>
      <c r="C52" s="8">
        <f>SUM(C47:C51)</f>
        <v>192</v>
      </c>
      <c r="D52" s="4">
        <f>SUM(D47:D51)</f>
        <v>5791.82</v>
      </c>
    </row>
    <row r="54" spans="2:4" x14ac:dyDescent="0.25">
      <c r="B54" s="28" t="s">
        <v>30</v>
      </c>
      <c r="C54" s="28"/>
      <c r="D54" s="28"/>
    </row>
    <row r="55" spans="2:4" x14ac:dyDescent="0.25">
      <c r="B55" s="2" t="s">
        <v>1</v>
      </c>
      <c r="C55" s="2" t="s">
        <v>2</v>
      </c>
      <c r="D55" s="2" t="s">
        <v>3</v>
      </c>
    </row>
    <row r="56" spans="2:4" x14ac:dyDescent="0.25">
      <c r="B56" s="9" t="s">
        <v>4</v>
      </c>
      <c r="C56" s="26">
        <v>0</v>
      </c>
      <c r="D56" s="26">
        <v>0</v>
      </c>
    </row>
    <row r="57" spans="2:4" x14ac:dyDescent="0.25">
      <c r="B57" s="1" t="s">
        <v>5</v>
      </c>
      <c r="C57">
        <v>3</v>
      </c>
      <c r="D57" s="26">
        <v>0</v>
      </c>
    </row>
    <row r="58" spans="2:4" x14ac:dyDescent="0.25">
      <c r="B58" s="1" t="s">
        <v>6</v>
      </c>
      <c r="C58">
        <v>9</v>
      </c>
      <c r="D58" s="26">
        <v>0</v>
      </c>
    </row>
    <row r="59" spans="2:4" x14ac:dyDescent="0.25">
      <c r="B59" s="1" t="s">
        <v>7</v>
      </c>
      <c r="C59">
        <v>64</v>
      </c>
      <c r="D59" s="25">
        <v>557</v>
      </c>
    </row>
    <row r="60" spans="2:4" x14ac:dyDescent="0.25">
      <c r="B60" s="3" t="s">
        <v>8</v>
      </c>
      <c r="C60" s="8">
        <f>SUM(C56:C59)</f>
        <v>76</v>
      </c>
      <c r="D60" s="4">
        <f>SUM(D56:D59)</f>
        <v>557</v>
      </c>
    </row>
    <row r="62" spans="2:4" x14ac:dyDescent="0.25">
      <c r="B62" s="28" t="s">
        <v>9</v>
      </c>
      <c r="C62" s="28"/>
      <c r="D62" s="28"/>
    </row>
    <row r="63" spans="2:4" x14ac:dyDescent="0.25">
      <c r="B63" s="2" t="s">
        <v>1</v>
      </c>
      <c r="C63" s="2" t="s">
        <v>2</v>
      </c>
      <c r="D63" s="2" t="s">
        <v>3</v>
      </c>
    </row>
    <row r="64" spans="2:4" x14ac:dyDescent="0.25">
      <c r="B64" s="9" t="s">
        <v>4</v>
      </c>
      <c r="C64" s="6">
        <v>0</v>
      </c>
      <c r="D64" s="26">
        <v>0</v>
      </c>
    </row>
    <row r="65" spans="2:4" x14ac:dyDescent="0.25">
      <c r="B65" s="9" t="s">
        <v>5</v>
      </c>
      <c r="C65" s="6">
        <v>0</v>
      </c>
      <c r="D65" s="26">
        <v>0</v>
      </c>
    </row>
    <row r="66" spans="2:4" x14ac:dyDescent="0.25">
      <c r="B66" s="9" t="s">
        <v>6</v>
      </c>
      <c r="C66">
        <v>2</v>
      </c>
      <c r="D66" s="26">
        <v>0</v>
      </c>
    </row>
    <row r="67" spans="2:4" x14ac:dyDescent="0.25">
      <c r="B67" s="9" t="s">
        <v>7</v>
      </c>
      <c r="C67">
        <v>61</v>
      </c>
      <c r="D67" s="26">
        <v>0</v>
      </c>
    </row>
    <row r="68" spans="2:4" x14ac:dyDescent="0.25">
      <c r="B68" s="10" t="s">
        <v>8</v>
      </c>
      <c r="C68" s="8">
        <f>SUM(C64:C67)</f>
        <v>63</v>
      </c>
      <c r="D68" s="4">
        <f>SUM(D64:D67)</f>
        <v>0</v>
      </c>
    </row>
    <row r="70" spans="2:4" x14ac:dyDescent="0.25">
      <c r="B70" s="12" t="s">
        <v>13</v>
      </c>
      <c r="C70" s="13">
        <f>SUMIF(B:B, "Total general", C:C)</f>
        <v>94535</v>
      </c>
      <c r="D70" s="13">
        <f>SUMIF(B:B, "Total general", D:D)</f>
        <v>693930.25</v>
      </c>
    </row>
  </sheetData>
  <mergeCells count="9">
    <mergeCell ref="B62:D62"/>
    <mergeCell ref="B54:D54"/>
    <mergeCell ref="B20:D20"/>
    <mergeCell ref="B1:D1"/>
    <mergeCell ref="B3:D3"/>
    <mergeCell ref="B12:D12"/>
    <mergeCell ref="B27:D27"/>
    <mergeCell ref="B45:D45"/>
    <mergeCell ref="B36:D36"/>
  </mergeCells>
  <pageMargins left="0.7" right="0.7" top="0.75" bottom="0.75" header="0.3" footer="0.3"/>
  <pageSetup paperSize="9" scale="7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48E574-6F12-467C-8676-74E628DAE8C0}">
  <dimension ref="B2:L14"/>
  <sheetViews>
    <sheetView showGridLines="0" zoomScale="145" zoomScaleNormal="145" workbookViewId="0">
      <selection activeCell="B2" sqref="B2"/>
    </sheetView>
  </sheetViews>
  <sheetFormatPr baseColWidth="10" defaultRowHeight="15" x14ac:dyDescent="0.25"/>
  <cols>
    <col min="2" max="2" width="19.85546875" customWidth="1"/>
    <col min="3" max="3" width="36.7109375" bestFit="1" customWidth="1"/>
    <col min="4" max="4" width="9" bestFit="1" customWidth="1"/>
    <col min="5" max="5" width="15.140625" bestFit="1" customWidth="1"/>
    <col min="6" max="6" width="12.28515625" bestFit="1" customWidth="1"/>
    <col min="7" max="7" width="11.85546875" bestFit="1" customWidth="1"/>
    <col min="8" max="8" width="7.28515625" bestFit="1" customWidth="1"/>
    <col min="9" max="9" width="5" bestFit="1" customWidth="1"/>
    <col min="10" max="10" width="9.5703125" bestFit="1" customWidth="1"/>
    <col min="11" max="11" width="8.28515625" bestFit="1" customWidth="1"/>
    <col min="12" max="12" width="15.7109375" bestFit="1" customWidth="1"/>
  </cols>
  <sheetData>
    <row r="2" spans="2:12" ht="15.75" x14ac:dyDescent="0.25">
      <c r="B2" s="18" t="s">
        <v>21</v>
      </c>
    </row>
    <row r="3" spans="2:12" x14ac:dyDescent="0.25">
      <c r="B3" s="17" t="s">
        <v>35</v>
      </c>
    </row>
    <row r="5" spans="2:12" x14ac:dyDescent="0.25">
      <c r="B5" t="s">
        <v>27</v>
      </c>
      <c r="C5" t="s">
        <v>28</v>
      </c>
      <c r="D5" s="17" t="s">
        <v>15</v>
      </c>
      <c r="E5" s="17" t="s">
        <v>26</v>
      </c>
      <c r="F5" s="17" t="s">
        <v>19</v>
      </c>
      <c r="G5" s="17" t="s">
        <v>20</v>
      </c>
      <c r="H5" s="17" t="s">
        <v>22</v>
      </c>
      <c r="I5" s="17" t="s">
        <v>16</v>
      </c>
      <c r="J5" s="17" t="s">
        <v>18</v>
      </c>
      <c r="K5" s="17" t="s">
        <v>23</v>
      </c>
      <c r="L5" s="15"/>
    </row>
    <row r="6" spans="2:12" x14ac:dyDescent="0.25">
      <c r="B6" s="16" t="s">
        <v>33</v>
      </c>
      <c r="C6" s="16" t="s">
        <v>4</v>
      </c>
      <c r="D6" s="23">
        <f>SUMIF('REPORTE DIARIO'!B:B,'EPR 26 JUN'!C6, 'REPORTE DIARIO'!C:C)</f>
        <v>542</v>
      </c>
      <c r="E6" s="16">
        <f>SUMIF('REPORTE DIARIO'!B:B,'EPR 26 JUN'!C6, 'REPORTE DIARIO'!D:D)</f>
        <v>339667.66</v>
      </c>
      <c r="F6" s="16">
        <f>J6*D6</f>
        <v>34068.571428571428</v>
      </c>
      <c r="G6" s="16">
        <f>+E6-F6</f>
        <v>305599.08857142855</v>
      </c>
      <c r="H6" s="15">
        <f>ABS(G6/F6)</f>
        <v>8.9701174941294859</v>
      </c>
      <c r="I6" s="16">
        <f>E6/D6</f>
        <v>626.69309963099624</v>
      </c>
      <c r="J6" s="16">
        <f>(220/7)*2</f>
        <v>62.857142857142854</v>
      </c>
      <c r="K6" s="16">
        <f>+I6-J6</f>
        <v>563.83595677385335</v>
      </c>
      <c r="L6" s="15"/>
    </row>
    <row r="7" spans="2:12" x14ac:dyDescent="0.25">
      <c r="B7" s="16" t="s">
        <v>29</v>
      </c>
      <c r="C7" s="16" t="s">
        <v>5</v>
      </c>
      <c r="D7" s="23">
        <f>SUMIF('REPORTE DIARIO'!B:B,'EPR 26 JUN'!C7, 'REPORTE DIARIO'!C:C)</f>
        <v>22858</v>
      </c>
      <c r="E7" s="16">
        <f>SUMIF('REPORTE DIARIO'!B:B,'EPR 26 JUN'!C7, 'REPORTE DIARIO'!D:D)</f>
        <v>1726361.62</v>
      </c>
      <c r="F7" s="16">
        <f>J7*D7</f>
        <v>718394.28571428568</v>
      </c>
      <c r="G7" s="16">
        <f>+E7-F7</f>
        <v>1007967.3342857144</v>
      </c>
      <c r="H7" s="15">
        <f>ABS(G7/F7)</f>
        <v>1.4030837303828383</v>
      </c>
      <c r="I7" s="16">
        <f>E7/D7</f>
        <v>75.525488669174905</v>
      </c>
      <c r="J7" s="16">
        <f>(110/7)*2</f>
        <v>31.428571428571427</v>
      </c>
      <c r="K7" s="16">
        <f t="shared" ref="K7:K9" si="0">+I7-J7</f>
        <v>44.096917240603474</v>
      </c>
      <c r="L7" s="15"/>
    </row>
    <row r="8" spans="2:12" x14ac:dyDescent="0.25">
      <c r="B8" s="16" t="s">
        <v>29</v>
      </c>
      <c r="C8" s="16" t="s">
        <v>6</v>
      </c>
      <c r="D8" s="23">
        <f>SUMIF('REPORTE DIARIO'!B:B,'EPR 26 JUN'!C8, 'REPORTE DIARIO'!C:C)</f>
        <v>14209</v>
      </c>
      <c r="E8" s="16">
        <f>SUMIF('REPORTE DIARIO'!B:B,'EPR 26 JUN'!C8, 'REPORTE DIARIO'!D:D)</f>
        <v>656803.11999999988</v>
      </c>
      <c r="F8" s="16">
        <f>J8*D8</f>
        <v>182687.14285714287</v>
      </c>
      <c r="G8" s="16">
        <f>+E8-F8</f>
        <v>474115.97714285704</v>
      </c>
      <c r="H8" s="15">
        <f>ABS(G8/F8)</f>
        <v>2.5952345070808009</v>
      </c>
      <c r="I8" s="16">
        <f>E8/D8</f>
        <v>46.224443662467444</v>
      </c>
      <c r="J8" s="16">
        <f>(45/7)*2</f>
        <v>12.857142857142858</v>
      </c>
      <c r="K8" s="16">
        <f t="shared" si="0"/>
        <v>33.367300805324589</v>
      </c>
      <c r="L8" s="15"/>
    </row>
    <row r="9" spans="2:12" x14ac:dyDescent="0.25">
      <c r="B9" s="16" t="s">
        <v>34</v>
      </c>
      <c r="C9" s="16" t="s">
        <v>7</v>
      </c>
      <c r="D9" s="23">
        <f>SUMIF('REPORTE DIARIO'!B:B,'EPR 26 JUN'!C9, 'REPORTE DIARIO'!C:C)</f>
        <v>68907</v>
      </c>
      <c r="E9" s="16">
        <f>SUMIF('REPORTE DIARIO'!B:B,'EPR 26 JUN'!C9, 'REPORTE DIARIO'!D:D)</f>
        <v>832310.00999999989</v>
      </c>
      <c r="F9" s="16">
        <f>J9*D9</f>
        <v>295315.71428571426</v>
      </c>
      <c r="G9" s="16">
        <f>+E9-F9</f>
        <v>536994.29571428569</v>
      </c>
      <c r="H9" s="15">
        <f>ABS(G9/F9)</f>
        <v>1.8183735904915321</v>
      </c>
      <c r="I9" s="16">
        <f>E9/D9</f>
        <v>12.078743959249422</v>
      </c>
      <c r="J9" s="16">
        <f>(15/7)*2</f>
        <v>4.2857142857142856</v>
      </c>
      <c r="K9" s="16">
        <f t="shared" si="0"/>
        <v>7.7930296735351368</v>
      </c>
    </row>
    <row r="10" spans="2:12" x14ac:dyDescent="0.25">
      <c r="B10" s="16"/>
      <c r="C10" s="19" t="s">
        <v>17</v>
      </c>
      <c r="D10" s="24">
        <f>SUM(D6:D9)</f>
        <v>106516</v>
      </c>
      <c r="E10" s="20">
        <f>SUM(E6:E9)</f>
        <v>3555142.4099999997</v>
      </c>
      <c r="F10" s="20">
        <f>SUM(F6:F9)</f>
        <v>1230465.7142857143</v>
      </c>
      <c r="G10" s="20">
        <f>+E10-F10</f>
        <v>2324676.6957142856</v>
      </c>
      <c r="H10" s="21">
        <f>ABS(G10/F10)</f>
        <v>1.8892657216895807</v>
      </c>
      <c r="I10" s="20">
        <f>E10/D10</f>
        <v>33.376604547673587</v>
      </c>
      <c r="J10" s="20">
        <f>F10/D10</f>
        <v>11.551933177041143</v>
      </c>
      <c r="K10" s="20">
        <f>I10-J10</f>
        <v>21.824671370632444</v>
      </c>
    </row>
    <row r="12" spans="2:12" x14ac:dyDescent="0.25">
      <c r="B12" s="22" t="s">
        <v>24</v>
      </c>
      <c r="I12" s="14"/>
    </row>
    <row r="13" spans="2:12" x14ac:dyDescent="0.25">
      <c r="B13" t="s">
        <v>25</v>
      </c>
    </row>
    <row r="14" spans="2:12" x14ac:dyDescent="0.25">
      <c r="B14" t="s">
        <v>32</v>
      </c>
    </row>
  </sheetData>
  <pageMargins left="0.7" right="0.7" top="0.75" bottom="0.75" header="0.3" footer="0.3"/>
  <pageSetup scale="60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REPORTE DIARIO</vt:lpstr>
      <vt:lpstr>CDC-OLGUIN</vt:lpstr>
      <vt:lpstr>EPR 26 JUN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Samantha Karina Islas</dc:creator>
  <cp:lastModifiedBy>User</cp:lastModifiedBy>
  <cp:lastPrinted>2025-08-14T15:08:10Z</cp:lastPrinted>
  <dcterms:created xsi:type="dcterms:W3CDTF">2025-01-27T15:11:28Z</dcterms:created>
  <dcterms:modified xsi:type="dcterms:W3CDTF">2025-08-17T17:04:04Z</dcterms:modified>
</cp:coreProperties>
</file>