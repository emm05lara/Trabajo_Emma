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3\12 AGO\NOCHE\"/>
    </mc:Choice>
  </mc:AlternateContent>
  <xr:revisionPtr revIDLastSave="0" documentId="8_{ED3A1EE6-37E1-41FF-8B69-1C19EC59A8D3}" xr6:coauthVersionLast="47" xr6:coauthVersionMax="47" xr10:uidLastSave="{00000000-0000-0000-0000-000000000000}"/>
  <bookViews>
    <workbookView xWindow="-120" yWindow="-120" windowWidth="51840" windowHeight="21120" xr2:uid="{F99ABADA-9EEC-4FB1-89B4-0782FA5C5C5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11" i="2"/>
  <c r="D7" i="1"/>
</calcChain>
</file>

<file path=xl/sharedStrings.xml><?xml version="1.0" encoding="utf-8"?>
<sst xmlns="http://schemas.openxmlformats.org/spreadsheetml/2006/main" count="124" uniqueCount="25">
  <si>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</si>
  <si>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</si>
  <si>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</si>
  <si>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</si>
  <si>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</si>
  <si>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</si>
  <si>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</si>
  <si>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</si>
  <si>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</si>
  <si>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</si>
  <si>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</si>
  <si>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Extrajudicial - 0 a 28 semanas de atraso</t>
  </si>
  <si>
    <t>SOFIA</t>
  </si>
  <si>
    <t>TOTAL COBRADO</t>
  </si>
  <si>
    <t>Segmento</t>
  </si>
  <si>
    <t>AUTO</t>
  </si>
  <si>
    <t>CONSUMO</t>
  </si>
  <si>
    <t>CREDIMAX</t>
  </si>
  <si>
    <t>ITALIKA</t>
  </si>
  <si>
    <t>MAZ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</si>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</sst>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A3C3-C62A-4081-92C5-B30F269353F8}">
  <dimension ref="B2:D46"/>
  <sheetViews>
    <sheetView tabSelected="1" workbookViewId="0">
      <selection activeCell="B2" sqref="B2:D4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71450</v>
      </c>
    </row>
    <row r="5" spans="2:4" x14ac:dyDescent="0.25">
      <c r="B5" s="2" t="s">
        <v>2</v>
      </c>
      <c r="C5" s="3">
        <v>27686.010000000002</v>
      </c>
    </row>
    <row r="6" spans="2:4" ht="15.75" thickBot="1" x14ac:dyDescent="0.3">
      <c r="B6" s="2" t="s">
        <v>3</v>
      </c>
      <c r="C6" s="3">
        <v>50382.080000000002</v>
      </c>
      <c r="D6" s="1" t="s">
        <v>13</v>
      </c>
    </row>
    <row r="7" spans="2:4" ht="15.75" thickTop="1" x14ac:dyDescent="0.25">
      <c r="B7" s="4" t="s">
        <v>4</v>
      </c>
      <c r="C7" s="5">
        <v>149518.09000000003</v>
      </c>
      <c r="D7" s="5">
        <f>SUMIF(B:B, "Total general", C:C)</f>
        <v>419426.89</v>
      </c>
    </row>
    <row r="9" spans="2:4" x14ac:dyDescent="0.25">
      <c r="B9" s="6" t="s">
        <v>6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9707.4200000000019</v>
      </c>
    </row>
    <row r="12" spans="2:4" x14ac:dyDescent="0.25">
      <c r="B12" s="2" t="s">
        <v>2</v>
      </c>
      <c r="C12" s="3">
        <v>8779</v>
      </c>
    </row>
    <row r="13" spans="2:4" ht="15.75" thickBot="1" x14ac:dyDescent="0.3">
      <c r="B13" s="2" t="s">
        <v>3</v>
      </c>
      <c r="C13" s="3">
        <v>81090</v>
      </c>
    </row>
    <row r="14" spans="2:4" ht="15.75" thickTop="1" x14ac:dyDescent="0.25">
      <c r="B14" s="4" t="s">
        <v>4</v>
      </c>
      <c r="C14" s="5">
        <v>99576.42</v>
      </c>
    </row>
    <row r="16" spans="2:4" x14ac:dyDescent="0.25">
      <c r="B16" s="6" t="s">
        <v>7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20380.64</v>
      </c>
    </row>
    <row r="19" spans="2:3" x14ac:dyDescent="0.25">
      <c r="B19" s="2" t="s">
        <v>2</v>
      </c>
      <c r="C19" s="3">
        <v>40889</v>
      </c>
    </row>
    <row r="20" spans="2:3" ht="15.75" thickBot="1" x14ac:dyDescent="0.3">
      <c r="B20" s="2" t="s">
        <v>3</v>
      </c>
      <c r="C20" s="3">
        <v>14524.74</v>
      </c>
    </row>
    <row r="21" spans="2:3" ht="15.75" thickTop="1" x14ac:dyDescent="0.25">
      <c r="B21" s="4" t="s">
        <v>4</v>
      </c>
      <c r="C21" s="5">
        <v>75794.38</v>
      </c>
    </row>
    <row r="23" spans="2:3" x14ac:dyDescent="0.25">
      <c r="B23" s="6" t="s">
        <v>8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57214</v>
      </c>
    </row>
    <row r="26" spans="2:3" ht="15.75" thickBot="1" x14ac:dyDescent="0.3">
      <c r="B26" s="2" t="s">
        <v>3</v>
      </c>
      <c r="C26" s="3">
        <v>365</v>
      </c>
    </row>
    <row r="27" spans="2:3" ht="15.75" thickTop="1" x14ac:dyDescent="0.25">
      <c r="B27" s="4" t="s">
        <v>4</v>
      </c>
      <c r="C27" s="5">
        <v>57579</v>
      </c>
    </row>
    <row r="29" spans="2:3" x14ac:dyDescent="0.25">
      <c r="B29" s="6" t="s">
        <v>12</v>
      </c>
      <c r="C29" s="6"/>
    </row>
    <row r="30" spans="2:3" x14ac:dyDescent="0.25">
      <c r="B30" s="1" t="s">
        <v>14</v>
      </c>
      <c r="C30" s="1" t="s">
        <v>0</v>
      </c>
    </row>
    <row r="31" spans="2:3" x14ac:dyDescent="0.25">
      <c r="B31" s="2" t="s">
        <v>1</v>
      </c>
      <c r="C31" s="3">
        <v>25854</v>
      </c>
    </row>
    <row r="32" spans="2:3" ht="15.75" thickBot="1" x14ac:dyDescent="0.3">
      <c r="B32" s="2" t="s">
        <v>2</v>
      </c>
      <c r="C32" s="3">
        <v>5958</v>
      </c>
    </row>
    <row r="33" spans="2:3" ht="15.75" thickTop="1" x14ac:dyDescent="0.25">
      <c r="B33" s="4" t="s">
        <v>4</v>
      </c>
      <c r="C33" s="5">
        <v>31812</v>
      </c>
    </row>
    <row r="35" spans="2:3" x14ac:dyDescent="0.25">
      <c r="B35" s="6" t="s">
        <v>10</v>
      </c>
      <c r="C35" s="6"/>
    </row>
    <row r="36" spans="2:3" x14ac:dyDescent="0.25">
      <c r="B36" s="1" t="s">
        <v>14</v>
      </c>
      <c r="C36" s="1" t="s">
        <v>0</v>
      </c>
    </row>
    <row r="37" spans="2:3" x14ac:dyDescent="0.25">
      <c r="B37" s="2" t="s">
        <v>11</v>
      </c>
      <c r="C37" s="3">
        <v>364</v>
      </c>
    </row>
    <row r="38" spans="2:3" x14ac:dyDescent="0.25">
      <c r="B38" s="2" t="s">
        <v>1</v>
      </c>
      <c r="C38" s="3">
        <v>3393</v>
      </c>
    </row>
    <row r="39" spans="2:3" x14ac:dyDescent="0.25">
      <c r="B39" s="2" t="s">
        <v>2</v>
      </c>
      <c r="C39" s="3">
        <v>10</v>
      </c>
    </row>
    <row r="40" spans="2:3" ht="15.75" thickBot="1" x14ac:dyDescent="0.3">
      <c r="B40" s="2" t="s">
        <v>3</v>
      </c>
      <c r="C40" s="3">
        <v>300</v>
      </c>
    </row>
    <row r="41" spans="2:3" ht="15.75" thickTop="1" x14ac:dyDescent="0.25">
      <c r="B41" s="4" t="s">
        <v>4</v>
      </c>
      <c r="C41" s="5">
        <v>4067</v>
      </c>
    </row>
    <row r="43" spans="2:3" x14ac:dyDescent="0.25">
      <c r="B43" s="6" t="s">
        <v>9</v>
      </c>
      <c r="C43" s="6"/>
    </row>
    <row r="44" spans="2:3" x14ac:dyDescent="0.25">
      <c r="B44" s="1" t="s">
        <v>14</v>
      </c>
      <c r="C44" s="1" t="s">
        <v>0</v>
      </c>
    </row>
    <row r="45" spans="2:3" ht="15.75" thickBot="1" x14ac:dyDescent="0.3">
      <c r="B45" s="2" t="s">
        <v>1</v>
      </c>
      <c r="C45" s="3">
        <v>1080</v>
      </c>
    </row>
    <row r="46" spans="2:3" ht="15.75" thickTop="1" x14ac:dyDescent="0.25">
      <c r="B46" s="4" t="s">
        <v>4</v>
      </c>
      <c r="C46" s="5">
        <v>1080</v>
      </c>
    </row>
  </sheetData>
  <mergeCells count="7">
    <mergeCell ref="B29:C29"/>
    <mergeCell ref="B2:C2"/>
    <mergeCell ref="B9:C9"/>
    <mergeCell ref="B16:C16"/>
    <mergeCell ref="B23:C23"/>
    <mergeCell ref="B43:C43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9F2E-E15D-4185-9C9A-3912CFC24341}">
  <dimension ref="B2:D50"/>
  <sheetViews>
    <sheetView workbookViewId="0">
      <selection activeCell="B14" sqref="B1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3406</v>
      </c>
    </row>
    <row r="5" spans="2:4" x14ac:dyDescent="0.25">
      <c r="B5" s="2" t="s">
        <v>16</v>
      </c>
      <c r="C5" s="3">
        <v>711</v>
      </c>
    </row>
    <row r="6" spans="2:4" x14ac:dyDescent="0.25">
      <c r="B6" s="2" t="s">
        <v>17</v>
      </c>
      <c r="C6" s="3">
        <v>7212</v>
      </c>
    </row>
    <row r="7" spans="2:4" x14ac:dyDescent="0.25">
      <c r="B7" s="2" t="s">
        <v>18</v>
      </c>
      <c r="C7" s="3">
        <v>3377</v>
      </c>
    </row>
    <row r="8" spans="2:4" x14ac:dyDescent="0.25">
      <c r="B8" s="2" t="s">
        <v>19</v>
      </c>
      <c r="C8" s="3">
        <v>315</v>
      </c>
    </row>
    <row r="9" spans="2:4" x14ac:dyDescent="0.25">
      <c r="B9" s="2" t="s">
        <v>20</v>
      </c>
      <c r="C9" s="3">
        <v>21095</v>
      </c>
    </row>
    <row r="10" spans="2:4" ht="15.75" thickBot="1" x14ac:dyDescent="0.3">
      <c r="B10" s="2" t="s">
        <v>21</v>
      </c>
      <c r="C10" s="3">
        <v>113402.09000000001</v>
      </c>
      <c r="D10" s="1" t="s">
        <v>13</v>
      </c>
    </row>
    <row r="11" spans="2:4" ht="15.75" thickTop="1" x14ac:dyDescent="0.25">
      <c r="B11" s="4" t="s">
        <v>4</v>
      </c>
      <c r="C11" s="5">
        <v>149518.09000000003</v>
      </c>
      <c r="D11" s="5">
        <f>SUMIF(B:B, "Total general", C:C)</f>
        <v>419426.89</v>
      </c>
    </row>
    <row r="13" spans="2:4" x14ac:dyDescent="0.25">
      <c r="B13" s="6" t="s">
        <v>6</v>
      </c>
      <c r="C13" s="6"/>
    </row>
    <row r="14" spans="2:4" x14ac:dyDescent="0.25">
      <c r="B14" s="1" t="s">
        <v>22</v>
      </c>
      <c r="C14" s="1" t="s">
        <v>0</v>
      </c>
    </row>
    <row r="15" spans="2:4" x14ac:dyDescent="0.25">
      <c r="B15" s="2" t="s">
        <v>16</v>
      </c>
      <c r="C15" s="3">
        <v>2490</v>
      </c>
    </row>
    <row r="16" spans="2:4" x14ac:dyDescent="0.25">
      <c r="B16" s="2" t="s">
        <v>17</v>
      </c>
      <c r="C16" s="3">
        <v>76706</v>
      </c>
    </row>
    <row r="17" spans="2:3" x14ac:dyDescent="0.25">
      <c r="B17" s="2" t="s">
        <v>19</v>
      </c>
      <c r="C17" s="3">
        <v>1500</v>
      </c>
    </row>
    <row r="18" spans="2:3" x14ac:dyDescent="0.25">
      <c r="B18" s="2" t="s">
        <v>20</v>
      </c>
      <c r="C18" s="3">
        <v>5097</v>
      </c>
    </row>
    <row r="19" spans="2:3" ht="15.75" thickBot="1" x14ac:dyDescent="0.3">
      <c r="B19" s="2" t="s">
        <v>21</v>
      </c>
      <c r="C19" s="3">
        <v>13783.420000000002</v>
      </c>
    </row>
    <row r="20" spans="2:3" ht="15.75" thickTop="1" x14ac:dyDescent="0.25">
      <c r="B20" s="4" t="s">
        <v>4</v>
      </c>
      <c r="C20" s="5">
        <v>99576.42</v>
      </c>
    </row>
    <row r="22" spans="2:3" x14ac:dyDescent="0.25">
      <c r="B22" s="6" t="s">
        <v>7</v>
      </c>
      <c r="C22" s="6"/>
    </row>
    <row r="23" spans="2:3" x14ac:dyDescent="0.25">
      <c r="B23" s="1" t="s">
        <v>22</v>
      </c>
      <c r="C23" s="1" t="s">
        <v>0</v>
      </c>
    </row>
    <row r="24" spans="2:3" ht="15.75" thickBot="1" x14ac:dyDescent="0.3">
      <c r="B24" s="2" t="s">
        <v>21</v>
      </c>
      <c r="C24" s="3">
        <v>75794.38</v>
      </c>
    </row>
    <row r="25" spans="2:3" ht="15.75" thickTop="1" x14ac:dyDescent="0.25">
      <c r="B25" s="4" t="s">
        <v>4</v>
      </c>
      <c r="C25" s="5">
        <v>75794.38</v>
      </c>
    </row>
    <row r="27" spans="2:3" x14ac:dyDescent="0.25">
      <c r="B27" s="6" t="s">
        <v>8</v>
      </c>
      <c r="C27" s="6"/>
    </row>
    <row r="28" spans="2:3" x14ac:dyDescent="0.25">
      <c r="B28" s="1" t="s">
        <v>22</v>
      </c>
      <c r="C28" s="1" t="s">
        <v>0</v>
      </c>
    </row>
    <row r="29" spans="2:3" ht="15.75" thickBot="1" x14ac:dyDescent="0.3">
      <c r="B29" s="2" t="s">
        <v>21</v>
      </c>
      <c r="C29" s="3">
        <v>57579</v>
      </c>
    </row>
    <row r="30" spans="2:3" ht="15.75" thickTop="1" x14ac:dyDescent="0.25">
      <c r="B30" s="4" t="s">
        <v>4</v>
      </c>
      <c r="C30" s="5">
        <v>57579</v>
      </c>
    </row>
    <row r="32" spans="2:3" x14ac:dyDescent="0.25">
      <c r="B32" s="6" t="s">
        <v>12</v>
      </c>
      <c r="C32" s="6"/>
    </row>
    <row r="33" spans="2:3" x14ac:dyDescent="0.25">
      <c r="B33" s="1" t="s">
        <v>22</v>
      </c>
      <c r="C33" s="1" t="s">
        <v>0</v>
      </c>
    </row>
    <row r="34" spans="2:3" x14ac:dyDescent="0.25">
      <c r="B34" s="2" t="s">
        <v>20</v>
      </c>
      <c r="C34" s="3">
        <v>600</v>
      </c>
    </row>
    <row r="35" spans="2:3" ht="15.75" thickBot="1" x14ac:dyDescent="0.3">
      <c r="B35" s="2" t="s">
        <v>21</v>
      </c>
      <c r="C35" s="3">
        <v>31212</v>
      </c>
    </row>
    <row r="36" spans="2:3" ht="15.75" thickTop="1" x14ac:dyDescent="0.25">
      <c r="B36" s="4" t="s">
        <v>4</v>
      </c>
      <c r="C36" s="5">
        <v>31812</v>
      </c>
    </row>
    <row r="38" spans="2:3" x14ac:dyDescent="0.25">
      <c r="B38" s="6" t="s">
        <v>10</v>
      </c>
      <c r="C38" s="6"/>
    </row>
    <row r="39" spans="2:3" x14ac:dyDescent="0.25">
      <c r="B39" s="1" t="s">
        <v>22</v>
      </c>
      <c r="C39" s="1" t="s">
        <v>0</v>
      </c>
    </row>
    <row r="40" spans="2:3" x14ac:dyDescent="0.25">
      <c r="B40" s="2" t="s">
        <v>16</v>
      </c>
      <c r="C40" s="3">
        <v>2911</v>
      </c>
    </row>
    <row r="41" spans="2:3" x14ac:dyDescent="0.25">
      <c r="B41" s="2" t="s">
        <v>17</v>
      </c>
      <c r="C41" s="3">
        <v>796</v>
      </c>
    </row>
    <row r="42" spans="2:3" x14ac:dyDescent="0.25">
      <c r="B42" s="2" t="s">
        <v>20</v>
      </c>
      <c r="C42" s="3">
        <v>10</v>
      </c>
    </row>
    <row r="43" spans="2:3" ht="15.75" thickBot="1" x14ac:dyDescent="0.3">
      <c r="B43" s="2" t="s">
        <v>21</v>
      </c>
      <c r="C43" s="3">
        <v>350</v>
      </c>
    </row>
    <row r="44" spans="2:3" ht="15.75" thickTop="1" x14ac:dyDescent="0.25">
      <c r="B44" s="4" t="s">
        <v>4</v>
      </c>
      <c r="C44" s="5">
        <v>4067</v>
      </c>
    </row>
    <row r="46" spans="2:3" x14ac:dyDescent="0.25">
      <c r="B46" s="6" t="s">
        <v>9</v>
      </c>
      <c r="C46" s="6"/>
    </row>
    <row r="47" spans="2:3" x14ac:dyDescent="0.25">
      <c r="B47" s="1" t="s">
        <v>22</v>
      </c>
      <c r="C47" s="1" t="s">
        <v>0</v>
      </c>
    </row>
    <row r="48" spans="2:3" x14ac:dyDescent="0.25">
      <c r="B48" s="2" t="s">
        <v>16</v>
      </c>
      <c r="C48" s="3">
        <v>780</v>
      </c>
    </row>
    <row r="49" spans="2:3" ht="15.75" thickBot="1" x14ac:dyDescent="0.3">
      <c r="B49" s="2" t="s">
        <v>20</v>
      </c>
      <c r="C49" s="3">
        <v>300</v>
      </c>
    </row>
    <row r="50" spans="2:3" ht="15.75" thickTop="1" x14ac:dyDescent="0.25">
      <c r="B50" s="4" t="s">
        <v>4</v>
      </c>
      <c r="C50" s="5">
        <v>1080</v>
      </c>
    </row>
  </sheetData>
  <mergeCells count="7">
    <mergeCell ref="B46:C46"/>
    <mergeCell ref="B2:C2"/>
    <mergeCell ref="B13:C13"/>
    <mergeCell ref="B22:C22"/>
    <mergeCell ref="B27:C27"/>
    <mergeCell ref="B32:C32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075D-6A8B-4CB9-81F1-0BEF50548D76}">
  <dimension ref="B2:D25"/>
  <sheetViews>
    <sheetView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15042</v>
      </c>
    </row>
    <row r="6" spans="2:4" ht="15.75" thickBot="1" x14ac:dyDescent="0.3">
      <c r="B6" s="2" t="s">
        <v>2</v>
      </c>
      <c r="C6" s="3">
        <v>3536</v>
      </c>
      <c r="D6" s="1" t="s">
        <v>13</v>
      </c>
    </row>
    <row r="7" spans="2:4" ht="15.75" thickTop="1" x14ac:dyDescent="0.25">
      <c r="B7" s="4" t="s">
        <v>4</v>
      </c>
      <c r="C7" s="5">
        <v>18578</v>
      </c>
      <c r="D7" s="5">
        <f>SUMIF(B:B, "Total general", C:C)</f>
        <v>24369</v>
      </c>
    </row>
    <row r="9" spans="2:4" x14ac:dyDescent="0.25">
      <c r="B9" s="6" t="s">
        <v>10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11</v>
      </c>
      <c r="C11" s="3">
        <v>364</v>
      </c>
    </row>
    <row r="12" spans="2:4" x14ac:dyDescent="0.25">
      <c r="B12" s="2" t="s">
        <v>1</v>
      </c>
      <c r="C12" s="3">
        <v>3393</v>
      </c>
    </row>
    <row r="13" spans="2:4" x14ac:dyDescent="0.25">
      <c r="B13" s="2" t="s">
        <v>2</v>
      </c>
      <c r="C13" s="3">
        <v>10</v>
      </c>
    </row>
    <row r="14" spans="2:4" ht="15.75" thickBot="1" x14ac:dyDescent="0.3">
      <c r="B14" s="2" t="s">
        <v>3</v>
      </c>
      <c r="C14" s="3">
        <v>300</v>
      </c>
    </row>
    <row r="15" spans="2:4" ht="15.75" thickTop="1" x14ac:dyDescent="0.25">
      <c r="B15" s="4" t="s">
        <v>4</v>
      </c>
      <c r="C15" s="5">
        <v>4067</v>
      </c>
    </row>
    <row r="17" spans="2:3" x14ac:dyDescent="0.25">
      <c r="B17" s="6" t="s">
        <v>7</v>
      </c>
      <c r="C17" s="6"/>
    </row>
    <row r="18" spans="2:3" x14ac:dyDescent="0.25">
      <c r="B18" s="1" t="s">
        <v>14</v>
      </c>
      <c r="C18" s="1" t="s">
        <v>0</v>
      </c>
    </row>
    <row r="19" spans="2:3" ht="15.75" thickBot="1" x14ac:dyDescent="0.3">
      <c r="B19" s="2" t="s">
        <v>2</v>
      </c>
      <c r="C19" s="3">
        <v>1050</v>
      </c>
    </row>
    <row r="20" spans="2:3" ht="15.75" thickTop="1" x14ac:dyDescent="0.25">
      <c r="B20" s="4" t="s">
        <v>4</v>
      </c>
      <c r="C20" s="5">
        <v>1050</v>
      </c>
    </row>
    <row r="22" spans="2:3" x14ac:dyDescent="0.25">
      <c r="B22" s="6" t="s">
        <v>5</v>
      </c>
      <c r="C22" s="6"/>
    </row>
    <row r="23" spans="2:3" x14ac:dyDescent="0.25">
      <c r="B23" s="1" t="s">
        <v>14</v>
      </c>
      <c r="C23" s="1" t="s">
        <v>0</v>
      </c>
    </row>
    <row r="24" spans="2:3" ht="15.75" thickBot="1" x14ac:dyDescent="0.3">
      <c r="B24" s="2" t="s">
        <v>3</v>
      </c>
      <c r="C24" s="3">
        <v>674</v>
      </c>
    </row>
    <row r="25" spans="2:3" ht="15.75" thickTop="1" x14ac:dyDescent="0.25">
      <c r="B25" s="4" t="s">
        <v>4</v>
      </c>
      <c r="C25" s="5">
        <v>674</v>
      </c>
    </row>
  </sheetData>
  <mergeCells count="5">
    <mergeCell ref="B3:C3"/>
    <mergeCell ref="B2:C2"/>
    <mergeCell ref="B17:C17"/>
    <mergeCell ref="B9:C9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2025-08-13T03:49:45Z</dcterms:created>
  <dcterms:modified xsi:type="dcterms:W3CDTF">2025-08-13T03:55:42Z</dcterms:modified>
</cp:coreProperties>
</file>