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3\12 AGO\TARDE2\"/>
    </mc:Choice>
  </mc:AlternateContent>
  <xr:revisionPtr revIDLastSave="0" documentId="8_{036E4D18-0AC4-4BBA-B6A4-019F850D5C6C}" xr6:coauthVersionLast="47" xr6:coauthVersionMax="47" xr10:uidLastSave="{00000000-0000-0000-0000-000000000000}"/>
  <bookViews>
    <workbookView xWindow="-120" yWindow="-120" windowWidth="51840" windowHeight="21120" xr2:uid="{8B8A8348-E3D6-40BC-A871-6DACB79EC60C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3" l="1"/>
  <c r="D8" i="2"/>
  <c r="D7" i="1"/>
</calcChain>
</file>

<file path=xl/sharedStrings.xml><?xml version="1.0" encoding="utf-8"?>
<sst xmlns="http://schemas.openxmlformats.org/spreadsheetml/2006/main" count="97" uniqueCount="22">
  <si>
    <t>Suma de Recuperación por Gestión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</si>
  <si>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</si>
  <si>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</si>
  <si>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</si>
  <si>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</si>
  <si>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</si>
  <si>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</si>
  <si>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</si>
  <si>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</si>
  <si>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OLGUIN</t>
  </si>
  <si>
    <t>SOFIA</t>
  </si>
  <si>
    <t>TOTAL COBRADO</t>
  </si>
  <si>
    <t>Segmento</t>
  </si>
  <si>
    <t>CREDIMAX</t>
  </si>
  <si>
    <t>MAZ</t>
  </si>
  <si>
    <t>REESTRUCTURA</t>
  </si>
  <si>
    <t>TOR</t>
  </si>
  <si>
    <t>CONSUMO</t>
  </si>
  <si>
    <t>ITALIKA</t>
  </si>
  <si>
    <t>Producto</t>
  </si>
  <si>
    <t>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</si>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</sst>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9FCB0-6079-4787-BC33-83CEF76F1D56}">
  <dimension ref="B2:D38"/>
  <sheetViews>
    <sheetView tabSelected="1" workbookViewId="0">
      <selection activeCell="B2" sqref="B2:D38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6</v>
      </c>
      <c r="C2" s="6"/>
    </row>
    <row r="3" spans="2:4" x14ac:dyDescent="0.25">
      <c r="B3" s="1" t="s">
        <v>12</v>
      </c>
      <c r="C3" s="1" t="s">
        <v>0</v>
      </c>
    </row>
    <row r="4" spans="2:4" x14ac:dyDescent="0.25">
      <c r="B4" s="2" t="s">
        <v>1</v>
      </c>
      <c r="C4" s="3">
        <v>713.89</v>
      </c>
    </row>
    <row r="5" spans="2:4" x14ac:dyDescent="0.25">
      <c r="B5" s="2" t="s">
        <v>2</v>
      </c>
      <c r="C5" s="3">
        <v>3826</v>
      </c>
    </row>
    <row r="6" spans="2:4" ht="15.75" thickBot="1" x14ac:dyDescent="0.3">
      <c r="B6" s="2" t="s">
        <v>3</v>
      </c>
      <c r="C6" s="3">
        <v>78726</v>
      </c>
      <c r="D6" s="1" t="s">
        <v>11</v>
      </c>
    </row>
    <row r="7" spans="2:4" ht="15.75" thickTop="1" x14ac:dyDescent="0.25">
      <c r="B7" s="4" t="s">
        <v>4</v>
      </c>
      <c r="C7" s="5">
        <v>83265.89</v>
      </c>
      <c r="D7" s="5">
        <f>SUMIF(B:B, "Total general", C:C)</f>
        <v>174513.97</v>
      </c>
    </row>
    <row r="9" spans="2:4" x14ac:dyDescent="0.25">
      <c r="B9" s="6" t="s">
        <v>5</v>
      </c>
      <c r="C9" s="6"/>
    </row>
    <row r="10" spans="2:4" x14ac:dyDescent="0.25">
      <c r="B10" s="1" t="s">
        <v>12</v>
      </c>
      <c r="C10" s="1" t="s">
        <v>0</v>
      </c>
    </row>
    <row r="11" spans="2:4" x14ac:dyDescent="0.25">
      <c r="B11" s="2" t="s">
        <v>1</v>
      </c>
      <c r="C11" s="3">
        <v>18101</v>
      </c>
    </row>
    <row r="12" spans="2:4" x14ac:dyDescent="0.25">
      <c r="B12" s="2" t="s">
        <v>2</v>
      </c>
      <c r="C12" s="3">
        <v>10679</v>
      </c>
    </row>
    <row r="13" spans="2:4" ht="15.75" thickBot="1" x14ac:dyDescent="0.3">
      <c r="B13" s="2" t="s">
        <v>3</v>
      </c>
      <c r="C13" s="3">
        <v>28478.080000000002</v>
      </c>
    </row>
    <row r="14" spans="2:4" ht="15.75" thickTop="1" x14ac:dyDescent="0.25">
      <c r="B14" s="4" t="s">
        <v>4</v>
      </c>
      <c r="C14" s="5">
        <v>57258.080000000002</v>
      </c>
    </row>
    <row r="16" spans="2:4" x14ac:dyDescent="0.25">
      <c r="B16" s="6" t="s">
        <v>10</v>
      </c>
      <c r="C16" s="6"/>
    </row>
    <row r="17" spans="2:3" x14ac:dyDescent="0.25">
      <c r="B17" s="1" t="s">
        <v>12</v>
      </c>
      <c r="C17" s="1" t="s">
        <v>0</v>
      </c>
    </row>
    <row r="18" spans="2:3" x14ac:dyDescent="0.25">
      <c r="B18" s="2" t="s">
        <v>1</v>
      </c>
      <c r="C18" s="3">
        <v>21013</v>
      </c>
    </row>
    <row r="19" spans="2:3" ht="15.75" thickBot="1" x14ac:dyDescent="0.3">
      <c r="B19" s="2" t="s">
        <v>2</v>
      </c>
      <c r="C19" s="3">
        <v>3140</v>
      </c>
    </row>
    <row r="20" spans="2:3" ht="15.75" thickTop="1" x14ac:dyDescent="0.25">
      <c r="B20" s="4" t="s">
        <v>4</v>
      </c>
      <c r="C20" s="5">
        <v>24153</v>
      </c>
    </row>
    <row r="22" spans="2:3" x14ac:dyDescent="0.25">
      <c r="B22" s="6" t="s">
        <v>7</v>
      </c>
      <c r="C22" s="6"/>
    </row>
    <row r="23" spans="2:3" x14ac:dyDescent="0.25">
      <c r="B23" s="1" t="s">
        <v>12</v>
      </c>
      <c r="C23" s="1" t="s">
        <v>0</v>
      </c>
    </row>
    <row r="24" spans="2:3" x14ac:dyDescent="0.25">
      <c r="B24" s="2" t="s">
        <v>1</v>
      </c>
      <c r="C24" s="3">
        <v>829</v>
      </c>
    </row>
    <row r="25" spans="2:3" x14ac:dyDescent="0.25">
      <c r="B25" s="2" t="s">
        <v>2</v>
      </c>
      <c r="C25" s="3">
        <v>1730</v>
      </c>
    </row>
    <row r="26" spans="2:3" ht="15.75" thickBot="1" x14ac:dyDescent="0.3">
      <c r="B26" s="2" t="s">
        <v>3</v>
      </c>
      <c r="C26" s="3">
        <v>5927</v>
      </c>
    </row>
    <row r="27" spans="2:3" ht="15.75" thickTop="1" x14ac:dyDescent="0.25">
      <c r="B27" s="4" t="s">
        <v>4</v>
      </c>
      <c r="C27" s="5">
        <v>8486</v>
      </c>
    </row>
    <row r="29" spans="2:3" x14ac:dyDescent="0.25">
      <c r="B29" s="6" t="s">
        <v>9</v>
      </c>
      <c r="C29" s="6"/>
    </row>
    <row r="30" spans="2:3" x14ac:dyDescent="0.25">
      <c r="B30" s="1" t="s">
        <v>12</v>
      </c>
      <c r="C30" s="1" t="s">
        <v>0</v>
      </c>
    </row>
    <row r="31" spans="2:3" x14ac:dyDescent="0.25">
      <c r="B31" s="2" t="s">
        <v>1</v>
      </c>
      <c r="C31" s="3">
        <v>686</v>
      </c>
    </row>
    <row r="32" spans="2:3" ht="15.75" thickBot="1" x14ac:dyDescent="0.3">
      <c r="B32" s="2" t="s">
        <v>3</v>
      </c>
      <c r="C32" s="3">
        <v>300</v>
      </c>
    </row>
    <row r="33" spans="2:3" ht="15.75" thickTop="1" x14ac:dyDescent="0.25">
      <c r="B33" s="4" t="s">
        <v>4</v>
      </c>
      <c r="C33" s="5">
        <v>986</v>
      </c>
    </row>
    <row r="35" spans="2:3" x14ac:dyDescent="0.25">
      <c r="B35" s="6" t="s">
        <v>8</v>
      </c>
      <c r="C35" s="6"/>
    </row>
    <row r="36" spans="2:3" x14ac:dyDescent="0.25">
      <c r="B36" s="1" t="s">
        <v>12</v>
      </c>
      <c r="C36" s="1" t="s">
        <v>0</v>
      </c>
    </row>
    <row r="37" spans="2:3" ht="15.75" thickBot="1" x14ac:dyDescent="0.3">
      <c r="B37" s="2" t="s">
        <v>3</v>
      </c>
      <c r="C37" s="3">
        <v>365</v>
      </c>
    </row>
    <row r="38" spans="2:3" ht="15.75" thickTop="1" x14ac:dyDescent="0.25">
      <c r="B38" s="4" t="s">
        <v>4</v>
      </c>
      <c r="C38" s="5">
        <v>365</v>
      </c>
    </row>
  </sheetData>
  <mergeCells count="6">
    <mergeCell ref="B9:C9"/>
    <mergeCell ref="B2:C2"/>
    <mergeCell ref="B22:C22"/>
    <mergeCell ref="B35:C35"/>
    <mergeCell ref="B29:C29"/>
    <mergeCell ref="B16:C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12F78-A6C5-44F9-9818-D8C4DCB14054}">
  <dimension ref="B2:D38"/>
  <sheetViews>
    <sheetView workbookViewId="0">
      <selection activeCell="B3" sqref="B3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6</v>
      </c>
      <c r="C2" s="6"/>
    </row>
    <row r="3" spans="2:4" x14ac:dyDescent="0.25">
      <c r="B3" s="1" t="s">
        <v>19</v>
      </c>
      <c r="C3" s="1" t="s">
        <v>0</v>
      </c>
    </row>
    <row r="4" spans="2:4" x14ac:dyDescent="0.25">
      <c r="B4" s="2" t="s">
        <v>13</v>
      </c>
      <c r="C4" s="3">
        <v>76078</v>
      </c>
    </row>
    <row r="5" spans="2:4" x14ac:dyDescent="0.25">
      <c r="B5" s="2" t="s">
        <v>14</v>
      </c>
      <c r="C5" s="3">
        <v>564</v>
      </c>
    </row>
    <row r="6" spans="2:4" x14ac:dyDescent="0.25">
      <c r="B6" s="2" t="s">
        <v>15</v>
      </c>
      <c r="C6" s="3">
        <v>2500</v>
      </c>
    </row>
    <row r="7" spans="2:4" ht="15.75" thickBot="1" x14ac:dyDescent="0.3">
      <c r="B7" s="2" t="s">
        <v>16</v>
      </c>
      <c r="C7" s="3">
        <v>4123.8899999999994</v>
      </c>
      <c r="D7" s="1" t="s">
        <v>11</v>
      </c>
    </row>
    <row r="8" spans="2:4" ht="15.75" thickTop="1" x14ac:dyDescent="0.25">
      <c r="B8" s="4" t="s">
        <v>4</v>
      </c>
      <c r="C8" s="5">
        <v>83265.89</v>
      </c>
      <c r="D8" s="5">
        <f>SUMIF(B:B, "Total general", C:C)</f>
        <v>174513.97</v>
      </c>
    </row>
    <row r="10" spans="2:4" x14ac:dyDescent="0.25">
      <c r="B10" s="6" t="s">
        <v>5</v>
      </c>
      <c r="C10" s="6"/>
    </row>
    <row r="11" spans="2:4" x14ac:dyDescent="0.25">
      <c r="B11" s="1" t="s">
        <v>19</v>
      </c>
      <c r="C11" s="1" t="s">
        <v>0</v>
      </c>
    </row>
    <row r="12" spans="2:4" x14ac:dyDescent="0.25">
      <c r="B12" s="2" t="s">
        <v>17</v>
      </c>
      <c r="C12" s="3">
        <v>61</v>
      </c>
    </row>
    <row r="13" spans="2:4" x14ac:dyDescent="0.25">
      <c r="B13" s="2" t="s">
        <v>13</v>
      </c>
      <c r="C13" s="3">
        <v>1837</v>
      </c>
    </row>
    <row r="14" spans="2:4" x14ac:dyDescent="0.25">
      <c r="B14" s="2" t="s">
        <v>18</v>
      </c>
      <c r="C14" s="3">
        <v>3377</v>
      </c>
    </row>
    <row r="15" spans="2:4" x14ac:dyDescent="0.25">
      <c r="B15" s="2" t="s">
        <v>15</v>
      </c>
      <c r="C15" s="3">
        <v>3898</v>
      </c>
    </row>
    <row r="16" spans="2:4" ht="15.75" thickBot="1" x14ac:dyDescent="0.3">
      <c r="B16" s="2" t="s">
        <v>16</v>
      </c>
      <c r="C16" s="3">
        <v>48085.08</v>
      </c>
    </row>
    <row r="17" spans="2:3" ht="15.75" thickTop="1" x14ac:dyDescent="0.25">
      <c r="B17" s="4" t="s">
        <v>4</v>
      </c>
      <c r="C17" s="5">
        <v>57258.080000000002</v>
      </c>
    </row>
    <row r="19" spans="2:3" x14ac:dyDescent="0.25">
      <c r="B19" s="6" t="s">
        <v>10</v>
      </c>
      <c r="C19" s="6"/>
    </row>
    <row r="20" spans="2:3" x14ac:dyDescent="0.25">
      <c r="B20" s="1" t="s">
        <v>19</v>
      </c>
      <c r="C20" s="1" t="s">
        <v>0</v>
      </c>
    </row>
    <row r="21" spans="2:3" ht="15.75" thickBot="1" x14ac:dyDescent="0.3">
      <c r="B21" s="2" t="s">
        <v>16</v>
      </c>
      <c r="C21" s="3">
        <v>24153</v>
      </c>
    </row>
    <row r="22" spans="2:3" ht="15.75" thickTop="1" x14ac:dyDescent="0.25">
      <c r="B22" s="4" t="s">
        <v>4</v>
      </c>
      <c r="C22" s="5">
        <v>24153</v>
      </c>
    </row>
    <row r="24" spans="2:3" x14ac:dyDescent="0.25">
      <c r="B24" s="6" t="s">
        <v>7</v>
      </c>
      <c r="C24" s="6"/>
    </row>
    <row r="25" spans="2:3" x14ac:dyDescent="0.25">
      <c r="B25" s="1" t="s">
        <v>19</v>
      </c>
      <c r="C25" s="1" t="s">
        <v>0</v>
      </c>
    </row>
    <row r="26" spans="2:3" ht="15.75" thickBot="1" x14ac:dyDescent="0.3">
      <c r="B26" s="2" t="s">
        <v>16</v>
      </c>
      <c r="C26" s="3">
        <v>8486</v>
      </c>
    </row>
    <row r="27" spans="2:3" ht="15.75" thickTop="1" x14ac:dyDescent="0.25">
      <c r="B27" s="4" t="s">
        <v>4</v>
      </c>
      <c r="C27" s="5">
        <v>8486</v>
      </c>
    </row>
    <row r="29" spans="2:3" x14ac:dyDescent="0.25">
      <c r="B29" s="6" t="s">
        <v>9</v>
      </c>
      <c r="C29" s="6"/>
    </row>
    <row r="30" spans="2:3" x14ac:dyDescent="0.25">
      <c r="B30" s="1" t="s">
        <v>19</v>
      </c>
      <c r="C30" s="1" t="s">
        <v>0</v>
      </c>
    </row>
    <row r="31" spans="2:3" x14ac:dyDescent="0.25">
      <c r="B31" s="2" t="s">
        <v>13</v>
      </c>
      <c r="C31" s="3">
        <v>796</v>
      </c>
    </row>
    <row r="32" spans="2:3" ht="15.75" thickBot="1" x14ac:dyDescent="0.3">
      <c r="B32" s="2" t="s">
        <v>16</v>
      </c>
      <c r="C32" s="3">
        <v>190</v>
      </c>
    </row>
    <row r="33" spans="2:3" ht="15.75" thickTop="1" x14ac:dyDescent="0.25">
      <c r="B33" s="4" t="s">
        <v>4</v>
      </c>
      <c r="C33" s="5">
        <v>986</v>
      </c>
    </row>
    <row r="35" spans="2:3" x14ac:dyDescent="0.25">
      <c r="B35" s="6" t="s">
        <v>8</v>
      </c>
      <c r="C35" s="6"/>
    </row>
    <row r="36" spans="2:3" x14ac:dyDescent="0.25">
      <c r="B36" s="1" t="s">
        <v>19</v>
      </c>
      <c r="C36" s="1" t="s">
        <v>0</v>
      </c>
    </row>
    <row r="37" spans="2:3" ht="15.75" thickBot="1" x14ac:dyDescent="0.3">
      <c r="B37" s="2" t="s">
        <v>16</v>
      </c>
      <c r="C37" s="3">
        <v>365</v>
      </c>
    </row>
    <row r="38" spans="2:3" ht="15.75" thickTop="1" x14ac:dyDescent="0.25">
      <c r="B38" s="4" t="s">
        <v>4</v>
      </c>
      <c r="C38" s="5">
        <v>365</v>
      </c>
    </row>
  </sheetData>
  <mergeCells count="6">
    <mergeCell ref="B2:C2"/>
    <mergeCell ref="B10:C10"/>
    <mergeCell ref="B19:C19"/>
    <mergeCell ref="B24:C24"/>
    <mergeCell ref="B29:C29"/>
    <mergeCell ref="B35:C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4789E-9ABB-45C8-8714-DF810A002277}">
  <dimension ref="B2:D18"/>
  <sheetViews>
    <sheetView workbookViewId="0">
      <selection activeCell="B2" sqref="B2:C2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21</v>
      </c>
      <c r="C2" s="6"/>
    </row>
    <row r="3" spans="2:4" x14ac:dyDescent="0.25">
      <c r="B3" s="6" t="s">
        <v>20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1886</v>
      </c>
    </row>
    <row r="6" spans="2:4" ht="15.75" thickBot="1" x14ac:dyDescent="0.3">
      <c r="B6" s="2" t="s">
        <v>2</v>
      </c>
      <c r="C6" s="3">
        <v>1882</v>
      </c>
      <c r="D6" s="1" t="s">
        <v>11</v>
      </c>
    </row>
    <row r="7" spans="2:4" ht="15.75" thickTop="1" x14ac:dyDescent="0.25">
      <c r="B7" s="4" t="s">
        <v>4</v>
      </c>
      <c r="C7" s="5">
        <v>3768</v>
      </c>
      <c r="D7" s="5">
        <f>SUMIF(B:B, "Total general", C:C)</f>
        <v>5428</v>
      </c>
    </row>
    <row r="9" spans="2:4" x14ac:dyDescent="0.25">
      <c r="B9" s="6" t="s">
        <v>9</v>
      </c>
      <c r="C9" s="6"/>
    </row>
    <row r="10" spans="2:4" x14ac:dyDescent="0.25">
      <c r="B10" s="1" t="s">
        <v>12</v>
      </c>
      <c r="C10" s="1" t="s">
        <v>0</v>
      </c>
    </row>
    <row r="11" spans="2:4" x14ac:dyDescent="0.25">
      <c r="B11" s="2" t="s">
        <v>1</v>
      </c>
      <c r="C11" s="3">
        <v>686</v>
      </c>
    </row>
    <row r="12" spans="2:4" ht="15.75" thickBot="1" x14ac:dyDescent="0.3">
      <c r="B12" s="2" t="s">
        <v>3</v>
      </c>
      <c r="C12" s="3">
        <v>300</v>
      </c>
    </row>
    <row r="13" spans="2:4" ht="15.75" thickTop="1" x14ac:dyDescent="0.25">
      <c r="B13" s="4" t="s">
        <v>4</v>
      </c>
      <c r="C13" s="5">
        <v>986</v>
      </c>
    </row>
    <row r="15" spans="2:4" x14ac:dyDescent="0.25">
      <c r="B15" s="6" t="s">
        <v>5</v>
      </c>
      <c r="C15" s="6"/>
    </row>
    <row r="16" spans="2:4" x14ac:dyDescent="0.25">
      <c r="B16" s="1" t="s">
        <v>12</v>
      </c>
      <c r="C16" s="1" t="s">
        <v>0</v>
      </c>
    </row>
    <row r="17" spans="2:3" ht="15.75" thickBot="1" x14ac:dyDescent="0.3">
      <c r="B17" s="2" t="s">
        <v>3</v>
      </c>
      <c r="C17" s="3">
        <v>674</v>
      </c>
    </row>
    <row r="18" spans="2:3" ht="15.75" thickTop="1" x14ac:dyDescent="0.25">
      <c r="B18" s="4" t="s">
        <v>4</v>
      </c>
      <c r="C18" s="5">
        <v>674</v>
      </c>
    </row>
  </sheetData>
  <mergeCells count="4">
    <mergeCell ref="B3:C3"/>
    <mergeCell ref="B2:C2"/>
    <mergeCell ref="B9:C9"/>
    <mergeCell ref="B15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2025-08-12T22:26:07Z</dcterms:created>
  <dcterms:modified xsi:type="dcterms:W3CDTF">2025-08-12T22:31:36Z</dcterms:modified>
</cp:coreProperties>
</file>