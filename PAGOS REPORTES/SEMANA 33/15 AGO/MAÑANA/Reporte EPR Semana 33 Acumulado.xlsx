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33\15 AGO\MAÑANA\"/>
    </mc:Choice>
  </mc:AlternateContent>
  <xr:revisionPtr revIDLastSave="0" documentId="13_ncr:1_{4EC8E8E0-930A-4775-B05E-CCB4BABE4D56}" xr6:coauthVersionLast="47" xr6:coauthVersionMax="47" xr10:uidLastSave="{00000000-0000-0000-0000-000000000000}"/>
  <bookViews>
    <workbookView xWindow="-108" yWindow="-108" windowWidth="23256" windowHeight="12456" xr2:uid="{4DC6C92A-CD8A-4966-829B-0B6A986E825B}"/>
  </bookViews>
  <sheets>
    <sheet name="REPORTE DIARIO" sheetId="1" r:id="rId1"/>
    <sheet name="CDC-OLGUIN" sheetId="5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2" i="5" l="1"/>
  <c r="C52" i="5"/>
  <c r="D59" i="1"/>
  <c r="C59" i="1"/>
  <c r="D68" i="5"/>
  <c r="D60" i="5"/>
  <c r="C60" i="5"/>
  <c r="C68" i="5"/>
  <c r="D45" i="5"/>
  <c r="C45" i="5"/>
  <c r="D36" i="5"/>
  <c r="C36" i="5"/>
  <c r="D27" i="5"/>
  <c r="C27" i="5"/>
  <c r="D65" i="1"/>
  <c r="C65" i="1"/>
  <c r="D10" i="5"/>
  <c r="D18" i="5"/>
  <c r="C18" i="5"/>
  <c r="C10" i="5"/>
  <c r="J9" i="3"/>
  <c r="J8" i="3"/>
  <c r="J7" i="3"/>
  <c r="J6" i="3"/>
  <c r="C44" i="1"/>
  <c r="D70" i="5" l="1"/>
  <c r="C70" i="5"/>
  <c r="C28" i="1"/>
  <c r="D28" i="1"/>
  <c r="D19" i="1"/>
  <c r="C19" i="1"/>
  <c r="D6" i="3"/>
  <c r="D52" i="1"/>
  <c r="C52" i="1"/>
  <c r="D44" i="1"/>
  <c r="D36" i="1" l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7" i="1" l="1"/>
  <c r="D6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<sst xmlns="http://schemas.openxmlformats.org/spreadsheetml/2006/main" count="176" uniqueCount="40">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</sst>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tabSelected="1" topLeftCell="A40" zoomScaleNormal="100" workbookViewId="0">
      <selection activeCell="D66" sqref="D66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8" t="s">
        <v>0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1</v>
      </c>
      <c r="D5" s="25">
        <v>199183.66</v>
      </c>
    </row>
    <row r="6" spans="2:8" x14ac:dyDescent="0.3">
      <c r="B6" s="1" t="s">
        <v>5</v>
      </c>
      <c r="C6" s="6">
        <v>9015</v>
      </c>
      <c r="D6" s="25">
        <v>407425.95999999996</v>
      </c>
    </row>
    <row r="7" spans="2:8" x14ac:dyDescent="0.3">
      <c r="B7" s="1" t="s">
        <v>6</v>
      </c>
      <c r="C7" s="6">
        <v>7105</v>
      </c>
      <c r="D7" s="25">
        <v>130216.55</v>
      </c>
    </row>
    <row r="8" spans="2:8" x14ac:dyDescent="0.3">
      <c r="B8" s="5" t="s">
        <v>12</v>
      </c>
      <c r="C8" s="7">
        <v>1244</v>
      </c>
      <c r="D8" s="25">
        <v>1000</v>
      </c>
    </row>
    <row r="9" spans="2:8" x14ac:dyDescent="0.3">
      <c r="B9" s="1" t="s">
        <v>7</v>
      </c>
      <c r="C9" s="6">
        <v>33133</v>
      </c>
      <c r="D9" s="25">
        <v>222986.24999999997</v>
      </c>
      <c r="E9" s="14"/>
      <c r="F9" s="7"/>
    </row>
    <row r="10" spans="2:8" x14ac:dyDescent="0.3">
      <c r="B10" s="3" t="s">
        <v>8</v>
      </c>
      <c r="C10" s="8">
        <f>SUM(C5:C9)</f>
        <v>50498</v>
      </c>
      <c r="D10" s="4">
        <f>SUM(D5:D9)</f>
        <v>960812.42</v>
      </c>
      <c r="E10" s="11" t="s">
        <v>14</v>
      </c>
    </row>
    <row r="12" spans="2:8" x14ac:dyDescent="0.3">
      <c r="B12" s="29" t="s">
        <v>10</v>
      </c>
      <c r="C12" s="29"/>
      <c r="D12" s="29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6">
        <v>11</v>
      </c>
      <c r="D14" s="25">
        <v>63239.07</v>
      </c>
    </row>
    <row r="15" spans="2:8" x14ac:dyDescent="0.3">
      <c r="B15" s="9" t="s">
        <v>5</v>
      </c>
      <c r="C15" s="6">
        <v>2904</v>
      </c>
      <c r="D15" s="25">
        <v>229085.82</v>
      </c>
    </row>
    <row r="16" spans="2:8" x14ac:dyDescent="0.3">
      <c r="B16" s="9" t="s">
        <v>6</v>
      </c>
      <c r="C16" s="6">
        <v>1174</v>
      </c>
      <c r="D16" s="25">
        <v>67924.800000000003</v>
      </c>
    </row>
    <row r="17" spans="2:4" x14ac:dyDescent="0.3">
      <c r="B17" s="5" t="s">
        <v>12</v>
      </c>
      <c r="C17" s="7">
        <v>1</v>
      </c>
      <c r="D17" s="25">
        <v>39</v>
      </c>
    </row>
    <row r="18" spans="2:4" x14ac:dyDescent="0.3">
      <c r="B18" s="9" t="s">
        <v>7</v>
      </c>
      <c r="C18" s="6">
        <v>12210</v>
      </c>
      <c r="D18" s="25">
        <v>68067.83</v>
      </c>
    </row>
    <row r="19" spans="2:4" x14ac:dyDescent="0.3">
      <c r="B19" s="10" t="s">
        <v>8</v>
      </c>
      <c r="C19" s="8">
        <f>SUM(C14:C18)</f>
        <v>16300</v>
      </c>
      <c r="D19" s="4">
        <f>SUM(D14:D18)</f>
        <v>428356.52</v>
      </c>
    </row>
    <row r="21" spans="2:4" x14ac:dyDescent="0.3">
      <c r="B21" s="28" t="s">
        <v>36</v>
      </c>
      <c r="C21" s="28"/>
      <c r="D21" s="28"/>
    </row>
    <row r="22" spans="2:4" x14ac:dyDescent="0.3">
      <c r="B22" s="2" t="s">
        <v>1</v>
      </c>
      <c r="C22" s="2" t="s">
        <v>2</v>
      </c>
      <c r="D22" s="2" t="s">
        <v>3</v>
      </c>
    </row>
    <row r="23" spans="2:4" x14ac:dyDescent="0.3">
      <c r="B23" s="1" t="s">
        <v>4</v>
      </c>
      <c r="C23" s="6">
        <v>0</v>
      </c>
      <c r="D23" s="25">
        <v>9186</v>
      </c>
    </row>
    <row r="24" spans="2:4" x14ac:dyDescent="0.3">
      <c r="B24" s="1" t="s">
        <v>5</v>
      </c>
      <c r="C24" s="6">
        <v>2691</v>
      </c>
      <c r="D24" s="25">
        <v>78105.5</v>
      </c>
    </row>
    <row r="25" spans="2:4" x14ac:dyDescent="0.3">
      <c r="B25" s="1" t="s">
        <v>6</v>
      </c>
      <c r="C25" s="6">
        <v>3468</v>
      </c>
      <c r="D25" s="25">
        <v>66496.2</v>
      </c>
    </row>
    <row r="26" spans="2:4" x14ac:dyDescent="0.3">
      <c r="B26" s="5" t="s">
        <v>12</v>
      </c>
      <c r="C26" s="6">
        <v>0</v>
      </c>
      <c r="D26" s="11">
        <v>0</v>
      </c>
    </row>
    <row r="27" spans="2:4" x14ac:dyDescent="0.3">
      <c r="B27" s="1" t="s">
        <v>7</v>
      </c>
      <c r="C27" s="7">
        <v>18223</v>
      </c>
      <c r="D27" s="25">
        <v>121438</v>
      </c>
    </row>
    <row r="28" spans="2:4" x14ac:dyDescent="0.3">
      <c r="B28" s="3" t="s">
        <v>8</v>
      </c>
      <c r="C28" s="8">
        <f>SUM(C23:C27)</f>
        <v>24382</v>
      </c>
      <c r="D28" s="4">
        <f>SUM(D23:D27)</f>
        <v>275225.7</v>
      </c>
    </row>
    <row r="30" spans="2:4" x14ac:dyDescent="0.3">
      <c r="B30" s="28" t="s">
        <v>9</v>
      </c>
      <c r="C30" s="28"/>
      <c r="D30" s="28"/>
    </row>
    <row r="31" spans="2:4" x14ac:dyDescent="0.3">
      <c r="B31" s="2" t="s">
        <v>1</v>
      </c>
      <c r="C31" s="2" t="s">
        <v>2</v>
      </c>
      <c r="D31" s="2" t="s">
        <v>3</v>
      </c>
    </row>
    <row r="32" spans="2:4" x14ac:dyDescent="0.3">
      <c r="B32" s="9" t="s">
        <v>4</v>
      </c>
      <c r="C32" s="6">
        <v>1</v>
      </c>
      <c r="D32" s="25">
        <v>16246</v>
      </c>
    </row>
    <row r="33" spans="2:4" x14ac:dyDescent="0.3">
      <c r="B33" s="9" t="s">
        <v>5</v>
      </c>
      <c r="C33" s="6">
        <v>1329</v>
      </c>
      <c r="D33" s="25">
        <v>99640.95</v>
      </c>
    </row>
    <row r="34" spans="2:4" x14ac:dyDescent="0.3">
      <c r="B34" s="9" t="s">
        <v>6</v>
      </c>
      <c r="C34" s="6">
        <v>636</v>
      </c>
      <c r="D34" s="25">
        <v>39691.130000000005</v>
      </c>
    </row>
    <row r="35" spans="2:4" x14ac:dyDescent="0.3">
      <c r="B35" s="9" t="s">
        <v>7</v>
      </c>
      <c r="C35" s="6">
        <v>1481</v>
      </c>
      <c r="D35" s="25">
        <v>2054</v>
      </c>
    </row>
    <row r="36" spans="2:4" x14ac:dyDescent="0.3">
      <c r="B36" s="10" t="s">
        <v>8</v>
      </c>
      <c r="C36" s="8">
        <f>SUM(C32:C35)</f>
        <v>3447</v>
      </c>
      <c r="D36" s="4">
        <f>SUM(D32:D35)</f>
        <v>157632.08000000002</v>
      </c>
    </row>
    <row r="38" spans="2:4" x14ac:dyDescent="0.3">
      <c r="B38" s="28" t="s">
        <v>30</v>
      </c>
      <c r="C38" s="28"/>
      <c r="D38" s="28"/>
    </row>
    <row r="39" spans="2:4" x14ac:dyDescent="0.3">
      <c r="B39" s="2" t="s">
        <v>1</v>
      </c>
      <c r="C39" s="2" t="s">
        <v>2</v>
      </c>
      <c r="D39" s="2" t="s">
        <v>3</v>
      </c>
    </row>
    <row r="40" spans="2:4" x14ac:dyDescent="0.3">
      <c r="B40" s="9" t="s">
        <v>4</v>
      </c>
      <c r="C40" s="6">
        <v>0</v>
      </c>
      <c r="D40" s="25">
        <v>2962</v>
      </c>
    </row>
    <row r="41" spans="2:4" x14ac:dyDescent="0.3">
      <c r="B41" s="1" t="s">
        <v>5</v>
      </c>
      <c r="C41" s="6">
        <v>577</v>
      </c>
      <c r="D41" s="25">
        <v>70618.01999999999</v>
      </c>
    </row>
    <row r="42" spans="2:4" x14ac:dyDescent="0.3">
      <c r="B42" s="1" t="s">
        <v>6</v>
      </c>
      <c r="C42" s="6">
        <v>527</v>
      </c>
      <c r="D42" s="25">
        <v>970</v>
      </c>
    </row>
    <row r="43" spans="2:4" x14ac:dyDescent="0.3">
      <c r="B43" s="1" t="s">
        <v>7</v>
      </c>
      <c r="C43" s="6">
        <v>2296</v>
      </c>
      <c r="D43" s="25">
        <v>6584</v>
      </c>
    </row>
    <row r="44" spans="2:4" x14ac:dyDescent="0.3">
      <c r="B44" s="3" t="s">
        <v>8</v>
      </c>
      <c r="C44" s="8">
        <f>SUM(C40:C43)</f>
        <v>3400</v>
      </c>
      <c r="D44" s="4">
        <f>SUM(D40:D43)</f>
        <v>81134.01999999999</v>
      </c>
    </row>
    <row r="46" spans="2:4" x14ac:dyDescent="0.3">
      <c r="B46" s="28" t="s">
        <v>31</v>
      </c>
      <c r="C46" s="28"/>
      <c r="D46" s="28"/>
    </row>
    <row r="47" spans="2:4" x14ac:dyDescent="0.3">
      <c r="B47" s="2" t="s">
        <v>1</v>
      </c>
      <c r="C47" s="2" t="s">
        <v>2</v>
      </c>
      <c r="D47" s="2" t="s">
        <v>3</v>
      </c>
    </row>
    <row r="48" spans="2:4" x14ac:dyDescent="0.3">
      <c r="B48" s="9" t="s">
        <v>4</v>
      </c>
      <c r="C48" s="6">
        <v>168</v>
      </c>
      <c r="D48" s="25">
        <v>2369</v>
      </c>
    </row>
    <row r="49" spans="2:4" x14ac:dyDescent="0.3">
      <c r="B49" s="1" t="s">
        <v>5</v>
      </c>
      <c r="C49" s="6">
        <v>2164</v>
      </c>
      <c r="D49" s="25">
        <v>38346.630000000005</v>
      </c>
    </row>
    <row r="50" spans="2:4" x14ac:dyDescent="0.3">
      <c r="B50" s="1" t="s">
        <v>6</v>
      </c>
      <c r="C50" s="6">
        <v>1226</v>
      </c>
      <c r="D50" s="25">
        <v>31586.870000000003</v>
      </c>
    </row>
    <row r="51" spans="2:4" x14ac:dyDescent="0.3">
      <c r="B51" s="1" t="s">
        <v>7</v>
      </c>
      <c r="C51" s="6">
        <v>368</v>
      </c>
      <c r="D51" s="25">
        <v>3045</v>
      </c>
    </row>
    <row r="52" spans="2:4" x14ac:dyDescent="0.3">
      <c r="B52" s="3" t="s">
        <v>8</v>
      </c>
      <c r="C52" s="8">
        <f>SUM(C48:C51)</f>
        <v>3926</v>
      </c>
      <c r="D52" s="4">
        <f>SUM(D48:D51)</f>
        <v>75347.5</v>
      </c>
    </row>
    <row r="54" spans="2:4" x14ac:dyDescent="0.3">
      <c r="B54" s="29" t="s">
        <v>11</v>
      </c>
      <c r="C54" s="29"/>
      <c r="D54" s="29"/>
    </row>
    <row r="55" spans="2:4" x14ac:dyDescent="0.3">
      <c r="B55" s="4" t="s">
        <v>1</v>
      </c>
      <c r="C55" s="4" t="s">
        <v>2</v>
      </c>
      <c r="D55" s="4" t="s">
        <v>3</v>
      </c>
    </row>
    <row r="56" spans="2:4" x14ac:dyDescent="0.3">
      <c r="B56" s="9" t="s">
        <v>4</v>
      </c>
      <c r="C56" s="6">
        <v>164</v>
      </c>
      <c r="D56" s="25">
        <v>13538</v>
      </c>
    </row>
    <row r="57" spans="2:4" x14ac:dyDescent="0.3">
      <c r="B57" s="1" t="s">
        <v>5</v>
      </c>
      <c r="C57" s="6">
        <v>2324</v>
      </c>
      <c r="D57" s="25">
        <v>23812.21</v>
      </c>
    </row>
    <row r="58" spans="2:4" x14ac:dyDescent="0.3">
      <c r="B58" s="1" t="s">
        <v>6</v>
      </c>
      <c r="C58" s="6">
        <v>224</v>
      </c>
      <c r="D58" s="26">
        <v>0</v>
      </c>
    </row>
    <row r="59" spans="2:4" x14ac:dyDescent="0.3">
      <c r="B59" s="10" t="s">
        <v>8</v>
      </c>
      <c r="C59" s="8">
        <f>SUM(C56:C58)</f>
        <v>2712</v>
      </c>
      <c r="D59" s="4">
        <f>SUM(D56:D58)</f>
        <v>37350.21</v>
      </c>
    </row>
    <row r="61" spans="2:4" x14ac:dyDescent="0.3">
      <c r="B61" s="28" t="s">
        <v>38</v>
      </c>
      <c r="C61" s="28"/>
      <c r="D61" s="28"/>
    </row>
    <row r="62" spans="2:4" x14ac:dyDescent="0.3">
      <c r="B62" s="2" t="s">
        <v>1</v>
      </c>
      <c r="C62" s="2" t="s">
        <v>2</v>
      </c>
      <c r="D62" s="2" t="s">
        <v>3</v>
      </c>
    </row>
    <row r="63" spans="2:4" x14ac:dyDescent="0.3">
      <c r="B63" s="9" t="s">
        <v>4</v>
      </c>
      <c r="C63" s="6">
        <v>0</v>
      </c>
      <c r="D63" s="26">
        <v>0</v>
      </c>
    </row>
    <row r="64" spans="2:4" x14ac:dyDescent="0.3">
      <c r="B64" s="1" t="s">
        <v>5</v>
      </c>
      <c r="C64" s="6">
        <v>1924</v>
      </c>
      <c r="D64" s="26">
        <v>0</v>
      </c>
    </row>
    <row r="65" spans="2:4" x14ac:dyDescent="0.3">
      <c r="B65" s="3" t="s">
        <v>8</v>
      </c>
      <c r="C65" s="8">
        <f>SUM(C63:C64)</f>
        <v>1924</v>
      </c>
      <c r="D65" s="4">
        <f>SUM(D63:D64)</f>
        <v>0</v>
      </c>
    </row>
    <row r="67" spans="2:4" x14ac:dyDescent="0.3">
      <c r="B67" s="12" t="s">
        <v>13</v>
      </c>
      <c r="C67" s="13">
        <f>SUMIF(B:B, "Total general", C:C)</f>
        <v>106589</v>
      </c>
      <c r="D67" s="13">
        <f>SUMIF(B:B, "Total general", D:D)</f>
        <v>2015858.45</v>
      </c>
    </row>
  </sheetData>
  <mergeCells count="8">
    <mergeCell ref="B3:D3"/>
    <mergeCell ref="B12:D12"/>
    <mergeCell ref="B30:D30"/>
    <mergeCell ref="B61:D61"/>
    <mergeCell ref="B54:D54"/>
    <mergeCell ref="B46:D46"/>
    <mergeCell ref="B21:D21"/>
    <mergeCell ref="B38:D38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0"/>
  <sheetViews>
    <sheetView showGridLines="0" zoomScaleNormal="100" workbookViewId="0">
      <selection activeCell="C22" sqref="C22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8" x14ac:dyDescent="0.3">
      <c r="B1" s="28" t="s">
        <v>39</v>
      </c>
      <c r="C1" s="28"/>
      <c r="D1" s="28"/>
    </row>
    <row r="3" spans="2:8" x14ac:dyDescent="0.3">
      <c r="B3" s="28" t="s">
        <v>37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6</v>
      </c>
      <c r="D5" s="26">
        <v>0</v>
      </c>
    </row>
    <row r="6" spans="2:8" x14ac:dyDescent="0.3">
      <c r="B6" s="1" t="s">
        <v>5</v>
      </c>
      <c r="C6" s="27">
        <v>15830</v>
      </c>
      <c r="D6" s="25">
        <v>77744.77</v>
      </c>
    </row>
    <row r="7" spans="2:8" x14ac:dyDescent="0.3">
      <c r="B7" s="1" t="s">
        <v>6</v>
      </c>
      <c r="C7" s="27">
        <v>9326</v>
      </c>
      <c r="D7" s="25">
        <v>8706</v>
      </c>
    </row>
    <row r="8" spans="2:8" x14ac:dyDescent="0.3">
      <c r="B8" s="5" t="s">
        <v>12</v>
      </c>
      <c r="C8" s="27">
        <v>2739</v>
      </c>
      <c r="D8" s="26">
        <v>0</v>
      </c>
    </row>
    <row r="9" spans="2:8" x14ac:dyDescent="0.3">
      <c r="B9" s="1" t="s">
        <v>7</v>
      </c>
      <c r="C9" s="27">
        <v>61558</v>
      </c>
      <c r="D9" s="25">
        <v>1515</v>
      </c>
      <c r="E9" s="14"/>
      <c r="F9" s="7"/>
    </row>
    <row r="10" spans="2:8" x14ac:dyDescent="0.3">
      <c r="B10" s="3" t="s">
        <v>8</v>
      </c>
      <c r="C10" s="8">
        <f>SUM(C5:C9)</f>
        <v>89459</v>
      </c>
      <c r="D10" s="4">
        <f>SUM(D5:D9)</f>
        <v>87965.77</v>
      </c>
      <c r="E10" s="11" t="s">
        <v>14</v>
      </c>
    </row>
    <row r="12" spans="2:8" x14ac:dyDescent="0.3">
      <c r="B12" s="28" t="s">
        <v>31</v>
      </c>
      <c r="C12" s="28"/>
      <c r="D12" s="28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9" t="s">
        <v>4</v>
      </c>
      <c r="C14" s="27">
        <v>131</v>
      </c>
      <c r="D14" s="25">
        <v>364</v>
      </c>
    </row>
    <row r="15" spans="2:8" x14ac:dyDescent="0.3">
      <c r="B15" s="1" t="s">
        <v>5</v>
      </c>
      <c r="C15" s="27">
        <v>2163</v>
      </c>
      <c r="D15" s="25">
        <v>11118</v>
      </c>
    </row>
    <row r="16" spans="2:8" x14ac:dyDescent="0.3">
      <c r="B16" s="1" t="s">
        <v>6</v>
      </c>
      <c r="C16" s="27">
        <v>1190</v>
      </c>
      <c r="D16" s="25">
        <v>10952.470000000001</v>
      </c>
    </row>
    <row r="17" spans="2:4" x14ac:dyDescent="0.3">
      <c r="B17" s="1" t="s">
        <v>7</v>
      </c>
      <c r="C17" s="27">
        <v>368</v>
      </c>
      <c r="D17" s="25">
        <v>2932</v>
      </c>
    </row>
    <row r="18" spans="2:4" x14ac:dyDescent="0.3">
      <c r="B18" s="3" t="s">
        <v>8</v>
      </c>
      <c r="C18" s="8">
        <f>SUM(C14:C17)</f>
        <v>3852</v>
      </c>
      <c r="D18" s="4">
        <f>SUM(D14:D17)</f>
        <v>25366.47</v>
      </c>
    </row>
    <row r="20" spans="2:4" x14ac:dyDescent="0.3">
      <c r="B20" s="28" t="s">
        <v>0</v>
      </c>
      <c r="C20" s="28"/>
      <c r="D20" s="28"/>
    </row>
    <row r="21" spans="2:4" x14ac:dyDescent="0.3">
      <c r="B21" s="2" t="s">
        <v>1</v>
      </c>
      <c r="C21" s="2" t="s">
        <v>2</v>
      </c>
      <c r="D21" s="2" t="s">
        <v>3</v>
      </c>
    </row>
    <row r="22" spans="2:4" x14ac:dyDescent="0.3">
      <c r="B22" s="1" t="s">
        <v>4</v>
      </c>
      <c r="C22" s="27"/>
      <c r="D22" s="26">
        <v>0</v>
      </c>
    </row>
    <row r="23" spans="2:4" x14ac:dyDescent="0.3">
      <c r="B23" s="1" t="s">
        <v>5</v>
      </c>
      <c r="C23" s="27"/>
      <c r="D23" s="25">
        <v>1700</v>
      </c>
    </row>
    <row r="24" spans="2:4" x14ac:dyDescent="0.3">
      <c r="B24" s="1" t="s">
        <v>6</v>
      </c>
      <c r="C24" s="27"/>
      <c r="D24" s="25">
        <v>1362</v>
      </c>
    </row>
    <row r="25" spans="2:4" x14ac:dyDescent="0.3">
      <c r="B25" s="5" t="s">
        <v>12</v>
      </c>
      <c r="C25" s="27"/>
      <c r="D25" s="26">
        <v>0</v>
      </c>
    </row>
    <row r="26" spans="2:4" x14ac:dyDescent="0.3">
      <c r="B26" s="1" t="s">
        <v>7</v>
      </c>
      <c r="C26" s="27"/>
      <c r="D26" s="25">
        <v>6738</v>
      </c>
    </row>
    <row r="27" spans="2:4" x14ac:dyDescent="0.3">
      <c r="B27" s="3" t="s">
        <v>8</v>
      </c>
      <c r="C27" s="8">
        <f>SUM(C22:C26)</f>
        <v>0</v>
      </c>
      <c r="D27" s="4">
        <f>SUM(D22:D26)</f>
        <v>9800</v>
      </c>
    </row>
    <row r="29" spans="2:4" x14ac:dyDescent="0.3">
      <c r="B29" s="29" t="s">
        <v>10</v>
      </c>
      <c r="C29" s="29"/>
      <c r="D29" s="29"/>
    </row>
    <row r="30" spans="2:4" x14ac:dyDescent="0.3">
      <c r="B30" s="4" t="s">
        <v>1</v>
      </c>
      <c r="C30" s="4" t="s">
        <v>2</v>
      </c>
      <c r="D30" s="4" t="s">
        <v>3</v>
      </c>
    </row>
    <row r="31" spans="2:4" x14ac:dyDescent="0.3">
      <c r="B31" s="9" t="s">
        <v>4</v>
      </c>
      <c r="C31" s="26"/>
      <c r="D31" s="26">
        <v>0</v>
      </c>
    </row>
    <row r="32" spans="2:4" x14ac:dyDescent="0.3">
      <c r="B32" s="9" t="s">
        <v>5</v>
      </c>
      <c r="C32" s="27"/>
      <c r="D32" s="25">
        <v>532</v>
      </c>
    </row>
    <row r="33" spans="2:4" x14ac:dyDescent="0.3">
      <c r="B33" s="9" t="s">
        <v>6</v>
      </c>
      <c r="C33" s="27"/>
      <c r="D33" s="25">
        <v>3597</v>
      </c>
    </row>
    <row r="34" spans="2:4" x14ac:dyDescent="0.3">
      <c r="B34" s="5" t="s">
        <v>12</v>
      </c>
      <c r="C34" s="7"/>
      <c r="D34" s="7">
        <v>0</v>
      </c>
    </row>
    <row r="35" spans="2:4" x14ac:dyDescent="0.3">
      <c r="B35" s="9" t="s">
        <v>7</v>
      </c>
      <c r="C35" s="27"/>
      <c r="D35" s="7">
        <v>0</v>
      </c>
    </row>
    <row r="36" spans="2:4" x14ac:dyDescent="0.3">
      <c r="B36" s="10" t="s">
        <v>8</v>
      </c>
      <c r="C36" s="8">
        <f>SUM(C31:C35)</f>
        <v>0</v>
      </c>
      <c r="D36" s="4">
        <f>SUM(D31:D35)</f>
        <v>4129</v>
      </c>
    </row>
    <row r="38" spans="2:4" x14ac:dyDescent="0.3">
      <c r="B38" s="28" t="s">
        <v>36</v>
      </c>
      <c r="C38" s="28"/>
      <c r="D38" s="28"/>
    </row>
    <row r="39" spans="2:4" x14ac:dyDescent="0.3">
      <c r="B39" s="2" t="s">
        <v>1</v>
      </c>
      <c r="C39" s="2" t="s">
        <v>2</v>
      </c>
      <c r="D39" s="2" t="s">
        <v>3</v>
      </c>
    </row>
    <row r="40" spans="2:4" x14ac:dyDescent="0.3">
      <c r="B40" s="1" t="s">
        <v>4</v>
      </c>
      <c r="C40" s="26"/>
      <c r="D40" s="26">
        <v>0</v>
      </c>
    </row>
    <row r="41" spans="2:4" x14ac:dyDescent="0.3">
      <c r="B41" s="1" t="s">
        <v>5</v>
      </c>
      <c r="C41" s="27"/>
      <c r="D41" s="26">
        <v>0</v>
      </c>
    </row>
    <row r="42" spans="2:4" x14ac:dyDescent="0.3">
      <c r="B42" s="1" t="s">
        <v>6</v>
      </c>
      <c r="C42" s="27"/>
      <c r="D42" s="26">
        <v>0</v>
      </c>
    </row>
    <row r="43" spans="2:4" x14ac:dyDescent="0.3">
      <c r="B43" s="5" t="s">
        <v>12</v>
      </c>
      <c r="C43" s="6"/>
      <c r="D43" s="26">
        <v>0</v>
      </c>
    </row>
    <row r="44" spans="2:4" x14ac:dyDescent="0.3">
      <c r="B44" s="1" t="s">
        <v>7</v>
      </c>
      <c r="C44" s="27"/>
      <c r="D44" s="25">
        <v>388</v>
      </c>
    </row>
    <row r="45" spans="2:4" x14ac:dyDescent="0.3">
      <c r="B45" s="3" t="s">
        <v>8</v>
      </c>
      <c r="C45" s="8">
        <f>SUM(C40:C44)</f>
        <v>0</v>
      </c>
      <c r="D45" s="4">
        <f>SUM(D40:D44)</f>
        <v>388</v>
      </c>
    </row>
    <row r="47" spans="2:4" x14ac:dyDescent="0.3">
      <c r="B47" s="29" t="s">
        <v>11</v>
      </c>
      <c r="C47" s="29"/>
      <c r="D47" s="29"/>
    </row>
    <row r="48" spans="2:4" x14ac:dyDescent="0.3">
      <c r="B48" s="4" t="s">
        <v>1</v>
      </c>
      <c r="C48" s="4" t="s">
        <v>2</v>
      </c>
      <c r="D48" s="4" t="s">
        <v>3</v>
      </c>
    </row>
    <row r="49" spans="2:4" x14ac:dyDescent="0.3">
      <c r="B49" s="9" t="s">
        <v>4</v>
      </c>
      <c r="C49" s="26"/>
      <c r="D49" s="26">
        <v>0</v>
      </c>
    </row>
    <row r="50" spans="2:4" x14ac:dyDescent="0.3">
      <c r="B50" s="1" t="s">
        <v>5</v>
      </c>
      <c r="C50" s="27"/>
      <c r="D50" s="25">
        <v>1000</v>
      </c>
    </row>
    <row r="51" spans="2:4" x14ac:dyDescent="0.3">
      <c r="B51" s="1" t="s">
        <v>6</v>
      </c>
      <c r="C51" s="27"/>
      <c r="D51" s="26">
        <v>0</v>
      </c>
    </row>
    <row r="52" spans="2:4" x14ac:dyDescent="0.3">
      <c r="B52" s="10" t="s">
        <v>8</v>
      </c>
      <c r="C52" s="8">
        <f>SUM(C49:C51)</f>
        <v>0</v>
      </c>
      <c r="D52" s="4">
        <f>SUM(D49:D51)</f>
        <v>1000</v>
      </c>
    </row>
    <row r="54" spans="2:4" x14ac:dyDescent="0.3">
      <c r="B54" s="28" t="s">
        <v>30</v>
      </c>
      <c r="C54" s="28"/>
      <c r="D54" s="28"/>
    </row>
    <row r="55" spans="2:4" x14ac:dyDescent="0.3">
      <c r="B55" s="2" t="s">
        <v>1</v>
      </c>
      <c r="C55" s="2" t="s">
        <v>2</v>
      </c>
      <c r="D55" s="2" t="s">
        <v>3</v>
      </c>
    </row>
    <row r="56" spans="2:4" x14ac:dyDescent="0.3">
      <c r="B56" s="9" t="s">
        <v>4</v>
      </c>
      <c r="C56" s="26"/>
      <c r="D56" s="26">
        <v>0</v>
      </c>
    </row>
    <row r="57" spans="2:4" x14ac:dyDescent="0.3">
      <c r="B57" s="1" t="s">
        <v>5</v>
      </c>
      <c r="C57" s="27"/>
      <c r="D57" s="26">
        <v>0</v>
      </c>
    </row>
    <row r="58" spans="2:4" x14ac:dyDescent="0.3">
      <c r="B58" s="1" t="s">
        <v>6</v>
      </c>
      <c r="C58" s="27"/>
      <c r="D58" s="26">
        <v>0</v>
      </c>
    </row>
    <row r="59" spans="2:4" x14ac:dyDescent="0.3">
      <c r="B59" s="1" t="s">
        <v>7</v>
      </c>
      <c r="C59" s="27"/>
      <c r="D59" s="26">
        <v>0</v>
      </c>
    </row>
    <row r="60" spans="2:4" x14ac:dyDescent="0.3">
      <c r="B60" s="3" t="s">
        <v>8</v>
      </c>
      <c r="C60" s="8">
        <f>SUM(C56:C59)</f>
        <v>0</v>
      </c>
      <c r="D60" s="4">
        <f>SUM(D56:D59)</f>
        <v>0</v>
      </c>
    </row>
    <row r="62" spans="2:4" x14ac:dyDescent="0.3">
      <c r="B62" s="28" t="s">
        <v>9</v>
      </c>
      <c r="C62" s="28"/>
      <c r="D62" s="28"/>
    </row>
    <row r="63" spans="2:4" x14ac:dyDescent="0.3">
      <c r="B63" s="2" t="s">
        <v>1</v>
      </c>
      <c r="C63" s="2" t="s">
        <v>2</v>
      </c>
      <c r="D63" s="2" t="s">
        <v>3</v>
      </c>
    </row>
    <row r="64" spans="2:4" x14ac:dyDescent="0.3">
      <c r="B64" s="9" t="s">
        <v>4</v>
      </c>
      <c r="C64" s="6"/>
      <c r="D64" s="26">
        <v>0</v>
      </c>
    </row>
    <row r="65" spans="2:4" x14ac:dyDescent="0.3">
      <c r="B65" s="9" t="s">
        <v>5</v>
      </c>
      <c r="C65" s="6"/>
      <c r="D65" s="26">
        <v>0</v>
      </c>
    </row>
    <row r="66" spans="2:4" x14ac:dyDescent="0.3">
      <c r="B66" s="9" t="s">
        <v>6</v>
      </c>
      <c r="C66" s="27"/>
      <c r="D66" s="26">
        <v>0</v>
      </c>
    </row>
    <row r="67" spans="2:4" x14ac:dyDescent="0.3">
      <c r="B67" s="9" t="s">
        <v>7</v>
      </c>
      <c r="C67" s="27"/>
      <c r="D67" s="26">
        <v>0</v>
      </c>
    </row>
    <row r="68" spans="2:4" x14ac:dyDescent="0.3">
      <c r="B68" s="10" t="s">
        <v>8</v>
      </c>
      <c r="C68" s="8">
        <f>SUM(C64:C67)</f>
        <v>0</v>
      </c>
      <c r="D68" s="4">
        <f>SUM(D64:D67)</f>
        <v>0</v>
      </c>
    </row>
    <row r="70" spans="2:4" x14ac:dyDescent="0.3">
      <c r="B70" s="12" t="s">
        <v>13</v>
      </c>
      <c r="C70" s="13">
        <f>SUMIF(B:B, "Total general", C:C)</f>
        <v>93311</v>
      </c>
      <c r="D70" s="13">
        <f>SUMIF(B:B, "Total general", D:D)</f>
        <v>128649.24</v>
      </c>
    </row>
  </sheetData>
  <mergeCells count="9">
    <mergeCell ref="B62:D62"/>
    <mergeCell ref="B54:D54"/>
    <mergeCell ref="B47:D47"/>
    <mergeCell ref="B1:D1"/>
    <mergeCell ref="B3:D3"/>
    <mergeCell ref="B12:D12"/>
    <mergeCell ref="B20:D20"/>
    <mergeCell ref="B29:D29"/>
    <mergeCell ref="B38:D38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35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33</v>
      </c>
      <c r="C6" s="16" t="s">
        <v>4</v>
      </c>
      <c r="D6" s="23">
        <f>SUMIF('REPORTE DIARIO'!B:B,'EPR 26 JUN'!C6, 'REPORTE DIARIO'!C:C)</f>
        <v>345</v>
      </c>
      <c r="E6" s="16">
        <f>SUMIF('REPORTE DIARIO'!B:B,'EPR 26 JUN'!C6, 'REPORTE DIARIO'!D:D)</f>
        <v>306723.73</v>
      </c>
      <c r="F6" s="16">
        <f>J6*D6</f>
        <v>21685.714285714286</v>
      </c>
      <c r="G6" s="16">
        <f>+E6-F6</f>
        <v>285038.01571428572</v>
      </c>
      <c r="H6" s="15">
        <f>ABS(G6/F6)</f>
        <v>13.144045520421608</v>
      </c>
      <c r="I6" s="16">
        <f>E6/D6</f>
        <v>889.0542898550724</v>
      </c>
      <c r="J6" s="16">
        <f>(220/7)*2</f>
        <v>62.857142857142854</v>
      </c>
      <c r="K6" s="16">
        <f>+I6-J6</f>
        <v>826.19714699792951</v>
      </c>
      <c r="L6" s="15"/>
    </row>
    <row r="7" spans="2:12" x14ac:dyDescent="0.3">
      <c r="B7" s="16" t="s">
        <v>29</v>
      </c>
      <c r="C7" s="16" t="s">
        <v>5</v>
      </c>
      <c r="D7" s="23">
        <f>SUMIF('REPORTE DIARIO'!B:B,'EPR 26 JUN'!C7, 'REPORTE DIARIO'!C:C)</f>
        <v>22928</v>
      </c>
      <c r="E7" s="16">
        <f>SUMIF('REPORTE DIARIO'!B:B,'EPR 26 JUN'!C7, 'REPORTE DIARIO'!D:D)</f>
        <v>947035.09</v>
      </c>
      <c r="F7" s="16">
        <f>J7*D7</f>
        <v>720594.28571428568</v>
      </c>
      <c r="G7" s="16">
        <f>+E7-F7</f>
        <v>226440.80428571429</v>
      </c>
      <c r="H7" s="15">
        <f>ABS(G7/F7)</f>
        <v>0.31424174292647339</v>
      </c>
      <c r="I7" s="16">
        <f>E7/D7</f>
        <v>41.304740491974876</v>
      </c>
      <c r="J7" s="16">
        <f>(110/7)*2</f>
        <v>31.428571428571427</v>
      </c>
      <c r="K7" s="16">
        <f t="shared" ref="K7:K9" si="0">+I7-J7</f>
        <v>9.8761690634034487</v>
      </c>
      <c r="L7" s="15"/>
    </row>
    <row r="8" spans="2:12" x14ac:dyDescent="0.3">
      <c r="B8" s="16" t="s">
        <v>29</v>
      </c>
      <c r="C8" s="16" t="s">
        <v>6</v>
      </c>
      <c r="D8" s="23">
        <f>SUMIF('REPORTE DIARIO'!B:B,'EPR 26 JUN'!C8, 'REPORTE DIARIO'!C:C)</f>
        <v>14360</v>
      </c>
      <c r="E8" s="16">
        <f>SUMIF('REPORTE DIARIO'!B:B,'EPR 26 JUN'!C8, 'REPORTE DIARIO'!D:D)</f>
        <v>336885.55</v>
      </c>
      <c r="F8" s="16">
        <f>J8*D8</f>
        <v>184628.57142857145</v>
      </c>
      <c r="G8" s="16">
        <f>+E8-F8</f>
        <v>152256.97857142854</v>
      </c>
      <c r="H8" s="15">
        <f>ABS(G8/F8)</f>
        <v>0.82466639585267687</v>
      </c>
      <c r="I8" s="16">
        <f>E8/D8</f>
        <v>23.45999651810585</v>
      </c>
      <c r="J8" s="16">
        <f>(45/7)*2</f>
        <v>12.857142857142858</v>
      </c>
      <c r="K8" s="16">
        <f t="shared" si="0"/>
        <v>10.602853660962992</v>
      </c>
      <c r="L8" s="15"/>
    </row>
    <row r="9" spans="2:12" x14ac:dyDescent="0.3">
      <c r="B9" s="16" t="s">
        <v>34</v>
      </c>
      <c r="C9" s="16" t="s">
        <v>7</v>
      </c>
      <c r="D9" s="23">
        <f>SUMIF('REPORTE DIARIO'!B:B,'EPR 26 JUN'!C9, 'REPORTE DIARIO'!C:C)</f>
        <v>67711</v>
      </c>
      <c r="E9" s="16">
        <f>SUMIF('REPORTE DIARIO'!B:B,'EPR 26 JUN'!C9, 'REPORTE DIARIO'!D:D)</f>
        <v>424175.07999999996</v>
      </c>
      <c r="F9" s="16">
        <f>J9*D9</f>
        <v>290190</v>
      </c>
      <c r="G9" s="16">
        <f>+E9-F9</f>
        <v>133985.07999999996</v>
      </c>
      <c r="H9" s="15">
        <f>ABS(G9/F9)</f>
        <v>0.46171501430097506</v>
      </c>
      <c r="I9" s="16">
        <f>E9/D9</f>
        <v>6.26449291843275</v>
      </c>
      <c r="J9" s="16">
        <f>(15/7)*2</f>
        <v>4.2857142857142856</v>
      </c>
      <c r="K9" s="16">
        <f t="shared" si="0"/>
        <v>1.9787786327184644</v>
      </c>
    </row>
    <row r="10" spans="2:12" x14ac:dyDescent="0.3">
      <c r="B10" s="16"/>
      <c r="C10" s="19" t="s">
        <v>17</v>
      </c>
      <c r="D10" s="24">
        <f>SUM(D6:D9)</f>
        <v>105344</v>
      </c>
      <c r="E10" s="20">
        <f>SUM(E6:E9)</f>
        <v>2014819.4499999997</v>
      </c>
      <c r="F10" s="20">
        <f>SUM(F6:F9)</f>
        <v>1217098.5714285714</v>
      </c>
      <c r="G10" s="20">
        <f>+E10-F10</f>
        <v>797720.87857142836</v>
      </c>
      <c r="H10" s="21">
        <f>ABS(G10/F10)</f>
        <v>0.65542832544376606</v>
      </c>
      <c r="I10" s="20">
        <f>E10/D10</f>
        <v>19.126095933323207</v>
      </c>
      <c r="J10" s="20">
        <f>F10/D10</f>
        <v>11.553563291963201</v>
      </c>
      <c r="K10" s="20">
        <f>I10-J10</f>
        <v>7.5725326413600058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CDC-OLGUIN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2025-08-14T15:08:10Z</cp:lastPrinted>
  <dcterms:created xsi:type="dcterms:W3CDTF">2025-01-27T15:11:28Z</dcterms:created>
  <dcterms:modified xsi:type="dcterms:W3CDTF">2025-08-15T15:38:17Z</dcterms:modified>
</cp:coreProperties>
</file>