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3\15 AGO\TARDE1\"/>
    </mc:Choice>
  </mc:AlternateContent>
  <xr:revisionPtr revIDLastSave="0" documentId="8_{98700DCD-F145-4620-BE29-76968AB6EB1A}" xr6:coauthVersionLast="47" xr6:coauthVersionMax="47" xr10:uidLastSave="{00000000-0000-0000-0000-000000000000}"/>
  <bookViews>
    <workbookView xWindow="-120" yWindow="-120" windowWidth="51840" windowHeight="21120" xr2:uid="{28B02E2D-26CE-4C98-BF76-21B8A866FC78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3" l="1"/>
  <c r="D9" i="2"/>
  <c r="D7" i="1"/>
</calcChain>
</file>

<file path=xl/sharedStrings.xml><?xml version="1.0" encoding="utf-8"?>
<sst xmlns="http://schemas.openxmlformats.org/spreadsheetml/2006/main" count="138" uniqueCount="26">
  <si>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</si>
  <si>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</si>
  <si>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</si>
  <si>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</si>
  <si>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</si>
  <si>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</si>
  <si>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</si>
  <si>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COREFORCE</t>
  </si>
  <si>
    <t>EDITH</t>
  </si>
  <si>
    <t>Extrajudicial - 0 a 28 semanas de atraso</t>
  </si>
  <si>
    <t>FEDERICO</t>
  </si>
  <si>
    <t>FERNANDO</t>
  </si>
  <si>
    <t>OLGUIN</t>
  </si>
  <si>
    <t>SOFIA</t>
  </si>
  <si>
    <t>TOTAL COBRADO</t>
  </si>
  <si>
    <t>Segmento</t>
  </si>
  <si>
    <t>CONSUMO</t>
  </si>
  <si>
    <t>CREDIMAX</t>
  </si>
  <si>
    <t>MAZ</t>
  </si>
  <si>
    <t>REESTRUCTURA</t>
  </si>
  <si>
    <t>TOR</t>
  </si>
  <si>
    <t>TAZ</t>
  </si>
  <si>
    <t>Producto</t>
  </si>
  <si>
    <t>Judicial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</si>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</sst>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78C5-2849-47CC-877D-D7DDD74FE8F0}">
  <dimension ref="B2:D54"/>
  <sheetViews>
    <sheetView tabSelected="1" workbookViewId="0">
      <selection activeCell="B2" sqref="B2:D5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15</v>
      </c>
      <c r="C3" s="1" t="s">
        <v>0</v>
      </c>
    </row>
    <row r="4" spans="2:4" x14ac:dyDescent="0.25">
      <c r="B4" s="2" t="s">
        <v>1</v>
      </c>
      <c r="C4" s="3">
        <v>56012</v>
      </c>
    </row>
    <row r="5" spans="2:4" x14ac:dyDescent="0.25">
      <c r="B5" s="2" t="s">
        <v>2</v>
      </c>
      <c r="C5" s="3">
        <v>29179</v>
      </c>
    </row>
    <row r="6" spans="2:4" ht="15.75" thickBot="1" x14ac:dyDescent="0.3">
      <c r="B6" s="2" t="s">
        <v>3</v>
      </c>
      <c r="C6" s="3">
        <v>26882</v>
      </c>
      <c r="D6" s="1" t="s">
        <v>14</v>
      </c>
    </row>
    <row r="7" spans="2:4" ht="15.75" thickTop="1" x14ac:dyDescent="0.25">
      <c r="B7" s="4" t="s">
        <v>4</v>
      </c>
      <c r="C7" s="5">
        <v>112073</v>
      </c>
      <c r="D7" s="5">
        <f>SUMIF(B:B, "Total general", C:C)</f>
        <v>228652.61</v>
      </c>
    </row>
    <row r="9" spans="2:4" x14ac:dyDescent="0.25">
      <c r="B9" s="6" t="s">
        <v>6</v>
      </c>
      <c r="C9" s="6"/>
    </row>
    <row r="10" spans="2:4" x14ac:dyDescent="0.25">
      <c r="B10" s="1" t="s">
        <v>15</v>
      </c>
      <c r="C10" s="1" t="s">
        <v>0</v>
      </c>
    </row>
    <row r="11" spans="2:4" x14ac:dyDescent="0.25">
      <c r="B11" s="2" t="s">
        <v>1</v>
      </c>
      <c r="C11" s="3">
        <v>22278</v>
      </c>
    </row>
    <row r="12" spans="2:4" x14ac:dyDescent="0.25">
      <c r="B12" s="2" t="s">
        <v>2</v>
      </c>
      <c r="C12" s="3">
        <v>3262</v>
      </c>
    </row>
    <row r="13" spans="2:4" ht="15.75" thickBot="1" x14ac:dyDescent="0.3">
      <c r="B13" s="2" t="s">
        <v>3</v>
      </c>
      <c r="C13" s="3">
        <v>24632</v>
      </c>
    </row>
    <row r="14" spans="2:4" ht="15.75" thickTop="1" x14ac:dyDescent="0.25">
      <c r="B14" s="4" t="s">
        <v>4</v>
      </c>
      <c r="C14" s="5">
        <v>50172</v>
      </c>
    </row>
    <row r="16" spans="2:4" x14ac:dyDescent="0.25">
      <c r="B16" s="6" t="s">
        <v>8</v>
      </c>
      <c r="C16" s="6"/>
    </row>
    <row r="17" spans="2:3" x14ac:dyDescent="0.25">
      <c r="B17" s="1" t="s">
        <v>15</v>
      </c>
      <c r="C17" s="1" t="s">
        <v>0</v>
      </c>
    </row>
    <row r="18" spans="2:3" x14ac:dyDescent="0.25">
      <c r="B18" s="2" t="s">
        <v>9</v>
      </c>
      <c r="C18" s="3">
        <v>1000</v>
      </c>
    </row>
    <row r="19" spans="2:3" x14ac:dyDescent="0.25">
      <c r="B19" s="2" t="s">
        <v>1</v>
      </c>
      <c r="C19" s="3">
        <v>23590.36</v>
      </c>
    </row>
    <row r="20" spans="2:3" x14ac:dyDescent="0.25">
      <c r="B20" s="2" t="s">
        <v>2</v>
      </c>
      <c r="C20" s="3">
        <v>2977</v>
      </c>
    </row>
    <row r="21" spans="2:3" ht="15.75" thickBot="1" x14ac:dyDescent="0.3">
      <c r="B21" s="2" t="s">
        <v>3</v>
      </c>
      <c r="C21" s="3">
        <v>9024</v>
      </c>
    </row>
    <row r="22" spans="2:3" ht="15.75" thickTop="1" x14ac:dyDescent="0.25">
      <c r="B22" s="4" t="s">
        <v>4</v>
      </c>
      <c r="C22" s="5">
        <v>36591.360000000001</v>
      </c>
    </row>
    <row r="24" spans="2:3" x14ac:dyDescent="0.25">
      <c r="B24" s="6" t="s">
        <v>13</v>
      </c>
      <c r="C24" s="6"/>
    </row>
    <row r="25" spans="2:3" x14ac:dyDescent="0.25">
      <c r="B25" s="1" t="s">
        <v>15</v>
      </c>
      <c r="C25" s="1" t="s">
        <v>0</v>
      </c>
    </row>
    <row r="26" spans="2:3" x14ac:dyDescent="0.25">
      <c r="B26" s="2" t="s">
        <v>1</v>
      </c>
      <c r="C26" s="3">
        <v>5136.63</v>
      </c>
    </row>
    <row r="27" spans="2:3" x14ac:dyDescent="0.25">
      <c r="B27" s="2" t="s">
        <v>2</v>
      </c>
      <c r="C27" s="3">
        <v>3654</v>
      </c>
    </row>
    <row r="28" spans="2:3" ht="15.75" thickBot="1" x14ac:dyDescent="0.3">
      <c r="B28" s="2" t="s">
        <v>3</v>
      </c>
      <c r="C28" s="3">
        <v>182</v>
      </c>
    </row>
    <row r="29" spans="2:3" ht="15.75" thickTop="1" x14ac:dyDescent="0.25">
      <c r="B29" s="4" t="s">
        <v>4</v>
      </c>
      <c r="C29" s="5">
        <v>8972.630000000001</v>
      </c>
    </row>
    <row r="31" spans="2:3" x14ac:dyDescent="0.25">
      <c r="B31" s="6" t="s">
        <v>12</v>
      </c>
      <c r="C31" s="6"/>
    </row>
    <row r="32" spans="2:3" x14ac:dyDescent="0.25">
      <c r="B32" s="1" t="s">
        <v>15</v>
      </c>
      <c r="C32" s="1" t="s">
        <v>0</v>
      </c>
    </row>
    <row r="33" spans="2:3" x14ac:dyDescent="0.25">
      <c r="B33" s="2" t="s">
        <v>9</v>
      </c>
      <c r="C33" s="3">
        <v>6</v>
      </c>
    </row>
    <row r="34" spans="2:3" x14ac:dyDescent="0.25">
      <c r="B34" s="2" t="s">
        <v>1</v>
      </c>
      <c r="C34" s="3">
        <v>8273</v>
      </c>
    </row>
    <row r="35" spans="2:3" ht="15.75" thickBot="1" x14ac:dyDescent="0.3">
      <c r="B35" s="2" t="s">
        <v>2</v>
      </c>
      <c r="C35" s="3">
        <v>447</v>
      </c>
    </row>
    <row r="36" spans="2:3" ht="15.75" thickTop="1" x14ac:dyDescent="0.25">
      <c r="B36" s="4" t="s">
        <v>4</v>
      </c>
      <c r="C36" s="5">
        <v>8726</v>
      </c>
    </row>
    <row r="38" spans="2:3" x14ac:dyDescent="0.25">
      <c r="B38" s="6" t="s">
        <v>11</v>
      </c>
      <c r="C38" s="6"/>
    </row>
    <row r="39" spans="2:3" x14ac:dyDescent="0.25">
      <c r="B39" s="1" t="s">
        <v>15</v>
      </c>
      <c r="C39" s="1" t="s">
        <v>0</v>
      </c>
    </row>
    <row r="40" spans="2:3" x14ac:dyDescent="0.25">
      <c r="B40" s="2" t="s">
        <v>9</v>
      </c>
      <c r="C40" s="3">
        <v>700</v>
      </c>
    </row>
    <row r="41" spans="2:3" ht="15.75" thickBot="1" x14ac:dyDescent="0.3">
      <c r="B41" s="2" t="s">
        <v>1</v>
      </c>
      <c r="C41" s="3">
        <v>5769.62</v>
      </c>
    </row>
    <row r="42" spans="2:3" ht="15.75" thickTop="1" x14ac:dyDescent="0.25">
      <c r="B42" s="4" t="s">
        <v>4</v>
      </c>
      <c r="C42" s="5">
        <v>6469.62</v>
      </c>
    </row>
    <row r="44" spans="2:3" x14ac:dyDescent="0.25">
      <c r="B44" s="6" t="s">
        <v>10</v>
      </c>
      <c r="C44" s="6"/>
    </row>
    <row r="45" spans="2:3" x14ac:dyDescent="0.25">
      <c r="B45" s="1" t="s">
        <v>15</v>
      </c>
      <c r="C45" s="1" t="s">
        <v>0</v>
      </c>
    </row>
    <row r="46" spans="2:3" x14ac:dyDescent="0.25">
      <c r="B46" s="2" t="s">
        <v>1</v>
      </c>
      <c r="C46" s="3">
        <v>550</v>
      </c>
    </row>
    <row r="47" spans="2:3" x14ac:dyDescent="0.25">
      <c r="B47" s="2" t="s">
        <v>2</v>
      </c>
      <c r="C47" s="3">
        <v>1598</v>
      </c>
    </row>
    <row r="48" spans="2:3" ht="15.75" thickBot="1" x14ac:dyDescent="0.3">
      <c r="B48" s="2" t="s">
        <v>3</v>
      </c>
      <c r="C48" s="3">
        <v>3000</v>
      </c>
    </row>
    <row r="49" spans="2:3" ht="15.75" thickTop="1" x14ac:dyDescent="0.25">
      <c r="B49" s="4" t="s">
        <v>4</v>
      </c>
      <c r="C49" s="5">
        <v>5148</v>
      </c>
    </row>
    <row r="51" spans="2:3" x14ac:dyDescent="0.25">
      <c r="B51" s="6" t="s">
        <v>7</v>
      </c>
      <c r="C51" s="6"/>
    </row>
    <row r="52" spans="2:3" x14ac:dyDescent="0.25">
      <c r="B52" s="1" t="s">
        <v>15</v>
      </c>
      <c r="C52" s="1" t="s">
        <v>0</v>
      </c>
    </row>
    <row r="53" spans="2:3" ht="15.75" thickBot="1" x14ac:dyDescent="0.3">
      <c r="B53" s="2" t="s">
        <v>1</v>
      </c>
      <c r="C53" s="3">
        <v>500</v>
      </c>
    </row>
    <row r="54" spans="2:3" ht="15.75" thickTop="1" x14ac:dyDescent="0.25">
      <c r="B54" s="4" t="s">
        <v>4</v>
      </c>
      <c r="C54" s="5">
        <v>500</v>
      </c>
    </row>
  </sheetData>
  <mergeCells count="8">
    <mergeCell ref="B31:C31"/>
    <mergeCell ref="B24:C24"/>
    <mergeCell ref="B2:C2"/>
    <mergeCell ref="B9:C9"/>
    <mergeCell ref="B51:C51"/>
    <mergeCell ref="B16:C16"/>
    <mergeCell ref="B44:C44"/>
    <mergeCell ref="B38:C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C4161-FD68-4D88-9796-1DF1A1BA1164}">
  <dimension ref="B2:D53"/>
  <sheetViews>
    <sheetView workbookViewId="0">
      <selection activeCell="B3" sqref="B3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22</v>
      </c>
      <c r="C3" s="1" t="s">
        <v>0</v>
      </c>
    </row>
    <row r="4" spans="2:4" x14ac:dyDescent="0.25">
      <c r="B4" s="2" t="s">
        <v>16</v>
      </c>
      <c r="C4" s="3">
        <v>17168</v>
      </c>
    </row>
    <row r="5" spans="2:4" x14ac:dyDescent="0.25">
      <c r="B5" s="2" t="s">
        <v>17</v>
      </c>
      <c r="C5" s="3">
        <v>4191</v>
      </c>
    </row>
    <row r="6" spans="2:4" x14ac:dyDescent="0.25">
      <c r="B6" s="2" t="s">
        <v>18</v>
      </c>
      <c r="C6" s="3">
        <v>800</v>
      </c>
    </row>
    <row r="7" spans="2:4" x14ac:dyDescent="0.25">
      <c r="B7" s="2" t="s">
        <v>19</v>
      </c>
      <c r="C7" s="3">
        <v>7461</v>
      </c>
    </row>
    <row r="8" spans="2:4" ht="15.75" thickBot="1" x14ac:dyDescent="0.3">
      <c r="B8" s="2" t="s">
        <v>20</v>
      </c>
      <c r="C8" s="3">
        <v>82453</v>
      </c>
      <c r="D8" s="1" t="s">
        <v>14</v>
      </c>
    </row>
    <row r="9" spans="2:4" ht="15.75" thickTop="1" x14ac:dyDescent="0.25">
      <c r="B9" s="4" t="s">
        <v>4</v>
      </c>
      <c r="C9" s="5">
        <v>112073</v>
      </c>
      <c r="D9" s="5">
        <f>SUMIF(B:B, "Total general", C:C)</f>
        <v>228652.61</v>
      </c>
    </row>
    <row r="11" spans="2:4" x14ac:dyDescent="0.25">
      <c r="B11" s="6" t="s">
        <v>6</v>
      </c>
      <c r="C11" s="6"/>
    </row>
    <row r="12" spans="2:4" x14ac:dyDescent="0.25">
      <c r="B12" s="1" t="s">
        <v>22</v>
      </c>
      <c r="C12" s="1" t="s">
        <v>0</v>
      </c>
    </row>
    <row r="13" spans="2:4" x14ac:dyDescent="0.25">
      <c r="B13" s="2" t="s">
        <v>16</v>
      </c>
      <c r="C13" s="3">
        <v>7948</v>
      </c>
    </row>
    <row r="14" spans="2:4" x14ac:dyDescent="0.25">
      <c r="B14" s="2" t="s">
        <v>17</v>
      </c>
      <c r="C14" s="3">
        <v>3874</v>
      </c>
    </row>
    <row r="15" spans="2:4" x14ac:dyDescent="0.25">
      <c r="B15" s="2" t="s">
        <v>19</v>
      </c>
      <c r="C15" s="3">
        <v>2125</v>
      </c>
    </row>
    <row r="16" spans="2:4" ht="15.75" thickBot="1" x14ac:dyDescent="0.3">
      <c r="B16" s="2" t="s">
        <v>20</v>
      </c>
      <c r="C16" s="3">
        <v>36225</v>
      </c>
    </row>
    <row r="17" spans="2:3" ht="15.75" thickTop="1" x14ac:dyDescent="0.25">
      <c r="B17" s="4" t="s">
        <v>4</v>
      </c>
      <c r="C17" s="5">
        <v>50172</v>
      </c>
    </row>
    <row r="19" spans="2:3" x14ac:dyDescent="0.25">
      <c r="B19" s="6" t="s">
        <v>8</v>
      </c>
      <c r="C19" s="6"/>
    </row>
    <row r="20" spans="2:3" x14ac:dyDescent="0.25">
      <c r="B20" s="1" t="s">
        <v>22</v>
      </c>
      <c r="C20" s="1" t="s">
        <v>0</v>
      </c>
    </row>
    <row r="21" spans="2:3" ht="15.75" thickBot="1" x14ac:dyDescent="0.3">
      <c r="B21" s="2" t="s">
        <v>20</v>
      </c>
      <c r="C21" s="3">
        <v>36591.360000000001</v>
      </c>
    </row>
    <row r="22" spans="2:3" ht="15.75" thickTop="1" x14ac:dyDescent="0.25">
      <c r="B22" s="4" t="s">
        <v>4</v>
      </c>
      <c r="C22" s="5">
        <v>36591.360000000001</v>
      </c>
    </row>
    <row r="24" spans="2:3" x14ac:dyDescent="0.25">
      <c r="B24" s="6" t="s">
        <v>13</v>
      </c>
      <c r="C24" s="6"/>
    </row>
    <row r="25" spans="2:3" x14ac:dyDescent="0.25">
      <c r="B25" s="1" t="s">
        <v>22</v>
      </c>
      <c r="C25" s="1" t="s">
        <v>0</v>
      </c>
    </row>
    <row r="26" spans="2:3" ht="15.75" thickBot="1" x14ac:dyDescent="0.3">
      <c r="B26" s="2" t="s">
        <v>20</v>
      </c>
      <c r="C26" s="3">
        <v>8972.630000000001</v>
      </c>
    </row>
    <row r="27" spans="2:3" ht="15.75" thickTop="1" x14ac:dyDescent="0.25">
      <c r="B27" s="4" t="s">
        <v>4</v>
      </c>
      <c r="C27" s="5">
        <v>8972.630000000001</v>
      </c>
    </row>
    <row r="29" spans="2:3" x14ac:dyDescent="0.25">
      <c r="B29" s="6" t="s">
        <v>12</v>
      </c>
      <c r="C29" s="6"/>
    </row>
    <row r="30" spans="2:3" x14ac:dyDescent="0.25">
      <c r="B30" s="1" t="s">
        <v>22</v>
      </c>
      <c r="C30" s="1" t="s">
        <v>0</v>
      </c>
    </row>
    <row r="31" spans="2:3" x14ac:dyDescent="0.25">
      <c r="B31" s="2" t="s">
        <v>17</v>
      </c>
      <c r="C31" s="3">
        <v>4340</v>
      </c>
    </row>
    <row r="32" spans="2:3" x14ac:dyDescent="0.25">
      <c r="B32" s="2" t="s">
        <v>19</v>
      </c>
      <c r="C32" s="3">
        <v>6</v>
      </c>
    </row>
    <row r="33" spans="2:3" x14ac:dyDescent="0.25">
      <c r="B33" s="2" t="s">
        <v>21</v>
      </c>
      <c r="C33" s="3">
        <v>2888</v>
      </c>
    </row>
    <row r="34" spans="2:3" ht="15.75" thickBot="1" x14ac:dyDescent="0.3">
      <c r="B34" s="2" t="s">
        <v>20</v>
      </c>
      <c r="C34" s="3">
        <v>1492</v>
      </c>
    </row>
    <row r="35" spans="2:3" ht="15.75" thickTop="1" x14ac:dyDescent="0.25">
      <c r="B35" s="4" t="s">
        <v>4</v>
      </c>
      <c r="C35" s="5">
        <v>8726</v>
      </c>
    </row>
    <row r="37" spans="2:3" x14ac:dyDescent="0.25">
      <c r="B37" s="6" t="s">
        <v>11</v>
      </c>
      <c r="C37" s="6"/>
    </row>
    <row r="38" spans="2:3" x14ac:dyDescent="0.25">
      <c r="B38" s="1" t="s">
        <v>22</v>
      </c>
      <c r="C38" s="1" t="s">
        <v>0</v>
      </c>
    </row>
    <row r="39" spans="2:3" x14ac:dyDescent="0.25">
      <c r="B39" s="2" t="s">
        <v>16</v>
      </c>
      <c r="C39" s="3">
        <v>1950</v>
      </c>
    </row>
    <row r="40" spans="2:3" x14ac:dyDescent="0.25">
      <c r="B40" s="2" t="s">
        <v>17</v>
      </c>
      <c r="C40" s="3">
        <v>4019.62</v>
      </c>
    </row>
    <row r="41" spans="2:3" ht="15.75" thickBot="1" x14ac:dyDescent="0.3">
      <c r="B41" s="2" t="s">
        <v>19</v>
      </c>
      <c r="C41" s="3">
        <v>500</v>
      </c>
    </row>
    <row r="42" spans="2:3" ht="15.75" thickTop="1" x14ac:dyDescent="0.25">
      <c r="B42" s="4" t="s">
        <v>4</v>
      </c>
      <c r="C42" s="5">
        <v>6469.62</v>
      </c>
    </row>
    <row r="44" spans="2:3" x14ac:dyDescent="0.25">
      <c r="B44" s="6" t="s">
        <v>10</v>
      </c>
      <c r="C44" s="6"/>
    </row>
    <row r="45" spans="2:3" x14ac:dyDescent="0.25">
      <c r="B45" s="1" t="s">
        <v>22</v>
      </c>
      <c r="C45" s="1" t="s">
        <v>0</v>
      </c>
    </row>
    <row r="46" spans="2:3" x14ac:dyDescent="0.25">
      <c r="B46" s="2" t="s">
        <v>19</v>
      </c>
      <c r="C46" s="3">
        <v>1320</v>
      </c>
    </row>
    <row r="47" spans="2:3" ht="15.75" thickBot="1" x14ac:dyDescent="0.3">
      <c r="B47" s="2" t="s">
        <v>20</v>
      </c>
      <c r="C47" s="3">
        <v>3828</v>
      </c>
    </row>
    <row r="48" spans="2:3" ht="15.75" thickTop="1" x14ac:dyDescent="0.25">
      <c r="B48" s="4" t="s">
        <v>4</v>
      </c>
      <c r="C48" s="5">
        <v>5148</v>
      </c>
    </row>
    <row r="50" spans="2:3" x14ac:dyDescent="0.25">
      <c r="B50" s="6" t="s">
        <v>7</v>
      </c>
      <c r="C50" s="6"/>
    </row>
    <row r="51" spans="2:3" x14ac:dyDescent="0.25">
      <c r="B51" s="1" t="s">
        <v>22</v>
      </c>
      <c r="C51" s="1" t="s">
        <v>0</v>
      </c>
    </row>
    <row r="52" spans="2:3" ht="15.75" thickBot="1" x14ac:dyDescent="0.3">
      <c r="B52" s="2" t="s">
        <v>20</v>
      </c>
      <c r="C52" s="3">
        <v>500</v>
      </c>
    </row>
    <row r="53" spans="2:3" ht="15.75" thickTop="1" x14ac:dyDescent="0.25">
      <c r="B53" s="4" t="s">
        <v>4</v>
      </c>
      <c r="C53" s="5">
        <v>500</v>
      </c>
    </row>
  </sheetData>
  <mergeCells count="8">
    <mergeCell ref="B44:C44"/>
    <mergeCell ref="B50:C50"/>
    <mergeCell ref="B2:C2"/>
    <mergeCell ref="B11:C11"/>
    <mergeCell ref="B19:C19"/>
    <mergeCell ref="B24:C24"/>
    <mergeCell ref="B29:C29"/>
    <mergeCell ref="B37:C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DF32B-FF31-41D2-B022-C3BA63D235E6}">
  <dimension ref="B2:D28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25</v>
      </c>
      <c r="C2" s="6"/>
    </row>
    <row r="3" spans="2:4" x14ac:dyDescent="0.25">
      <c r="B3" s="6" t="s">
        <v>24</v>
      </c>
      <c r="C3" s="6"/>
    </row>
    <row r="4" spans="2:4" x14ac:dyDescent="0.25">
      <c r="B4" s="1" t="s">
        <v>15</v>
      </c>
      <c r="C4" s="1" t="s">
        <v>0</v>
      </c>
    </row>
    <row r="5" spans="2:4" x14ac:dyDescent="0.25">
      <c r="B5" s="2" t="s">
        <v>1</v>
      </c>
      <c r="C5" s="3">
        <v>27317.589999999997</v>
      </c>
    </row>
    <row r="6" spans="2:4" x14ac:dyDescent="0.25">
      <c r="B6" s="2" t="s">
        <v>2</v>
      </c>
      <c r="C6" s="3">
        <v>880</v>
      </c>
    </row>
    <row r="7" spans="2:4" x14ac:dyDescent="0.25">
      <c r="B7" s="2" t="s">
        <v>23</v>
      </c>
      <c r="C7" s="3">
        <v>1000</v>
      </c>
    </row>
    <row r="8" spans="2:4" ht="15.75" thickBot="1" x14ac:dyDescent="0.3">
      <c r="B8" s="2" t="s">
        <v>3</v>
      </c>
      <c r="C8" s="3">
        <v>100</v>
      </c>
      <c r="D8" s="1" t="s">
        <v>14</v>
      </c>
    </row>
    <row r="9" spans="2:4" ht="15.75" thickTop="1" x14ac:dyDescent="0.25">
      <c r="B9" s="4" t="s">
        <v>4</v>
      </c>
      <c r="C9" s="5">
        <v>29297.589999999997</v>
      </c>
      <c r="D9" s="5">
        <f>SUMIF(B:B, "Total general", C:C)</f>
        <v>46186.21</v>
      </c>
    </row>
    <row r="11" spans="2:4" x14ac:dyDescent="0.25">
      <c r="B11" s="6" t="s">
        <v>12</v>
      </c>
      <c r="C11" s="6"/>
    </row>
    <row r="12" spans="2:4" x14ac:dyDescent="0.25">
      <c r="B12" s="1" t="s">
        <v>15</v>
      </c>
      <c r="C12" s="1" t="s">
        <v>0</v>
      </c>
    </row>
    <row r="13" spans="2:4" x14ac:dyDescent="0.25">
      <c r="B13" s="2" t="s">
        <v>9</v>
      </c>
      <c r="C13" s="3">
        <v>6</v>
      </c>
    </row>
    <row r="14" spans="2:4" x14ac:dyDescent="0.25">
      <c r="B14" s="2" t="s">
        <v>1</v>
      </c>
      <c r="C14" s="3">
        <v>8273</v>
      </c>
    </row>
    <row r="15" spans="2:4" ht="15.75" thickBot="1" x14ac:dyDescent="0.3">
      <c r="B15" s="2" t="s">
        <v>2</v>
      </c>
      <c r="C15" s="3">
        <v>447</v>
      </c>
    </row>
    <row r="16" spans="2:4" ht="15.75" thickTop="1" x14ac:dyDescent="0.25">
      <c r="B16" s="4" t="s">
        <v>4</v>
      </c>
      <c r="C16" s="5">
        <v>8726</v>
      </c>
    </row>
    <row r="18" spans="2:3" x14ac:dyDescent="0.25">
      <c r="B18" s="6" t="s">
        <v>11</v>
      </c>
      <c r="C18" s="6"/>
    </row>
    <row r="19" spans="2:3" x14ac:dyDescent="0.25">
      <c r="B19" s="1" t="s">
        <v>15</v>
      </c>
      <c r="C19" s="1" t="s">
        <v>0</v>
      </c>
    </row>
    <row r="20" spans="2:3" x14ac:dyDescent="0.25">
      <c r="B20" s="2" t="s">
        <v>9</v>
      </c>
      <c r="C20" s="3">
        <v>700</v>
      </c>
    </row>
    <row r="21" spans="2:3" ht="15.75" thickBot="1" x14ac:dyDescent="0.3">
      <c r="B21" s="2" t="s">
        <v>1</v>
      </c>
      <c r="C21" s="3">
        <v>5769.62</v>
      </c>
    </row>
    <row r="22" spans="2:3" ht="15.75" thickTop="1" x14ac:dyDescent="0.25">
      <c r="B22" s="4" t="s">
        <v>4</v>
      </c>
      <c r="C22" s="5">
        <v>6469.62</v>
      </c>
    </row>
    <row r="24" spans="2:3" x14ac:dyDescent="0.25">
      <c r="B24" s="6" t="s">
        <v>5</v>
      </c>
      <c r="C24" s="6"/>
    </row>
    <row r="25" spans="2:3" x14ac:dyDescent="0.25">
      <c r="B25" s="1" t="s">
        <v>15</v>
      </c>
      <c r="C25" s="1" t="s">
        <v>0</v>
      </c>
    </row>
    <row r="26" spans="2:3" x14ac:dyDescent="0.25">
      <c r="B26" s="2" t="s">
        <v>1</v>
      </c>
      <c r="C26" s="3">
        <v>1521</v>
      </c>
    </row>
    <row r="27" spans="2:3" ht="15.75" thickBot="1" x14ac:dyDescent="0.3">
      <c r="B27" s="2" t="s">
        <v>3</v>
      </c>
      <c r="C27" s="3">
        <v>172</v>
      </c>
    </row>
    <row r="28" spans="2:3" ht="15.75" thickTop="1" x14ac:dyDescent="0.25">
      <c r="B28" s="4" t="s">
        <v>4</v>
      </c>
      <c r="C28" s="5">
        <v>1693</v>
      </c>
    </row>
  </sheetData>
  <mergeCells count="5">
    <mergeCell ref="B3:C3"/>
    <mergeCell ref="B2:C2"/>
    <mergeCell ref="B18:C18"/>
    <mergeCell ref="B11:C11"/>
    <mergeCell ref="B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2025-08-15T20:40:42Z</dcterms:created>
  <dcterms:modified xsi:type="dcterms:W3CDTF">2025-08-15T20:49:22Z</dcterms:modified>
</cp:coreProperties>
</file>