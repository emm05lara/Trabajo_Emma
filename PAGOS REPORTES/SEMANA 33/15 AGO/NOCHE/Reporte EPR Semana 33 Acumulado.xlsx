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5 AGO\NOCHE\"/>
    </mc:Choice>
  </mc:AlternateContent>
  <xr:revisionPtr revIDLastSave="0" documentId="13_ncr:1_{B2C2F154-B748-4DD0-B0F1-68EECFA3E808}" xr6:coauthVersionLast="47" xr6:coauthVersionMax="47" xr10:uidLastSave="{00000000-0000-0000-0000-000000000000}"/>
  <bookViews>
    <workbookView xWindow="16020" yWindow="3105" windowWidth="11130" windowHeight="6570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<sst xmlns="http://schemas.openxmlformats.org/spreadsheetml/2006/main" count="176" uniqueCount="40">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</sst>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abSelected="1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199183.66</v>
      </c>
    </row>
    <row r="6" spans="2:8" x14ac:dyDescent="0.25">
      <c r="B6" s="1" t="s">
        <v>5</v>
      </c>
      <c r="C6" s="6">
        <v>9014</v>
      </c>
      <c r="D6" s="25">
        <v>553233.6100000001</v>
      </c>
    </row>
    <row r="7" spans="2:8" x14ac:dyDescent="0.25">
      <c r="B7" s="1" t="s">
        <v>6</v>
      </c>
      <c r="C7" s="6">
        <v>7118</v>
      </c>
      <c r="D7" s="25">
        <v>189550.55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33164</v>
      </c>
      <c r="D9" s="25">
        <v>352976.65</v>
      </c>
      <c r="E9" s="14"/>
      <c r="F9" s="7"/>
    </row>
    <row r="10" spans="2:8" x14ac:dyDescent="0.25">
      <c r="B10" s="3" t="s">
        <v>8</v>
      </c>
      <c r="C10" s="8">
        <f>SUM(C5:C9)</f>
        <v>50541</v>
      </c>
      <c r="D10" s="4">
        <f>SUM(D5:D9)</f>
        <v>1295944.4700000002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11</v>
      </c>
      <c r="D14" s="25">
        <v>64275.89</v>
      </c>
    </row>
    <row r="15" spans="2:8" x14ac:dyDescent="0.25">
      <c r="B15" s="9" t="s">
        <v>5</v>
      </c>
      <c r="C15" s="6">
        <v>2899</v>
      </c>
      <c r="D15" s="25">
        <v>271528.25</v>
      </c>
    </row>
    <row r="16" spans="2:8" x14ac:dyDescent="0.25">
      <c r="B16" s="9" t="s">
        <v>6</v>
      </c>
      <c r="C16" s="6">
        <v>1167</v>
      </c>
      <c r="D16" s="25">
        <v>75706.8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12213</v>
      </c>
      <c r="D18" s="25">
        <v>80575.199999999997</v>
      </c>
    </row>
    <row r="19" spans="2:4" x14ac:dyDescent="0.25">
      <c r="B19" s="10" t="s">
        <v>8</v>
      </c>
      <c r="C19" s="8">
        <f>SUM(C14:C18)</f>
        <v>16291</v>
      </c>
      <c r="D19" s="4">
        <f>SUM(D14:D18)</f>
        <v>492125.14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9186</v>
      </c>
    </row>
    <row r="24" spans="2:4" x14ac:dyDescent="0.25">
      <c r="B24" s="1" t="s">
        <v>5</v>
      </c>
      <c r="C24" s="6">
        <v>2684</v>
      </c>
      <c r="D24" s="25">
        <v>117025.5</v>
      </c>
    </row>
    <row r="25" spans="2:4" x14ac:dyDescent="0.25">
      <c r="B25" s="1" t="s">
        <v>6</v>
      </c>
      <c r="C25" s="6">
        <v>3467</v>
      </c>
      <c r="D25" s="25">
        <v>77215.199999999997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18222</v>
      </c>
      <c r="D27" s="25">
        <v>173323</v>
      </c>
    </row>
    <row r="28" spans="2:4" x14ac:dyDescent="0.25">
      <c r="B28" s="3" t="s">
        <v>8</v>
      </c>
      <c r="C28" s="8">
        <f>SUM(C23:C27)</f>
        <v>24373</v>
      </c>
      <c r="D28" s="4">
        <f>SUM(D23:D27)</f>
        <v>376749.7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5">
        <v>16246</v>
      </c>
    </row>
    <row r="33" spans="2:4" x14ac:dyDescent="0.25">
      <c r="B33" s="9" t="s">
        <v>5</v>
      </c>
      <c r="C33" s="6">
        <v>1330</v>
      </c>
      <c r="D33" s="25">
        <v>125528.12000000001</v>
      </c>
    </row>
    <row r="34" spans="2:4" x14ac:dyDescent="0.25">
      <c r="B34" s="9" t="s">
        <v>6</v>
      </c>
      <c r="C34" s="6">
        <v>653</v>
      </c>
      <c r="D34" s="25">
        <v>50039.92</v>
      </c>
    </row>
    <row r="35" spans="2:4" x14ac:dyDescent="0.25">
      <c r="B35" s="9" t="s">
        <v>7</v>
      </c>
      <c r="C35" s="6">
        <v>1515</v>
      </c>
      <c r="D35" s="25">
        <v>5075</v>
      </c>
    </row>
    <row r="36" spans="2:4" x14ac:dyDescent="0.25">
      <c r="B36" s="10" t="s">
        <v>8</v>
      </c>
      <c r="C36" s="8">
        <f>SUM(C32:C35)</f>
        <v>3499</v>
      </c>
      <c r="D36" s="4">
        <f>SUM(D32:D35)</f>
        <v>196889.03999999998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204</v>
      </c>
      <c r="D40" s="25">
        <v>3068.1</v>
      </c>
    </row>
    <row r="41" spans="2:4" x14ac:dyDescent="0.25">
      <c r="B41" s="1" t="s">
        <v>5</v>
      </c>
      <c r="C41" s="6">
        <v>2163</v>
      </c>
      <c r="D41" s="25">
        <v>55153.630000000005</v>
      </c>
    </row>
    <row r="42" spans="2:4" x14ac:dyDescent="0.25">
      <c r="B42" s="1" t="s">
        <v>6</v>
      </c>
      <c r="C42" s="6">
        <v>1234</v>
      </c>
      <c r="D42" s="25">
        <v>33133.870000000003</v>
      </c>
    </row>
    <row r="43" spans="2:4" x14ac:dyDescent="0.25">
      <c r="B43" s="1" t="s">
        <v>7</v>
      </c>
      <c r="C43" s="6">
        <v>368</v>
      </c>
      <c r="D43" s="25">
        <v>3045</v>
      </c>
    </row>
    <row r="44" spans="2:4" x14ac:dyDescent="0.25">
      <c r="B44" s="3" t="s">
        <v>8</v>
      </c>
      <c r="C44" s="8">
        <f>SUM(C40:C43)</f>
        <v>3969</v>
      </c>
      <c r="D44" s="4">
        <f>SUM(D40:D43)</f>
        <v>94400.6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2962</v>
      </c>
    </row>
    <row r="49" spans="2:4" x14ac:dyDescent="0.25">
      <c r="B49" s="1" t="s">
        <v>5</v>
      </c>
      <c r="C49" s="6">
        <v>577</v>
      </c>
      <c r="D49" s="25">
        <v>75711.01999999999</v>
      </c>
    </row>
    <row r="50" spans="2:4" x14ac:dyDescent="0.25">
      <c r="B50" s="1" t="s">
        <v>6</v>
      </c>
      <c r="C50" s="6">
        <v>526</v>
      </c>
      <c r="D50" s="25">
        <v>2568</v>
      </c>
    </row>
    <row r="51" spans="2:4" x14ac:dyDescent="0.25">
      <c r="B51" s="1" t="s">
        <v>7</v>
      </c>
      <c r="C51" s="6">
        <v>2296</v>
      </c>
      <c r="D51" s="25">
        <v>10434</v>
      </c>
    </row>
    <row r="52" spans="2:4" x14ac:dyDescent="0.25">
      <c r="B52" s="3" t="s">
        <v>8</v>
      </c>
      <c r="C52" s="8">
        <f>SUM(C48:C51)</f>
        <v>3399</v>
      </c>
      <c r="D52" s="4">
        <f>SUM(D48:D51)</f>
        <v>91675.01999999999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199</v>
      </c>
      <c r="D56" s="25">
        <v>14668</v>
      </c>
    </row>
    <row r="57" spans="2:4" x14ac:dyDescent="0.25">
      <c r="B57" s="1" t="s">
        <v>5</v>
      </c>
      <c r="C57" s="6">
        <v>2320</v>
      </c>
      <c r="D57" s="25">
        <v>32571.829999999998</v>
      </c>
    </row>
    <row r="58" spans="2:4" x14ac:dyDescent="0.25">
      <c r="B58" s="1" t="s">
        <v>6</v>
      </c>
      <c r="C58" s="6">
        <v>121</v>
      </c>
      <c r="D58" s="26">
        <v>0</v>
      </c>
    </row>
    <row r="59" spans="2:4" x14ac:dyDescent="0.25">
      <c r="B59" s="10" t="s">
        <v>8</v>
      </c>
      <c r="C59" s="8">
        <f>SUM(C56:C58)</f>
        <v>2640</v>
      </c>
      <c r="D59" s="4">
        <f>SUM(D56:D58)</f>
        <v>47239.83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1924</v>
      </c>
      <c r="D64" s="25">
        <v>9805.27</v>
      </c>
    </row>
    <row r="65" spans="2:4" x14ac:dyDescent="0.25">
      <c r="B65" s="3" t="s">
        <v>8</v>
      </c>
      <c r="C65" s="8">
        <f>SUM(C63:C64)</f>
        <v>1924</v>
      </c>
      <c r="D65" s="4">
        <f>SUM(D63:D64)</f>
        <v>9805.27</v>
      </c>
    </row>
    <row r="67" spans="2:4" x14ac:dyDescent="0.25">
      <c r="B67" s="12" t="s">
        <v>13</v>
      </c>
      <c r="C67" s="13">
        <f>SUMIF(B:B, "Total general", C:C)</f>
        <v>106636</v>
      </c>
      <c r="D67" s="13">
        <f>SUMIF(B:B, "Total general", D:D)</f>
        <v>2604829.0700000008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zoomScaleNormal="100" workbookViewId="0">
      <selection activeCell="C22" sqref="C22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</row>
    <row r="6" spans="2:8" x14ac:dyDescent="0.25">
      <c r="B6" s="1" t="s">
        <v>5</v>
      </c>
      <c r="C6" s="27">
        <v>15830</v>
      </c>
      <c r="D6" s="25">
        <v>77744.77</v>
      </c>
    </row>
    <row r="7" spans="2:8" x14ac:dyDescent="0.25">
      <c r="B7" s="1" t="s">
        <v>6</v>
      </c>
      <c r="C7" s="27">
        <v>9326</v>
      </c>
      <c r="D7" s="25">
        <v>8706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61558</v>
      </c>
      <c r="D9" s="25">
        <v>1515</v>
      </c>
      <c r="E9" s="14"/>
      <c r="F9" s="7"/>
    </row>
    <row r="10" spans="2:8" x14ac:dyDescent="0.25">
      <c r="B10" s="3" t="s">
        <v>8</v>
      </c>
      <c r="C10" s="8">
        <f>SUM(C5:C9)</f>
        <v>89459</v>
      </c>
      <c r="D10" s="4">
        <f>SUM(D5:D9)</f>
        <v>87965.77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7">
        <v>131</v>
      </c>
      <c r="D14" s="25">
        <v>364</v>
      </c>
    </row>
    <row r="15" spans="2:8" x14ac:dyDescent="0.25">
      <c r="B15" s="1" t="s">
        <v>5</v>
      </c>
      <c r="C15" s="27">
        <v>2163</v>
      </c>
      <c r="D15" s="25">
        <v>11118</v>
      </c>
    </row>
    <row r="16" spans="2:8" x14ac:dyDescent="0.25">
      <c r="B16" s="1" t="s">
        <v>6</v>
      </c>
      <c r="C16" s="27">
        <v>1190</v>
      </c>
      <c r="D16" s="25">
        <v>10952.470000000001</v>
      </c>
    </row>
    <row r="17" spans="2:4" x14ac:dyDescent="0.25">
      <c r="B17" s="1" t="s">
        <v>7</v>
      </c>
      <c r="C17" s="27">
        <v>368</v>
      </c>
      <c r="D17" s="25">
        <v>2932</v>
      </c>
    </row>
    <row r="18" spans="2:4" x14ac:dyDescent="0.25">
      <c r="B18" s="3" t="s">
        <v>8</v>
      </c>
      <c r="C18" s="8">
        <f>SUM(C14:C17)</f>
        <v>3852</v>
      </c>
      <c r="D18" s="4">
        <f>SUM(D14:D17)</f>
        <v>25366.47</v>
      </c>
    </row>
    <row r="20" spans="2:4" x14ac:dyDescent="0.25">
      <c r="B20" s="28" t="s">
        <v>0</v>
      </c>
      <c r="C20" s="28"/>
      <c r="D20" s="28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/>
      <c r="D22" s="26">
        <v>0</v>
      </c>
    </row>
    <row r="23" spans="2:4" x14ac:dyDescent="0.25">
      <c r="B23" s="1" t="s">
        <v>5</v>
      </c>
      <c r="C23" s="27"/>
      <c r="D23" s="25">
        <v>1700</v>
      </c>
    </row>
    <row r="24" spans="2:4" x14ac:dyDescent="0.25">
      <c r="B24" s="1" t="s">
        <v>6</v>
      </c>
      <c r="C24" s="27"/>
      <c r="D24" s="25">
        <v>1362</v>
      </c>
    </row>
    <row r="25" spans="2:4" x14ac:dyDescent="0.25">
      <c r="B25" s="5" t="s">
        <v>12</v>
      </c>
      <c r="C25" s="27"/>
      <c r="D25" s="26">
        <v>0</v>
      </c>
    </row>
    <row r="26" spans="2:4" x14ac:dyDescent="0.25">
      <c r="B26" s="1" t="s">
        <v>7</v>
      </c>
      <c r="C26" s="27"/>
      <c r="D26" s="25">
        <v>6738</v>
      </c>
    </row>
    <row r="27" spans="2:4" x14ac:dyDescent="0.25">
      <c r="B27" s="3" t="s">
        <v>8</v>
      </c>
      <c r="C27" s="8">
        <f>SUM(C22:C26)</f>
        <v>0</v>
      </c>
      <c r="D27" s="4">
        <f>SUM(D22:D26)</f>
        <v>9800</v>
      </c>
    </row>
    <row r="29" spans="2:4" x14ac:dyDescent="0.25">
      <c r="B29" s="29" t="s">
        <v>10</v>
      </c>
      <c r="C29" s="29"/>
      <c r="D29" s="29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/>
      <c r="D31" s="26">
        <v>0</v>
      </c>
    </row>
    <row r="32" spans="2:4" x14ac:dyDescent="0.25">
      <c r="B32" s="9" t="s">
        <v>5</v>
      </c>
      <c r="C32" s="27"/>
      <c r="D32" s="25">
        <v>532</v>
      </c>
    </row>
    <row r="33" spans="2:4" x14ac:dyDescent="0.25">
      <c r="B33" s="9" t="s">
        <v>6</v>
      </c>
      <c r="C33" s="27"/>
      <c r="D33" s="25">
        <v>3597</v>
      </c>
    </row>
    <row r="34" spans="2:4" x14ac:dyDescent="0.25">
      <c r="B34" s="5" t="s">
        <v>12</v>
      </c>
      <c r="C34" s="7"/>
      <c r="D34" s="7">
        <v>0</v>
      </c>
    </row>
    <row r="35" spans="2:4" x14ac:dyDescent="0.25">
      <c r="B35" s="9" t="s">
        <v>7</v>
      </c>
      <c r="C35" s="27"/>
      <c r="D35" s="7">
        <v>0</v>
      </c>
    </row>
    <row r="36" spans="2:4" x14ac:dyDescent="0.25">
      <c r="B36" s="10" t="s">
        <v>8</v>
      </c>
      <c r="C36" s="8">
        <f>SUM(C31:C35)</f>
        <v>0</v>
      </c>
      <c r="D36" s="4">
        <f>SUM(D31:D35)</f>
        <v>4129</v>
      </c>
    </row>
    <row r="38" spans="2:4" x14ac:dyDescent="0.25">
      <c r="B38" s="28" t="s">
        <v>36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26"/>
      <c r="D40" s="26">
        <v>0</v>
      </c>
    </row>
    <row r="41" spans="2:4" x14ac:dyDescent="0.25">
      <c r="B41" s="1" t="s">
        <v>5</v>
      </c>
      <c r="C41" s="27"/>
      <c r="D41" s="26">
        <v>0</v>
      </c>
    </row>
    <row r="42" spans="2:4" x14ac:dyDescent="0.25">
      <c r="B42" s="1" t="s">
        <v>6</v>
      </c>
      <c r="C42" s="27"/>
      <c r="D42" s="26">
        <v>0</v>
      </c>
    </row>
    <row r="43" spans="2:4" x14ac:dyDescent="0.25">
      <c r="B43" s="5" t="s">
        <v>12</v>
      </c>
      <c r="C43" s="6"/>
      <c r="D43" s="26">
        <v>0</v>
      </c>
    </row>
    <row r="44" spans="2:4" x14ac:dyDescent="0.25">
      <c r="B44" s="1" t="s">
        <v>7</v>
      </c>
      <c r="C44" s="27"/>
      <c r="D44" s="25">
        <v>388</v>
      </c>
    </row>
    <row r="45" spans="2:4" x14ac:dyDescent="0.25">
      <c r="B45" s="3" t="s">
        <v>8</v>
      </c>
      <c r="C45" s="8">
        <f>SUM(C40:C44)</f>
        <v>0</v>
      </c>
      <c r="D45" s="4">
        <f>SUM(D40:D44)</f>
        <v>388</v>
      </c>
    </row>
    <row r="47" spans="2:4" x14ac:dyDescent="0.25">
      <c r="B47" s="29" t="s">
        <v>11</v>
      </c>
      <c r="C47" s="29"/>
      <c r="D47" s="29"/>
    </row>
    <row r="48" spans="2:4" x14ac:dyDescent="0.25">
      <c r="B48" s="4" t="s">
        <v>1</v>
      </c>
      <c r="C48" s="4" t="s">
        <v>2</v>
      </c>
      <c r="D48" s="4" t="s">
        <v>3</v>
      </c>
    </row>
    <row r="49" spans="2:4" x14ac:dyDescent="0.25">
      <c r="B49" s="9" t="s">
        <v>4</v>
      </c>
      <c r="C49" s="26"/>
      <c r="D49" s="26">
        <v>0</v>
      </c>
    </row>
    <row r="50" spans="2:4" x14ac:dyDescent="0.25">
      <c r="B50" s="1" t="s">
        <v>5</v>
      </c>
      <c r="C50" s="27"/>
      <c r="D50" s="25">
        <v>1000</v>
      </c>
    </row>
    <row r="51" spans="2:4" x14ac:dyDescent="0.25">
      <c r="B51" s="1" t="s">
        <v>6</v>
      </c>
      <c r="C51" s="27"/>
      <c r="D51" s="26">
        <v>0</v>
      </c>
    </row>
    <row r="52" spans="2:4" x14ac:dyDescent="0.25">
      <c r="B52" s="10" t="s">
        <v>8</v>
      </c>
      <c r="C52" s="8">
        <f>SUM(C49:C51)</f>
        <v>0</v>
      </c>
      <c r="D52" s="4">
        <f>SUM(D49:D51)</f>
        <v>1000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/>
      <c r="D56" s="26">
        <v>0</v>
      </c>
    </row>
    <row r="57" spans="2:4" x14ac:dyDescent="0.25">
      <c r="B57" s="1" t="s">
        <v>5</v>
      </c>
      <c r="C57" s="27"/>
      <c r="D57" s="26">
        <v>0</v>
      </c>
    </row>
    <row r="58" spans="2:4" x14ac:dyDescent="0.25">
      <c r="B58" s="1" t="s">
        <v>6</v>
      </c>
      <c r="C58" s="27"/>
      <c r="D58" s="26">
        <v>0</v>
      </c>
    </row>
    <row r="59" spans="2:4" x14ac:dyDescent="0.25">
      <c r="B59" s="1" t="s">
        <v>7</v>
      </c>
      <c r="C59" s="27"/>
      <c r="D59" s="26">
        <v>0</v>
      </c>
    </row>
    <row r="60" spans="2:4" x14ac:dyDescent="0.25">
      <c r="B60" s="3" t="s">
        <v>8</v>
      </c>
      <c r="C60" s="8">
        <f>SUM(C56:C59)</f>
        <v>0</v>
      </c>
      <c r="D60" s="4">
        <f>SUM(D56:D59)</f>
        <v>0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/>
      <c r="D64" s="26">
        <v>0</v>
      </c>
    </row>
    <row r="65" spans="2:4" x14ac:dyDescent="0.25">
      <c r="B65" s="9" t="s">
        <v>5</v>
      </c>
      <c r="C65" s="6"/>
      <c r="D65" s="26">
        <v>0</v>
      </c>
    </row>
    <row r="66" spans="2:4" x14ac:dyDescent="0.25">
      <c r="B66" s="9" t="s">
        <v>6</v>
      </c>
      <c r="C66" s="27"/>
      <c r="D66" s="26">
        <v>0</v>
      </c>
    </row>
    <row r="67" spans="2:4" x14ac:dyDescent="0.25">
      <c r="B67" s="9" t="s">
        <v>7</v>
      </c>
      <c r="C67" s="27"/>
      <c r="D67" s="26">
        <v>0</v>
      </c>
    </row>
    <row r="68" spans="2:4" x14ac:dyDescent="0.25">
      <c r="B68" s="10" t="s">
        <v>8</v>
      </c>
      <c r="C68" s="8">
        <f>SUM(C64:C67)</f>
        <v>0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93311</v>
      </c>
      <c r="D70" s="13">
        <f>SUMIF(B:B, "Total general", D:D)</f>
        <v>128649.24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416</v>
      </c>
      <c r="E6" s="16">
        <f>SUMIF('REPORTE DIARIO'!B:B,'EPR 26 JUN'!C6, 'REPORTE DIARIO'!D:D)</f>
        <v>309589.64999999997</v>
      </c>
      <c r="F6" s="16">
        <f>J6*D6</f>
        <v>26148.571428571428</v>
      </c>
      <c r="G6" s="16">
        <f>+E6-F6</f>
        <v>283441.07857142854</v>
      </c>
      <c r="H6" s="15">
        <f>ABS(G6/F6)</f>
        <v>10.839639149912587</v>
      </c>
      <c r="I6" s="16">
        <f>E6/D6</f>
        <v>744.20588942307688</v>
      </c>
      <c r="J6" s="16">
        <f>(220/7)*2</f>
        <v>62.857142857142854</v>
      </c>
      <c r="K6" s="16">
        <f>+I6-J6</f>
        <v>681.34874656593399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22911</v>
      </c>
      <c r="E7" s="16">
        <f>SUMIF('REPORTE DIARIO'!B:B,'EPR 26 JUN'!C7, 'REPORTE DIARIO'!D:D)</f>
        <v>1240557.2300000004</v>
      </c>
      <c r="F7" s="16">
        <f>J7*D7</f>
        <v>720060</v>
      </c>
      <c r="G7" s="16">
        <f>+E7-F7</f>
        <v>520497.23000000045</v>
      </c>
      <c r="H7" s="15">
        <f>ABS(G7/F7)</f>
        <v>0.722852581729301</v>
      </c>
      <c r="I7" s="16">
        <f>E7/D7</f>
        <v>54.146795425778031</v>
      </c>
      <c r="J7" s="16">
        <f>(110/7)*2</f>
        <v>31.428571428571427</v>
      </c>
      <c r="K7" s="16">
        <f t="shared" ref="K7:K9" si="0">+I7-J7</f>
        <v>22.718223997206604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14286</v>
      </c>
      <c r="E8" s="16">
        <f>SUMIF('REPORTE DIARIO'!B:B,'EPR 26 JUN'!C8, 'REPORTE DIARIO'!D:D)</f>
        <v>428214.33999999997</v>
      </c>
      <c r="F8" s="16">
        <f>J8*D8</f>
        <v>183677.14285714287</v>
      </c>
      <c r="G8" s="16">
        <f>+E8-F8</f>
        <v>244537.1971428571</v>
      </c>
      <c r="H8" s="15">
        <f>ABS(G8/F8)</f>
        <v>1.3313425575932922</v>
      </c>
      <c r="I8" s="16">
        <f>E8/D8</f>
        <v>29.974404311913759</v>
      </c>
      <c r="J8" s="16">
        <f>(45/7)*2</f>
        <v>12.857142857142858</v>
      </c>
      <c r="K8" s="16">
        <f t="shared" si="0"/>
        <v>17.117261454770901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67778</v>
      </c>
      <c r="E9" s="16">
        <f>SUMIF('REPORTE DIARIO'!B:B,'EPR 26 JUN'!C9, 'REPORTE DIARIO'!D:D)</f>
        <v>625428.85000000009</v>
      </c>
      <c r="F9" s="16">
        <f>J9*D9</f>
        <v>290477.14285714284</v>
      </c>
      <c r="G9" s="16">
        <f>+E9-F9</f>
        <v>334951.70714285725</v>
      </c>
      <c r="H9" s="15">
        <f>ABS(G9/F9)</f>
        <v>1.1531086537421193</v>
      </c>
      <c r="I9" s="16">
        <f>E9/D9</f>
        <v>9.2276085160376535</v>
      </c>
      <c r="J9" s="16">
        <f>(15/7)*2</f>
        <v>4.2857142857142856</v>
      </c>
      <c r="K9" s="16">
        <f t="shared" si="0"/>
        <v>4.9418942303233679</v>
      </c>
    </row>
    <row r="10" spans="2:12" x14ac:dyDescent="0.25">
      <c r="B10" s="16"/>
      <c r="C10" s="19" t="s">
        <v>17</v>
      </c>
      <c r="D10" s="24">
        <f>SUM(D6:D9)</f>
        <v>105391</v>
      </c>
      <c r="E10" s="20">
        <f>SUM(E6:E9)</f>
        <v>2603790.0700000003</v>
      </c>
      <c r="F10" s="20">
        <f>SUM(F6:F9)</f>
        <v>1220362.8571428573</v>
      </c>
      <c r="G10" s="20">
        <f>+E10-F10</f>
        <v>1383427.212857143</v>
      </c>
      <c r="H10" s="21">
        <f>ABS(G10/F10)</f>
        <v>1.1336195663116591</v>
      </c>
      <c r="I10" s="20">
        <f>E10/D10</f>
        <v>24.706000227723433</v>
      </c>
      <c r="J10" s="20">
        <f>F10/D10</f>
        <v>11.579383981012205</v>
      </c>
      <c r="K10" s="20">
        <f>I10-J10</f>
        <v>13.126616246711228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2025-08-14T15:08:10Z</cp:lastPrinted>
  <dcterms:created xsi:type="dcterms:W3CDTF">2025-01-27T15:11:28Z</dcterms:created>
  <dcterms:modified xsi:type="dcterms:W3CDTF">2025-08-16T05:41:34Z</dcterms:modified>
</cp:coreProperties>
</file>