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5 AGO\NOCHE\"/>
    </mc:Choice>
  </mc:AlternateContent>
  <xr:revisionPtr revIDLastSave="0" documentId="13_ncr:1_{630AD4E7-C234-4E1C-9885-77D788D1A3D5}" xr6:coauthVersionLast="47" xr6:coauthVersionMax="47" xr10:uidLastSave="{00000000-0000-0000-0000-000000000000}"/>
  <bookViews>
    <workbookView xWindow="15675" yWindow="2760" windowWidth="11130" windowHeight="6570" activeTab="2" xr2:uid="{E9F2D302-F0BC-430F-BF94-CE5E50E79CC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3" l="1"/>
  <c r="D10" i="2"/>
  <c r="D7" i="1"/>
</calcChain>
</file>

<file path=xl/sharedStrings.xml><?xml version="1.0" encoding="utf-8"?>
<sst xmlns="http://schemas.openxmlformats.org/spreadsheetml/2006/main" count="161" uniqueCount="27">
  <si>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</si>
  <si>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</si>
  <si>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</si>
  <si>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</si>
  <si>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</si>
  <si>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</si>
  <si>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</si>
  <si>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COREFORCE</t>
  </si>
  <si>
    <t>EDITH</t>
  </si>
  <si>
    <t>Extrajudicial - 0 a 28 semanas de atraso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</si>
  <si>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</si>
  <si>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</si>
  <si>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</si>
  <si>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</si>
  <si>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</si>
  <si>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</si>
  <si>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</si>
  <si>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</si>
  <si>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MAZ</t>
  </si>
  <si>
    <t>REESTRUCTURA</t>
  </si>
  <si>
    <t>TAZ</t>
  </si>
  <si>
    <t>TOR</t>
  </si>
  <si>
    <t>EMPRESARIO AZTECA</t>
  </si>
  <si>
    <t>Producto</t>
  </si>
  <si>
    <t>Judicial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</si>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</sst>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5C75-FA1D-44A5-AF47-E4C7AE26BACA}">
  <dimension ref="B2:D54"/>
  <sheetViews>
    <sheetView workbookViewId="0">
      <selection activeCell="B2" sqref="B2:C5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155501.65</v>
      </c>
    </row>
    <row r="5" spans="2:4" x14ac:dyDescent="0.25">
      <c r="B5" s="2" t="s">
        <v>2</v>
      </c>
      <c r="C5" s="3">
        <v>63975</v>
      </c>
    </row>
    <row r="6" spans="2:4" ht="15.75" thickBot="1" x14ac:dyDescent="0.3">
      <c r="B6" s="2" t="s">
        <v>3</v>
      </c>
      <c r="C6" s="3">
        <v>135727.4</v>
      </c>
      <c r="D6" s="1" t="s">
        <v>14</v>
      </c>
    </row>
    <row r="7" spans="2:4" ht="15.75" thickTop="1" x14ac:dyDescent="0.25">
      <c r="B7" s="4" t="s">
        <v>4</v>
      </c>
      <c r="C7" s="5">
        <v>355204.05</v>
      </c>
      <c r="D7" s="5">
        <f>SUMIF(B:B, "Total general", C:C)</f>
        <v>629720.85999999987</v>
      </c>
    </row>
    <row r="9" spans="2:4" x14ac:dyDescent="0.25">
      <c r="B9" s="6" t="s">
        <v>6</v>
      </c>
      <c r="C9" s="6"/>
    </row>
    <row r="10" spans="2:4" x14ac:dyDescent="0.25">
      <c r="B10" s="1" t="s">
        <v>15</v>
      </c>
      <c r="C10" s="1" t="s">
        <v>0</v>
      </c>
    </row>
    <row r="11" spans="2:4" x14ac:dyDescent="0.25">
      <c r="B11" s="2" t="s">
        <v>1</v>
      </c>
      <c r="C11" s="3">
        <v>41600</v>
      </c>
    </row>
    <row r="12" spans="2:4" x14ac:dyDescent="0.25">
      <c r="B12" s="2" t="s">
        <v>2</v>
      </c>
      <c r="C12" s="3">
        <v>11479</v>
      </c>
    </row>
    <row r="13" spans="2:4" ht="15.75" thickBot="1" x14ac:dyDescent="0.3">
      <c r="B13" s="2" t="s">
        <v>3</v>
      </c>
      <c r="C13" s="3">
        <v>52185</v>
      </c>
    </row>
    <row r="14" spans="2:4" ht="15.75" thickTop="1" x14ac:dyDescent="0.25">
      <c r="B14" s="4" t="s">
        <v>4</v>
      </c>
      <c r="C14" s="5">
        <v>105264</v>
      </c>
    </row>
    <row r="16" spans="2:4" x14ac:dyDescent="0.25">
      <c r="B16" s="6" t="s">
        <v>8</v>
      </c>
      <c r="C16" s="6"/>
    </row>
    <row r="17" spans="2:3" x14ac:dyDescent="0.25">
      <c r="B17" s="1" t="s">
        <v>15</v>
      </c>
      <c r="C17" s="1" t="s">
        <v>0</v>
      </c>
    </row>
    <row r="18" spans="2:3" x14ac:dyDescent="0.25">
      <c r="B18" s="2" t="s">
        <v>9</v>
      </c>
      <c r="C18" s="3">
        <v>1036.82</v>
      </c>
    </row>
    <row r="19" spans="2:3" x14ac:dyDescent="0.25">
      <c r="B19" s="2" t="s">
        <v>1</v>
      </c>
      <c r="C19" s="3">
        <v>45424.43</v>
      </c>
    </row>
    <row r="20" spans="2:3" x14ac:dyDescent="0.25">
      <c r="B20" s="2" t="s">
        <v>2</v>
      </c>
      <c r="C20" s="3">
        <v>8975</v>
      </c>
    </row>
    <row r="21" spans="2:3" ht="15.75" thickBot="1" x14ac:dyDescent="0.3">
      <c r="B21" s="2" t="s">
        <v>3</v>
      </c>
      <c r="C21" s="3">
        <v>19532.37</v>
      </c>
    </row>
    <row r="22" spans="2:3" ht="15.75" thickTop="1" x14ac:dyDescent="0.25">
      <c r="B22" s="4" t="s">
        <v>4</v>
      </c>
      <c r="C22" s="5">
        <v>74968.62</v>
      </c>
    </row>
    <row r="24" spans="2:3" x14ac:dyDescent="0.25">
      <c r="B24" s="6" t="s">
        <v>13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1</v>
      </c>
      <c r="C26" s="3">
        <v>27335.41</v>
      </c>
    </row>
    <row r="27" spans="2:3" x14ac:dyDescent="0.25">
      <c r="B27" s="2" t="s">
        <v>2</v>
      </c>
      <c r="C27" s="3">
        <v>10744.79</v>
      </c>
    </row>
    <row r="28" spans="2:3" ht="15.75" thickBot="1" x14ac:dyDescent="0.3">
      <c r="B28" s="2" t="s">
        <v>3</v>
      </c>
      <c r="C28" s="3">
        <v>3021</v>
      </c>
    </row>
    <row r="29" spans="2:3" ht="15.75" thickTop="1" x14ac:dyDescent="0.25">
      <c r="B29" s="4" t="s">
        <v>4</v>
      </c>
      <c r="C29" s="5">
        <v>41101.199999999997</v>
      </c>
    </row>
    <row r="31" spans="2:3" x14ac:dyDescent="0.25">
      <c r="B31" s="6" t="s">
        <v>12</v>
      </c>
      <c r="C31" s="6"/>
    </row>
    <row r="32" spans="2:3" x14ac:dyDescent="0.25">
      <c r="B32" s="1" t="s">
        <v>15</v>
      </c>
      <c r="C32" s="1" t="s">
        <v>0</v>
      </c>
    </row>
    <row r="33" spans="2:3" x14ac:dyDescent="0.25">
      <c r="B33" s="2" t="s">
        <v>9</v>
      </c>
      <c r="C33" s="3">
        <v>699.1</v>
      </c>
    </row>
    <row r="34" spans="2:3" x14ac:dyDescent="0.25">
      <c r="B34" s="2" t="s">
        <v>1</v>
      </c>
      <c r="C34" s="3">
        <v>16807</v>
      </c>
    </row>
    <row r="35" spans="2:3" ht="15.75" thickBot="1" x14ac:dyDescent="0.3">
      <c r="B35" s="2" t="s">
        <v>2</v>
      </c>
      <c r="C35" s="3">
        <v>1547</v>
      </c>
    </row>
    <row r="36" spans="2:3" ht="15.75" thickTop="1" x14ac:dyDescent="0.25">
      <c r="B36" s="4" t="s">
        <v>4</v>
      </c>
      <c r="C36" s="5">
        <v>19053.099999999999</v>
      </c>
    </row>
    <row r="38" spans="2:3" x14ac:dyDescent="0.25">
      <c r="B38" s="6" t="s">
        <v>11</v>
      </c>
      <c r="C38" s="6"/>
    </row>
    <row r="39" spans="2:3" x14ac:dyDescent="0.25">
      <c r="B39" s="1" t="s">
        <v>15</v>
      </c>
      <c r="C39" s="1" t="s">
        <v>0</v>
      </c>
    </row>
    <row r="40" spans="2:3" x14ac:dyDescent="0.25">
      <c r="B40" s="2" t="s">
        <v>9</v>
      </c>
      <c r="C40" s="3">
        <v>1130</v>
      </c>
    </row>
    <row r="41" spans="2:3" ht="15.75" thickBot="1" x14ac:dyDescent="0.3">
      <c r="B41" s="2" t="s">
        <v>1</v>
      </c>
      <c r="C41" s="3">
        <v>12653.619999999999</v>
      </c>
    </row>
    <row r="42" spans="2:3" ht="15.75" thickTop="1" x14ac:dyDescent="0.25">
      <c r="B42" s="4" t="s">
        <v>4</v>
      </c>
      <c r="C42" s="5">
        <v>13783.619999999999</v>
      </c>
    </row>
    <row r="44" spans="2:3" x14ac:dyDescent="0.25">
      <c r="B44" s="6" t="s">
        <v>10</v>
      </c>
      <c r="C44" s="6"/>
    </row>
    <row r="45" spans="2:3" x14ac:dyDescent="0.25">
      <c r="B45" s="1" t="s">
        <v>15</v>
      </c>
      <c r="C45" s="1" t="s">
        <v>0</v>
      </c>
    </row>
    <row r="46" spans="2:3" x14ac:dyDescent="0.25">
      <c r="B46" s="2" t="s">
        <v>1</v>
      </c>
      <c r="C46" s="3">
        <v>5093</v>
      </c>
    </row>
    <row r="47" spans="2:3" x14ac:dyDescent="0.25">
      <c r="B47" s="2" t="s">
        <v>2</v>
      </c>
      <c r="C47" s="3">
        <v>1598</v>
      </c>
    </row>
    <row r="48" spans="2:3" ht="15.75" thickBot="1" x14ac:dyDescent="0.3">
      <c r="B48" s="2" t="s">
        <v>3</v>
      </c>
      <c r="C48" s="3">
        <v>3850</v>
      </c>
    </row>
    <row r="49" spans="2:3" ht="15.75" thickTop="1" x14ac:dyDescent="0.25">
      <c r="B49" s="4" t="s">
        <v>4</v>
      </c>
      <c r="C49" s="5">
        <v>10541</v>
      </c>
    </row>
    <row r="51" spans="2:3" x14ac:dyDescent="0.25">
      <c r="B51" s="6" t="s">
        <v>7</v>
      </c>
      <c r="C51" s="6"/>
    </row>
    <row r="52" spans="2:3" x14ac:dyDescent="0.25">
      <c r="B52" s="1" t="s">
        <v>15</v>
      </c>
      <c r="C52" s="1" t="s">
        <v>0</v>
      </c>
    </row>
    <row r="53" spans="2:3" ht="15.75" thickBot="1" x14ac:dyDescent="0.3">
      <c r="B53" s="2" t="s">
        <v>1</v>
      </c>
      <c r="C53" s="3">
        <v>9805.27</v>
      </c>
    </row>
    <row r="54" spans="2:3" ht="15.75" thickTop="1" x14ac:dyDescent="0.25">
      <c r="B54" s="4" t="s">
        <v>4</v>
      </c>
      <c r="C54" s="5">
        <v>9805.27</v>
      </c>
    </row>
  </sheetData>
  <mergeCells count="8">
    <mergeCell ref="B31:C31"/>
    <mergeCell ref="B24:C24"/>
    <mergeCell ref="B2:C2"/>
    <mergeCell ref="B9:C9"/>
    <mergeCell ref="B51:C51"/>
    <mergeCell ref="B16:C16"/>
    <mergeCell ref="B44:C44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1173-0183-473E-94A3-B5237C93629B}">
  <dimension ref="B2:D58"/>
  <sheetViews>
    <sheetView workbookViewId="0">
      <selection activeCell="B2" sqref="B2:D58"/>
    </sheetView>
  </sheetViews>
  <sheetFormatPr baseColWidth="10" defaultRowHeight="15" x14ac:dyDescent="0.25"/>
  <cols>
    <col min="2" max="2" width="19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23</v>
      </c>
      <c r="C3" s="1" t="s">
        <v>0</v>
      </c>
    </row>
    <row r="4" spans="2:4" x14ac:dyDescent="0.25">
      <c r="B4" s="2" t="s">
        <v>16</v>
      </c>
      <c r="C4" s="3">
        <v>22689</v>
      </c>
    </row>
    <row r="5" spans="2:4" x14ac:dyDescent="0.25">
      <c r="B5" s="2" t="s">
        <v>17</v>
      </c>
      <c r="C5" s="3">
        <v>11938</v>
      </c>
    </row>
    <row r="6" spans="2:4" x14ac:dyDescent="0.25">
      <c r="B6" s="2" t="s">
        <v>18</v>
      </c>
      <c r="C6" s="3">
        <v>800</v>
      </c>
    </row>
    <row r="7" spans="2:4" x14ac:dyDescent="0.25">
      <c r="B7" s="2" t="s">
        <v>19</v>
      </c>
      <c r="C7" s="3">
        <v>17037</v>
      </c>
    </row>
    <row r="8" spans="2:4" x14ac:dyDescent="0.25">
      <c r="B8" s="2" t="s">
        <v>20</v>
      </c>
      <c r="C8" s="3">
        <v>2914</v>
      </c>
    </row>
    <row r="9" spans="2:4" ht="15.75" thickBot="1" x14ac:dyDescent="0.3">
      <c r="B9" s="2" t="s">
        <v>21</v>
      </c>
      <c r="C9" s="3">
        <v>299826.05</v>
      </c>
      <c r="D9" s="1" t="s">
        <v>14</v>
      </c>
    </row>
    <row r="10" spans="2:4" ht="15.75" thickTop="1" x14ac:dyDescent="0.25">
      <c r="B10" s="4" t="s">
        <v>4</v>
      </c>
      <c r="C10" s="5">
        <v>355204.05</v>
      </c>
      <c r="D10" s="5">
        <f>SUMIF(B:B, "Total general", C:C)</f>
        <v>629720.86</v>
      </c>
    </row>
    <row r="12" spans="2:4" x14ac:dyDescent="0.25">
      <c r="B12" s="6" t="s">
        <v>6</v>
      </c>
      <c r="C12" s="6"/>
    </row>
    <row r="13" spans="2:4" x14ac:dyDescent="0.25">
      <c r="B13" s="1" t="s">
        <v>23</v>
      </c>
      <c r="C13" s="1" t="s">
        <v>0</v>
      </c>
    </row>
    <row r="14" spans="2:4" x14ac:dyDescent="0.25">
      <c r="B14" s="2" t="s">
        <v>16</v>
      </c>
      <c r="C14" s="3">
        <v>12895</v>
      </c>
    </row>
    <row r="15" spans="2:4" x14ac:dyDescent="0.25">
      <c r="B15" s="2" t="s">
        <v>17</v>
      </c>
      <c r="C15" s="3">
        <v>13216</v>
      </c>
    </row>
    <row r="16" spans="2:4" x14ac:dyDescent="0.25">
      <c r="B16" s="2" t="s">
        <v>22</v>
      </c>
      <c r="C16" s="3">
        <v>499</v>
      </c>
    </row>
    <row r="17" spans="2:3" x14ac:dyDescent="0.25">
      <c r="B17" s="2" t="s">
        <v>19</v>
      </c>
      <c r="C17" s="3">
        <v>12393</v>
      </c>
    </row>
    <row r="18" spans="2:3" ht="15.75" thickBot="1" x14ac:dyDescent="0.3">
      <c r="B18" s="2" t="s">
        <v>21</v>
      </c>
      <c r="C18" s="3">
        <v>66261</v>
      </c>
    </row>
    <row r="19" spans="2:3" ht="15.75" thickTop="1" x14ac:dyDescent="0.25">
      <c r="B19" s="4" t="s">
        <v>4</v>
      </c>
      <c r="C19" s="5">
        <v>105264</v>
      </c>
    </row>
    <row r="21" spans="2:3" x14ac:dyDescent="0.25">
      <c r="B21" s="6" t="s">
        <v>8</v>
      </c>
      <c r="C21" s="6"/>
    </row>
    <row r="22" spans="2:3" x14ac:dyDescent="0.25">
      <c r="B22" s="1" t="s">
        <v>23</v>
      </c>
      <c r="C22" s="1" t="s">
        <v>0</v>
      </c>
    </row>
    <row r="23" spans="2:3" ht="15.75" thickBot="1" x14ac:dyDescent="0.3">
      <c r="B23" s="2" t="s">
        <v>21</v>
      </c>
      <c r="C23" s="3">
        <v>74968.62000000001</v>
      </c>
    </row>
    <row r="24" spans="2:3" ht="15.75" thickTop="1" x14ac:dyDescent="0.25">
      <c r="B24" s="4" t="s">
        <v>4</v>
      </c>
      <c r="C24" s="5">
        <v>74968.62000000001</v>
      </c>
    </row>
    <row r="26" spans="2:3" x14ac:dyDescent="0.25">
      <c r="B26" s="6" t="s">
        <v>13</v>
      </c>
      <c r="C26" s="6"/>
    </row>
    <row r="27" spans="2:3" x14ac:dyDescent="0.25">
      <c r="B27" s="1" t="s">
        <v>23</v>
      </c>
      <c r="C27" s="1" t="s">
        <v>0</v>
      </c>
    </row>
    <row r="28" spans="2:3" x14ac:dyDescent="0.25">
      <c r="B28" s="2" t="s">
        <v>19</v>
      </c>
      <c r="C28" s="3">
        <v>3000</v>
      </c>
    </row>
    <row r="29" spans="2:3" ht="15.75" thickBot="1" x14ac:dyDescent="0.3">
      <c r="B29" s="2" t="s">
        <v>21</v>
      </c>
      <c r="C29" s="3">
        <v>38101.199999999997</v>
      </c>
    </row>
    <row r="30" spans="2:3" ht="15.75" thickTop="1" x14ac:dyDescent="0.25">
      <c r="B30" s="4" t="s">
        <v>4</v>
      </c>
      <c r="C30" s="5">
        <v>41101.199999999997</v>
      </c>
    </row>
    <row r="32" spans="2:3" x14ac:dyDescent="0.25">
      <c r="B32" s="6" t="s">
        <v>12</v>
      </c>
      <c r="C32" s="6"/>
    </row>
    <row r="33" spans="2:3" x14ac:dyDescent="0.25">
      <c r="B33" s="1" t="s">
        <v>23</v>
      </c>
      <c r="C33" s="1" t="s">
        <v>0</v>
      </c>
    </row>
    <row r="34" spans="2:3" x14ac:dyDescent="0.25">
      <c r="B34" s="2" t="s">
        <v>16</v>
      </c>
      <c r="C34" s="3">
        <v>1592</v>
      </c>
    </row>
    <row r="35" spans="2:3" x14ac:dyDescent="0.25">
      <c r="B35" s="2" t="s">
        <v>17</v>
      </c>
      <c r="C35" s="3">
        <v>4656</v>
      </c>
    </row>
    <row r="36" spans="2:3" x14ac:dyDescent="0.25">
      <c r="B36" s="2" t="s">
        <v>19</v>
      </c>
      <c r="C36" s="3">
        <v>1106</v>
      </c>
    </row>
    <row r="37" spans="2:3" x14ac:dyDescent="0.25">
      <c r="B37" s="2" t="s">
        <v>20</v>
      </c>
      <c r="C37" s="3">
        <v>2888</v>
      </c>
    </row>
    <row r="38" spans="2:3" ht="15.75" thickBot="1" x14ac:dyDescent="0.3">
      <c r="B38" s="2" t="s">
        <v>21</v>
      </c>
      <c r="C38" s="3">
        <v>8811.1</v>
      </c>
    </row>
    <row r="39" spans="2:3" ht="15.75" thickTop="1" x14ac:dyDescent="0.25">
      <c r="B39" s="4" t="s">
        <v>4</v>
      </c>
      <c r="C39" s="5">
        <v>19053.099999999999</v>
      </c>
    </row>
    <row r="41" spans="2:3" x14ac:dyDescent="0.25">
      <c r="B41" s="6" t="s">
        <v>11</v>
      </c>
      <c r="C41" s="6"/>
    </row>
    <row r="42" spans="2:3" x14ac:dyDescent="0.25">
      <c r="B42" s="1" t="s">
        <v>23</v>
      </c>
      <c r="C42" s="1" t="s">
        <v>0</v>
      </c>
    </row>
    <row r="43" spans="2:3" x14ac:dyDescent="0.25">
      <c r="B43" s="2" t="s">
        <v>16</v>
      </c>
      <c r="C43" s="3">
        <v>5957</v>
      </c>
    </row>
    <row r="44" spans="2:3" x14ac:dyDescent="0.25">
      <c r="B44" s="2" t="s">
        <v>17</v>
      </c>
      <c r="C44" s="3">
        <v>6896.62</v>
      </c>
    </row>
    <row r="45" spans="2:3" x14ac:dyDescent="0.25">
      <c r="B45" s="2" t="s">
        <v>19</v>
      </c>
      <c r="C45" s="3">
        <v>500</v>
      </c>
    </row>
    <row r="46" spans="2:3" ht="15.75" thickBot="1" x14ac:dyDescent="0.3">
      <c r="B46" s="2" t="s">
        <v>21</v>
      </c>
      <c r="C46" s="3">
        <v>430</v>
      </c>
    </row>
    <row r="47" spans="2:3" ht="15.75" thickTop="1" x14ac:dyDescent="0.25">
      <c r="B47" s="4" t="s">
        <v>4</v>
      </c>
      <c r="C47" s="5">
        <v>13783.619999999999</v>
      </c>
    </row>
    <row r="49" spans="2:3" x14ac:dyDescent="0.25">
      <c r="B49" s="6" t="s">
        <v>10</v>
      </c>
      <c r="C49" s="6"/>
    </row>
    <row r="50" spans="2:3" x14ac:dyDescent="0.25">
      <c r="B50" s="1" t="s">
        <v>23</v>
      </c>
      <c r="C50" s="1" t="s">
        <v>0</v>
      </c>
    </row>
    <row r="51" spans="2:3" x14ac:dyDescent="0.25">
      <c r="B51" s="2" t="s">
        <v>19</v>
      </c>
      <c r="C51" s="3">
        <v>1320</v>
      </c>
    </row>
    <row r="52" spans="2:3" ht="15.75" thickBot="1" x14ac:dyDescent="0.3">
      <c r="B52" s="2" t="s">
        <v>21</v>
      </c>
      <c r="C52" s="3">
        <v>9221</v>
      </c>
    </row>
    <row r="53" spans="2:3" ht="15.75" thickTop="1" x14ac:dyDescent="0.25">
      <c r="B53" s="4" t="s">
        <v>4</v>
      </c>
      <c r="C53" s="5">
        <v>10541</v>
      </c>
    </row>
    <row r="55" spans="2:3" x14ac:dyDescent="0.25">
      <c r="B55" s="6" t="s">
        <v>7</v>
      </c>
      <c r="C55" s="6"/>
    </row>
    <row r="56" spans="2:3" x14ac:dyDescent="0.25">
      <c r="B56" s="1" t="s">
        <v>23</v>
      </c>
      <c r="C56" s="1" t="s">
        <v>0</v>
      </c>
    </row>
    <row r="57" spans="2:3" ht="15.75" thickBot="1" x14ac:dyDescent="0.3">
      <c r="B57" s="2" t="s">
        <v>21</v>
      </c>
      <c r="C57" s="3">
        <v>9805.27</v>
      </c>
    </row>
    <row r="58" spans="2:3" ht="15.75" thickTop="1" x14ac:dyDescent="0.25">
      <c r="B58" s="4" t="s">
        <v>4</v>
      </c>
      <c r="C58" s="5">
        <v>9805.27</v>
      </c>
    </row>
  </sheetData>
  <mergeCells count="8">
    <mergeCell ref="B49:C49"/>
    <mergeCell ref="B55:C55"/>
    <mergeCell ref="B2:C2"/>
    <mergeCell ref="B12:C12"/>
    <mergeCell ref="B21:C21"/>
    <mergeCell ref="B26:C26"/>
    <mergeCell ref="B32:C32"/>
    <mergeCell ref="B41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1776-8DD9-4935-B94F-F5DE4AD0AC73}">
  <dimension ref="B2:D46"/>
  <sheetViews>
    <sheetView tabSelected="1" workbookViewId="0">
      <selection activeCell="B2" sqref="B2:D4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26</v>
      </c>
      <c r="C2" s="6"/>
    </row>
    <row r="3" spans="2:4" x14ac:dyDescent="0.25">
      <c r="B3" s="6" t="s">
        <v>25</v>
      </c>
      <c r="C3" s="6"/>
    </row>
    <row r="4" spans="2:4" x14ac:dyDescent="0.25">
      <c r="B4" s="1" t="s">
        <v>15</v>
      </c>
      <c r="C4" s="1" t="s">
        <v>0</v>
      </c>
    </row>
    <row r="5" spans="2:4" x14ac:dyDescent="0.25">
      <c r="B5" s="2" t="s">
        <v>1</v>
      </c>
      <c r="C5" s="3">
        <v>70658.78</v>
      </c>
    </row>
    <row r="6" spans="2:4" x14ac:dyDescent="0.25">
      <c r="B6" s="2" t="s">
        <v>2</v>
      </c>
      <c r="C6" s="3">
        <v>6090</v>
      </c>
    </row>
    <row r="7" spans="2:4" x14ac:dyDescent="0.25">
      <c r="B7" s="2" t="s">
        <v>24</v>
      </c>
      <c r="C7" s="3">
        <v>1000</v>
      </c>
    </row>
    <row r="8" spans="2:4" ht="15.75" thickBot="1" x14ac:dyDescent="0.3">
      <c r="B8" s="2" t="s">
        <v>3</v>
      </c>
      <c r="C8" s="3">
        <v>100</v>
      </c>
      <c r="D8" s="1" t="s">
        <v>14</v>
      </c>
    </row>
    <row r="9" spans="2:4" ht="15.75" thickTop="1" x14ac:dyDescent="0.25">
      <c r="B9" s="4" t="s">
        <v>4</v>
      </c>
      <c r="C9" s="5">
        <v>77848.78</v>
      </c>
      <c r="D9" s="5">
        <f>SUMIF(B:B, "Total general", C:C)</f>
        <v>120906.22</v>
      </c>
    </row>
    <row r="11" spans="2:4" x14ac:dyDescent="0.25">
      <c r="B11" s="6" t="s">
        <v>12</v>
      </c>
      <c r="C11" s="6"/>
    </row>
    <row r="12" spans="2:4" x14ac:dyDescent="0.25">
      <c r="B12" s="1" t="s">
        <v>15</v>
      </c>
      <c r="C12" s="1" t="s">
        <v>0</v>
      </c>
    </row>
    <row r="13" spans="2:4" x14ac:dyDescent="0.25">
      <c r="B13" s="2" t="s">
        <v>9</v>
      </c>
      <c r="C13" s="3">
        <v>6</v>
      </c>
    </row>
    <row r="14" spans="2:4" x14ac:dyDescent="0.25">
      <c r="B14" s="2" t="s">
        <v>1</v>
      </c>
      <c r="C14" s="3">
        <v>16807</v>
      </c>
    </row>
    <row r="15" spans="2:4" ht="15.75" thickBot="1" x14ac:dyDescent="0.3">
      <c r="B15" s="2" t="s">
        <v>2</v>
      </c>
      <c r="C15" s="3">
        <v>447</v>
      </c>
    </row>
    <row r="16" spans="2:4" ht="15.75" thickTop="1" x14ac:dyDescent="0.25">
      <c r="B16" s="4" t="s">
        <v>4</v>
      </c>
      <c r="C16" s="5">
        <v>17260</v>
      </c>
    </row>
    <row r="18" spans="2:3" x14ac:dyDescent="0.25">
      <c r="B18" s="6" t="s">
        <v>6</v>
      </c>
      <c r="C18" s="6"/>
    </row>
    <row r="19" spans="2:3" x14ac:dyDescent="0.25">
      <c r="B19" s="1" t="s">
        <v>15</v>
      </c>
      <c r="C19" s="1" t="s">
        <v>0</v>
      </c>
    </row>
    <row r="20" spans="2:3" x14ac:dyDescent="0.25">
      <c r="B20" s="2" t="s">
        <v>1</v>
      </c>
      <c r="C20" s="3">
        <v>2290</v>
      </c>
    </row>
    <row r="21" spans="2:3" ht="15.75" thickBot="1" x14ac:dyDescent="0.3">
      <c r="B21" s="2" t="s">
        <v>3</v>
      </c>
      <c r="C21" s="3">
        <v>10001</v>
      </c>
    </row>
    <row r="22" spans="2:3" ht="15.75" thickTop="1" x14ac:dyDescent="0.25">
      <c r="B22" s="4" t="s">
        <v>4</v>
      </c>
      <c r="C22" s="5">
        <v>12291</v>
      </c>
    </row>
    <row r="24" spans="2:3" x14ac:dyDescent="0.25">
      <c r="B24" s="6" t="s">
        <v>11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9</v>
      </c>
      <c r="C26" s="3">
        <v>1130</v>
      </c>
    </row>
    <row r="27" spans="2:3" ht="15.75" thickBot="1" x14ac:dyDescent="0.3">
      <c r="B27" s="2" t="s">
        <v>1</v>
      </c>
      <c r="C27" s="3">
        <v>5769.62</v>
      </c>
    </row>
    <row r="28" spans="2:3" ht="15.75" thickTop="1" x14ac:dyDescent="0.25">
      <c r="B28" s="4" t="s">
        <v>4</v>
      </c>
      <c r="C28" s="5">
        <v>6899.62</v>
      </c>
    </row>
    <row r="30" spans="2:3" x14ac:dyDescent="0.25">
      <c r="B30" s="6" t="s">
        <v>5</v>
      </c>
      <c r="C30" s="6"/>
    </row>
    <row r="31" spans="2:3" x14ac:dyDescent="0.25">
      <c r="B31" s="1" t="s">
        <v>15</v>
      </c>
      <c r="C31" s="1" t="s">
        <v>0</v>
      </c>
    </row>
    <row r="32" spans="2:3" x14ac:dyDescent="0.25">
      <c r="B32" s="2" t="s">
        <v>1</v>
      </c>
      <c r="C32" s="3">
        <v>2110</v>
      </c>
    </row>
    <row r="33" spans="2:3" x14ac:dyDescent="0.25">
      <c r="B33" s="2" t="s">
        <v>2</v>
      </c>
      <c r="C33" s="3">
        <v>443</v>
      </c>
    </row>
    <row r="34" spans="2:3" ht="15.75" thickBot="1" x14ac:dyDescent="0.3">
      <c r="B34" s="2" t="s">
        <v>3</v>
      </c>
      <c r="C34" s="3">
        <v>2959</v>
      </c>
    </row>
    <row r="35" spans="2:3" ht="15.75" thickTop="1" x14ac:dyDescent="0.25">
      <c r="B35" s="4" t="s">
        <v>4</v>
      </c>
      <c r="C35" s="5">
        <v>5512</v>
      </c>
    </row>
    <row r="37" spans="2:3" x14ac:dyDescent="0.25">
      <c r="B37" s="6" t="s">
        <v>10</v>
      </c>
      <c r="C37" s="6"/>
    </row>
    <row r="38" spans="2:3" x14ac:dyDescent="0.25">
      <c r="B38" s="1" t="s">
        <v>15</v>
      </c>
      <c r="C38" s="1" t="s">
        <v>0</v>
      </c>
    </row>
    <row r="39" spans="2:3" ht="15.75" thickBot="1" x14ac:dyDescent="0.3">
      <c r="B39" s="2" t="s">
        <v>3</v>
      </c>
      <c r="C39" s="3">
        <v>557</v>
      </c>
    </row>
    <row r="40" spans="2:3" ht="15.75" thickTop="1" x14ac:dyDescent="0.25">
      <c r="B40" s="4" t="s">
        <v>4</v>
      </c>
      <c r="C40" s="5">
        <v>557</v>
      </c>
    </row>
    <row r="42" spans="2:3" x14ac:dyDescent="0.25">
      <c r="B42" s="6" t="s">
        <v>8</v>
      </c>
      <c r="C42" s="6"/>
    </row>
    <row r="43" spans="2:3" x14ac:dyDescent="0.25">
      <c r="B43" s="1" t="s">
        <v>15</v>
      </c>
      <c r="C43" s="1" t="s">
        <v>0</v>
      </c>
    </row>
    <row r="44" spans="2:3" x14ac:dyDescent="0.25">
      <c r="B44" s="2" t="s">
        <v>9</v>
      </c>
      <c r="C44" s="3">
        <v>36.82</v>
      </c>
    </row>
    <row r="45" spans="2:3" ht="15.75" thickBot="1" x14ac:dyDescent="0.3">
      <c r="B45" s="2" t="s">
        <v>2</v>
      </c>
      <c r="C45" s="3">
        <v>501</v>
      </c>
    </row>
    <row r="46" spans="2:3" ht="15.75" thickTop="1" x14ac:dyDescent="0.25">
      <c r="B46" s="4" t="s">
        <v>4</v>
      </c>
      <c r="C46" s="5">
        <v>537.82000000000005</v>
      </c>
    </row>
  </sheetData>
  <mergeCells count="8">
    <mergeCell ref="B11:C11"/>
    <mergeCell ref="B30:C30"/>
    <mergeCell ref="B3:C3"/>
    <mergeCell ref="B2:C2"/>
    <mergeCell ref="B18:C18"/>
    <mergeCell ref="B42:C42"/>
    <mergeCell ref="B37:C37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2025-08-16T05:15:30Z</dcterms:created>
  <dcterms:modified xsi:type="dcterms:W3CDTF">2025-08-16T05:32:19Z</dcterms:modified>
</cp:coreProperties>
</file>