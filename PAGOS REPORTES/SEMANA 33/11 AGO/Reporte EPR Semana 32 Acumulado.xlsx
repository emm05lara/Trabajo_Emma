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1 AGO\"/>
    </mc:Choice>
  </mc:AlternateContent>
  <xr:revisionPtr revIDLastSave="0" documentId="13_ncr:1_{1CD60486-4CE5-4DD0-8516-F264B30BC565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19" i="1"/>
  <c r="D19" i="1"/>
  <c r="D28" i="1"/>
  <c r="C28" i="1"/>
  <c r="D6" i="3"/>
  <c r="D36" i="1"/>
  <c r="C36" i="1"/>
  <c r="D52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<sst xmlns="http://schemas.openxmlformats.org/spreadsheetml/2006/main" count="176" uniqueCount="40">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</sst>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B42" zoomScaleNormal="100" workbookViewId="0">
      <selection activeCell="D67" sqref="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4927</v>
      </c>
      <c r="D5" s="25">
        <v>923000.03999999992</v>
      </c>
    </row>
    <row r="6" spans="2:8" x14ac:dyDescent="0.3">
      <c r="B6" s="1" t="s">
        <v>5</v>
      </c>
      <c r="C6" s="6">
        <v>4102</v>
      </c>
      <c r="D6" s="25">
        <v>288217.16000000003</v>
      </c>
    </row>
    <row r="7" spans="2:8" x14ac:dyDescent="0.3">
      <c r="B7" s="1" t="s">
        <v>6</v>
      </c>
      <c r="C7" s="6">
        <v>6946</v>
      </c>
      <c r="D7" s="25">
        <v>376227.64999999997</v>
      </c>
    </row>
    <row r="8" spans="2:8" x14ac:dyDescent="0.3">
      <c r="B8" s="5" t="s">
        <v>12</v>
      </c>
      <c r="C8" s="7">
        <v>1268</v>
      </c>
      <c r="D8" s="26">
        <v>0</v>
      </c>
    </row>
    <row r="9" spans="2:8" x14ac:dyDescent="0.3">
      <c r="B9" s="1" t="s">
        <v>7</v>
      </c>
      <c r="C9" s="6">
        <v>32999</v>
      </c>
      <c r="D9" s="25">
        <v>558053.85000000009</v>
      </c>
      <c r="E9" s="14"/>
      <c r="F9" s="7"/>
    </row>
    <row r="10" spans="2:8" x14ac:dyDescent="0.3">
      <c r="B10" s="3" t="s">
        <v>8</v>
      </c>
      <c r="C10" s="8">
        <f>SUM(C5:C9)</f>
        <v>50242</v>
      </c>
      <c r="D10" s="4">
        <f>SUM(D5:D9)</f>
        <v>2145498.7000000002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1875</v>
      </c>
      <c r="D14" s="25">
        <v>158409.01</v>
      </c>
    </row>
    <row r="15" spans="2:8" x14ac:dyDescent="0.3">
      <c r="B15" s="1" t="s">
        <v>5</v>
      </c>
      <c r="C15" s="6">
        <v>1186</v>
      </c>
      <c r="D15" s="25">
        <v>56215</v>
      </c>
    </row>
    <row r="16" spans="2:8" x14ac:dyDescent="0.3">
      <c r="B16" s="1" t="s">
        <v>6</v>
      </c>
      <c r="C16" s="6">
        <v>3505</v>
      </c>
      <c r="D16" s="25">
        <v>107799.56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18228</v>
      </c>
      <c r="D18" s="25">
        <v>168805.61</v>
      </c>
    </row>
    <row r="19" spans="2:4" x14ac:dyDescent="0.3">
      <c r="B19" s="3" t="s">
        <v>8</v>
      </c>
      <c r="C19" s="8">
        <f>SUM(C14:C18)</f>
        <v>24794</v>
      </c>
      <c r="D19" s="4">
        <f>SUM(D14:D18)</f>
        <v>491229.18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2498</v>
      </c>
      <c r="D23" s="25">
        <v>239095.20000000004</v>
      </c>
    </row>
    <row r="24" spans="2:4" x14ac:dyDescent="0.3">
      <c r="B24" s="9" t="s">
        <v>5</v>
      </c>
      <c r="C24" s="6">
        <v>422</v>
      </c>
      <c r="D24" s="25">
        <v>53097.81</v>
      </c>
    </row>
    <row r="25" spans="2:4" x14ac:dyDescent="0.3">
      <c r="B25" s="9" t="s">
        <v>6</v>
      </c>
      <c r="C25" s="6">
        <v>1216</v>
      </c>
      <c r="D25" s="25">
        <v>53551.520000000004</v>
      </c>
    </row>
    <row r="26" spans="2:4" x14ac:dyDescent="0.3">
      <c r="B26" s="5" t="s">
        <v>12</v>
      </c>
      <c r="C26" s="7">
        <v>1</v>
      </c>
      <c r="D26" s="25">
        <v>83</v>
      </c>
    </row>
    <row r="27" spans="2:4" x14ac:dyDescent="0.3">
      <c r="B27" s="9" t="s">
        <v>7</v>
      </c>
      <c r="C27" s="6">
        <v>12188</v>
      </c>
      <c r="D27" s="25">
        <v>65388.72</v>
      </c>
    </row>
    <row r="28" spans="2:4" x14ac:dyDescent="0.3">
      <c r="B28" s="10" t="s">
        <v>8</v>
      </c>
      <c r="C28" s="8">
        <f>SUM(C23:C27)</f>
        <v>16325</v>
      </c>
      <c r="D28" s="4">
        <f>SUM(D23:D27)</f>
        <v>411216.25</v>
      </c>
    </row>
    <row r="30" spans="2:4" x14ac:dyDescent="0.3">
      <c r="B30" s="28" t="s">
        <v>31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1112</v>
      </c>
      <c r="D32" s="25">
        <v>132280.71000000002</v>
      </c>
    </row>
    <row r="33" spans="2:4" x14ac:dyDescent="0.3">
      <c r="B33" s="1" t="s">
        <v>5</v>
      </c>
      <c r="C33" s="6">
        <v>802</v>
      </c>
      <c r="D33" s="25">
        <v>20661.490000000002</v>
      </c>
    </row>
    <row r="34" spans="2:4" x14ac:dyDescent="0.3">
      <c r="B34" s="1" t="s">
        <v>6</v>
      </c>
      <c r="C34" s="6">
        <v>1119</v>
      </c>
      <c r="D34" s="25">
        <v>70829</v>
      </c>
    </row>
    <row r="35" spans="2:4" x14ac:dyDescent="0.3">
      <c r="B35" s="1" t="s">
        <v>7</v>
      </c>
      <c r="C35" s="6">
        <v>368</v>
      </c>
      <c r="D35" s="25">
        <v>3045</v>
      </c>
    </row>
    <row r="36" spans="2:4" x14ac:dyDescent="0.3">
      <c r="B36" s="3" t="s">
        <v>8</v>
      </c>
      <c r="C36" s="8">
        <f>SUM(C32:C35)</f>
        <v>3401</v>
      </c>
      <c r="D36" s="4">
        <f>SUM(D32:D35)</f>
        <v>226816.2</v>
      </c>
    </row>
    <row r="38" spans="2:4" x14ac:dyDescent="0.3">
      <c r="B38" s="28" t="s">
        <v>9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719</v>
      </c>
      <c r="D40" s="25">
        <v>100731.23999999999</v>
      </c>
    </row>
    <row r="41" spans="2:4" x14ac:dyDescent="0.3">
      <c r="B41" s="9" t="s">
        <v>5</v>
      </c>
      <c r="C41" s="6">
        <v>511</v>
      </c>
      <c r="D41" s="25">
        <v>63172.119999999995</v>
      </c>
    </row>
    <row r="42" spans="2:4" x14ac:dyDescent="0.3">
      <c r="B42" s="9" t="s">
        <v>6</v>
      </c>
      <c r="C42" s="6">
        <v>458</v>
      </c>
      <c r="D42" s="25">
        <v>43457.100000000006</v>
      </c>
    </row>
    <row r="43" spans="2:4" x14ac:dyDescent="0.3">
      <c r="B43" s="9" t="s">
        <v>7</v>
      </c>
      <c r="C43" s="6">
        <v>1140</v>
      </c>
      <c r="D43" s="25">
        <v>16399</v>
      </c>
    </row>
    <row r="44" spans="2:4" x14ac:dyDescent="0.3">
      <c r="B44" s="10" t="s">
        <v>8</v>
      </c>
      <c r="C44" s="8">
        <f>SUM(C40:C43)</f>
        <v>2828</v>
      </c>
      <c r="D44" s="4">
        <f>SUM(D40:D43)</f>
        <v>223759.46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577</v>
      </c>
      <c r="D48" s="25">
        <v>49514</v>
      </c>
    </row>
    <row r="49" spans="2:4" x14ac:dyDescent="0.3">
      <c r="B49" s="1" t="s">
        <v>5</v>
      </c>
      <c r="C49" s="6">
        <v>4</v>
      </c>
      <c r="D49" s="25">
        <v>1926</v>
      </c>
    </row>
    <row r="50" spans="2:4" x14ac:dyDescent="0.3">
      <c r="B50" s="1" t="s">
        <v>6</v>
      </c>
      <c r="C50" s="6">
        <v>528</v>
      </c>
      <c r="D50" s="25">
        <v>3918</v>
      </c>
    </row>
    <row r="51" spans="2:4" x14ac:dyDescent="0.3">
      <c r="B51" s="1" t="s">
        <v>7</v>
      </c>
      <c r="C51" s="6">
        <v>2296</v>
      </c>
      <c r="D51" s="25">
        <v>6570</v>
      </c>
    </row>
    <row r="52" spans="2:4" x14ac:dyDescent="0.3">
      <c r="B52" s="3" t="s">
        <v>8</v>
      </c>
      <c r="C52" s="8">
        <f>SUM(C48:C51)</f>
        <v>3405</v>
      </c>
      <c r="D52" s="4">
        <f>SUM(D48:D51)</f>
        <v>61928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1503</v>
      </c>
      <c r="D56" s="25">
        <v>51701.74</v>
      </c>
    </row>
    <row r="57" spans="2:4" x14ac:dyDescent="0.3">
      <c r="B57" s="1" t="s">
        <v>5</v>
      </c>
      <c r="C57" s="6">
        <v>109</v>
      </c>
      <c r="D57" s="26">
        <v>0</v>
      </c>
    </row>
    <row r="58" spans="2:4" x14ac:dyDescent="0.3">
      <c r="B58" s="1" t="s">
        <v>6</v>
      </c>
      <c r="C58" s="6">
        <v>115</v>
      </c>
      <c r="D58" s="26">
        <v>0</v>
      </c>
    </row>
    <row r="59" spans="2:4" x14ac:dyDescent="0.3">
      <c r="B59" s="10" t="s">
        <v>8</v>
      </c>
      <c r="C59" s="8">
        <f>SUM(C56:C58)</f>
        <v>1727</v>
      </c>
      <c r="D59" s="4">
        <f>SUM(D56:D58)</f>
        <v>51701.74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991</v>
      </c>
      <c r="D63" s="25">
        <v>4063</v>
      </c>
    </row>
    <row r="64" spans="2:4" x14ac:dyDescent="0.3">
      <c r="B64" s="1" t="s">
        <v>5</v>
      </c>
      <c r="C64" s="6">
        <v>971</v>
      </c>
      <c r="D64" s="25">
        <v>7273</v>
      </c>
    </row>
    <row r="65" spans="2:4" x14ac:dyDescent="0.3">
      <c r="B65" s="3" t="s">
        <v>8</v>
      </c>
      <c r="C65" s="8">
        <f>SUM(C63:C64)</f>
        <v>1962</v>
      </c>
      <c r="D65" s="4">
        <f>SUM(D63:D64)</f>
        <v>11336</v>
      </c>
    </row>
    <row r="67" spans="2:4" x14ac:dyDescent="0.3">
      <c r="B67" s="12" t="s">
        <v>13</v>
      </c>
      <c r="C67" s="13">
        <f>SUMIF(B:B, "Total general", C:C)</f>
        <v>104684</v>
      </c>
      <c r="D67" s="13">
        <f>SUMIF(B:B, "Total general", D:D)</f>
        <v>3623485.5300000007</v>
      </c>
    </row>
  </sheetData>
  <mergeCells count="8">
    <mergeCell ref="B3:D3"/>
    <mergeCell ref="B21:D21"/>
    <mergeCell ref="B38:D38"/>
    <mergeCell ref="B61:D61"/>
    <mergeCell ref="B54:D54"/>
    <mergeCell ref="B30:D30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opLeftCell="A46" zoomScaleNormal="100" workbookViewId="0">
      <selection activeCell="D46" sqref="D4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10300</v>
      </c>
      <c r="D5" s="25">
        <v>340346.44999999995</v>
      </c>
    </row>
    <row r="6" spans="2:8" x14ac:dyDescent="0.3">
      <c r="B6" s="1" t="s">
        <v>5</v>
      </c>
      <c r="C6" s="6">
        <v>5647</v>
      </c>
      <c r="D6" s="25">
        <v>93270.17</v>
      </c>
    </row>
    <row r="7" spans="2:8" x14ac:dyDescent="0.3">
      <c r="B7" s="1" t="s">
        <v>6</v>
      </c>
      <c r="C7" s="6">
        <v>9497</v>
      </c>
      <c r="D7" s="25">
        <v>75198.080000000002</v>
      </c>
    </row>
    <row r="8" spans="2:8" x14ac:dyDescent="0.3">
      <c r="B8" s="5" t="s">
        <v>12</v>
      </c>
      <c r="C8" s="7">
        <v>2739</v>
      </c>
      <c r="D8" s="26">
        <v>0</v>
      </c>
    </row>
    <row r="9" spans="2:8" x14ac:dyDescent="0.3">
      <c r="B9" s="1" t="s">
        <v>7</v>
      </c>
      <c r="C9" s="6">
        <v>61279</v>
      </c>
      <c r="D9" s="25">
        <v>37946</v>
      </c>
      <c r="E9" s="14"/>
      <c r="F9" s="7"/>
    </row>
    <row r="10" spans="2:8" x14ac:dyDescent="0.3">
      <c r="B10" s="3" t="s">
        <v>8</v>
      </c>
      <c r="C10" s="8">
        <f>SUM(C5:C9)</f>
        <v>89462</v>
      </c>
      <c r="D10" s="4">
        <f>SUM(D5:D9)</f>
        <v>546760.69999999995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956</v>
      </c>
      <c r="D14" s="25">
        <v>131747.71</v>
      </c>
    </row>
    <row r="15" spans="2:8" x14ac:dyDescent="0.3">
      <c r="B15" s="1" t="s">
        <v>5</v>
      </c>
      <c r="C15" s="27">
        <v>775</v>
      </c>
      <c r="D15" s="25">
        <v>20661.489999999998</v>
      </c>
    </row>
    <row r="16" spans="2:8" x14ac:dyDescent="0.3">
      <c r="B16" s="1" t="s">
        <v>6</v>
      </c>
      <c r="C16" s="27">
        <v>1087</v>
      </c>
      <c r="D16" s="25">
        <v>70739</v>
      </c>
    </row>
    <row r="17" spans="2:4" x14ac:dyDescent="0.3">
      <c r="B17" s="1" t="s">
        <v>7</v>
      </c>
      <c r="C17" s="27">
        <v>367</v>
      </c>
      <c r="D17" s="25">
        <v>3045</v>
      </c>
    </row>
    <row r="18" spans="2:4" x14ac:dyDescent="0.3">
      <c r="B18" s="3" t="s">
        <v>8</v>
      </c>
      <c r="C18" s="8">
        <f>SUM(C14:C17)</f>
        <v>3185</v>
      </c>
      <c r="D18" s="4">
        <f>SUM(D14:D17)</f>
        <v>226193.19999999998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14</v>
      </c>
      <c r="D22" s="25">
        <v>7869</v>
      </c>
    </row>
    <row r="23" spans="2:4" x14ac:dyDescent="0.3">
      <c r="B23" s="1" t="s">
        <v>5</v>
      </c>
      <c r="C23" s="27">
        <v>7</v>
      </c>
      <c r="D23" s="25">
        <v>3271</v>
      </c>
    </row>
    <row r="24" spans="2:4" x14ac:dyDescent="0.3">
      <c r="B24" s="1" t="s">
        <v>6</v>
      </c>
      <c r="C24" s="27">
        <v>80</v>
      </c>
      <c r="D24" s="25">
        <v>770</v>
      </c>
    </row>
    <row r="25" spans="2:4" x14ac:dyDescent="0.3">
      <c r="B25" s="5" t="s">
        <v>12</v>
      </c>
      <c r="C25" s="27">
        <v>1</v>
      </c>
      <c r="D25" s="26">
        <v>0</v>
      </c>
    </row>
    <row r="26" spans="2:4" x14ac:dyDescent="0.3">
      <c r="B26" s="1" t="s">
        <v>7</v>
      </c>
      <c r="C26" s="27">
        <v>304</v>
      </c>
      <c r="D26" s="25">
        <v>11515</v>
      </c>
    </row>
    <row r="27" spans="2:4" x14ac:dyDescent="0.3">
      <c r="B27" s="3" t="s">
        <v>8</v>
      </c>
      <c r="C27" s="8">
        <f>SUM(C22:C26)</f>
        <v>406</v>
      </c>
      <c r="D27" s="4">
        <f>SUM(D22:D26)</f>
        <v>23425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7">
        <v>5</v>
      </c>
      <c r="D31" s="25">
        <v>3230.27</v>
      </c>
    </row>
    <row r="32" spans="2:4" x14ac:dyDescent="0.3">
      <c r="B32" s="9" t="s">
        <v>5</v>
      </c>
      <c r="C32" s="27">
        <v>3</v>
      </c>
      <c r="D32" s="25">
        <v>1558.8400000000001</v>
      </c>
    </row>
    <row r="33" spans="2:4" x14ac:dyDescent="0.3">
      <c r="B33" s="9" t="s">
        <v>6</v>
      </c>
      <c r="C33" s="27">
        <v>26</v>
      </c>
      <c r="D33" s="25">
        <v>4197</v>
      </c>
    </row>
    <row r="34" spans="2:4" x14ac:dyDescent="0.3">
      <c r="B34" s="5" t="s">
        <v>12</v>
      </c>
      <c r="C34" s="7">
        <v>0</v>
      </c>
      <c r="D34" s="7">
        <v>0</v>
      </c>
    </row>
    <row r="35" spans="2:4" x14ac:dyDescent="0.3">
      <c r="B35" s="9" t="s">
        <v>7</v>
      </c>
      <c r="C35" s="27">
        <v>168</v>
      </c>
      <c r="D35" s="25">
        <v>2042</v>
      </c>
    </row>
    <row r="36" spans="2:4" x14ac:dyDescent="0.3">
      <c r="B36" s="10" t="s">
        <v>8</v>
      </c>
      <c r="C36" s="8">
        <f>SUM(C31:C35)</f>
        <v>202</v>
      </c>
      <c r="D36" s="4">
        <f>SUM(D31:D35)</f>
        <v>11028.11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7">
        <v>4</v>
      </c>
      <c r="D40" s="25">
        <v>1064</v>
      </c>
    </row>
    <row r="41" spans="2:4" x14ac:dyDescent="0.3">
      <c r="B41" s="1" t="s">
        <v>5</v>
      </c>
      <c r="C41" s="27">
        <v>3</v>
      </c>
      <c r="D41" s="25">
        <v>2290</v>
      </c>
    </row>
    <row r="42" spans="2:4" x14ac:dyDescent="0.3">
      <c r="B42" s="1" t="s">
        <v>6</v>
      </c>
      <c r="C42" s="27">
        <v>44</v>
      </c>
      <c r="D42" s="26">
        <v>0</v>
      </c>
    </row>
    <row r="43" spans="2:4" x14ac:dyDescent="0.3">
      <c r="B43" s="5" t="s">
        <v>12</v>
      </c>
      <c r="C43" s="6">
        <v>0</v>
      </c>
      <c r="D43" s="26">
        <v>0</v>
      </c>
    </row>
    <row r="44" spans="2:4" x14ac:dyDescent="0.3">
      <c r="B44" s="1" t="s">
        <v>7</v>
      </c>
      <c r="C44" s="27">
        <v>335</v>
      </c>
      <c r="D44" s="25">
        <v>2286</v>
      </c>
    </row>
    <row r="45" spans="2:4" x14ac:dyDescent="0.3">
      <c r="B45" s="3" t="s">
        <v>8</v>
      </c>
      <c r="C45" s="8">
        <f>SUM(C40:C44)</f>
        <v>386</v>
      </c>
      <c r="D45" s="4">
        <f>SUM(D40:D44)</f>
        <v>5640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7">
        <v>160</v>
      </c>
      <c r="D49" s="25">
        <v>4135</v>
      </c>
    </row>
    <row r="50" spans="2:4" x14ac:dyDescent="0.3">
      <c r="B50" s="1" t="s">
        <v>5</v>
      </c>
      <c r="C50" s="27">
        <v>84</v>
      </c>
      <c r="D50" s="26">
        <v>0</v>
      </c>
    </row>
    <row r="51" spans="2:4" x14ac:dyDescent="0.3">
      <c r="B51" s="1" t="s">
        <v>6</v>
      </c>
      <c r="C51" s="27">
        <v>84</v>
      </c>
      <c r="D51" s="26">
        <v>0</v>
      </c>
    </row>
    <row r="52" spans="2:4" x14ac:dyDescent="0.3">
      <c r="B52" s="10" t="s">
        <v>8</v>
      </c>
      <c r="C52" s="8">
        <f>SUM(C49:C51)</f>
        <v>328</v>
      </c>
      <c r="D52" s="4">
        <f>SUM(D49:D51)</f>
        <v>4135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7">
        <v>2</v>
      </c>
      <c r="D56" s="26">
        <v>0</v>
      </c>
    </row>
    <row r="57" spans="2:4" x14ac:dyDescent="0.3">
      <c r="B57" s="1" t="s">
        <v>5</v>
      </c>
      <c r="C57" s="27">
        <v>1</v>
      </c>
      <c r="D57" s="25">
        <v>1926</v>
      </c>
    </row>
    <row r="58" spans="2:4" x14ac:dyDescent="0.3">
      <c r="B58" s="1" t="s">
        <v>6</v>
      </c>
      <c r="C58" s="27">
        <v>10</v>
      </c>
      <c r="D58" s="26">
        <v>0</v>
      </c>
    </row>
    <row r="59" spans="2:4" x14ac:dyDescent="0.3">
      <c r="B59" s="1" t="s">
        <v>7</v>
      </c>
      <c r="C59" s="27">
        <v>64</v>
      </c>
      <c r="D59" s="25">
        <v>557</v>
      </c>
    </row>
    <row r="60" spans="2:4" x14ac:dyDescent="0.3">
      <c r="B60" s="3" t="s">
        <v>8</v>
      </c>
      <c r="C60" s="8">
        <f>SUM(C56:C59)</f>
        <v>77</v>
      </c>
      <c r="D60" s="4">
        <f>SUM(D56:D59)</f>
        <v>2483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 s="27">
        <v>2</v>
      </c>
      <c r="D66" s="26">
        <v>0</v>
      </c>
    </row>
    <row r="67" spans="2:4" x14ac:dyDescent="0.3">
      <c r="B67" s="9" t="s">
        <v>7</v>
      </c>
      <c r="C67" s="2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94109</v>
      </c>
      <c r="D70" s="13">
        <f>SUMIF(B:B, "Total general", D:D)</f>
        <v>819665.00999999989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14202</v>
      </c>
      <c r="E6" s="16">
        <f>SUMIF('REPORTE DIARIO'!B:B,'EPR 26 JUN'!C6, 'REPORTE DIARIO'!D:D)</f>
        <v>1658794.9399999997</v>
      </c>
      <c r="F6" s="16">
        <f>J6*D6</f>
        <v>892697.14285714284</v>
      </c>
      <c r="G6" s="16">
        <f>+E6-F6</f>
        <v>766097.79714285687</v>
      </c>
      <c r="H6" s="15">
        <f>ABS(G6/F6)</f>
        <v>0.85818331925080948</v>
      </c>
      <c r="I6" s="16">
        <f>E6/D6</f>
        <v>116.80009435290802</v>
      </c>
      <c r="J6" s="16">
        <f>(220/7)*2</f>
        <v>62.857142857142854</v>
      </c>
      <c r="K6" s="16">
        <f>+I6-J6</f>
        <v>53.942951495765165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8107</v>
      </c>
      <c r="E7" s="16">
        <f>SUMIF('REPORTE DIARIO'!B:B,'EPR 26 JUN'!C7, 'REPORTE DIARIO'!D:D)</f>
        <v>490562.58</v>
      </c>
      <c r="F7" s="16">
        <f>J7*D7</f>
        <v>254791.42857142855</v>
      </c>
      <c r="G7" s="16">
        <f>+E7-F7</f>
        <v>235771.15142857147</v>
      </c>
      <c r="H7" s="15">
        <f>ABS(G7/F7)</f>
        <v>0.92534961929645554</v>
      </c>
      <c r="I7" s="16">
        <f>E7/D7</f>
        <v>60.51098803503146</v>
      </c>
      <c r="J7" s="16">
        <f>(110/7)*2</f>
        <v>31.428571428571427</v>
      </c>
      <c r="K7" s="16">
        <f t="shared" ref="K7:K9" si="0">+I7-J7</f>
        <v>29.082416606460033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13887</v>
      </c>
      <c r="E8" s="16">
        <f>SUMIF('REPORTE DIARIO'!B:B,'EPR 26 JUN'!C8, 'REPORTE DIARIO'!D:D)</f>
        <v>655782.82999999996</v>
      </c>
      <c r="F8" s="16">
        <f>J8*D8</f>
        <v>178547.14285714287</v>
      </c>
      <c r="G8" s="16">
        <f>+E8-F8</f>
        <v>477235.68714285712</v>
      </c>
      <c r="H8" s="15">
        <f>ABS(G8/F8)</f>
        <v>2.6728833601369781</v>
      </c>
      <c r="I8" s="16">
        <f>E8/D8</f>
        <v>47.222786058904006</v>
      </c>
      <c r="J8" s="16">
        <f>(45/7)*2</f>
        <v>12.857142857142858</v>
      </c>
      <c r="K8" s="16">
        <f t="shared" si="0"/>
        <v>34.365643201761145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67219</v>
      </c>
      <c r="E9" s="16">
        <f>SUMIF('REPORTE DIARIO'!B:B,'EPR 26 JUN'!C9, 'REPORTE DIARIO'!D:D)</f>
        <v>818262.18</v>
      </c>
      <c r="F9" s="16">
        <f>J9*D9</f>
        <v>288081.42857142858</v>
      </c>
      <c r="G9" s="16">
        <f>+E9-F9</f>
        <v>530180.75142857153</v>
      </c>
      <c r="H9" s="15">
        <f>ABS(G9/F9)</f>
        <v>1.8403850399440638</v>
      </c>
      <c r="I9" s="16">
        <f>E9/D9</f>
        <v>12.173078742617415</v>
      </c>
      <c r="J9" s="16">
        <f>(15/7)*2</f>
        <v>4.2857142857142856</v>
      </c>
      <c r="K9" s="16">
        <f t="shared" si="0"/>
        <v>7.8873644569031294</v>
      </c>
    </row>
    <row r="10" spans="2:12" x14ac:dyDescent="0.3">
      <c r="B10" s="16"/>
      <c r="C10" s="19" t="s">
        <v>17</v>
      </c>
      <c r="D10" s="24">
        <f>SUM(D6:D9)</f>
        <v>103415</v>
      </c>
      <c r="E10" s="20">
        <f>SUM(E6:E9)</f>
        <v>3623402.53</v>
      </c>
      <c r="F10" s="20">
        <f>SUM(F6:F9)</f>
        <v>1614117.142857143</v>
      </c>
      <c r="G10" s="20">
        <f>+E10-F10</f>
        <v>2009285.3871428568</v>
      </c>
      <c r="H10" s="21">
        <f>ABS(G10/F10)</f>
        <v>1.2448200528904785</v>
      </c>
      <c r="I10" s="20">
        <f>E10/D10</f>
        <v>35.037494850843686</v>
      </c>
      <c r="J10" s="20">
        <f>F10/D10</f>
        <v>15.608153003501842</v>
      </c>
      <c r="K10" s="20">
        <f>I10-J10</f>
        <v>19.429341847341846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2025-08-06T02:11:01Z</cp:lastPrinted>
  <dcterms:created xsi:type="dcterms:W3CDTF">2025-01-27T15:11:28Z</dcterms:created>
  <dcterms:modified xsi:type="dcterms:W3CDTF">2025-08-11T14:51:59Z</dcterms:modified>
</cp:coreProperties>
</file>