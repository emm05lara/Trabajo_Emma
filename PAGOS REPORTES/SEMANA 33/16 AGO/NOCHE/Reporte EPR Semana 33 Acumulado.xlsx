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6 AGO\NOCHE\"/>
    </mc:Choice>
  </mc:AlternateContent>
  <xr:revisionPtr revIDLastSave="0" documentId="13_ncr:1_{9A84EB7B-506F-4AF2-ABB9-256F2784A864}" xr6:coauthVersionLast="47" xr6:coauthVersionMax="47" xr10:uidLastSave="{00000000-0000-0000-0000-000000000000}"/>
  <bookViews>
    <workbookView xWindow="22575" yWindow="9660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5" l="1"/>
  <c r="C25" i="5"/>
  <c r="D59" i="1"/>
  <c r="C59" i="1"/>
  <c r="D68" i="5"/>
  <c r="D60" i="5"/>
  <c r="C60" i="5"/>
  <c r="C68" i="5"/>
  <c r="D43" i="5"/>
  <c r="C43" i="5"/>
  <c r="D52" i="5"/>
  <c r="C52" i="5"/>
  <c r="D34" i="5"/>
  <c r="C34" i="5"/>
  <c r="D65" i="1"/>
  <c r="C65" i="1"/>
  <c r="D10" i="5"/>
  <c r="D18" i="5"/>
  <c r="C18" i="5"/>
  <c r="C10" i="5"/>
  <c r="J9" i="3"/>
  <c r="J8" i="3"/>
  <c r="J7" i="3"/>
  <c r="J6" i="3"/>
  <c r="C52" i="1"/>
  <c r="D70" i="5" l="1"/>
  <c r="C70" i="5"/>
  <c r="C28" i="1"/>
  <c r="D28" i="1"/>
  <c r="D19" i="1"/>
  <c r="C19" i="1"/>
  <c r="D6" i="3"/>
  <c r="D44" i="1"/>
  <c r="C44" i="1"/>
  <c r="D52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<sst xmlns="http://schemas.openxmlformats.org/spreadsheetml/2006/main" count="176" uniqueCount="40">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</sst>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34" zoomScaleNormal="100" workbookViewId="0">
      <selection activeCell="C67" sqref="C6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</v>
      </c>
      <c r="D5" s="25">
        <v>199627.32</v>
      </c>
    </row>
    <row r="6" spans="2:8" x14ac:dyDescent="0.25">
      <c r="B6" s="1" t="s">
        <v>5</v>
      </c>
      <c r="C6" s="6">
        <v>9008</v>
      </c>
      <c r="D6" s="25">
        <v>856259.85999999987</v>
      </c>
    </row>
    <row r="7" spans="2:8" x14ac:dyDescent="0.25">
      <c r="B7" s="1" t="s">
        <v>6</v>
      </c>
      <c r="C7" s="6">
        <v>7130</v>
      </c>
      <c r="D7" s="25">
        <v>320622.55</v>
      </c>
    </row>
    <row r="8" spans="2:8" x14ac:dyDescent="0.25">
      <c r="B8" s="5" t="s">
        <v>12</v>
      </c>
      <c r="C8" s="7">
        <v>1244</v>
      </c>
      <c r="D8" s="25">
        <v>1000</v>
      </c>
    </row>
    <row r="9" spans="2:8" x14ac:dyDescent="0.25">
      <c r="B9" s="1" t="s">
        <v>7</v>
      </c>
      <c r="C9" s="6">
        <v>33565</v>
      </c>
      <c r="D9" s="25">
        <v>471788.66999999993</v>
      </c>
      <c r="E9" s="14"/>
      <c r="F9" s="7"/>
    </row>
    <row r="10" spans="2:8" x14ac:dyDescent="0.25">
      <c r="B10" s="3" t="s">
        <v>8</v>
      </c>
      <c r="C10" s="8">
        <f>SUM(C5:C9)</f>
        <v>50948</v>
      </c>
      <c r="D10" s="4">
        <f>SUM(D5:D9)</f>
        <v>1849298.4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10</v>
      </c>
      <c r="D14" s="25">
        <v>71486.23</v>
      </c>
    </row>
    <row r="15" spans="2:8" x14ac:dyDescent="0.25">
      <c r="B15" s="9" t="s">
        <v>5</v>
      </c>
      <c r="C15" s="6">
        <v>2891</v>
      </c>
      <c r="D15" s="25">
        <v>304805.32999999996</v>
      </c>
    </row>
    <row r="16" spans="2:8" x14ac:dyDescent="0.25">
      <c r="B16" s="9" t="s">
        <v>6</v>
      </c>
      <c r="C16" s="6">
        <v>798</v>
      </c>
      <c r="D16" s="25">
        <v>78556.800000000003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12545</v>
      </c>
      <c r="D18" s="25">
        <v>95436.31</v>
      </c>
    </row>
    <row r="19" spans="2:4" x14ac:dyDescent="0.25">
      <c r="B19" s="10" t="s">
        <v>8</v>
      </c>
      <c r="C19" s="8">
        <f>SUM(C14:C18)</f>
        <v>16245</v>
      </c>
      <c r="D19" s="4">
        <f>SUM(D14:D18)</f>
        <v>550323.66999999993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5">
        <v>9186</v>
      </c>
    </row>
    <row r="24" spans="2:4" x14ac:dyDescent="0.25">
      <c r="B24" s="1" t="s">
        <v>5</v>
      </c>
      <c r="C24" s="6">
        <v>2655</v>
      </c>
      <c r="D24" s="25">
        <v>163466.03</v>
      </c>
    </row>
    <row r="25" spans="2:4" x14ac:dyDescent="0.25">
      <c r="B25" s="1" t="s">
        <v>6</v>
      </c>
      <c r="C25" s="6">
        <v>3468</v>
      </c>
      <c r="D25" s="25">
        <v>111737.2</v>
      </c>
    </row>
    <row r="26" spans="2:4" x14ac:dyDescent="0.25">
      <c r="B26" s="5" t="s">
        <v>12</v>
      </c>
      <c r="C26" s="6">
        <v>0</v>
      </c>
      <c r="D26" s="11">
        <v>0</v>
      </c>
    </row>
    <row r="27" spans="2:4" x14ac:dyDescent="0.25">
      <c r="B27" s="1" t="s">
        <v>7</v>
      </c>
      <c r="C27" s="7">
        <v>18222</v>
      </c>
      <c r="D27" s="25">
        <v>195555</v>
      </c>
    </row>
    <row r="28" spans="2:4" x14ac:dyDescent="0.25">
      <c r="B28" s="3" t="s">
        <v>8</v>
      </c>
      <c r="C28" s="8">
        <f>SUM(C23:C27)</f>
        <v>24345</v>
      </c>
      <c r="D28" s="4">
        <f>SUM(D23:D27)</f>
        <v>479944.23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1</v>
      </c>
      <c r="D32" s="25">
        <v>16598.009999999998</v>
      </c>
    </row>
    <row r="33" spans="2:4" x14ac:dyDescent="0.25">
      <c r="B33" s="9" t="s">
        <v>5</v>
      </c>
      <c r="C33" s="6">
        <v>1330</v>
      </c>
      <c r="D33" s="25">
        <v>146361.23000000001</v>
      </c>
    </row>
    <row r="34" spans="2:4" x14ac:dyDescent="0.25">
      <c r="B34" s="9" t="s">
        <v>6</v>
      </c>
      <c r="C34" s="6">
        <v>731</v>
      </c>
      <c r="D34" s="25">
        <v>56332.7</v>
      </c>
    </row>
    <row r="35" spans="2:4" x14ac:dyDescent="0.25">
      <c r="B35" s="9" t="s">
        <v>7</v>
      </c>
      <c r="C35" s="6">
        <v>1911</v>
      </c>
      <c r="D35" s="25">
        <v>21284</v>
      </c>
    </row>
    <row r="36" spans="2:4" x14ac:dyDescent="0.25">
      <c r="B36" s="10" t="s">
        <v>8</v>
      </c>
      <c r="C36" s="8">
        <f>SUM(C32:C35)</f>
        <v>3973</v>
      </c>
      <c r="D36" s="4">
        <f>SUM(D32:D35)</f>
        <v>240575.94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268</v>
      </c>
      <c r="D40" s="25">
        <v>4327.1000000000004</v>
      </c>
    </row>
    <row r="41" spans="2:4" x14ac:dyDescent="0.25">
      <c r="B41" s="1" t="s">
        <v>5</v>
      </c>
      <c r="C41" s="6">
        <v>2160</v>
      </c>
      <c r="D41" s="25">
        <v>76521.63</v>
      </c>
    </row>
    <row r="42" spans="2:4" x14ac:dyDescent="0.25">
      <c r="B42" s="1" t="s">
        <v>6</v>
      </c>
      <c r="C42" s="6">
        <v>1281</v>
      </c>
      <c r="D42" s="25">
        <v>62469.87</v>
      </c>
    </row>
    <row r="43" spans="2:4" x14ac:dyDescent="0.25">
      <c r="B43" s="1" t="s">
        <v>7</v>
      </c>
      <c r="C43" s="6">
        <v>368</v>
      </c>
      <c r="D43" s="25">
        <v>3045</v>
      </c>
    </row>
    <row r="44" spans="2:4" x14ac:dyDescent="0.25">
      <c r="B44" s="3" t="s">
        <v>8</v>
      </c>
      <c r="C44" s="8">
        <f>SUM(C40:C43)</f>
        <v>4077</v>
      </c>
      <c r="D44" s="4">
        <f>SUM(D40:D43)</f>
        <v>146363.6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0</v>
      </c>
      <c r="D48" s="25">
        <v>2962</v>
      </c>
    </row>
    <row r="49" spans="2:4" x14ac:dyDescent="0.25">
      <c r="B49" s="1" t="s">
        <v>5</v>
      </c>
      <c r="C49" s="6">
        <v>577</v>
      </c>
      <c r="D49" s="25">
        <v>85563.02</v>
      </c>
    </row>
    <row r="50" spans="2:4" x14ac:dyDescent="0.25">
      <c r="B50" s="1" t="s">
        <v>6</v>
      </c>
      <c r="C50" s="6">
        <v>525</v>
      </c>
      <c r="D50" s="25">
        <v>7881</v>
      </c>
    </row>
    <row r="51" spans="2:4" x14ac:dyDescent="0.25">
      <c r="B51" s="1" t="s">
        <v>7</v>
      </c>
      <c r="C51" s="6">
        <v>2296</v>
      </c>
      <c r="D51" s="25">
        <v>12043</v>
      </c>
    </row>
    <row r="52" spans="2:4" x14ac:dyDescent="0.25">
      <c r="B52" s="3" t="s">
        <v>8</v>
      </c>
      <c r="C52" s="8">
        <f>SUM(C48:C51)</f>
        <v>3398</v>
      </c>
      <c r="D52" s="4">
        <f>SUM(D48:D51)</f>
        <v>108449.02</v>
      </c>
    </row>
    <row r="54" spans="2:4" x14ac:dyDescent="0.25">
      <c r="B54" s="29" t="s">
        <v>11</v>
      </c>
      <c r="C54" s="29"/>
      <c r="D54" s="29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262</v>
      </c>
      <c r="D56" s="25">
        <v>32515</v>
      </c>
    </row>
    <row r="57" spans="2:4" x14ac:dyDescent="0.25">
      <c r="B57" s="1" t="s">
        <v>5</v>
      </c>
      <c r="C57" s="6">
        <v>2319</v>
      </c>
      <c r="D57" s="25">
        <v>43070.83</v>
      </c>
    </row>
    <row r="58" spans="2:4" x14ac:dyDescent="0.25">
      <c r="B58" s="1" t="s">
        <v>6</v>
      </c>
      <c r="C58" s="6">
        <v>276</v>
      </c>
      <c r="D58" s="26">
        <v>0</v>
      </c>
    </row>
    <row r="59" spans="2:4" x14ac:dyDescent="0.25">
      <c r="B59" s="10" t="s">
        <v>8</v>
      </c>
      <c r="C59" s="8">
        <f>SUM(C56:C58)</f>
        <v>2857</v>
      </c>
      <c r="D59" s="4">
        <f>SUM(D56:D58)</f>
        <v>75585.83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0</v>
      </c>
      <c r="D63" s="26">
        <v>0</v>
      </c>
    </row>
    <row r="64" spans="2:4" x14ac:dyDescent="0.25">
      <c r="B64" s="1" t="s">
        <v>5</v>
      </c>
      <c r="C64" s="6">
        <v>1918</v>
      </c>
      <c r="D64" s="25">
        <v>10402.27</v>
      </c>
    </row>
    <row r="65" spans="2:4" x14ac:dyDescent="0.25">
      <c r="B65" s="3" t="s">
        <v>8</v>
      </c>
      <c r="C65" s="8">
        <f>SUM(C63:C64)</f>
        <v>1918</v>
      </c>
      <c r="D65" s="4">
        <f>SUM(D63:D64)</f>
        <v>10402.27</v>
      </c>
    </row>
    <row r="67" spans="2:4" x14ac:dyDescent="0.25">
      <c r="B67" s="12" t="s">
        <v>13</v>
      </c>
      <c r="C67" s="13">
        <f>SUMIF(B:B, "Total general", C:C)</f>
        <v>107761</v>
      </c>
      <c r="D67" s="13">
        <f>SUMIF(B:B, "Total general", D:D)</f>
        <v>3460942.96</v>
      </c>
    </row>
  </sheetData>
  <mergeCells count="8">
    <mergeCell ref="B3:D3"/>
    <mergeCell ref="B12:D12"/>
    <mergeCell ref="B30:D30"/>
    <mergeCell ref="B61:D61"/>
    <mergeCell ref="B54:D54"/>
    <mergeCell ref="B38:D38"/>
    <mergeCell ref="B21:D21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</v>
      </c>
      <c r="D5" s="25">
        <v>76668</v>
      </c>
    </row>
    <row r="6" spans="2:8" x14ac:dyDescent="0.25">
      <c r="B6" s="1" t="s">
        <v>5</v>
      </c>
      <c r="C6" s="27">
        <v>15683</v>
      </c>
      <c r="D6" s="25">
        <v>308280.22000000003</v>
      </c>
    </row>
    <row r="7" spans="2:8" x14ac:dyDescent="0.25">
      <c r="B7" s="1" t="s">
        <v>6</v>
      </c>
      <c r="C7" s="27">
        <v>9293</v>
      </c>
      <c r="D7" s="25">
        <v>24796</v>
      </c>
    </row>
    <row r="8" spans="2:8" x14ac:dyDescent="0.25">
      <c r="B8" s="5" t="s">
        <v>12</v>
      </c>
      <c r="C8" s="27">
        <v>2739</v>
      </c>
      <c r="D8" s="25">
        <v>1000</v>
      </c>
    </row>
    <row r="9" spans="2:8" x14ac:dyDescent="0.25">
      <c r="B9" s="1" t="s">
        <v>7</v>
      </c>
      <c r="C9" s="27">
        <v>61722</v>
      </c>
      <c r="D9" s="25">
        <v>8374.9</v>
      </c>
      <c r="E9" s="14"/>
      <c r="F9" s="7"/>
    </row>
    <row r="10" spans="2:8" x14ac:dyDescent="0.25">
      <c r="B10" s="3" t="s">
        <v>8</v>
      </c>
      <c r="C10" s="8">
        <f>SUM(C5:C9)</f>
        <v>89443</v>
      </c>
      <c r="D10" s="4">
        <f>SUM(D5:D9)</f>
        <v>419119.12000000005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167</v>
      </c>
      <c r="D14" s="25">
        <v>3634</v>
      </c>
    </row>
    <row r="15" spans="2:8" x14ac:dyDescent="0.25">
      <c r="B15" s="1" t="s">
        <v>5</v>
      </c>
      <c r="C15">
        <v>2140</v>
      </c>
      <c r="D15" s="25">
        <v>76521.63</v>
      </c>
    </row>
    <row r="16" spans="2:8" x14ac:dyDescent="0.25">
      <c r="B16" s="1" t="s">
        <v>6</v>
      </c>
      <c r="C16">
        <v>1225</v>
      </c>
      <c r="D16" s="25">
        <v>61369.87</v>
      </c>
    </row>
    <row r="17" spans="2:4" x14ac:dyDescent="0.25">
      <c r="B17" s="1" t="s">
        <v>7</v>
      </c>
      <c r="C17">
        <v>367</v>
      </c>
      <c r="D17" s="25">
        <v>3045</v>
      </c>
    </row>
    <row r="18" spans="2:4" x14ac:dyDescent="0.25">
      <c r="B18" s="3" t="s">
        <v>8</v>
      </c>
      <c r="C18" s="8">
        <f>SUM(C14:C17)</f>
        <v>3899</v>
      </c>
      <c r="D18" s="4">
        <f>SUM(D14:D17)</f>
        <v>144570.5</v>
      </c>
    </row>
    <row r="20" spans="2:4" x14ac:dyDescent="0.25">
      <c r="B20" s="29" t="s">
        <v>11</v>
      </c>
      <c r="C20" s="29"/>
      <c r="D20" s="29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>
        <v>3</v>
      </c>
      <c r="D22" s="25">
        <v>13141</v>
      </c>
    </row>
    <row r="23" spans="2:4" x14ac:dyDescent="0.25">
      <c r="B23" s="1" t="s">
        <v>5</v>
      </c>
      <c r="C23">
        <v>9</v>
      </c>
      <c r="D23" s="25">
        <v>11389.83</v>
      </c>
    </row>
    <row r="24" spans="2:4" x14ac:dyDescent="0.25">
      <c r="B24" s="1" t="s">
        <v>6</v>
      </c>
      <c r="C24">
        <v>64</v>
      </c>
      <c r="D24" s="26">
        <v>0</v>
      </c>
    </row>
    <row r="25" spans="2:4" x14ac:dyDescent="0.25">
      <c r="B25" s="10" t="s">
        <v>8</v>
      </c>
      <c r="C25" s="8">
        <f>SUM(C22:C24)</f>
        <v>76</v>
      </c>
      <c r="D25" s="4">
        <f>SUM(D22:D24)</f>
        <v>24530.83</v>
      </c>
    </row>
    <row r="27" spans="2:4" x14ac:dyDescent="0.25">
      <c r="B27" s="28" t="s">
        <v>0</v>
      </c>
      <c r="C27" s="28"/>
      <c r="D27" s="28"/>
    </row>
    <row r="28" spans="2:4" x14ac:dyDescent="0.25">
      <c r="B28" s="2" t="s">
        <v>1</v>
      </c>
      <c r="C28" s="2" t="s">
        <v>2</v>
      </c>
      <c r="D28" s="2" t="s">
        <v>3</v>
      </c>
    </row>
    <row r="29" spans="2:4" x14ac:dyDescent="0.25">
      <c r="B29" s="1" t="s">
        <v>4</v>
      </c>
      <c r="C29" s="27">
        <v>0</v>
      </c>
      <c r="D29" s="25">
        <v>744</v>
      </c>
    </row>
    <row r="30" spans="2:4" x14ac:dyDescent="0.25">
      <c r="B30" s="1" t="s">
        <v>5</v>
      </c>
      <c r="C30">
        <v>20</v>
      </c>
      <c r="D30" s="25">
        <v>5650</v>
      </c>
    </row>
    <row r="31" spans="2:4" x14ac:dyDescent="0.25">
      <c r="B31" s="1" t="s">
        <v>6</v>
      </c>
      <c r="C31">
        <v>78</v>
      </c>
      <c r="D31" s="25">
        <v>1362</v>
      </c>
    </row>
    <row r="32" spans="2:4" x14ac:dyDescent="0.25">
      <c r="B32" s="5" t="s">
        <v>12</v>
      </c>
      <c r="C32">
        <v>1</v>
      </c>
      <c r="D32" s="26">
        <v>0</v>
      </c>
    </row>
    <row r="33" spans="2:4" x14ac:dyDescent="0.25">
      <c r="B33" s="1" t="s">
        <v>7</v>
      </c>
      <c r="C33">
        <v>304</v>
      </c>
      <c r="D33" s="25">
        <v>10697.080000000002</v>
      </c>
    </row>
    <row r="34" spans="2:4" x14ac:dyDescent="0.25">
      <c r="B34" s="3" t="s">
        <v>8</v>
      </c>
      <c r="C34" s="8">
        <f>SUM(C29:C33)</f>
        <v>403</v>
      </c>
      <c r="D34" s="4">
        <f>SUM(D29:D33)</f>
        <v>18453.080000000002</v>
      </c>
    </row>
    <row r="36" spans="2:4" x14ac:dyDescent="0.25">
      <c r="B36" s="28" t="s">
        <v>36</v>
      </c>
      <c r="C36" s="28"/>
      <c r="D36" s="28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1" t="s">
        <v>4</v>
      </c>
      <c r="C38" s="26">
        <v>0</v>
      </c>
      <c r="D38" s="26">
        <v>0</v>
      </c>
    </row>
    <row r="39" spans="2:4" x14ac:dyDescent="0.25">
      <c r="B39" s="1" t="s">
        <v>5</v>
      </c>
      <c r="C39">
        <v>6</v>
      </c>
      <c r="D39" s="25">
        <v>2290</v>
      </c>
    </row>
    <row r="40" spans="2:4" x14ac:dyDescent="0.25">
      <c r="B40" s="1" t="s">
        <v>6</v>
      </c>
      <c r="C40">
        <v>44</v>
      </c>
      <c r="D40" s="26">
        <v>0</v>
      </c>
    </row>
    <row r="41" spans="2:4" x14ac:dyDescent="0.25">
      <c r="B41" s="5" t="s">
        <v>12</v>
      </c>
      <c r="C41" s="6">
        <v>0</v>
      </c>
      <c r="D41" s="26">
        <v>0</v>
      </c>
    </row>
    <row r="42" spans="2:4" x14ac:dyDescent="0.25">
      <c r="B42" s="1" t="s">
        <v>7</v>
      </c>
      <c r="C42">
        <v>333</v>
      </c>
      <c r="D42" s="25">
        <v>11499</v>
      </c>
    </row>
    <row r="43" spans="2:4" x14ac:dyDescent="0.25">
      <c r="B43" s="3" t="s">
        <v>8</v>
      </c>
      <c r="C43" s="8">
        <f>SUM(C38:C42)</f>
        <v>383</v>
      </c>
      <c r="D43" s="4">
        <f>SUM(D38:D42)</f>
        <v>13789</v>
      </c>
    </row>
    <row r="45" spans="2:4" x14ac:dyDescent="0.25">
      <c r="B45" s="29" t="s">
        <v>10</v>
      </c>
      <c r="C45" s="29"/>
      <c r="D45" s="29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>
        <v>1</v>
      </c>
      <c r="D47" s="25">
        <v>375.82</v>
      </c>
    </row>
    <row r="48" spans="2:4" x14ac:dyDescent="0.25">
      <c r="B48" s="9" t="s">
        <v>5</v>
      </c>
      <c r="C48">
        <v>6</v>
      </c>
      <c r="D48" s="25">
        <v>532</v>
      </c>
    </row>
    <row r="49" spans="2:4" x14ac:dyDescent="0.25">
      <c r="B49" s="9" t="s">
        <v>6</v>
      </c>
      <c r="C49">
        <v>17</v>
      </c>
      <c r="D49" s="25">
        <v>2898</v>
      </c>
    </row>
    <row r="50" spans="2:4" x14ac:dyDescent="0.25">
      <c r="B50" s="5" t="s">
        <v>12</v>
      </c>
      <c r="C50" s="7">
        <v>0</v>
      </c>
      <c r="D50" s="7">
        <v>0</v>
      </c>
    </row>
    <row r="51" spans="2:4" x14ac:dyDescent="0.25">
      <c r="B51" s="9" t="s">
        <v>7</v>
      </c>
      <c r="C51">
        <v>168</v>
      </c>
      <c r="D51" s="25">
        <v>1986</v>
      </c>
    </row>
    <row r="52" spans="2:4" x14ac:dyDescent="0.25">
      <c r="B52" s="10" t="s">
        <v>8</v>
      </c>
      <c r="C52" s="8">
        <f>SUM(C47:C51)</f>
        <v>192</v>
      </c>
      <c r="D52" s="4">
        <f>SUM(D47:D51)</f>
        <v>5791.82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>
        <v>0</v>
      </c>
      <c r="D56" s="26">
        <v>0</v>
      </c>
    </row>
    <row r="57" spans="2:4" x14ac:dyDescent="0.25">
      <c r="B57" s="1" t="s">
        <v>5</v>
      </c>
      <c r="C57">
        <v>3</v>
      </c>
      <c r="D57" s="26">
        <v>0</v>
      </c>
    </row>
    <row r="58" spans="2:4" x14ac:dyDescent="0.25">
      <c r="B58" s="1" t="s">
        <v>6</v>
      </c>
      <c r="C58">
        <v>9</v>
      </c>
      <c r="D58" s="26">
        <v>0</v>
      </c>
    </row>
    <row r="59" spans="2:4" x14ac:dyDescent="0.25">
      <c r="B59" s="1" t="s">
        <v>7</v>
      </c>
      <c r="C59">
        <v>64</v>
      </c>
      <c r="D59" s="25">
        <v>557</v>
      </c>
    </row>
    <row r="60" spans="2:4" x14ac:dyDescent="0.25">
      <c r="B60" s="3" t="s">
        <v>8</v>
      </c>
      <c r="C60" s="8">
        <f>SUM(C56:C59)</f>
        <v>76</v>
      </c>
      <c r="D60" s="4">
        <f>SUM(D56:D59)</f>
        <v>557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94535</v>
      </c>
      <c r="D70" s="13">
        <f>SUMIF(B:B, "Total general", D:D)</f>
        <v>626811.35</v>
      </c>
    </row>
  </sheetData>
  <mergeCells count="9">
    <mergeCell ref="B62:D62"/>
    <mergeCell ref="B54:D54"/>
    <mergeCell ref="B20:D20"/>
    <mergeCell ref="B1:D1"/>
    <mergeCell ref="B3:D3"/>
    <mergeCell ref="B12:D12"/>
    <mergeCell ref="B27:D27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542</v>
      </c>
      <c r="E6" s="16">
        <f>SUMIF('REPORTE DIARIO'!B:B,'EPR 26 JUN'!C6, 'REPORTE DIARIO'!D:D)</f>
        <v>336701.66</v>
      </c>
      <c r="F6" s="16">
        <f>J6*D6</f>
        <v>34068.571428571428</v>
      </c>
      <c r="G6" s="16">
        <f>+E6-F6</f>
        <v>302633.08857142855</v>
      </c>
      <c r="H6" s="15">
        <f>ABS(G6/F6)</f>
        <v>8.8830577826232808</v>
      </c>
      <c r="I6" s="16">
        <f>E6/D6</f>
        <v>621.22077490774905</v>
      </c>
      <c r="J6" s="16">
        <f>(220/7)*2</f>
        <v>62.857142857142854</v>
      </c>
      <c r="K6" s="16">
        <f>+I6-J6</f>
        <v>558.36363205060616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22858</v>
      </c>
      <c r="E7" s="16">
        <f>SUMIF('REPORTE DIARIO'!B:B,'EPR 26 JUN'!C7, 'REPORTE DIARIO'!D:D)</f>
        <v>1686450.2000000002</v>
      </c>
      <c r="F7" s="16">
        <f>J7*D7</f>
        <v>718394.28571428568</v>
      </c>
      <c r="G7" s="16">
        <f>+E7-F7</f>
        <v>968055.91428571451</v>
      </c>
      <c r="H7" s="15">
        <f>ABS(G7/F7)</f>
        <v>1.3475273029534123</v>
      </c>
      <c r="I7" s="16">
        <f>E7/D7</f>
        <v>73.779429521392956</v>
      </c>
      <c r="J7" s="16">
        <f>(110/7)*2</f>
        <v>31.428571428571427</v>
      </c>
      <c r="K7" s="16">
        <f t="shared" ref="K7:K9" si="0">+I7-J7</f>
        <v>42.350858092821525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14209</v>
      </c>
      <c r="E8" s="16">
        <f>SUMIF('REPORTE DIARIO'!B:B,'EPR 26 JUN'!C8, 'REPORTE DIARIO'!D:D)</f>
        <v>637600.12</v>
      </c>
      <c r="F8" s="16">
        <f>J8*D8</f>
        <v>182687.14285714287</v>
      </c>
      <c r="G8" s="16">
        <f>+E8-F8</f>
        <v>454912.97714285715</v>
      </c>
      <c r="H8" s="15">
        <f>ABS(G8/F8)</f>
        <v>2.4901203775384926</v>
      </c>
      <c r="I8" s="16">
        <f>E8/D8</f>
        <v>44.872976282637765</v>
      </c>
      <c r="J8" s="16">
        <f>(45/7)*2</f>
        <v>12.857142857142858</v>
      </c>
      <c r="K8" s="16">
        <f t="shared" si="0"/>
        <v>32.015833425494904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68907</v>
      </c>
      <c r="E9" s="16">
        <f>SUMIF('REPORTE DIARIO'!B:B,'EPR 26 JUN'!C9, 'REPORTE DIARIO'!D:D)</f>
        <v>799151.98</v>
      </c>
      <c r="F9" s="16">
        <f>J9*D9</f>
        <v>295315.71428571426</v>
      </c>
      <c r="G9" s="16">
        <f>+E9-F9</f>
        <v>503836.26571428572</v>
      </c>
      <c r="H9" s="15">
        <f>ABS(G9/F9)</f>
        <v>1.7060936527977324</v>
      </c>
      <c r="I9" s="16">
        <f>E9/D9</f>
        <v>11.597544226275994</v>
      </c>
      <c r="J9" s="16">
        <f>(15/7)*2</f>
        <v>4.2857142857142856</v>
      </c>
      <c r="K9" s="16">
        <f t="shared" si="0"/>
        <v>7.3118299405617089</v>
      </c>
    </row>
    <row r="10" spans="2:12" x14ac:dyDescent="0.25">
      <c r="B10" s="16"/>
      <c r="C10" s="19" t="s">
        <v>17</v>
      </c>
      <c r="D10" s="24">
        <f>SUM(D6:D9)</f>
        <v>106516</v>
      </c>
      <c r="E10" s="20">
        <f>SUM(E6:E9)</f>
        <v>3459903.96</v>
      </c>
      <c r="F10" s="20">
        <f>SUM(F6:F9)</f>
        <v>1230465.7142857143</v>
      </c>
      <c r="G10" s="20">
        <f>+E10-F10</f>
        <v>2229438.2457142854</v>
      </c>
      <c r="H10" s="21">
        <f>ABS(G10/F10)</f>
        <v>1.811865393590812</v>
      </c>
      <c r="I10" s="20">
        <f>E10/D10</f>
        <v>32.482481129595556</v>
      </c>
      <c r="J10" s="20">
        <f>F10/D10</f>
        <v>11.551933177041143</v>
      </c>
      <c r="K10" s="20">
        <f>I10-J10</f>
        <v>20.930547952554413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2025-08-14T15:08:10Z</cp:lastPrinted>
  <dcterms:created xsi:type="dcterms:W3CDTF">2025-01-27T15:11:28Z</dcterms:created>
  <dcterms:modified xsi:type="dcterms:W3CDTF">2025-08-17T05:10:31Z</dcterms:modified>
</cp:coreProperties>
</file>