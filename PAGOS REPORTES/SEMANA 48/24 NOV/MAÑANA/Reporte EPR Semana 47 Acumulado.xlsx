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8\24 NOV\MAÑANA\"/>
    </mc:Choice>
  </mc:AlternateContent>
  <xr:revisionPtr revIDLastSave="0" documentId="13_ncr:1_{FBEFF291-90C5-480A-9216-7085826BC983}" xr6:coauthVersionLast="47" xr6:coauthVersionMax="47" xr10:uidLastSave="{00000000-0000-0000-0000-000000000000}"/>
  <bookViews>
    <workbookView xWindow="25695" yWindow="10440" windowWidth="26010" windowHeight="10545" activeTab="2" xr2:uid="{4DC6C92A-CD8A-4966-829B-0B6A986E825B}"/>
  </bookViews>
  <sheets>
    <sheet name="REPORTE DIARIO" sheetId="1" r:id="rId1"/>
    <sheet name="CDC" sheetId="5" r:id="rId2"/>
    <sheet name="COBRANZA CDC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6" i="5" l="1"/>
  <c r="D10" i="1"/>
  <c r="C40" i="5"/>
  <c r="D26" i="1"/>
  <c r="D34" i="5"/>
  <c r="C26" i="1"/>
  <c r="C34" i="1"/>
  <c r="D34" i="1"/>
  <c r="C34" i="5"/>
  <c r="D46" i="5"/>
  <c r="D18" i="5"/>
  <c r="C18" i="5"/>
  <c r="C42" i="1"/>
  <c r="D42" i="1"/>
  <c r="C18" i="1"/>
  <c r="D26" i="5"/>
  <c r="C26" i="5"/>
  <c r="D10" i="5"/>
  <c r="D40" i="5"/>
  <c r="D7" i="6"/>
  <c r="D6" i="6"/>
  <c r="D5" i="6"/>
  <c r="D4" i="6"/>
  <c r="D3" i="6"/>
  <c r="C7" i="6"/>
  <c r="C6" i="6"/>
  <c r="C5" i="6"/>
  <c r="C4" i="6"/>
  <c r="C3" i="6"/>
  <c r="C10" i="5"/>
  <c r="C48" i="5" l="1"/>
  <c r="D8" i="6"/>
  <c r="C8" i="6"/>
  <c r="D48" i="5"/>
  <c r="D18" i="1"/>
  <c r="D50" i="1" l="1"/>
  <c r="C10" i="1"/>
  <c r="C50" i="1" l="1"/>
</calcChain>
</file>

<file path=xl/sharedStrings.xml><?xml version="1.0" encoding="utf-8"?>
<sst xmlns="http://schemas.openxmlformats.org/spreadsheetml/2006/main" count="113" uniqueCount="18">
  <si>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</si>
  <si>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</si>
  <si>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</si>
  <si>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</si>
  <si>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</si>
  <si>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</si>
  <si>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</si>
  <si>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</si>
  <si>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</si>
  <si>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</si>
  <si>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</si>
  <si>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</si>
  <si>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</si>
  <si>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COBRANZA GENERAL  FEDERICO</t>
  </si>
  <si>
    <t>COBRANZA GENERAL  ANDREA</t>
  </si>
  <si>
    <t>COBRANZA GENERAL  CDC 100</t>
  </si>
  <si>
    <t>ETIQUETA PROYECTO CDC</t>
  </si>
  <si>
    <t>COBRANZA GENERAL  SKIC COBRO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</si>
</sst>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topLeftCell="A50" zoomScaleNormal="100" workbookViewId="0">
      <selection activeCell="B3" sqref="B3:D50"/>
    </sheetView>
  </sheetViews>
  <sheetFormatPr baseColWidth="10" defaultRowHeight="15" x14ac:dyDescent="0.25"/>
  <cols>
    <col min="2" max="2" width="36.85546875" customWidth="1"/>
    <col min="4" max="4" width="13.140625" bestFit="1" customWidth="1"/>
    <col min="5" max="5" width="11.85546875" bestFit="1" customWidth="1"/>
    <col min="6" max="6" width="13.140625" bestFit="1" customWidth="1"/>
  </cols>
  <sheetData>
    <row r="3" spans="2:8" x14ac:dyDescent="0.25">
      <c r="B3" s="20" t="s">
        <v>17</v>
      </c>
      <c r="C3" s="20"/>
      <c r="D3" s="20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6">
        <v>7308</v>
      </c>
      <c r="D5" s="18">
        <v>766883.58</v>
      </c>
    </row>
    <row r="6" spans="2:8" x14ac:dyDescent="0.25">
      <c r="B6" s="1" t="s">
        <v>4</v>
      </c>
      <c r="C6" s="6">
        <v>8195</v>
      </c>
      <c r="D6" s="18">
        <v>530597.09000000008</v>
      </c>
    </row>
    <row r="7" spans="2:8" x14ac:dyDescent="0.25">
      <c r="B7" s="1" t="s">
        <v>5</v>
      </c>
      <c r="C7" s="6">
        <v>5673</v>
      </c>
      <c r="D7" s="18">
        <v>159382.41000000003</v>
      </c>
    </row>
    <row r="8" spans="2:8" x14ac:dyDescent="0.25">
      <c r="B8" s="5" t="s">
        <v>10</v>
      </c>
      <c r="C8" s="7">
        <v>500</v>
      </c>
      <c r="D8" s="19">
        <v>0</v>
      </c>
    </row>
    <row r="9" spans="2:8" x14ac:dyDescent="0.25">
      <c r="B9" s="1" t="s">
        <v>6</v>
      </c>
      <c r="C9" s="6">
        <v>36049</v>
      </c>
      <c r="D9" s="18">
        <v>517177.42999999993</v>
      </c>
      <c r="E9" s="14"/>
      <c r="F9" s="7"/>
    </row>
    <row r="10" spans="2:8" x14ac:dyDescent="0.25">
      <c r="B10" s="3" t="s">
        <v>7</v>
      </c>
      <c r="C10" s="8">
        <f>SUM(C5:C9)</f>
        <v>57725</v>
      </c>
      <c r="D10" s="4">
        <f>SUM(D5:D9)</f>
        <v>1974040.51</v>
      </c>
      <c r="E10" s="11" t="s">
        <v>12</v>
      </c>
    </row>
    <row r="12" spans="2:8" x14ac:dyDescent="0.25">
      <c r="B12" s="21" t="s">
        <v>8</v>
      </c>
      <c r="C12" s="21"/>
      <c r="D12" s="21"/>
    </row>
    <row r="13" spans="2:8" x14ac:dyDescent="0.25">
      <c r="B13" s="4" t="s">
        <v>0</v>
      </c>
      <c r="C13" s="4" t="s">
        <v>1</v>
      </c>
      <c r="D13" s="4" t="s">
        <v>2</v>
      </c>
    </row>
    <row r="14" spans="2:8" x14ac:dyDescent="0.25">
      <c r="B14" s="9" t="s">
        <v>3</v>
      </c>
      <c r="C14" s="6">
        <v>534</v>
      </c>
      <c r="D14" s="18">
        <v>37639.369999999995</v>
      </c>
    </row>
    <row r="15" spans="2:8" x14ac:dyDescent="0.25">
      <c r="B15" s="9" t="s">
        <v>4</v>
      </c>
      <c r="C15" s="6">
        <v>986</v>
      </c>
      <c r="D15" s="18">
        <v>56970.45</v>
      </c>
    </row>
    <row r="16" spans="2:8" x14ac:dyDescent="0.25">
      <c r="B16" s="9" t="s">
        <v>5</v>
      </c>
      <c r="C16" s="6">
        <v>3860</v>
      </c>
      <c r="D16" s="18">
        <v>89135.290000000008</v>
      </c>
    </row>
    <row r="17" spans="2:4" x14ac:dyDescent="0.25">
      <c r="B17" s="9" t="s">
        <v>6</v>
      </c>
      <c r="C17" s="6">
        <v>4889</v>
      </c>
      <c r="D17" s="18">
        <v>186149.6</v>
      </c>
    </row>
    <row r="18" spans="2:4" x14ac:dyDescent="0.25">
      <c r="B18" s="10" t="s">
        <v>7</v>
      </c>
      <c r="C18" s="8">
        <f>SUM(C14:C17)</f>
        <v>10269</v>
      </c>
      <c r="D18" s="4">
        <f>SUM(D14:D17)</f>
        <v>369894.70999999996</v>
      </c>
    </row>
    <row r="20" spans="2:4" x14ac:dyDescent="0.25">
      <c r="B20" s="20" t="s">
        <v>14</v>
      </c>
      <c r="C20" s="20"/>
      <c r="D20" s="20"/>
    </row>
    <row r="21" spans="2:4" x14ac:dyDescent="0.25">
      <c r="B21" s="2" t="s">
        <v>0</v>
      </c>
      <c r="C21" s="2" t="s">
        <v>1</v>
      </c>
      <c r="D21" s="2" t="s">
        <v>2</v>
      </c>
    </row>
    <row r="22" spans="2:4" x14ac:dyDescent="0.25">
      <c r="B22" s="9" t="s">
        <v>3</v>
      </c>
      <c r="C22">
        <v>387</v>
      </c>
      <c r="D22" s="18">
        <v>33197</v>
      </c>
    </row>
    <row r="23" spans="2:4" x14ac:dyDescent="0.25">
      <c r="B23" s="1" t="s">
        <v>4</v>
      </c>
      <c r="C23" s="6">
        <v>91</v>
      </c>
      <c r="D23" s="18">
        <v>53999.229999999996</v>
      </c>
    </row>
    <row r="24" spans="2:4" x14ac:dyDescent="0.25">
      <c r="B24" s="1" t="s">
        <v>5</v>
      </c>
      <c r="C24" s="6">
        <v>2237</v>
      </c>
      <c r="D24" s="18">
        <v>58864</v>
      </c>
    </row>
    <row r="25" spans="2:4" x14ac:dyDescent="0.25">
      <c r="B25" s="1" t="s">
        <v>6</v>
      </c>
      <c r="C25" s="7">
        <v>14172</v>
      </c>
      <c r="D25" s="18">
        <v>140053.97</v>
      </c>
    </row>
    <row r="26" spans="2:4" x14ac:dyDescent="0.25">
      <c r="B26" s="3" t="s">
        <v>7</v>
      </c>
      <c r="C26" s="8">
        <f>SUM(C22:C25)</f>
        <v>16887</v>
      </c>
      <c r="D26" s="4">
        <f>SUM(D22:D25)</f>
        <v>286114.19999999995</v>
      </c>
    </row>
    <row r="28" spans="2:4" x14ac:dyDescent="0.25">
      <c r="B28" s="21" t="s">
        <v>9</v>
      </c>
      <c r="C28" s="21"/>
      <c r="D28" s="21"/>
    </row>
    <row r="29" spans="2:4" x14ac:dyDescent="0.25">
      <c r="B29" s="4" t="s">
        <v>0</v>
      </c>
      <c r="C29" s="4" t="s">
        <v>1</v>
      </c>
      <c r="D29" s="4" t="s">
        <v>2</v>
      </c>
    </row>
    <row r="30" spans="2:4" x14ac:dyDescent="0.25">
      <c r="B30" s="9" t="s">
        <v>3</v>
      </c>
      <c r="C30" s="6">
        <v>4124</v>
      </c>
      <c r="D30" s="18">
        <v>102203.18000000001</v>
      </c>
    </row>
    <row r="31" spans="2:4" x14ac:dyDescent="0.25">
      <c r="B31" s="1" t="s">
        <v>4</v>
      </c>
      <c r="C31" s="6">
        <v>629</v>
      </c>
      <c r="D31" s="18">
        <v>28394.489999999998</v>
      </c>
    </row>
    <row r="32" spans="2:4" x14ac:dyDescent="0.25">
      <c r="B32" s="1" t="s">
        <v>5</v>
      </c>
      <c r="C32" s="6">
        <v>3545</v>
      </c>
      <c r="D32" s="18">
        <v>44111.199999999997</v>
      </c>
    </row>
    <row r="33" spans="2:4" x14ac:dyDescent="0.25">
      <c r="B33" s="1" t="s">
        <v>6</v>
      </c>
      <c r="C33" s="6">
        <v>1056</v>
      </c>
      <c r="D33" s="18">
        <v>899</v>
      </c>
    </row>
    <row r="34" spans="2:4" x14ac:dyDescent="0.25">
      <c r="B34" s="10" t="s">
        <v>7</v>
      </c>
      <c r="C34" s="8">
        <f>SUM(C30:C33)</f>
        <v>9354</v>
      </c>
      <c r="D34" s="4">
        <f>SUM(D30:D33)</f>
        <v>175607.87</v>
      </c>
    </row>
    <row r="36" spans="2:4" x14ac:dyDescent="0.25">
      <c r="B36" s="20" t="s">
        <v>13</v>
      </c>
      <c r="C36" s="20"/>
      <c r="D36" s="20"/>
    </row>
    <row r="37" spans="2:4" x14ac:dyDescent="0.25">
      <c r="B37" s="2" t="s">
        <v>0</v>
      </c>
      <c r="C37" s="2" t="s">
        <v>1</v>
      </c>
      <c r="D37" s="2" t="s">
        <v>2</v>
      </c>
    </row>
    <row r="38" spans="2:4" x14ac:dyDescent="0.25">
      <c r="B38" s="9" t="s">
        <v>3</v>
      </c>
      <c r="C38" s="6">
        <v>13</v>
      </c>
      <c r="D38" s="18">
        <v>4784</v>
      </c>
    </row>
    <row r="39" spans="2:4" x14ac:dyDescent="0.25">
      <c r="B39" s="1" t="s">
        <v>4</v>
      </c>
      <c r="C39" s="6">
        <v>8</v>
      </c>
      <c r="D39" s="18">
        <v>2595</v>
      </c>
    </row>
    <row r="40" spans="2:4" x14ac:dyDescent="0.25">
      <c r="B40" s="1" t="s">
        <v>5</v>
      </c>
      <c r="C40" s="6">
        <v>6</v>
      </c>
      <c r="D40" s="18">
        <v>3485</v>
      </c>
    </row>
    <row r="41" spans="2:4" x14ac:dyDescent="0.25">
      <c r="B41" s="1" t="s">
        <v>6</v>
      </c>
      <c r="C41" s="6">
        <v>687</v>
      </c>
      <c r="D41" s="18">
        <v>8927</v>
      </c>
    </row>
    <row r="42" spans="2:4" x14ac:dyDescent="0.25">
      <c r="B42" s="3" t="s">
        <v>7</v>
      </c>
      <c r="C42" s="8">
        <f>SUM(C38:C41)</f>
        <v>714</v>
      </c>
      <c r="D42" s="4">
        <f>SUM(D38:D41)</f>
        <v>19791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11</v>
      </c>
      <c r="C50" s="13">
        <f>SUMIF(B:B, "Total general", C:C)</f>
        <v>94949</v>
      </c>
      <c r="D50" s="13">
        <f>SUMIF(B:B, "Total general", D:D)</f>
        <v>2825448.29</v>
      </c>
    </row>
  </sheetData>
  <mergeCells count="5">
    <mergeCell ref="B3:D3"/>
    <mergeCell ref="B12:D12"/>
    <mergeCell ref="B28:D28"/>
    <mergeCell ref="B20:D20"/>
    <mergeCell ref="B36:D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48"/>
  <sheetViews>
    <sheetView showGridLines="0" topLeftCell="A29" zoomScaleNormal="100" workbookViewId="0">
      <selection activeCell="B1" sqref="B1:D4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0" t="s">
        <v>16</v>
      </c>
      <c r="C1" s="20"/>
      <c r="D1" s="20"/>
    </row>
    <row r="3" spans="2:8" x14ac:dyDescent="0.25">
      <c r="B3" s="20" t="s">
        <v>15</v>
      </c>
      <c r="C3" s="20"/>
      <c r="D3" s="20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17">
        <v>5679</v>
      </c>
      <c r="D5" s="18">
        <v>267539.11999999994</v>
      </c>
      <c r="E5" s="11"/>
    </row>
    <row r="6" spans="2:8" x14ac:dyDescent="0.25">
      <c r="B6" s="1" t="s">
        <v>4</v>
      </c>
      <c r="C6" s="17">
        <v>7077</v>
      </c>
      <c r="D6" s="18">
        <v>211410.98</v>
      </c>
    </row>
    <row r="7" spans="2:8" x14ac:dyDescent="0.25">
      <c r="B7" s="1" t="s">
        <v>5</v>
      </c>
      <c r="C7" s="17">
        <v>7830</v>
      </c>
      <c r="D7" s="18">
        <v>64115</v>
      </c>
    </row>
    <row r="8" spans="2:8" x14ac:dyDescent="0.25">
      <c r="B8" s="5" t="s">
        <v>10</v>
      </c>
      <c r="C8" s="17">
        <v>2737</v>
      </c>
      <c r="D8" s="18">
        <v>25942</v>
      </c>
    </row>
    <row r="9" spans="2:8" x14ac:dyDescent="0.25">
      <c r="B9" s="1" t="s">
        <v>6</v>
      </c>
      <c r="C9" s="17">
        <v>11242</v>
      </c>
      <c r="D9" s="18">
        <v>39010.19</v>
      </c>
      <c r="E9" s="14"/>
      <c r="F9" s="7"/>
    </row>
    <row r="10" spans="2:8" x14ac:dyDescent="0.25">
      <c r="B10" s="3" t="s">
        <v>7</v>
      </c>
      <c r="C10" s="8">
        <f>SUM(C5:C9)</f>
        <v>34565</v>
      </c>
      <c r="D10" s="4">
        <f>SUM(D5:D9)</f>
        <v>608017.29</v>
      </c>
      <c r="E10" s="11" t="s">
        <v>12</v>
      </c>
    </row>
    <row r="12" spans="2:8" x14ac:dyDescent="0.25">
      <c r="B12" s="20" t="s">
        <v>17</v>
      </c>
      <c r="C12" s="20"/>
      <c r="D12" s="20"/>
    </row>
    <row r="13" spans="2:8" x14ac:dyDescent="0.25">
      <c r="B13" s="2" t="s">
        <v>0</v>
      </c>
      <c r="C13" s="2" t="s">
        <v>1</v>
      </c>
      <c r="D13" s="2" t="s">
        <v>2</v>
      </c>
    </row>
    <row r="14" spans="2:8" x14ac:dyDescent="0.25">
      <c r="B14" s="9" t="s">
        <v>3</v>
      </c>
      <c r="C14" s="16">
        <v>1267</v>
      </c>
      <c r="D14" s="18">
        <v>25258</v>
      </c>
    </row>
    <row r="15" spans="2:8" x14ac:dyDescent="0.25">
      <c r="B15" s="1" t="s">
        <v>4</v>
      </c>
      <c r="C15" s="16">
        <v>1032</v>
      </c>
      <c r="D15" s="18">
        <v>125254.18</v>
      </c>
    </row>
    <row r="16" spans="2:8" x14ac:dyDescent="0.25">
      <c r="B16" s="1" t="s">
        <v>5</v>
      </c>
      <c r="C16" s="16">
        <v>1079</v>
      </c>
      <c r="D16" s="18">
        <v>8566</v>
      </c>
    </row>
    <row r="17" spans="2:4" x14ac:dyDescent="0.25">
      <c r="B17" s="1" t="s">
        <v>6</v>
      </c>
      <c r="C17" s="16">
        <v>304</v>
      </c>
      <c r="D17" s="18">
        <v>8153.04</v>
      </c>
    </row>
    <row r="18" spans="2:4" x14ac:dyDescent="0.25">
      <c r="B18" s="3" t="s">
        <v>7</v>
      </c>
      <c r="C18" s="8">
        <f>SUM(C14:C17)</f>
        <v>3682</v>
      </c>
      <c r="D18" s="4">
        <f>SUM(D14:D17)</f>
        <v>167231.22</v>
      </c>
    </row>
    <row r="20" spans="2:4" x14ac:dyDescent="0.25">
      <c r="B20" s="21" t="s">
        <v>9</v>
      </c>
      <c r="C20" s="21"/>
      <c r="D20" s="21"/>
    </row>
    <row r="21" spans="2:4" x14ac:dyDescent="0.25">
      <c r="B21" s="4" t="s">
        <v>0</v>
      </c>
      <c r="C21" s="4" t="s">
        <v>1</v>
      </c>
      <c r="D21" s="4" t="s">
        <v>2</v>
      </c>
    </row>
    <row r="22" spans="2:4" x14ac:dyDescent="0.25">
      <c r="B22" s="9" t="s">
        <v>3</v>
      </c>
      <c r="C22" s="16">
        <v>4111</v>
      </c>
      <c r="D22" s="18">
        <v>98358.180000000008</v>
      </c>
    </row>
    <row r="23" spans="2:4" x14ac:dyDescent="0.25">
      <c r="B23" s="1" t="s">
        <v>4</v>
      </c>
      <c r="C23" s="16">
        <v>534</v>
      </c>
      <c r="D23" s="18">
        <v>19933.489999999998</v>
      </c>
    </row>
    <row r="24" spans="2:4" x14ac:dyDescent="0.25">
      <c r="B24" s="1" t="s">
        <v>5</v>
      </c>
      <c r="C24" s="16">
        <v>3476</v>
      </c>
      <c r="D24" s="18">
        <v>42006.2</v>
      </c>
    </row>
    <row r="25" spans="2:4" x14ac:dyDescent="0.25">
      <c r="B25" s="9" t="s">
        <v>6</v>
      </c>
      <c r="C25" s="16">
        <v>30</v>
      </c>
      <c r="D25" s="18">
        <v>899</v>
      </c>
    </row>
    <row r="26" spans="2:4" x14ac:dyDescent="0.25">
      <c r="B26" s="10" t="s">
        <v>7</v>
      </c>
      <c r="C26" s="8">
        <f>SUM(C22:C25)</f>
        <v>8151</v>
      </c>
      <c r="D26" s="4">
        <f>SUM(D22:D25)</f>
        <v>161196.87</v>
      </c>
    </row>
    <row r="28" spans="2:4" x14ac:dyDescent="0.25">
      <c r="B28" s="20" t="s">
        <v>14</v>
      </c>
      <c r="C28" s="20"/>
      <c r="D28" s="20"/>
    </row>
    <row r="29" spans="2:4" x14ac:dyDescent="0.25">
      <c r="B29" s="2" t="s">
        <v>0</v>
      </c>
      <c r="C29" s="2" t="s">
        <v>1</v>
      </c>
      <c r="D29" s="2" t="s">
        <v>2</v>
      </c>
    </row>
    <row r="30" spans="2:4" x14ac:dyDescent="0.25">
      <c r="B30" s="9" t="s">
        <v>3</v>
      </c>
      <c r="C30" s="16">
        <v>2</v>
      </c>
      <c r="D30" s="18">
        <v>763</v>
      </c>
    </row>
    <row r="31" spans="2:4" x14ac:dyDescent="0.25">
      <c r="B31" s="1" t="s">
        <v>4</v>
      </c>
      <c r="C31" s="11">
        <v>0</v>
      </c>
      <c r="D31" s="15">
        <v>0</v>
      </c>
    </row>
    <row r="32" spans="2:4" x14ac:dyDescent="0.25">
      <c r="B32" s="1" t="s">
        <v>5</v>
      </c>
      <c r="C32" s="16">
        <v>1</v>
      </c>
      <c r="D32" s="18">
        <v>1734</v>
      </c>
    </row>
    <row r="33" spans="2:4" x14ac:dyDescent="0.25">
      <c r="B33" s="1" t="s">
        <v>6</v>
      </c>
      <c r="C33" s="16">
        <v>330</v>
      </c>
      <c r="D33" s="18">
        <v>936</v>
      </c>
    </row>
    <row r="34" spans="2:4" x14ac:dyDescent="0.25">
      <c r="B34" s="3" t="s">
        <v>7</v>
      </c>
      <c r="C34" s="8">
        <f>SUM(C30:C33)</f>
        <v>333</v>
      </c>
      <c r="D34" s="4">
        <f>SUM(D30:D33)</f>
        <v>3433</v>
      </c>
    </row>
    <row r="36" spans="2:4" x14ac:dyDescent="0.25">
      <c r="B36" s="20" t="s">
        <v>13</v>
      </c>
      <c r="C36" s="20"/>
      <c r="D36" s="20"/>
    </row>
    <row r="37" spans="2:4" x14ac:dyDescent="0.25">
      <c r="B37" s="2" t="s">
        <v>0</v>
      </c>
      <c r="C37" s="2" t="s">
        <v>1</v>
      </c>
      <c r="D37" s="2" t="s">
        <v>2</v>
      </c>
    </row>
    <row r="38" spans="2:4" x14ac:dyDescent="0.25">
      <c r="B38" s="9" t="s">
        <v>3</v>
      </c>
      <c r="C38" s="16">
        <v>2</v>
      </c>
      <c r="D38" s="18">
        <v>882</v>
      </c>
    </row>
    <row r="39" spans="2:4" x14ac:dyDescent="0.25">
      <c r="B39" s="1" t="s">
        <v>6</v>
      </c>
      <c r="C39" s="16">
        <v>64</v>
      </c>
      <c r="D39" s="18">
        <v>557</v>
      </c>
    </row>
    <row r="40" spans="2:4" x14ac:dyDescent="0.25">
      <c r="B40" s="3" t="s">
        <v>7</v>
      </c>
      <c r="C40" s="8">
        <f>SUM(C38:C39)</f>
        <v>66</v>
      </c>
      <c r="D40" s="4">
        <f>SUM(D38:D39)</f>
        <v>1439</v>
      </c>
    </row>
    <row r="42" spans="2:4" x14ac:dyDescent="0.25">
      <c r="B42" s="21" t="s">
        <v>8</v>
      </c>
      <c r="C42" s="21"/>
      <c r="D42" s="21"/>
    </row>
    <row r="43" spans="2:4" x14ac:dyDescent="0.25">
      <c r="B43" s="4" t="s">
        <v>0</v>
      </c>
      <c r="C43" s="4" t="s">
        <v>1</v>
      </c>
      <c r="D43" s="4" t="s">
        <v>2</v>
      </c>
    </row>
    <row r="44" spans="2:4" x14ac:dyDescent="0.25">
      <c r="B44" s="9" t="s">
        <v>3</v>
      </c>
      <c r="C44" s="16">
        <v>2</v>
      </c>
      <c r="D44" s="15">
        <v>0</v>
      </c>
    </row>
    <row r="45" spans="2:4" x14ac:dyDescent="0.25">
      <c r="B45" s="9" t="s">
        <v>6</v>
      </c>
      <c r="C45" s="16">
        <v>176</v>
      </c>
      <c r="D45" s="15">
        <v>0</v>
      </c>
    </row>
    <row r="46" spans="2:4" x14ac:dyDescent="0.25">
      <c r="B46" s="10" t="s">
        <v>7</v>
      </c>
      <c r="C46" s="8">
        <f>SUM(C44:C45)</f>
        <v>178</v>
      </c>
      <c r="D46" s="4">
        <f>SUM(D44:D45)</f>
        <v>0</v>
      </c>
    </row>
    <row r="48" spans="2:4" x14ac:dyDescent="0.25">
      <c r="B48" s="12" t="s">
        <v>11</v>
      </c>
      <c r="C48" s="13">
        <f>SUMIF(B:B, "Total general", C:C)</f>
        <v>46975</v>
      </c>
      <c r="D48" s="13">
        <f>SUMIF(B:B, "Total general", D:D)</f>
        <v>941317.38</v>
      </c>
    </row>
  </sheetData>
  <mergeCells count="7">
    <mergeCell ref="B42:D42"/>
    <mergeCell ref="B36:D36"/>
    <mergeCell ref="B20:D20"/>
    <mergeCell ref="B28:D28"/>
    <mergeCell ref="B1:D1"/>
    <mergeCell ref="B3:D3"/>
    <mergeCell ref="B12:D12"/>
  </mergeCells>
  <pageMargins left="0.7" right="0.7" top="0.75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tabSelected="1" zoomScaleNormal="100" workbookViewId="0">
      <selection activeCell="B1" sqref="B1:D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20" t="s">
        <v>16</v>
      </c>
      <c r="C1" s="20"/>
      <c r="D1" s="20"/>
    </row>
    <row r="2" spans="2:6" x14ac:dyDescent="0.25">
      <c r="B2" s="2" t="s">
        <v>0</v>
      </c>
      <c r="C2" s="2" t="s">
        <v>1</v>
      </c>
      <c r="D2" s="2" t="s">
        <v>2</v>
      </c>
    </row>
    <row r="3" spans="2:6" x14ac:dyDescent="0.25">
      <c r="B3" s="1" t="s">
        <v>3</v>
      </c>
      <c r="C3" s="6">
        <f>SUMIF(CDC!B:B, "Extrajudicial - 0 a 28 semanas de atraso", CDC!C:C)</f>
        <v>11063</v>
      </c>
      <c r="D3" s="14">
        <f>SUMIF(CDC!B:B, "Extrajudicial - 0 a 28 semanas de atraso", CDC!D:D)</f>
        <v>392800.29999999993</v>
      </c>
    </row>
    <row r="4" spans="2:6" x14ac:dyDescent="0.25">
      <c r="B4" s="1" t="s">
        <v>4</v>
      </c>
      <c r="C4" s="6">
        <f>SUMIF(CDC!B:B, "Extrajudicial - 29 a 39 semanas de atraso", CDC!C:C)</f>
        <v>8643</v>
      </c>
      <c r="D4" s="14">
        <f>SUMIF(CDC!B:B, "Extrajudicial - 29 a 39 semanas de atraso", CDC!D:D)</f>
        <v>356598.65</v>
      </c>
    </row>
    <row r="5" spans="2:6" x14ac:dyDescent="0.25">
      <c r="B5" s="1" t="s">
        <v>5</v>
      </c>
      <c r="C5" s="6">
        <f>SUMIF(CDC!B:B, "Extrajudicial - 40 a 55 semanas de atraso", CDC!C:C)</f>
        <v>12386</v>
      </c>
      <c r="D5" s="14">
        <f>SUMIF(CDC!B:B, "Extrajudicial - 40 a 55 semanas de atraso", CDC!D:D)</f>
        <v>116421.2</v>
      </c>
    </row>
    <row r="6" spans="2:6" x14ac:dyDescent="0.25">
      <c r="B6" s="5" t="s">
        <v>10</v>
      </c>
      <c r="C6" s="6">
        <f>SUMIF(CDC!B:B, "JUDICIAL", CDC!C:C)</f>
        <v>2737</v>
      </c>
      <c r="D6" s="14">
        <f>SUMIF(CDC!B:B, "JUDICIAL", CDC!D:D)</f>
        <v>25942</v>
      </c>
    </row>
    <row r="7" spans="2:6" x14ac:dyDescent="0.25">
      <c r="B7" s="1" t="s">
        <v>6</v>
      </c>
      <c r="C7" s="6">
        <f>SUMIF(CDC!B:B, "Mas 55 semanas de atraso", CDC!C:C)</f>
        <v>12146</v>
      </c>
      <c r="D7" s="6">
        <f>SUMIF(CDC!B:B, "Mas 55 semanas de atraso", CDC!D:D)</f>
        <v>49555.23</v>
      </c>
      <c r="E7" s="14"/>
      <c r="F7" s="7"/>
    </row>
    <row r="8" spans="2:6" x14ac:dyDescent="0.25">
      <c r="B8" s="3" t="s">
        <v>7</v>
      </c>
      <c r="C8" s="8">
        <f>SUM(C3:C7)</f>
        <v>46975</v>
      </c>
      <c r="D8" s="4">
        <f>SUM(D3:D7)</f>
        <v>941317.37999999989</v>
      </c>
      <c r="E8" s="11" t="s">
        <v>12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CDC</vt:lpstr>
      <vt:lpstr>COBRANZA CDC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2025-11-24T15:35:11Z</cp:lastPrinted>
  <dcterms:created xsi:type="dcterms:W3CDTF">2025-01-27T15:11:28Z</dcterms:created>
  <dcterms:modified xsi:type="dcterms:W3CDTF">2025-11-24T15:35:35Z</dcterms:modified>
</cp:coreProperties>
</file>