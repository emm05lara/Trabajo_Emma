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8\27 NOV\MAÑANA\"/>
    </mc:Choice>
  </mc:AlternateContent>
  <xr:revisionPtr revIDLastSave="0" documentId="13_ncr:1_{7271A130-C65A-491C-AB59-9F4678673784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5" l="1"/>
  <c r="D46" i="5"/>
  <c r="C46" i="5"/>
  <c r="D10" i="1"/>
  <c r="C40" i="5"/>
  <c r="D26" i="1"/>
  <c r="D34" i="5"/>
  <c r="C26" i="1"/>
  <c r="C34" i="1"/>
  <c r="D34" i="1"/>
  <c r="C34" i="5"/>
  <c r="D18" i="5"/>
  <c r="C18" i="5"/>
  <c r="C42" i="1"/>
  <c r="D42" i="1"/>
  <c r="C18" i="1"/>
  <c r="C26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C48" i="5" l="1"/>
  <c r="D8" i="6"/>
  <c r="C8" i="6"/>
  <c r="D48" i="5"/>
  <c r="D18" i="1"/>
  <c r="D50" i="1" l="1"/>
  <c r="C10" i="1"/>
  <c r="C50" i="1" l="1"/>
</calcChain>
</file>

<file path=xl/sharedStrings.xml><?xml version="1.0" encoding="utf-8"?>
<sst xmlns="http://schemas.openxmlformats.org/spreadsheetml/2006/main" count="113" uniqueCount="18">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</sst>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10" zoomScaleNormal="100" workbookViewId="0">
      <selection activeCell="A11" sqref="A11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0" t="s">
        <v>17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7271</v>
      </c>
      <c r="D5" s="17">
        <v>253372.22999999998</v>
      </c>
    </row>
    <row r="6" spans="2:8" x14ac:dyDescent="0.25">
      <c r="B6" s="1" t="s">
        <v>4</v>
      </c>
      <c r="C6" s="6">
        <v>8784</v>
      </c>
      <c r="D6" s="17">
        <v>178205.87999999998</v>
      </c>
    </row>
    <row r="7" spans="2:8" x14ac:dyDescent="0.25">
      <c r="B7" s="1" t="s">
        <v>5</v>
      </c>
      <c r="C7" s="6">
        <v>5657</v>
      </c>
      <c r="D7" s="17">
        <v>62073.359999999993</v>
      </c>
    </row>
    <row r="8" spans="2:8" x14ac:dyDescent="0.25">
      <c r="B8" s="5" t="s">
        <v>10</v>
      </c>
      <c r="C8" s="7">
        <v>455</v>
      </c>
      <c r="D8" s="18">
        <v>0</v>
      </c>
    </row>
    <row r="9" spans="2:8" x14ac:dyDescent="0.25">
      <c r="B9" s="1" t="s">
        <v>6</v>
      </c>
      <c r="C9" s="6">
        <v>36036</v>
      </c>
      <c r="D9" s="17">
        <v>182849.22999999998</v>
      </c>
      <c r="E9" s="14"/>
      <c r="F9" s="7"/>
    </row>
    <row r="10" spans="2:8" x14ac:dyDescent="0.25">
      <c r="B10" s="3" t="s">
        <v>7</v>
      </c>
      <c r="C10" s="8">
        <f>SUM(C5:C9)</f>
        <v>58203</v>
      </c>
      <c r="D10" s="4">
        <f>SUM(D5:D9)</f>
        <v>676500.7</v>
      </c>
      <c r="E10" s="11" t="s">
        <v>12</v>
      </c>
    </row>
    <row r="12" spans="2:8" x14ac:dyDescent="0.25">
      <c r="B12" s="21" t="s">
        <v>8</v>
      </c>
      <c r="C12" s="21"/>
      <c r="D12" s="2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9">
        <v>531</v>
      </c>
      <c r="D14" s="17">
        <v>16678.04</v>
      </c>
    </row>
    <row r="15" spans="2:8" x14ac:dyDescent="0.25">
      <c r="B15" s="9" t="s">
        <v>4</v>
      </c>
      <c r="C15" s="6">
        <v>878</v>
      </c>
      <c r="D15" s="17">
        <v>19673.09</v>
      </c>
    </row>
    <row r="16" spans="2:8" x14ac:dyDescent="0.25">
      <c r="B16" s="9" t="s">
        <v>5</v>
      </c>
      <c r="C16" s="6">
        <v>3857</v>
      </c>
      <c r="D16" s="17">
        <v>62501.36</v>
      </c>
    </row>
    <row r="17" spans="2:4" x14ac:dyDescent="0.25">
      <c r="B17" s="9" t="s">
        <v>6</v>
      </c>
      <c r="C17" s="6">
        <v>4941</v>
      </c>
      <c r="D17" s="17">
        <v>31123.050000000003</v>
      </c>
    </row>
    <row r="18" spans="2:4" x14ac:dyDescent="0.25">
      <c r="B18" s="10" t="s">
        <v>7</v>
      </c>
      <c r="C18" s="8">
        <f>SUM(C14:C17)</f>
        <v>10207</v>
      </c>
      <c r="D18" s="4">
        <f>SUM(D14:D17)</f>
        <v>129975.54000000001</v>
      </c>
    </row>
    <row r="20" spans="2:4" x14ac:dyDescent="0.25">
      <c r="B20" s="20" t="s">
        <v>14</v>
      </c>
      <c r="C20" s="20"/>
      <c r="D20" s="2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>
        <v>483</v>
      </c>
      <c r="D22" s="17">
        <v>30819.39</v>
      </c>
    </row>
    <row r="23" spans="2:4" x14ac:dyDescent="0.25">
      <c r="B23" s="1" t="s">
        <v>4</v>
      </c>
      <c r="C23" s="6">
        <v>82</v>
      </c>
      <c r="D23" s="17">
        <v>13748</v>
      </c>
    </row>
    <row r="24" spans="2:4" x14ac:dyDescent="0.25">
      <c r="B24" s="1" t="s">
        <v>5</v>
      </c>
      <c r="C24" s="6">
        <v>2221</v>
      </c>
      <c r="D24" s="17">
        <v>58809</v>
      </c>
    </row>
    <row r="25" spans="2:4" x14ac:dyDescent="0.25">
      <c r="B25" s="1" t="s">
        <v>6</v>
      </c>
      <c r="C25" s="7">
        <v>14211</v>
      </c>
      <c r="D25" s="17">
        <v>24268.370000000003</v>
      </c>
    </row>
    <row r="26" spans="2:4" x14ac:dyDescent="0.25">
      <c r="B26" s="3" t="s">
        <v>7</v>
      </c>
      <c r="C26" s="8">
        <f>SUM(C22:C25)</f>
        <v>16997</v>
      </c>
      <c r="D26" s="4">
        <f>SUM(D22:D25)</f>
        <v>127644.76000000001</v>
      </c>
    </row>
    <row r="28" spans="2:4" x14ac:dyDescent="0.25">
      <c r="B28" s="21" t="s">
        <v>9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3789</v>
      </c>
      <c r="D30" s="17">
        <v>27225.97</v>
      </c>
    </row>
    <row r="31" spans="2:4" x14ac:dyDescent="0.25">
      <c r="B31" s="1" t="s">
        <v>4</v>
      </c>
      <c r="C31" s="6">
        <v>596</v>
      </c>
      <c r="D31" s="17">
        <v>8529</v>
      </c>
    </row>
    <row r="32" spans="2:4" x14ac:dyDescent="0.25">
      <c r="B32" s="1" t="s">
        <v>5</v>
      </c>
      <c r="C32" s="6">
        <v>3532</v>
      </c>
      <c r="D32" s="17">
        <v>4884.9699999999993</v>
      </c>
    </row>
    <row r="33" spans="2:4" x14ac:dyDescent="0.25">
      <c r="B33" s="1" t="s">
        <v>6</v>
      </c>
      <c r="C33" s="6">
        <v>1056</v>
      </c>
      <c r="D33" s="17">
        <v>973</v>
      </c>
    </row>
    <row r="34" spans="2:4" x14ac:dyDescent="0.25">
      <c r="B34" s="10" t="s">
        <v>7</v>
      </c>
      <c r="C34" s="8">
        <f>SUM(C30:C33)</f>
        <v>8973</v>
      </c>
      <c r="D34" s="4">
        <f>SUM(D30:D33)</f>
        <v>41612.94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7">
        <v>625</v>
      </c>
    </row>
    <row r="39" spans="2:4" x14ac:dyDescent="0.25">
      <c r="B39" s="1" t="s">
        <v>4</v>
      </c>
      <c r="C39" s="6">
        <v>8</v>
      </c>
      <c r="D39" s="18">
        <v>0</v>
      </c>
    </row>
    <row r="40" spans="2:4" x14ac:dyDescent="0.25">
      <c r="B40" s="1" t="s">
        <v>5</v>
      </c>
      <c r="C40" s="6">
        <v>6</v>
      </c>
      <c r="D40" s="18">
        <v>0</v>
      </c>
    </row>
    <row r="41" spans="2:4" x14ac:dyDescent="0.25">
      <c r="B41" s="1" t="s">
        <v>6</v>
      </c>
      <c r="C41" s="6">
        <v>687</v>
      </c>
      <c r="D41" s="17">
        <v>1191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1816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95094</v>
      </c>
      <c r="D50" s="13">
        <f>SUMIF(B:B, "Total general", D:D)</f>
        <v>977549.94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8"/>
  <sheetViews>
    <sheetView showGridLines="0" tabSelected="1" zoomScaleNormal="100" workbookViewId="0">
      <selection activeCell="E7" sqref="E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0" t="s">
        <v>16</v>
      </c>
      <c r="C1" s="20"/>
      <c r="D1" s="20"/>
    </row>
    <row r="3" spans="2:8" x14ac:dyDescent="0.25">
      <c r="B3" s="20" t="s">
        <v>15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6">
        <v>6031</v>
      </c>
      <c r="D5" s="17">
        <v>93009.54</v>
      </c>
      <c r="E5" s="11"/>
    </row>
    <row r="6" spans="2:8" x14ac:dyDescent="0.25">
      <c r="B6" s="1" t="s">
        <v>4</v>
      </c>
      <c r="C6" s="16">
        <v>6908</v>
      </c>
      <c r="D6" s="17">
        <v>41387.269999999997</v>
      </c>
    </row>
    <row r="7" spans="2:8" x14ac:dyDescent="0.25">
      <c r="B7" s="1" t="s">
        <v>5</v>
      </c>
      <c r="C7" s="16">
        <v>8036</v>
      </c>
      <c r="D7" s="17">
        <v>15125.32</v>
      </c>
    </row>
    <row r="8" spans="2:8" x14ac:dyDescent="0.25">
      <c r="B8" s="5" t="s">
        <v>10</v>
      </c>
      <c r="C8" s="16">
        <v>2737</v>
      </c>
      <c r="D8" s="17">
        <v>400</v>
      </c>
    </row>
    <row r="9" spans="2:8" x14ac:dyDescent="0.25">
      <c r="B9" s="1" t="s">
        <v>6</v>
      </c>
      <c r="C9" s="16">
        <v>11267</v>
      </c>
      <c r="D9" s="17">
        <v>600</v>
      </c>
      <c r="E9" s="14"/>
      <c r="F9" s="7"/>
    </row>
    <row r="10" spans="2:8" x14ac:dyDescent="0.25">
      <c r="B10" s="3" t="s">
        <v>7</v>
      </c>
      <c r="C10" s="8">
        <f>SUM(C5:C9)</f>
        <v>34979</v>
      </c>
      <c r="D10" s="4">
        <f>SUM(D5:D9)</f>
        <v>150522.13</v>
      </c>
      <c r="E10" s="11" t="s">
        <v>12</v>
      </c>
    </row>
    <row r="12" spans="2:8" x14ac:dyDescent="0.25">
      <c r="B12" s="20" t="s">
        <v>17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 s="19">
        <v>1267</v>
      </c>
      <c r="D14" s="17">
        <v>30320.61</v>
      </c>
    </row>
    <row r="15" spans="2:8" x14ac:dyDescent="0.25">
      <c r="B15" s="1" t="s">
        <v>4</v>
      </c>
      <c r="C15" s="19">
        <v>1029</v>
      </c>
      <c r="D15" s="17">
        <v>17593.71</v>
      </c>
    </row>
    <row r="16" spans="2:8" x14ac:dyDescent="0.25">
      <c r="B16" s="1" t="s">
        <v>5</v>
      </c>
      <c r="C16" s="19">
        <v>1079</v>
      </c>
      <c r="D16" s="17">
        <v>5762</v>
      </c>
    </row>
    <row r="17" spans="2:4" x14ac:dyDescent="0.25">
      <c r="B17" s="1" t="s">
        <v>6</v>
      </c>
      <c r="C17" s="19">
        <v>304</v>
      </c>
      <c r="D17" s="17">
        <v>3532</v>
      </c>
    </row>
    <row r="18" spans="2:4" x14ac:dyDescent="0.25">
      <c r="B18" s="3" t="s">
        <v>7</v>
      </c>
      <c r="C18" s="8">
        <f>SUM(C14:C17)</f>
        <v>3679</v>
      </c>
      <c r="D18" s="4">
        <f>SUM(D14:D17)</f>
        <v>57208.32</v>
      </c>
    </row>
    <row r="20" spans="2:4" x14ac:dyDescent="0.25">
      <c r="B20" s="21" t="s">
        <v>9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19">
        <v>3774</v>
      </c>
      <c r="D22" s="17">
        <v>27047.65</v>
      </c>
    </row>
    <row r="23" spans="2:4" x14ac:dyDescent="0.25">
      <c r="B23" s="1" t="s">
        <v>4</v>
      </c>
      <c r="C23" s="19">
        <v>532</v>
      </c>
      <c r="D23" s="17">
        <v>5758</v>
      </c>
    </row>
    <row r="24" spans="2:4" x14ac:dyDescent="0.25">
      <c r="B24" s="1" t="s">
        <v>5</v>
      </c>
      <c r="C24" s="19">
        <v>3475</v>
      </c>
      <c r="D24" s="17">
        <v>4884.9699999999993</v>
      </c>
    </row>
    <row r="25" spans="2:4" x14ac:dyDescent="0.25">
      <c r="B25" s="9" t="s">
        <v>6</v>
      </c>
      <c r="C25" s="19">
        <v>30</v>
      </c>
      <c r="D25" s="17">
        <v>973</v>
      </c>
    </row>
    <row r="26" spans="2:4" x14ac:dyDescent="0.25">
      <c r="B26" s="10" t="s">
        <v>7</v>
      </c>
      <c r="C26" s="8">
        <f>SUM(C22:C25)</f>
        <v>7811</v>
      </c>
      <c r="D26" s="4">
        <f>SUM(D22:D25)</f>
        <v>38663.620000000003</v>
      </c>
    </row>
    <row r="28" spans="2:4" x14ac:dyDescent="0.25">
      <c r="B28" s="20" t="s">
        <v>14</v>
      </c>
      <c r="C28" s="20"/>
      <c r="D28" s="2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 s="19">
        <v>2</v>
      </c>
      <c r="D30" s="15">
        <v>0</v>
      </c>
    </row>
    <row r="31" spans="2:4" x14ac:dyDescent="0.25">
      <c r="B31" s="1" t="s">
        <v>4</v>
      </c>
      <c r="C31" s="11">
        <v>0</v>
      </c>
      <c r="D31" s="15">
        <v>0</v>
      </c>
    </row>
    <row r="32" spans="2:4" x14ac:dyDescent="0.25">
      <c r="B32" s="1" t="s">
        <v>5</v>
      </c>
      <c r="C32" s="19">
        <v>1</v>
      </c>
      <c r="D32" s="15">
        <v>0</v>
      </c>
    </row>
    <row r="33" spans="2:4" x14ac:dyDescent="0.25">
      <c r="B33" s="1" t="s">
        <v>6</v>
      </c>
      <c r="C33" s="19">
        <v>330</v>
      </c>
      <c r="D33" s="15">
        <v>0</v>
      </c>
    </row>
    <row r="34" spans="2:4" x14ac:dyDescent="0.25">
      <c r="B34" s="3" t="s">
        <v>7</v>
      </c>
      <c r="C34" s="8">
        <f>SUM(C30:C33)</f>
        <v>333</v>
      </c>
      <c r="D34" s="4">
        <f>SUM(D30:D33)</f>
        <v>0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19">
        <v>2</v>
      </c>
      <c r="D38" s="18">
        <v>0</v>
      </c>
    </row>
    <row r="39" spans="2:4" x14ac:dyDescent="0.25">
      <c r="B39" s="1" t="s">
        <v>6</v>
      </c>
      <c r="C39" s="19">
        <v>64</v>
      </c>
      <c r="D39" s="18">
        <v>0</v>
      </c>
    </row>
    <row r="40" spans="2:4" x14ac:dyDescent="0.25">
      <c r="B40" s="3" t="s">
        <v>7</v>
      </c>
      <c r="C40" s="8">
        <f>SUM(C38:C39)</f>
        <v>66</v>
      </c>
      <c r="D40" s="4">
        <f>SUM(D38:D39)</f>
        <v>0</v>
      </c>
    </row>
    <row r="42" spans="2:4" x14ac:dyDescent="0.25">
      <c r="B42" s="21" t="s">
        <v>8</v>
      </c>
      <c r="C42" s="21"/>
      <c r="D42" s="21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 s="19">
        <v>2</v>
      </c>
      <c r="D44" s="15">
        <v>0</v>
      </c>
    </row>
    <row r="45" spans="2:4" x14ac:dyDescent="0.25">
      <c r="B45" s="9" t="s">
        <v>6</v>
      </c>
      <c r="C45" s="19">
        <v>176</v>
      </c>
      <c r="D45" s="15">
        <v>0</v>
      </c>
    </row>
    <row r="46" spans="2:4" x14ac:dyDescent="0.25">
      <c r="B46" s="10" t="s">
        <v>7</v>
      </c>
      <c r="C46" s="8">
        <f>SUM(C44:C45)</f>
        <v>178</v>
      </c>
      <c r="D46" s="4">
        <f>SUM(D44:D45)</f>
        <v>0</v>
      </c>
    </row>
    <row r="48" spans="2:4" x14ac:dyDescent="0.25">
      <c r="B48" s="12" t="s">
        <v>11</v>
      </c>
      <c r="C48" s="13">
        <f>SUMIF(B:B, "Total general", C:C)</f>
        <v>47046</v>
      </c>
      <c r="D48" s="13">
        <f>SUMIF(B:B, "Total general", D:D)</f>
        <v>246394.07</v>
      </c>
    </row>
  </sheetData>
  <mergeCells count="7">
    <mergeCell ref="B42:D42"/>
    <mergeCell ref="B36:D36"/>
    <mergeCell ref="B20:D20"/>
    <mergeCell ref="B28:D28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0" t="s">
        <v>16</v>
      </c>
      <c r="C1" s="20"/>
      <c r="D1" s="2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11078</v>
      </c>
      <c r="D3" s="14">
        <f>SUMIF(CDC!B:B, "Extrajudicial - 0 a 28 semanas de atraso", CDC!D:D)</f>
        <v>150377.79999999999</v>
      </c>
    </row>
    <row r="4" spans="2:6" x14ac:dyDescent="0.25">
      <c r="B4" s="1" t="s">
        <v>4</v>
      </c>
      <c r="C4" s="6">
        <f>SUMIF(CDC!B:B, "Extrajudicial - 29 a 39 semanas de atraso", CDC!C:C)</f>
        <v>8469</v>
      </c>
      <c r="D4" s="14">
        <f>SUMIF(CDC!B:B, "Extrajudicial - 29 a 39 semanas de atraso", CDC!D:D)</f>
        <v>64738.979999999996</v>
      </c>
    </row>
    <row r="5" spans="2:6" x14ac:dyDescent="0.25">
      <c r="B5" s="1" t="s">
        <v>5</v>
      </c>
      <c r="C5" s="6">
        <f>SUMIF(CDC!B:B, "Extrajudicial - 40 a 55 semanas de atraso", CDC!C:C)</f>
        <v>12591</v>
      </c>
      <c r="D5" s="14">
        <f>SUMIF(CDC!B:B, "Extrajudicial - 40 a 55 semanas de atraso", CDC!D:D)</f>
        <v>25772.29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400</v>
      </c>
    </row>
    <row r="7" spans="2:6" x14ac:dyDescent="0.25">
      <c r="B7" s="1" t="s">
        <v>6</v>
      </c>
      <c r="C7" s="6">
        <f>SUMIF(CDC!B:B, "Mas 55 semanas de atraso", CDC!C:C)</f>
        <v>12171</v>
      </c>
      <c r="D7" s="6">
        <f>SUMIF(CDC!B:B, "Mas 55 semanas de atraso", CDC!D:D)</f>
        <v>5105</v>
      </c>
      <c r="E7" s="14"/>
      <c r="F7" s="7"/>
    </row>
    <row r="8" spans="2:6" x14ac:dyDescent="0.25">
      <c r="B8" s="3" t="s">
        <v>7</v>
      </c>
      <c r="C8" s="8">
        <f>SUM(C3:C7)</f>
        <v>47046</v>
      </c>
      <c r="D8" s="4">
        <f>SUM(D3:D7)</f>
        <v>246394.06999999998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2025-11-26T15:13:08Z</cp:lastPrinted>
  <dcterms:created xsi:type="dcterms:W3CDTF">2025-01-27T15:11:28Z</dcterms:created>
  <dcterms:modified xsi:type="dcterms:W3CDTF">2025-11-27T15:07:25Z</dcterms:modified>
</cp:coreProperties>
</file>