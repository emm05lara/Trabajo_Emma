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5 NOV\TARDE1\"/>
    </mc:Choice>
  </mc:AlternateContent>
  <xr:revisionPtr revIDLastSave="0" documentId="8_{719CD8C6-E28A-41BE-AF9E-8D2B6DF3FDE0}" xr6:coauthVersionLast="47" xr6:coauthVersionMax="47" xr10:uidLastSave="{00000000-0000-0000-0000-000000000000}"/>
  <bookViews>
    <workbookView xWindow="-120" yWindow="-120" windowWidth="51840" windowHeight="21120" xr2:uid="{6BF7E78F-9CB2-4E24-B451-947C6FDC6A3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8" i="2" s="1"/>
  <c r="B2" i="1"/>
  <c r="D9" i="1" s="1"/>
</calcChain>
</file>

<file path=xl/sharedStrings.xml><?xml version="1.0" encoding="utf-8"?>
<sst xmlns="http://schemas.openxmlformats.org/spreadsheetml/2006/main" count="90" uniqueCount="20">
  <si>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</si>
  <si>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</si>
  <si>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</si>
  <si>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</si>
  <si>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</si>
  <si>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</si>
  <si>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</si>
  <si>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</si>
  <si>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</si>
  <si>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</si>
  <si>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</si>
  <si>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</si>
  <si>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</si>
  <si>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</si>
  <si>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REESTRUCTURA</t>
  </si>
  <si>
    <t>TOR</t>
  </si>
  <si>
    <t>CREDIMAX</t>
  </si>
  <si>
    <t>Judicial</t>
  </si>
  <si>
    <t>CDC 100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</si>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</sst>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95BD-2485-4DB7-9D84-B6CD70D9B826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25/11/2025  13:34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7156.37</v>
      </c>
    </row>
    <row r="6" spans="2:4" x14ac:dyDescent="0.25">
      <c r="B6" s="2" t="s">
        <v>2</v>
      </c>
      <c r="C6" s="3">
        <v>9883.7099999999991</v>
      </c>
    </row>
    <row r="7" spans="2:4" x14ac:dyDescent="0.25">
      <c r="B7" s="2" t="s">
        <v>3</v>
      </c>
      <c r="C7" s="3">
        <v>6222.3</v>
      </c>
    </row>
    <row r="8" spans="2:4" ht="15.75" thickBot="1" x14ac:dyDescent="0.3">
      <c r="B8" s="2" t="s">
        <v>4</v>
      </c>
      <c r="C8" s="3">
        <v>9259.24</v>
      </c>
      <c r="D8" s="1" t="s">
        <v>11</v>
      </c>
    </row>
    <row r="9" spans="2:4" ht="15.75" thickTop="1" x14ac:dyDescent="0.25">
      <c r="B9" s="4" t="s">
        <v>5</v>
      </c>
      <c r="C9" s="5">
        <v>32521.619999999995</v>
      </c>
      <c r="D9" s="5">
        <f ca="1">SUMIF(B:B, "Total general", C:C)</f>
        <v>52068.329999999994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5924</v>
      </c>
    </row>
    <row r="14" spans="2:4" x14ac:dyDescent="0.25">
      <c r="B14" s="2" t="s">
        <v>2</v>
      </c>
      <c r="C14" s="3">
        <v>529</v>
      </c>
    </row>
    <row r="15" spans="2:4" ht="15.75" thickBot="1" x14ac:dyDescent="0.3">
      <c r="B15" s="2" t="s">
        <v>3</v>
      </c>
      <c r="C15" s="3">
        <v>787</v>
      </c>
    </row>
    <row r="16" spans="2:4" ht="15.75" thickTop="1" x14ac:dyDescent="0.25">
      <c r="B16" s="4" t="s">
        <v>5</v>
      </c>
      <c r="C16" s="5">
        <v>7240</v>
      </c>
    </row>
    <row r="18" spans="2:3" x14ac:dyDescent="0.25">
      <c r="B18" s="6" t="s">
        <v>8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30</v>
      </c>
    </row>
    <row r="21" spans="2:3" x14ac:dyDescent="0.25">
      <c r="B21" s="2" t="s">
        <v>3</v>
      </c>
      <c r="C21" s="3">
        <v>3024.71</v>
      </c>
    </row>
    <row r="22" spans="2:3" ht="15.75" thickBot="1" x14ac:dyDescent="0.3">
      <c r="B22" s="2" t="s">
        <v>4</v>
      </c>
      <c r="C22" s="3">
        <v>3078</v>
      </c>
    </row>
    <row r="23" spans="2:3" ht="15.75" thickTop="1" x14ac:dyDescent="0.25">
      <c r="B23" s="4" t="s">
        <v>5</v>
      </c>
      <c r="C23" s="5">
        <v>6132.71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1191</v>
      </c>
    </row>
    <row r="28" spans="2:3" x14ac:dyDescent="0.25">
      <c r="B28" s="2" t="s">
        <v>2</v>
      </c>
      <c r="C28" s="3">
        <v>1886</v>
      </c>
    </row>
    <row r="29" spans="2:3" x14ac:dyDescent="0.25">
      <c r="B29" s="2" t="s">
        <v>3</v>
      </c>
      <c r="C29" s="3">
        <v>2514</v>
      </c>
    </row>
    <row r="30" spans="2:3" ht="15.75" thickBot="1" x14ac:dyDescent="0.3">
      <c r="B30" s="2" t="s">
        <v>4</v>
      </c>
      <c r="C30" s="3">
        <v>399</v>
      </c>
    </row>
    <row r="31" spans="2:3" ht="15.75" thickTop="1" x14ac:dyDescent="0.25">
      <c r="B31" s="4" t="s">
        <v>5</v>
      </c>
      <c r="C31" s="5">
        <v>5990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4</v>
      </c>
      <c r="C35" s="3">
        <v>184</v>
      </c>
    </row>
    <row r="36" spans="2:3" ht="15.75" thickTop="1" x14ac:dyDescent="0.25">
      <c r="B36" s="4" t="s">
        <v>5</v>
      </c>
      <c r="C36" s="5">
        <v>184</v>
      </c>
    </row>
  </sheetData>
  <mergeCells count="6">
    <mergeCell ref="B3:C3"/>
    <mergeCell ref="B25:C25"/>
    <mergeCell ref="B18:C18"/>
    <mergeCell ref="B33:C33"/>
    <mergeCell ref="B11:C11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174F-7350-4F0F-B933-F80B82C66A4A}">
  <dimension ref="B2:D31"/>
  <sheetViews>
    <sheetView workbookViewId="0">
      <selection activeCell="B2" sqref="B2:D3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25/11/2025  13:34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1421</v>
      </c>
    </row>
    <row r="6" spans="2:4" x14ac:dyDescent="0.25">
      <c r="B6" s="2" t="s">
        <v>14</v>
      </c>
      <c r="C6" s="3">
        <v>1700</v>
      </c>
    </row>
    <row r="7" spans="2:4" ht="15.75" thickBot="1" x14ac:dyDescent="0.3">
      <c r="B7" s="2" t="s">
        <v>15</v>
      </c>
      <c r="C7" s="3">
        <v>29400.62</v>
      </c>
      <c r="D7" s="1" t="s">
        <v>11</v>
      </c>
    </row>
    <row r="8" spans="2:4" ht="15.75" thickTop="1" x14ac:dyDescent="0.25">
      <c r="B8" s="4" t="s">
        <v>5</v>
      </c>
      <c r="C8" s="5">
        <v>32521.62</v>
      </c>
      <c r="D8" s="5">
        <f ca="1">SUMIF(B:B, "Total general", C:C)</f>
        <v>52068.329999999994</v>
      </c>
    </row>
    <row r="10" spans="2:4" x14ac:dyDescent="0.25">
      <c r="B10" s="6" t="s">
        <v>10</v>
      </c>
      <c r="C10" s="6"/>
    </row>
    <row r="11" spans="2:4" x14ac:dyDescent="0.25">
      <c r="B11" s="1" t="s">
        <v>19</v>
      </c>
      <c r="C11" s="1" t="s">
        <v>0</v>
      </c>
    </row>
    <row r="12" spans="2:4" x14ac:dyDescent="0.25">
      <c r="B12" s="2" t="s">
        <v>13</v>
      </c>
      <c r="C12" s="3">
        <v>2324</v>
      </c>
    </row>
    <row r="13" spans="2:4" x14ac:dyDescent="0.25">
      <c r="B13" s="2" t="s">
        <v>16</v>
      </c>
      <c r="C13" s="3">
        <v>178</v>
      </c>
    </row>
    <row r="14" spans="2:4" ht="15.75" thickBot="1" x14ac:dyDescent="0.3">
      <c r="B14" s="2" t="s">
        <v>15</v>
      </c>
      <c r="C14" s="3">
        <v>4738</v>
      </c>
    </row>
    <row r="15" spans="2:4" ht="15.75" thickTop="1" x14ac:dyDescent="0.25">
      <c r="B15" s="4" t="s">
        <v>5</v>
      </c>
      <c r="C15" s="5">
        <v>7240</v>
      </c>
    </row>
    <row r="17" spans="2:3" x14ac:dyDescent="0.25">
      <c r="B17" s="6" t="s">
        <v>8</v>
      </c>
      <c r="C17" s="6"/>
    </row>
    <row r="18" spans="2:3" x14ac:dyDescent="0.25">
      <c r="B18" s="1" t="s">
        <v>19</v>
      </c>
      <c r="C18" s="1" t="s">
        <v>0</v>
      </c>
    </row>
    <row r="19" spans="2:3" ht="15.75" thickBot="1" x14ac:dyDescent="0.3">
      <c r="B19" s="2" t="s">
        <v>15</v>
      </c>
      <c r="C19" s="3">
        <v>6132.71</v>
      </c>
    </row>
    <row r="20" spans="2:3" ht="15.75" thickTop="1" x14ac:dyDescent="0.25">
      <c r="B20" s="4" t="s">
        <v>5</v>
      </c>
      <c r="C20" s="5">
        <v>6132.71</v>
      </c>
    </row>
    <row r="22" spans="2:3" x14ac:dyDescent="0.25">
      <c r="B22" s="6" t="s">
        <v>7</v>
      </c>
      <c r="C22" s="6"/>
    </row>
    <row r="23" spans="2:3" x14ac:dyDescent="0.25">
      <c r="B23" s="1" t="s">
        <v>19</v>
      </c>
      <c r="C23" s="1" t="s">
        <v>0</v>
      </c>
    </row>
    <row r="24" spans="2:3" x14ac:dyDescent="0.25">
      <c r="B24" s="2" t="s">
        <v>14</v>
      </c>
      <c r="C24" s="3">
        <v>2913</v>
      </c>
    </row>
    <row r="25" spans="2:3" ht="15.75" thickBot="1" x14ac:dyDescent="0.3">
      <c r="B25" s="2" t="s">
        <v>15</v>
      </c>
      <c r="C25" s="3">
        <v>3077</v>
      </c>
    </row>
    <row r="26" spans="2:3" ht="15.75" thickTop="1" x14ac:dyDescent="0.25">
      <c r="B26" s="4" t="s">
        <v>5</v>
      </c>
      <c r="C26" s="5">
        <v>5990</v>
      </c>
    </row>
    <row r="28" spans="2:3" x14ac:dyDescent="0.25">
      <c r="B28" s="6" t="s">
        <v>9</v>
      </c>
      <c r="C28" s="6"/>
    </row>
    <row r="29" spans="2:3" x14ac:dyDescent="0.25">
      <c r="B29" s="1" t="s">
        <v>19</v>
      </c>
      <c r="C29" s="1" t="s">
        <v>0</v>
      </c>
    </row>
    <row r="30" spans="2:3" ht="15.75" thickBot="1" x14ac:dyDescent="0.3">
      <c r="B30" s="2" t="s">
        <v>15</v>
      </c>
      <c r="C30" s="3">
        <v>184</v>
      </c>
    </row>
    <row r="31" spans="2:3" ht="15.75" thickTop="1" x14ac:dyDescent="0.25">
      <c r="B31" s="4" t="s">
        <v>5</v>
      </c>
      <c r="C31" s="5">
        <v>184</v>
      </c>
    </row>
  </sheetData>
  <mergeCells count="6">
    <mergeCell ref="B2:C2"/>
    <mergeCell ref="B3:C3"/>
    <mergeCell ref="B10:C10"/>
    <mergeCell ref="B17:C17"/>
    <mergeCell ref="B22:C22"/>
    <mergeCell ref="B28:C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83D5-4DB8-4BB9-8FA5-E4741CF43F25}">
  <dimension ref="B2:D23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25/11/2025  13:34 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16390.14</v>
      </c>
    </row>
    <row r="6" spans="2:4" x14ac:dyDescent="0.25">
      <c r="B6" s="2" t="s">
        <v>2</v>
      </c>
      <c r="C6" s="3">
        <v>654</v>
      </c>
    </row>
    <row r="7" spans="2:4" x14ac:dyDescent="0.25">
      <c r="B7" s="2" t="s">
        <v>3</v>
      </c>
      <c r="C7" s="3">
        <v>2194</v>
      </c>
    </row>
    <row r="8" spans="2:4" ht="15.75" thickBot="1" x14ac:dyDescent="0.3">
      <c r="B8" s="2" t="s">
        <v>17</v>
      </c>
      <c r="C8" s="3">
        <v>400</v>
      </c>
      <c r="D8" s="1" t="s">
        <v>11</v>
      </c>
    </row>
    <row r="9" spans="2:4" ht="15.75" thickTop="1" x14ac:dyDescent="0.25">
      <c r="B9" s="4" t="s">
        <v>5</v>
      </c>
      <c r="C9" s="5">
        <v>19638.14</v>
      </c>
      <c r="D9" s="5">
        <f ca="1">SUMIF(B:B, "Total general", C:C)</f>
        <v>30559.22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5746</v>
      </c>
    </row>
    <row r="14" spans="2:4" ht="15.75" thickBot="1" x14ac:dyDescent="0.3">
      <c r="B14" s="2" t="s">
        <v>3</v>
      </c>
      <c r="C14" s="3">
        <v>787</v>
      </c>
    </row>
    <row r="15" spans="2:4" ht="15.75" thickTop="1" x14ac:dyDescent="0.25">
      <c r="B15" s="4" t="s">
        <v>5</v>
      </c>
      <c r="C15" s="5">
        <v>6533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868.37</v>
      </c>
    </row>
    <row r="20" spans="2:3" x14ac:dyDescent="0.25">
      <c r="B20" s="2" t="s">
        <v>2</v>
      </c>
      <c r="C20" s="3">
        <v>2645.71</v>
      </c>
    </row>
    <row r="21" spans="2:3" x14ac:dyDescent="0.25">
      <c r="B21" s="2" t="s">
        <v>3</v>
      </c>
      <c r="C21" s="3">
        <v>221</v>
      </c>
    </row>
    <row r="22" spans="2:3" ht="15.75" thickBot="1" x14ac:dyDescent="0.3">
      <c r="B22" s="2" t="s">
        <v>4</v>
      </c>
      <c r="C22" s="3">
        <v>653</v>
      </c>
    </row>
    <row r="23" spans="2:3" ht="15.75" thickTop="1" x14ac:dyDescent="0.25">
      <c r="B23" s="4" t="s">
        <v>5</v>
      </c>
      <c r="C23" s="5">
        <v>4388.08</v>
      </c>
    </row>
  </sheetData>
  <mergeCells count="4">
    <mergeCell ref="B2:C2"/>
    <mergeCell ref="B3:C3"/>
    <mergeCell ref="B11:C11"/>
    <mergeCell ref="B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2025-11-25T19:35:17Z</cp:lastPrinted>
  <dcterms:created xsi:type="dcterms:W3CDTF">2025-11-25T19:29:33Z</dcterms:created>
  <dcterms:modified xsi:type="dcterms:W3CDTF">2025-11-25T19:35:58Z</dcterms:modified>
</cp:coreProperties>
</file>