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5 NOV\NOCHE\"/>
    </mc:Choice>
  </mc:AlternateContent>
  <xr:revisionPtr revIDLastSave="0" documentId="13_ncr:1_{D49A7F32-1352-4F43-8E59-DF25B97057A0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5" l="1"/>
  <c r="C46" i="5"/>
  <c r="D10" i="1"/>
  <c r="C40" i="5"/>
  <c r="D18" i="1"/>
  <c r="D34" i="5"/>
  <c r="C18" i="1"/>
  <c r="C34" i="1"/>
  <c r="D34" i="1"/>
  <c r="C34" i="5"/>
  <c r="D18" i="5"/>
  <c r="C18" i="5"/>
  <c r="C42" i="1"/>
  <c r="D42" i="1"/>
  <c r="C26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26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<sst xmlns="http://schemas.openxmlformats.org/spreadsheetml/2006/main" count="113" uniqueCount="18">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</sst>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19" t="s">
        <v>17</v>
      </c>
      <c r="C3" s="19"/>
      <c r="D3" s="1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7282</v>
      </c>
      <c r="D5" s="17">
        <v>157173.02999999997</v>
      </c>
    </row>
    <row r="6" spans="2:8" x14ac:dyDescent="0.25">
      <c r="B6" s="1" t="s">
        <v>4</v>
      </c>
      <c r="C6" s="6">
        <v>8864</v>
      </c>
      <c r="D6" s="17">
        <v>119538.45</v>
      </c>
    </row>
    <row r="7" spans="2:8" x14ac:dyDescent="0.25">
      <c r="B7" s="1" t="s">
        <v>5</v>
      </c>
      <c r="C7" s="6">
        <v>5656</v>
      </c>
      <c r="D7" s="17">
        <v>40680.78</v>
      </c>
    </row>
    <row r="8" spans="2:8" x14ac:dyDescent="0.25">
      <c r="B8" s="5" t="s">
        <v>10</v>
      </c>
      <c r="C8" s="7">
        <v>500</v>
      </c>
      <c r="D8" s="18">
        <v>0</v>
      </c>
    </row>
    <row r="9" spans="2:8" x14ac:dyDescent="0.25">
      <c r="B9" s="1" t="s">
        <v>6</v>
      </c>
      <c r="C9" s="6">
        <v>36051</v>
      </c>
      <c r="D9" s="17">
        <v>131986.45000000001</v>
      </c>
      <c r="E9" s="14"/>
      <c r="F9" s="7"/>
    </row>
    <row r="10" spans="2:8" x14ac:dyDescent="0.25">
      <c r="B10" s="3" t="s">
        <v>7</v>
      </c>
      <c r="C10" s="8">
        <f>SUM(C5:C9)</f>
        <v>58353</v>
      </c>
      <c r="D10" s="4">
        <f>SUM(D5:D9)</f>
        <v>449378.71</v>
      </c>
      <c r="E10" s="11" t="s">
        <v>12</v>
      </c>
    </row>
    <row r="12" spans="2:8" x14ac:dyDescent="0.25">
      <c r="B12" s="19" t="s">
        <v>14</v>
      </c>
      <c r="C12" s="19"/>
      <c r="D12" s="1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483</v>
      </c>
      <c r="D14" s="17">
        <v>27026</v>
      </c>
    </row>
    <row r="15" spans="2:8" x14ac:dyDescent="0.25">
      <c r="B15" s="1" t="s">
        <v>4</v>
      </c>
      <c r="C15" s="6">
        <v>85</v>
      </c>
      <c r="D15" s="17">
        <v>10038</v>
      </c>
    </row>
    <row r="16" spans="2:8" x14ac:dyDescent="0.25">
      <c r="B16" s="1" t="s">
        <v>5</v>
      </c>
      <c r="C16" s="6">
        <v>2237</v>
      </c>
      <c r="D16" s="17">
        <v>55102</v>
      </c>
    </row>
    <row r="17" spans="2:4" x14ac:dyDescent="0.25">
      <c r="B17" s="1" t="s">
        <v>6</v>
      </c>
      <c r="C17" s="7">
        <v>14218</v>
      </c>
      <c r="D17" s="17">
        <v>16005</v>
      </c>
    </row>
    <row r="18" spans="2:4" x14ac:dyDescent="0.25">
      <c r="B18" s="3" t="s">
        <v>7</v>
      </c>
      <c r="C18" s="8">
        <f>SUM(C14:C17)</f>
        <v>17023</v>
      </c>
      <c r="D18" s="4">
        <f>SUM(D14:D17)</f>
        <v>108171</v>
      </c>
    </row>
    <row r="20" spans="2:4" x14ac:dyDescent="0.25">
      <c r="B20" s="20" t="s">
        <v>8</v>
      </c>
      <c r="C20" s="20"/>
      <c r="D20" s="2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9">
        <v>532</v>
      </c>
      <c r="D22" s="17">
        <v>10375.740000000002</v>
      </c>
    </row>
    <row r="23" spans="2:4" x14ac:dyDescent="0.25">
      <c r="B23" s="9" t="s">
        <v>4</v>
      </c>
      <c r="C23" s="6">
        <v>893</v>
      </c>
      <c r="D23" s="17">
        <v>9342</v>
      </c>
    </row>
    <row r="24" spans="2:4" x14ac:dyDescent="0.25">
      <c r="B24" s="9" t="s">
        <v>5</v>
      </c>
      <c r="C24" s="6">
        <v>3860</v>
      </c>
      <c r="D24" s="17">
        <v>60019.42</v>
      </c>
    </row>
    <row r="25" spans="2:4" x14ac:dyDescent="0.25">
      <c r="B25" s="9" t="s">
        <v>6</v>
      </c>
      <c r="C25" s="6">
        <v>4934</v>
      </c>
      <c r="D25" s="17">
        <v>22565.040000000001</v>
      </c>
    </row>
    <row r="26" spans="2:4" x14ac:dyDescent="0.25">
      <c r="B26" s="10" t="s">
        <v>7</v>
      </c>
      <c r="C26" s="8">
        <f>SUM(C22:C25)</f>
        <v>10219</v>
      </c>
      <c r="D26" s="4">
        <f>SUM(D22:D25)</f>
        <v>102302.20000000001</v>
      </c>
    </row>
    <row r="28" spans="2:4" x14ac:dyDescent="0.25">
      <c r="B28" s="20" t="s">
        <v>9</v>
      </c>
      <c r="C28" s="20"/>
      <c r="D28" s="2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3820</v>
      </c>
      <c r="D30" s="17">
        <v>15937</v>
      </c>
    </row>
    <row r="31" spans="2:4" x14ac:dyDescent="0.25">
      <c r="B31" s="1" t="s">
        <v>4</v>
      </c>
      <c r="C31" s="6">
        <v>604</v>
      </c>
      <c r="D31" s="17">
        <v>4966</v>
      </c>
    </row>
    <row r="32" spans="2:4" x14ac:dyDescent="0.25">
      <c r="B32" s="1" t="s">
        <v>5</v>
      </c>
      <c r="C32" s="6">
        <v>3533</v>
      </c>
      <c r="D32" s="17">
        <v>2819</v>
      </c>
    </row>
    <row r="33" spans="2:4" x14ac:dyDescent="0.25">
      <c r="B33" s="1" t="s">
        <v>6</v>
      </c>
      <c r="C33" s="6">
        <v>1056</v>
      </c>
      <c r="D33" s="17">
        <v>973</v>
      </c>
    </row>
    <row r="34" spans="2:4" x14ac:dyDescent="0.25">
      <c r="B34" s="10" t="s">
        <v>7</v>
      </c>
      <c r="C34" s="8">
        <f>SUM(C30:C33)</f>
        <v>9013</v>
      </c>
      <c r="D34" s="4">
        <f>SUM(D30:D33)</f>
        <v>24695</v>
      </c>
    </row>
    <row r="36" spans="2:4" x14ac:dyDescent="0.25">
      <c r="B36" s="19" t="s">
        <v>13</v>
      </c>
      <c r="C36" s="19"/>
      <c r="D36" s="1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0</v>
      </c>
    </row>
    <row r="39" spans="2:4" x14ac:dyDescent="0.25">
      <c r="B39" s="1" t="s">
        <v>4</v>
      </c>
      <c r="C39" s="6">
        <v>8</v>
      </c>
      <c r="D39" s="18">
        <v>0</v>
      </c>
    </row>
    <row r="40" spans="2:4" x14ac:dyDescent="0.25">
      <c r="B40" s="1" t="s">
        <v>5</v>
      </c>
      <c r="C40" s="6">
        <v>6</v>
      </c>
      <c r="D40" s="18">
        <v>0</v>
      </c>
    </row>
    <row r="41" spans="2:4" x14ac:dyDescent="0.25">
      <c r="B41" s="1" t="s">
        <v>6</v>
      </c>
      <c r="C41" s="6">
        <v>687</v>
      </c>
      <c r="D41" s="17">
        <v>884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884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95322</v>
      </c>
      <c r="D50" s="13">
        <f>SUMIF(B:B, "Total general", D:D)</f>
        <v>685430.90999999992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zoomScaleNormal="100" workbookViewId="0">
      <selection activeCell="B44" sqref="B4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19" t="s">
        <v>16</v>
      </c>
      <c r="C1" s="19"/>
      <c r="D1" s="19"/>
    </row>
    <row r="3" spans="2:8" x14ac:dyDescent="0.25">
      <c r="B3" s="19" t="s">
        <v>15</v>
      </c>
      <c r="C3" s="19"/>
      <c r="D3" s="1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5948</v>
      </c>
      <c r="D5" s="17">
        <v>36070.239999999998</v>
      </c>
      <c r="E5" s="11"/>
    </row>
    <row r="6" spans="2:8" x14ac:dyDescent="0.25">
      <c r="B6" s="1" t="s">
        <v>4</v>
      </c>
      <c r="C6" s="16">
        <v>6942</v>
      </c>
      <c r="D6" s="17">
        <v>31533.74</v>
      </c>
    </row>
    <row r="7" spans="2:8" x14ac:dyDescent="0.25">
      <c r="B7" s="1" t="s">
        <v>5</v>
      </c>
      <c r="C7" s="16">
        <v>7999</v>
      </c>
      <c r="D7" s="17">
        <v>11315</v>
      </c>
    </row>
    <row r="8" spans="2:8" x14ac:dyDescent="0.25">
      <c r="B8" s="5" t="s">
        <v>10</v>
      </c>
      <c r="C8" s="16">
        <v>2737</v>
      </c>
      <c r="D8" s="17">
        <v>800</v>
      </c>
    </row>
    <row r="9" spans="2:8" x14ac:dyDescent="0.25">
      <c r="B9" s="1" t="s">
        <v>6</v>
      </c>
      <c r="C9" s="16">
        <v>11267</v>
      </c>
      <c r="D9" s="17">
        <v>600</v>
      </c>
      <c r="E9" s="14"/>
      <c r="F9" s="7"/>
    </row>
    <row r="10" spans="2:8" x14ac:dyDescent="0.25">
      <c r="B10" s="3" t="s">
        <v>7</v>
      </c>
      <c r="C10" s="8">
        <f>SUM(C5:C9)</f>
        <v>34893</v>
      </c>
      <c r="D10" s="4">
        <f>SUM(D5:D9)</f>
        <v>80318.98</v>
      </c>
      <c r="E10" s="11" t="s">
        <v>12</v>
      </c>
    </row>
    <row r="12" spans="2:8" x14ac:dyDescent="0.25">
      <c r="B12" s="19" t="s">
        <v>17</v>
      </c>
      <c r="C12" s="19"/>
      <c r="D12" s="1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21">
        <v>1267</v>
      </c>
      <c r="D14" s="17">
        <v>21615.73</v>
      </c>
    </row>
    <row r="15" spans="2:8" x14ac:dyDescent="0.25">
      <c r="B15" s="1" t="s">
        <v>4</v>
      </c>
      <c r="C15" s="21">
        <v>1032</v>
      </c>
      <c r="D15" s="17">
        <v>10239.42</v>
      </c>
    </row>
    <row r="16" spans="2:8" x14ac:dyDescent="0.25">
      <c r="B16" s="1" t="s">
        <v>5</v>
      </c>
      <c r="C16" s="21">
        <v>1079</v>
      </c>
      <c r="D16" s="17">
        <v>221</v>
      </c>
    </row>
    <row r="17" spans="2:4" x14ac:dyDescent="0.25">
      <c r="B17" s="1" t="s">
        <v>6</v>
      </c>
      <c r="C17" s="21">
        <v>304</v>
      </c>
      <c r="D17" s="17">
        <v>3532</v>
      </c>
    </row>
    <row r="18" spans="2:4" x14ac:dyDescent="0.25">
      <c r="B18" s="3" t="s">
        <v>7</v>
      </c>
      <c r="C18" s="8">
        <f>SUM(C14:C17)</f>
        <v>3682</v>
      </c>
      <c r="D18" s="4">
        <f>SUM(D14:D17)</f>
        <v>35608.15</v>
      </c>
    </row>
    <row r="20" spans="2:4" x14ac:dyDescent="0.25">
      <c r="B20" s="20" t="s">
        <v>9</v>
      </c>
      <c r="C20" s="20"/>
      <c r="D20" s="2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21">
        <v>4025</v>
      </c>
      <c r="D22" s="17">
        <v>15759</v>
      </c>
    </row>
    <row r="23" spans="2:4" x14ac:dyDescent="0.25">
      <c r="B23" s="1" t="s">
        <v>4</v>
      </c>
      <c r="C23" s="21">
        <v>532</v>
      </c>
      <c r="D23" s="17">
        <v>3542</v>
      </c>
    </row>
    <row r="24" spans="2:4" x14ac:dyDescent="0.25">
      <c r="B24" s="1" t="s">
        <v>5</v>
      </c>
      <c r="C24" s="21">
        <v>3476</v>
      </c>
      <c r="D24" s="17">
        <v>2819</v>
      </c>
    </row>
    <row r="25" spans="2:4" x14ac:dyDescent="0.25">
      <c r="B25" s="9" t="s">
        <v>6</v>
      </c>
      <c r="C25" s="21">
        <v>30</v>
      </c>
      <c r="D25" s="17">
        <v>973</v>
      </c>
    </row>
    <row r="26" spans="2:4" x14ac:dyDescent="0.25">
      <c r="B26" s="10" t="s">
        <v>7</v>
      </c>
      <c r="C26" s="8">
        <f>SUM(C22:C25)</f>
        <v>8063</v>
      </c>
      <c r="D26" s="4">
        <f>SUM(D22:D25)</f>
        <v>23093</v>
      </c>
    </row>
    <row r="28" spans="2:4" x14ac:dyDescent="0.25">
      <c r="B28" s="19" t="s">
        <v>14</v>
      </c>
      <c r="C28" s="19"/>
      <c r="D28" s="19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21">
        <v>2</v>
      </c>
      <c r="D30" s="15">
        <v>0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21">
        <v>1</v>
      </c>
      <c r="D32" s="15">
        <v>0</v>
      </c>
    </row>
    <row r="33" spans="2:4" x14ac:dyDescent="0.25">
      <c r="B33" s="1" t="s">
        <v>6</v>
      </c>
      <c r="C33" s="21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0</v>
      </c>
    </row>
    <row r="36" spans="2:4" x14ac:dyDescent="0.25">
      <c r="B36" s="19" t="s">
        <v>13</v>
      </c>
      <c r="C36" s="19"/>
      <c r="D36" s="1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21">
        <v>2</v>
      </c>
      <c r="D38" s="18">
        <v>0</v>
      </c>
    </row>
    <row r="39" spans="2:4" x14ac:dyDescent="0.25">
      <c r="B39" s="1" t="s">
        <v>6</v>
      </c>
      <c r="C39" s="21">
        <v>64</v>
      </c>
      <c r="D39" s="18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0" t="s">
        <v>8</v>
      </c>
      <c r="C42" s="20"/>
      <c r="D42" s="20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21">
        <v>2</v>
      </c>
      <c r="D44" s="15">
        <v>0</v>
      </c>
    </row>
    <row r="45" spans="2:4" x14ac:dyDescent="0.25">
      <c r="B45" s="9" t="s">
        <v>6</v>
      </c>
      <c r="C45" s="21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47215</v>
      </c>
      <c r="D48" s="13">
        <f>SUMIF(B:B, "Total general", D:D)</f>
        <v>139020.13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L18" sqref="L1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19" t="s">
        <v>16</v>
      </c>
      <c r="C1" s="19"/>
      <c r="D1" s="1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11246</v>
      </c>
      <c r="D3" s="14">
        <f>SUMIF(CDC!B:B, "Extrajudicial - 0 a 28 semanas de atraso", CDC!D:D)</f>
        <v>73444.97</v>
      </c>
    </row>
    <row r="4" spans="2:6" x14ac:dyDescent="0.25">
      <c r="B4" s="1" t="s">
        <v>4</v>
      </c>
      <c r="C4" s="6">
        <f>SUMIF(CDC!B:B, "Extrajudicial - 29 a 39 semanas de atraso", CDC!C:C)</f>
        <v>8506</v>
      </c>
      <c r="D4" s="14">
        <f>SUMIF(CDC!B:B, "Extrajudicial - 29 a 39 semanas de atraso", CDC!D:D)</f>
        <v>45315.16</v>
      </c>
    </row>
    <row r="5" spans="2:6" x14ac:dyDescent="0.25">
      <c r="B5" s="1" t="s">
        <v>5</v>
      </c>
      <c r="C5" s="6">
        <f>SUMIF(CDC!B:B, "Extrajudicial - 40 a 55 semanas de atraso", CDC!C:C)</f>
        <v>12555</v>
      </c>
      <c r="D5" s="14">
        <f>SUMIF(CDC!B:B, "Extrajudicial - 40 a 55 semanas de atraso", CDC!D:D)</f>
        <v>14355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800</v>
      </c>
    </row>
    <row r="7" spans="2:6" x14ac:dyDescent="0.25">
      <c r="B7" s="1" t="s">
        <v>6</v>
      </c>
      <c r="C7" s="6">
        <f>SUMIF(CDC!B:B, "Mas 55 semanas de atraso", CDC!C:C)</f>
        <v>12171</v>
      </c>
      <c r="D7" s="6">
        <f>SUMIF(CDC!B:B, "Mas 55 semanas de atraso", CDC!D:D)</f>
        <v>5105</v>
      </c>
      <c r="E7" s="14"/>
      <c r="F7" s="7"/>
    </row>
    <row r="8" spans="2:6" x14ac:dyDescent="0.25">
      <c r="B8" s="3" t="s">
        <v>7</v>
      </c>
      <c r="C8" s="8">
        <f>SUM(C3:C7)</f>
        <v>47215</v>
      </c>
      <c r="D8" s="4">
        <f>SUM(D3:D7)</f>
        <v>139020.13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2025-11-26T02:16:44Z</cp:lastPrinted>
  <dcterms:created xsi:type="dcterms:W3CDTF">2025-01-27T15:11:28Z</dcterms:created>
  <dcterms:modified xsi:type="dcterms:W3CDTF">2025-11-26T02:20:04Z</dcterms:modified>
</cp:coreProperties>
</file>