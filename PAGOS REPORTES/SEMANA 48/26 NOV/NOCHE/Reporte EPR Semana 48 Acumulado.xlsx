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6 NOV\NOCHE\"/>
    </mc:Choice>
  </mc:AlternateContent>
  <xr:revisionPtr revIDLastSave="0" documentId="13_ncr:1_{49ADC624-DF13-4726-8023-F357EF89E741}" xr6:coauthVersionLast="47" xr6:coauthVersionMax="47" xr10:uidLastSave="{00000000-0000-0000-0000-000000000000}"/>
  <bookViews>
    <workbookView xWindow="-105" yWindow="0" windowWidth="26010" windowHeight="2098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5" l="1"/>
  <c r="C46" i="5"/>
  <c r="D10" i="1"/>
  <c r="C40" i="5"/>
  <c r="D18" i="1"/>
  <c r="D34" i="5"/>
  <c r="C18" i="1"/>
  <c r="C34" i="1"/>
  <c r="D34" i="1"/>
  <c r="C34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<sst xmlns="http://schemas.openxmlformats.org/spreadsheetml/2006/main" count="113" uniqueCount="18">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</sst>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7271</v>
      </c>
      <c r="D5" s="17">
        <v>246353.55999999997</v>
      </c>
    </row>
    <row r="6" spans="2:8" x14ac:dyDescent="0.25">
      <c r="B6" s="1" t="s">
        <v>4</v>
      </c>
      <c r="C6" s="6">
        <v>8784</v>
      </c>
      <c r="D6" s="17">
        <v>176146.73</v>
      </c>
    </row>
    <row r="7" spans="2:8" x14ac:dyDescent="0.25">
      <c r="B7" s="1" t="s">
        <v>5</v>
      </c>
      <c r="C7" s="6">
        <v>5657</v>
      </c>
      <c r="D7" s="17">
        <v>57506.359999999993</v>
      </c>
    </row>
    <row r="8" spans="2:8" x14ac:dyDescent="0.25">
      <c r="B8" s="5" t="s">
        <v>10</v>
      </c>
      <c r="C8" s="7">
        <v>455</v>
      </c>
      <c r="D8" s="18">
        <v>0</v>
      </c>
    </row>
    <row r="9" spans="2:8" x14ac:dyDescent="0.25">
      <c r="B9" s="1" t="s">
        <v>6</v>
      </c>
      <c r="C9" s="6">
        <v>36036</v>
      </c>
      <c r="D9" s="17">
        <v>173198.33000000007</v>
      </c>
      <c r="E9" s="14"/>
      <c r="F9" s="7"/>
    </row>
    <row r="10" spans="2:8" x14ac:dyDescent="0.25">
      <c r="B10" s="3" t="s">
        <v>7</v>
      </c>
      <c r="C10" s="8">
        <f>SUM(C5:C9)</f>
        <v>58203</v>
      </c>
      <c r="D10" s="4">
        <f>SUM(D5:D9)</f>
        <v>653204.98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483</v>
      </c>
      <c r="D14" s="17">
        <v>30209.129999999997</v>
      </c>
    </row>
    <row r="15" spans="2:8" x14ac:dyDescent="0.25">
      <c r="B15" s="1" t="s">
        <v>4</v>
      </c>
      <c r="C15" s="6">
        <v>82</v>
      </c>
      <c r="D15" s="17">
        <v>11841</v>
      </c>
    </row>
    <row r="16" spans="2:8" x14ac:dyDescent="0.25">
      <c r="B16" s="1" t="s">
        <v>5</v>
      </c>
      <c r="C16" s="6">
        <v>2221</v>
      </c>
      <c r="D16" s="17">
        <v>59459</v>
      </c>
    </row>
    <row r="17" spans="2:4" x14ac:dyDescent="0.25">
      <c r="B17" s="1" t="s">
        <v>6</v>
      </c>
      <c r="C17" s="7">
        <v>14211</v>
      </c>
      <c r="D17" s="17">
        <v>22297.739999999998</v>
      </c>
    </row>
    <row r="18" spans="2:4" x14ac:dyDescent="0.25">
      <c r="B18" s="3" t="s">
        <v>7</v>
      </c>
      <c r="C18" s="8">
        <f>SUM(C14:C17)</f>
        <v>16997</v>
      </c>
      <c r="D18" s="4">
        <f>SUM(D14:D17)</f>
        <v>123806.87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531</v>
      </c>
      <c r="D22" s="17">
        <v>12571.110000000002</v>
      </c>
    </row>
    <row r="23" spans="2:4" x14ac:dyDescent="0.25">
      <c r="B23" s="9" t="s">
        <v>4</v>
      </c>
      <c r="C23" s="6">
        <v>878</v>
      </c>
      <c r="D23" s="17">
        <v>12254</v>
      </c>
    </row>
    <row r="24" spans="2:4" x14ac:dyDescent="0.25">
      <c r="B24" s="9" t="s">
        <v>5</v>
      </c>
      <c r="C24" s="6">
        <v>3857</v>
      </c>
      <c r="D24" s="17">
        <v>62142.01</v>
      </c>
    </row>
    <row r="25" spans="2:4" x14ac:dyDescent="0.25">
      <c r="B25" s="9" t="s">
        <v>6</v>
      </c>
      <c r="C25" s="6">
        <v>4941</v>
      </c>
      <c r="D25" s="17">
        <v>29920.04</v>
      </c>
    </row>
    <row r="26" spans="2:4" x14ac:dyDescent="0.25">
      <c r="B26" s="10" t="s">
        <v>7</v>
      </c>
      <c r="C26" s="8">
        <f>SUM(C22:C25)</f>
        <v>10207</v>
      </c>
      <c r="D26" s="4">
        <f>SUM(D22:D25)</f>
        <v>116887.16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3789</v>
      </c>
      <c r="D30" s="17">
        <v>24065.64</v>
      </c>
    </row>
    <row r="31" spans="2:4" x14ac:dyDescent="0.25">
      <c r="B31" s="1" t="s">
        <v>4</v>
      </c>
      <c r="C31" s="6">
        <v>596</v>
      </c>
      <c r="D31" s="17">
        <v>7848</v>
      </c>
    </row>
    <row r="32" spans="2:4" x14ac:dyDescent="0.25">
      <c r="B32" s="1" t="s">
        <v>5</v>
      </c>
      <c r="C32" s="6">
        <v>3532</v>
      </c>
      <c r="D32" s="17">
        <v>4885.9399999999996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8973</v>
      </c>
      <c r="D34" s="4">
        <f>SUM(D30:D33)</f>
        <v>37772.58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7">
        <v>625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8">
        <v>0</v>
      </c>
    </row>
    <row r="41" spans="2:4" x14ac:dyDescent="0.25">
      <c r="B41" s="1" t="s">
        <v>6</v>
      </c>
      <c r="C41" s="6">
        <v>687</v>
      </c>
      <c r="D41" s="17">
        <v>1191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1816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95094</v>
      </c>
      <c r="D50" s="13">
        <f>SUMIF(B:B, "Total general", D:D)</f>
        <v>933487.59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zoomScaleNormal="100" workbookViewId="0">
      <selection activeCell="C15" sqref="C1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6031</v>
      </c>
      <c r="D5" s="17">
        <v>86311.14</v>
      </c>
      <c r="E5" s="11"/>
    </row>
    <row r="6" spans="2:8" x14ac:dyDescent="0.25">
      <c r="B6" s="1" t="s">
        <v>4</v>
      </c>
      <c r="C6" s="16">
        <v>6908</v>
      </c>
      <c r="D6" s="17">
        <v>40701.800000000003</v>
      </c>
    </row>
    <row r="7" spans="2:8" x14ac:dyDescent="0.25">
      <c r="B7" s="1" t="s">
        <v>5</v>
      </c>
      <c r="C7" s="16">
        <v>8036</v>
      </c>
      <c r="D7" s="17">
        <v>14590.64</v>
      </c>
    </row>
    <row r="8" spans="2:8" x14ac:dyDescent="0.25">
      <c r="B8" s="5" t="s">
        <v>10</v>
      </c>
      <c r="C8" s="16">
        <v>2737</v>
      </c>
      <c r="D8" s="17">
        <v>400</v>
      </c>
    </row>
    <row r="9" spans="2:8" x14ac:dyDescent="0.25">
      <c r="B9" s="1" t="s">
        <v>6</v>
      </c>
      <c r="C9" s="16">
        <v>11267</v>
      </c>
      <c r="D9" s="17">
        <v>600</v>
      </c>
      <c r="E9" s="14"/>
      <c r="F9" s="7"/>
    </row>
    <row r="10" spans="2:8" x14ac:dyDescent="0.25">
      <c r="B10" s="3" t="s">
        <v>7</v>
      </c>
      <c r="C10" s="8">
        <f>SUM(C5:C9)</f>
        <v>34979</v>
      </c>
      <c r="D10" s="4">
        <f>SUM(D5:D9)</f>
        <v>142603.58000000002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9"/>
      <c r="D14" s="17">
        <v>30116.129999999997</v>
      </c>
    </row>
    <row r="15" spans="2:8" x14ac:dyDescent="0.25">
      <c r="B15" s="1" t="s">
        <v>4</v>
      </c>
      <c r="C15" s="19"/>
      <c r="D15" s="17">
        <v>17593.71</v>
      </c>
    </row>
    <row r="16" spans="2:8" x14ac:dyDescent="0.25">
      <c r="B16" s="1" t="s">
        <v>5</v>
      </c>
      <c r="C16" s="19"/>
      <c r="D16" s="17">
        <v>5762</v>
      </c>
    </row>
    <row r="17" spans="2:4" x14ac:dyDescent="0.25">
      <c r="B17" s="1" t="s">
        <v>6</v>
      </c>
      <c r="C17" s="19"/>
      <c r="D17" s="17">
        <v>3532</v>
      </c>
    </row>
    <row r="18" spans="2:4" x14ac:dyDescent="0.25">
      <c r="B18" s="3" t="s">
        <v>7</v>
      </c>
      <c r="C18" s="8">
        <f>SUM(C14:C17)</f>
        <v>0</v>
      </c>
      <c r="D18" s="4">
        <f>SUM(D14:D17)</f>
        <v>57003.839999999997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9"/>
      <c r="D22" s="17">
        <v>23887.64</v>
      </c>
    </row>
    <row r="23" spans="2:4" x14ac:dyDescent="0.25">
      <c r="B23" s="1" t="s">
        <v>4</v>
      </c>
      <c r="C23" s="19"/>
      <c r="D23" s="17">
        <v>5758</v>
      </c>
    </row>
    <row r="24" spans="2:4" x14ac:dyDescent="0.25">
      <c r="B24" s="1" t="s">
        <v>5</v>
      </c>
      <c r="C24" s="19"/>
      <c r="D24" s="17">
        <v>4885.9399999999996</v>
      </c>
    </row>
    <row r="25" spans="2:4" x14ac:dyDescent="0.25">
      <c r="B25" s="9" t="s">
        <v>6</v>
      </c>
      <c r="C25" s="19"/>
      <c r="D25" s="17">
        <v>973</v>
      </c>
    </row>
    <row r="26" spans="2:4" x14ac:dyDescent="0.25">
      <c r="B26" s="10" t="s">
        <v>7</v>
      </c>
      <c r="C26" s="8">
        <f>SUM(C22:C25)</f>
        <v>0</v>
      </c>
      <c r="D26" s="4">
        <f>SUM(D22:D25)</f>
        <v>35504.58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9">
        <v>2</v>
      </c>
      <c r="D30" s="15">
        <v>0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9">
        <v>1</v>
      </c>
      <c r="D32" s="15">
        <v>0</v>
      </c>
    </row>
    <row r="33" spans="2:4" x14ac:dyDescent="0.25">
      <c r="B33" s="1" t="s">
        <v>6</v>
      </c>
      <c r="C33" s="19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0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9">
        <v>2</v>
      </c>
      <c r="D38" s="18">
        <v>0</v>
      </c>
    </row>
    <row r="39" spans="2:4" x14ac:dyDescent="0.25">
      <c r="B39" s="1" t="s">
        <v>6</v>
      </c>
      <c r="C39" s="19">
        <v>64</v>
      </c>
      <c r="D39" s="18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9">
        <v>2</v>
      </c>
      <c r="D44" s="15">
        <v>0</v>
      </c>
    </row>
    <row r="45" spans="2:4" x14ac:dyDescent="0.25">
      <c r="B45" s="9" t="s">
        <v>6</v>
      </c>
      <c r="C45" s="19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35556</v>
      </c>
      <c r="D48" s="13">
        <f>SUMIF(B:B, "Total general", D:D)</f>
        <v>235112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6037</v>
      </c>
      <c r="D3" s="14">
        <f>SUMIF(CDC!B:B, "Extrajudicial - 0 a 28 semanas de atraso", CDC!D:D)</f>
        <v>140314.90999999997</v>
      </c>
    </row>
    <row r="4" spans="2:6" x14ac:dyDescent="0.25">
      <c r="B4" s="1" t="s">
        <v>4</v>
      </c>
      <c r="C4" s="6">
        <f>SUMIF(CDC!B:B, "Extrajudicial - 29 a 39 semanas de atraso", CDC!C:C)</f>
        <v>6908</v>
      </c>
      <c r="D4" s="14">
        <f>SUMIF(CDC!B:B, "Extrajudicial - 29 a 39 semanas de atraso", CDC!D:D)</f>
        <v>64053.51</v>
      </c>
    </row>
    <row r="5" spans="2:6" x14ac:dyDescent="0.25">
      <c r="B5" s="1" t="s">
        <v>5</v>
      </c>
      <c r="C5" s="6">
        <f>SUMIF(CDC!B:B, "Extrajudicial - 40 a 55 semanas de atraso", CDC!C:C)</f>
        <v>8037</v>
      </c>
      <c r="D5" s="14">
        <f>SUMIF(CDC!B:B, "Extrajudicial - 40 a 55 semanas de atraso", CDC!D:D)</f>
        <v>25238.579999999998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11837</v>
      </c>
      <c r="D7" s="6">
        <f>SUMIF(CDC!B:B, "Mas 55 semanas de atraso", CDC!D:D)</f>
        <v>5105</v>
      </c>
      <c r="E7" s="14"/>
      <c r="F7" s="7"/>
    </row>
    <row r="8" spans="2:6" x14ac:dyDescent="0.25">
      <c r="B8" s="3" t="s">
        <v>7</v>
      </c>
      <c r="C8" s="8">
        <f>SUM(C3:C7)</f>
        <v>35556</v>
      </c>
      <c r="D8" s="4">
        <f>SUM(D3:D7)</f>
        <v>235111.99999999997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2025-11-26T15:13:08Z</cp:lastPrinted>
  <dcterms:created xsi:type="dcterms:W3CDTF">2025-01-27T15:11:28Z</dcterms:created>
  <dcterms:modified xsi:type="dcterms:W3CDTF">2025-11-27T01:59:33Z</dcterms:modified>
</cp:coreProperties>
</file>