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8\26 NOV\TARDE1\"/>
    </mc:Choice>
  </mc:AlternateContent>
  <xr:revisionPtr revIDLastSave="0" documentId="8_{042C1E81-32D6-486D-9160-D4D705203CD0}" xr6:coauthVersionLast="47" xr6:coauthVersionMax="47" xr10:uidLastSave="{00000000-0000-0000-0000-000000000000}"/>
  <bookViews>
    <workbookView xWindow="-108" yWindow="-108" windowWidth="23256" windowHeight="12456" xr2:uid="{CD0DB6FF-9E37-4181-B7D5-9C91EEAA48F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<sst xmlns="http://schemas.openxmlformats.org/spreadsheetml/2006/main" count="90" uniqueCount="20">
  <si>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</si>
  <si>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</si>
  <si>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</si>
  <si>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</si>
  <si>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</si>
  <si>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</si>
  <si>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</si>
  <si>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</si>
  <si>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</si>
  <si>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</si>
  <si>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</si>
  <si>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</si>
  <si>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</si>
  <si>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CREDIMAX</t>
  </si>
  <si>
    <t>ITALIKA</t>
  </si>
  <si>
    <t>REESTRUCTURA</t>
  </si>
  <si>
    <t>TOR</t>
  </si>
  <si>
    <t>CONSUMO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</si>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</sst>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5107-918D-486C-8FAA-5882E7D37A3C}">
  <dimension ref="B2:D36"/>
  <sheetViews>
    <sheetView tabSelected="1" topLeftCell="A36" workbookViewId="0">
      <selection activeCell="B2" sqref="B2:D3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dd/mm/aaaa" ) &amp; TEXT(NOW(), " hh:mm ")</f>
        <v xml:space="preserve"> COBRANZA INTERNOS  26/11/2025 13:50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5282</v>
      </c>
    </row>
    <row r="6" spans="2:4" x14ac:dyDescent="0.3">
      <c r="B6" s="2" t="s">
        <v>2</v>
      </c>
      <c r="C6" s="3">
        <v>16296.72</v>
      </c>
    </row>
    <row r="7" spans="2:4" x14ac:dyDescent="0.3">
      <c r="B7" s="2" t="s">
        <v>3</v>
      </c>
      <c r="C7" s="3">
        <v>6753.01</v>
      </c>
    </row>
    <row r="8" spans="2:4" ht="15" thickBot="1" x14ac:dyDescent="0.35">
      <c r="B8" s="2" t="s">
        <v>4</v>
      </c>
      <c r="C8" s="3">
        <v>12141.1</v>
      </c>
      <c r="D8" s="1" t="s">
        <v>11</v>
      </c>
    </row>
    <row r="9" spans="2:4" ht="15" thickTop="1" x14ac:dyDescent="0.3">
      <c r="B9" s="4" t="s">
        <v>5</v>
      </c>
      <c r="C9" s="5">
        <v>40472.83</v>
      </c>
      <c r="D9" s="5">
        <f ca="1">SUMIF(B:B, "Total general", C:C)</f>
        <v>52140.25</v>
      </c>
    </row>
    <row r="11" spans="2:4" x14ac:dyDescent="0.3">
      <c r="B11" s="6" t="s">
        <v>7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1299.74</v>
      </c>
    </row>
    <row r="14" spans="2:4" x14ac:dyDescent="0.3">
      <c r="B14" s="2" t="s">
        <v>3</v>
      </c>
      <c r="C14" s="3">
        <v>650</v>
      </c>
    </row>
    <row r="15" spans="2:4" ht="15" thickBot="1" x14ac:dyDescent="0.35">
      <c r="B15" s="2" t="s">
        <v>4</v>
      </c>
      <c r="C15" s="3">
        <v>4148.37</v>
      </c>
    </row>
    <row r="16" spans="2:4" ht="15" thickTop="1" x14ac:dyDescent="0.3">
      <c r="B16" s="4" t="s">
        <v>5</v>
      </c>
      <c r="C16" s="5">
        <v>6098.11</v>
      </c>
    </row>
    <row r="18" spans="2:3" x14ac:dyDescent="0.3">
      <c r="B18" s="6" t="s">
        <v>8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1</v>
      </c>
      <c r="C20" s="3">
        <v>690.37</v>
      </c>
    </row>
    <row r="21" spans="2:3" x14ac:dyDescent="0.3">
      <c r="B21" s="2" t="s">
        <v>2</v>
      </c>
      <c r="C21" s="3">
        <v>1083</v>
      </c>
    </row>
    <row r="22" spans="2:3" x14ac:dyDescent="0.3">
      <c r="B22" s="2" t="s">
        <v>3</v>
      </c>
      <c r="C22" s="3">
        <v>147.65</v>
      </c>
    </row>
    <row r="23" spans="2:3" ht="15" thickBot="1" x14ac:dyDescent="0.35">
      <c r="B23" s="2" t="s">
        <v>4</v>
      </c>
      <c r="C23" s="3">
        <v>1300</v>
      </c>
    </row>
    <row r="24" spans="2:3" ht="15" thickTop="1" x14ac:dyDescent="0.3">
      <c r="B24" s="4" t="s">
        <v>5</v>
      </c>
      <c r="C24" s="5">
        <v>3221.02</v>
      </c>
    </row>
    <row r="26" spans="2:3" x14ac:dyDescent="0.3">
      <c r="B26" s="6" t="s">
        <v>10</v>
      </c>
      <c r="C26" s="6"/>
    </row>
    <row r="27" spans="2:3" x14ac:dyDescent="0.3">
      <c r="B27" s="1" t="s">
        <v>12</v>
      </c>
      <c r="C27" s="1" t="s">
        <v>0</v>
      </c>
    </row>
    <row r="28" spans="2:3" x14ac:dyDescent="0.3">
      <c r="B28" s="2" t="s">
        <v>1</v>
      </c>
      <c r="C28" s="3">
        <v>1056.32</v>
      </c>
    </row>
    <row r="29" spans="2:3" x14ac:dyDescent="0.3">
      <c r="B29" s="2" t="s">
        <v>2</v>
      </c>
      <c r="C29" s="3">
        <v>666</v>
      </c>
    </row>
    <row r="30" spans="2:3" ht="15" thickBot="1" x14ac:dyDescent="0.35">
      <c r="B30" s="2" t="s">
        <v>3</v>
      </c>
      <c r="C30" s="3">
        <v>0.97</v>
      </c>
    </row>
    <row r="31" spans="2:3" ht="15" thickTop="1" x14ac:dyDescent="0.3">
      <c r="B31" s="4" t="s">
        <v>5</v>
      </c>
      <c r="C31" s="5">
        <v>1723.29</v>
      </c>
    </row>
    <row r="33" spans="2:3" x14ac:dyDescent="0.3">
      <c r="B33" s="6" t="s">
        <v>9</v>
      </c>
      <c r="C33" s="6"/>
    </row>
    <row r="34" spans="2:3" x14ac:dyDescent="0.3">
      <c r="B34" s="1" t="s">
        <v>12</v>
      </c>
      <c r="C34" s="1" t="s">
        <v>0</v>
      </c>
    </row>
    <row r="35" spans="2:3" ht="15" thickBot="1" x14ac:dyDescent="0.35">
      <c r="B35" s="2" t="s">
        <v>1</v>
      </c>
      <c r="C35" s="3">
        <v>625</v>
      </c>
    </row>
    <row r="36" spans="2:3" ht="15" thickTop="1" x14ac:dyDescent="0.3">
      <c r="B36" s="4" t="s">
        <v>5</v>
      </c>
      <c r="C36" s="5">
        <v>625</v>
      </c>
    </row>
  </sheetData>
  <mergeCells count="6">
    <mergeCell ref="B3:C3"/>
    <mergeCell ref="B2:C2"/>
    <mergeCell ref="B11:C11"/>
    <mergeCell ref="B18:C18"/>
    <mergeCell ref="B33:C33"/>
    <mergeCell ref="B26:C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18FD-DD95-42BB-A23C-B9A8085CC8BF}">
  <dimension ref="B2:D33"/>
  <sheetViews>
    <sheetView topLeftCell="A33" workbookViewId="0">
      <selection activeCell="B2" sqref="B2:D33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dd/mm/aaaa" ) &amp; TEXT(NOW(), " hh:mm ")</f>
        <v xml:space="preserve"> COBRANZA INTERNOS  26/11/2025 13:50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18</v>
      </c>
      <c r="C4" s="1" t="s">
        <v>0</v>
      </c>
    </row>
    <row r="5" spans="2:4" x14ac:dyDescent="0.3">
      <c r="B5" s="2" t="s">
        <v>13</v>
      </c>
      <c r="C5" s="3">
        <v>10000</v>
      </c>
    </row>
    <row r="6" spans="2:4" x14ac:dyDescent="0.3">
      <c r="B6" s="2" t="s">
        <v>14</v>
      </c>
      <c r="C6" s="3">
        <v>550</v>
      </c>
    </row>
    <row r="7" spans="2:4" x14ac:dyDescent="0.3">
      <c r="B7" s="2" t="s">
        <v>15</v>
      </c>
      <c r="C7" s="3">
        <v>9616</v>
      </c>
    </row>
    <row r="8" spans="2:4" ht="15" thickBot="1" x14ac:dyDescent="0.35">
      <c r="B8" s="2" t="s">
        <v>16</v>
      </c>
      <c r="C8" s="3">
        <v>20306.830000000002</v>
      </c>
      <c r="D8" s="1" t="s">
        <v>11</v>
      </c>
    </row>
    <row r="9" spans="2:4" ht="15" thickTop="1" x14ac:dyDescent="0.3">
      <c r="B9" s="4" t="s">
        <v>5</v>
      </c>
      <c r="C9" s="5">
        <v>40472.83</v>
      </c>
      <c r="D9" s="5">
        <f ca="1">SUMIF(B:B, "Total general", C:C)</f>
        <v>52140.25</v>
      </c>
    </row>
    <row r="11" spans="2:4" x14ac:dyDescent="0.3">
      <c r="B11" s="6" t="s">
        <v>7</v>
      </c>
      <c r="C11" s="6"/>
    </row>
    <row r="12" spans="2:4" x14ac:dyDescent="0.3">
      <c r="B12" s="1" t="s">
        <v>18</v>
      </c>
      <c r="C12" s="1" t="s">
        <v>0</v>
      </c>
    </row>
    <row r="13" spans="2:4" x14ac:dyDescent="0.3">
      <c r="B13" s="2" t="s">
        <v>17</v>
      </c>
      <c r="C13" s="3">
        <v>3744</v>
      </c>
    </row>
    <row r="14" spans="2:4" x14ac:dyDescent="0.3">
      <c r="B14" s="2" t="s">
        <v>15</v>
      </c>
      <c r="C14" s="3">
        <v>950</v>
      </c>
    </row>
    <row r="15" spans="2:4" ht="15" thickBot="1" x14ac:dyDescent="0.35">
      <c r="B15" s="2" t="s">
        <v>16</v>
      </c>
      <c r="C15" s="3">
        <v>1404.1100000000001</v>
      </c>
    </row>
    <row r="16" spans="2:4" ht="15" thickTop="1" x14ac:dyDescent="0.3">
      <c r="B16" s="4" t="s">
        <v>5</v>
      </c>
      <c r="C16" s="5">
        <v>6098.1100000000006</v>
      </c>
    </row>
    <row r="18" spans="2:3" x14ac:dyDescent="0.3">
      <c r="B18" s="6" t="s">
        <v>8</v>
      </c>
      <c r="C18" s="6"/>
    </row>
    <row r="19" spans="2:3" x14ac:dyDescent="0.3">
      <c r="B19" s="1" t="s">
        <v>18</v>
      </c>
      <c r="C19" s="1" t="s">
        <v>0</v>
      </c>
    </row>
    <row r="20" spans="2:3" ht="15" thickBot="1" x14ac:dyDescent="0.35">
      <c r="B20" s="2" t="s">
        <v>16</v>
      </c>
      <c r="C20" s="3">
        <v>3221.02</v>
      </c>
    </row>
    <row r="21" spans="2:3" ht="15" thickTop="1" x14ac:dyDescent="0.3">
      <c r="B21" s="4" t="s">
        <v>5</v>
      </c>
      <c r="C21" s="5">
        <v>3221.02</v>
      </c>
    </row>
    <row r="23" spans="2:3" x14ac:dyDescent="0.3">
      <c r="B23" s="6" t="s">
        <v>10</v>
      </c>
      <c r="C23" s="6"/>
    </row>
    <row r="24" spans="2:3" x14ac:dyDescent="0.3">
      <c r="B24" s="1" t="s">
        <v>18</v>
      </c>
      <c r="C24" s="1" t="s">
        <v>0</v>
      </c>
    </row>
    <row r="25" spans="2:3" x14ac:dyDescent="0.3">
      <c r="B25" s="2" t="s">
        <v>17</v>
      </c>
      <c r="C25" s="3">
        <v>676</v>
      </c>
    </row>
    <row r="26" spans="2:3" x14ac:dyDescent="0.3">
      <c r="B26" s="2" t="s">
        <v>13</v>
      </c>
      <c r="C26" s="3">
        <v>1046</v>
      </c>
    </row>
    <row r="27" spans="2:3" ht="15" thickBot="1" x14ac:dyDescent="0.35">
      <c r="B27" s="2" t="s">
        <v>16</v>
      </c>
      <c r="C27" s="3">
        <v>1.29</v>
      </c>
    </row>
    <row r="28" spans="2:3" ht="15" thickTop="1" x14ac:dyDescent="0.3">
      <c r="B28" s="4" t="s">
        <v>5</v>
      </c>
      <c r="C28" s="5">
        <v>1723.29</v>
      </c>
    </row>
    <row r="30" spans="2:3" x14ac:dyDescent="0.3">
      <c r="B30" s="6" t="s">
        <v>9</v>
      </c>
      <c r="C30" s="6"/>
    </row>
    <row r="31" spans="2:3" x14ac:dyDescent="0.3">
      <c r="B31" s="1" t="s">
        <v>18</v>
      </c>
      <c r="C31" s="1" t="s">
        <v>0</v>
      </c>
    </row>
    <row r="32" spans="2:3" ht="15" thickBot="1" x14ac:dyDescent="0.35">
      <c r="B32" s="2" t="s">
        <v>16</v>
      </c>
      <c r="C32" s="3">
        <v>625</v>
      </c>
    </row>
    <row r="33" spans="2:3" ht="15" thickTop="1" x14ac:dyDescent="0.3">
      <c r="B33" s="4" t="s">
        <v>5</v>
      </c>
      <c r="C33" s="5">
        <v>625</v>
      </c>
    </row>
  </sheetData>
  <mergeCells count="6">
    <mergeCell ref="B2:C2"/>
    <mergeCell ref="B3:C3"/>
    <mergeCell ref="B11:C11"/>
    <mergeCell ref="B18:C18"/>
    <mergeCell ref="B23:C23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F5FF-9147-4918-8508-8DE0D060FC46}">
  <dimension ref="B2:D21"/>
  <sheetViews>
    <sheetView workbookViewId="0">
      <selection activeCell="B2" sqref="B2:D2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CDC" &amp; TEXT(TODAY(), " dd/mm/aaaa" ) &amp; TEXT(NOW(), " hh:mm ")</f>
        <v xml:space="preserve"> ETIQUETA PROYECTO CDC 26/11/2025 13:50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1659</v>
      </c>
    </row>
    <row r="6" spans="2:4" x14ac:dyDescent="0.3">
      <c r="B6" s="2" t="s">
        <v>2</v>
      </c>
      <c r="C6" s="3">
        <v>10000</v>
      </c>
    </row>
    <row r="7" spans="2:4" ht="15" thickBot="1" x14ac:dyDescent="0.35">
      <c r="B7" s="2" t="s">
        <v>3</v>
      </c>
      <c r="C7" s="3">
        <v>5241</v>
      </c>
      <c r="D7" s="1" t="s">
        <v>11</v>
      </c>
    </row>
    <row r="8" spans="2:4" ht="15" thickTop="1" x14ac:dyDescent="0.3">
      <c r="B8" s="4" t="s">
        <v>5</v>
      </c>
      <c r="C8" s="5">
        <v>16900</v>
      </c>
      <c r="D8" s="5">
        <f ca="1">SUMIF(B:B, "Total general", C:C)</f>
        <v>27339.74</v>
      </c>
    </row>
    <row r="10" spans="2:4" x14ac:dyDescent="0.3">
      <c r="B10" s="6" t="s">
        <v>19</v>
      </c>
      <c r="C10" s="6"/>
    </row>
    <row r="11" spans="2:4" x14ac:dyDescent="0.3">
      <c r="B11" s="1" t="s">
        <v>12</v>
      </c>
      <c r="C11" s="1" t="s">
        <v>0</v>
      </c>
    </row>
    <row r="12" spans="2:4" x14ac:dyDescent="0.3">
      <c r="B12" s="2" t="s">
        <v>1</v>
      </c>
      <c r="C12" s="3">
        <v>5792.6</v>
      </c>
    </row>
    <row r="13" spans="2:4" x14ac:dyDescent="0.3">
      <c r="B13" s="2" t="s">
        <v>2</v>
      </c>
      <c r="C13" s="3">
        <v>3325.5299999999997</v>
      </c>
    </row>
    <row r="14" spans="2:4" ht="15" thickBot="1" x14ac:dyDescent="0.35">
      <c r="B14" s="2" t="s">
        <v>3</v>
      </c>
      <c r="C14" s="3">
        <v>264.32</v>
      </c>
    </row>
    <row r="15" spans="2:4" ht="15" thickTop="1" x14ac:dyDescent="0.3">
      <c r="B15" s="4" t="s">
        <v>5</v>
      </c>
      <c r="C15" s="5">
        <v>9382.4500000000007</v>
      </c>
    </row>
    <row r="17" spans="2:3" x14ac:dyDescent="0.3">
      <c r="B17" s="6" t="s">
        <v>19</v>
      </c>
      <c r="C17" s="6"/>
    </row>
    <row r="18" spans="2:3" x14ac:dyDescent="0.3">
      <c r="B18" s="1" t="s">
        <v>12</v>
      </c>
      <c r="C18" s="1" t="s">
        <v>0</v>
      </c>
    </row>
    <row r="19" spans="2:3" x14ac:dyDescent="0.3">
      <c r="B19" s="2" t="s">
        <v>1</v>
      </c>
      <c r="C19" s="3">
        <v>1056.32</v>
      </c>
    </row>
    <row r="20" spans="2:3" ht="15" thickBot="1" x14ac:dyDescent="0.35">
      <c r="B20" s="2" t="s">
        <v>3</v>
      </c>
      <c r="C20" s="3">
        <v>0.97</v>
      </c>
    </row>
    <row r="21" spans="2:3" ht="15" thickTop="1" x14ac:dyDescent="0.3">
      <c r="B21" s="4" t="s">
        <v>5</v>
      </c>
      <c r="C21" s="5">
        <v>1057.29</v>
      </c>
    </row>
  </sheetData>
  <mergeCells count="4">
    <mergeCell ref="B2:C2"/>
    <mergeCell ref="B10:C10"/>
    <mergeCell ref="B17:C17"/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2025-11-26T19:52:18Z</cp:lastPrinted>
  <dcterms:created xsi:type="dcterms:W3CDTF">2025-11-26T19:42:57Z</dcterms:created>
  <dcterms:modified xsi:type="dcterms:W3CDTF">2025-11-26T19:53:13Z</dcterms:modified>
</cp:coreProperties>
</file>