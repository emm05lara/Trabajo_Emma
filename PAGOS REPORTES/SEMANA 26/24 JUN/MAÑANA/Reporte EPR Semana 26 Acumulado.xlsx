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4 JUN\MAÑANA\"/>
    </mc:Choice>
  </mc:AlternateContent>
  <xr:revisionPtr revIDLastSave="0" documentId="13_ncr:1_{CACC300E-FA4C-419F-9987-6CA8F81C7ADD}" xr6:coauthVersionLast="47" xr6:coauthVersionMax="47" xr10:uidLastSave="{00000000-0000-0000-0000-000000000000}"/>
  <bookViews>
    <workbookView xWindow="4455" yWindow="1350" windowWidth="19860" windowHeight="19530" xr2:uid="{4DC6C92A-CD8A-4966-829B-0B6A986E825B}"/>
  </bookViews>
  <sheets>
    <sheet name="REPORTE DIARIO" sheetId="1" r:id="rId1"/>
    <sheet name="DATA" sheetId="4" r:id="rId2"/>
    <sheet name="EPR 2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19" i="1" l="1"/>
  <c r="D19" i="1"/>
  <c r="D28" i="1"/>
  <c r="C28" i="1"/>
  <c r="D6" i="3"/>
  <c r="D44" i="1"/>
  <c r="C44" i="1"/>
  <c r="D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<sst xmlns="http://schemas.openxmlformats.org/spreadsheetml/2006/main" count="89" uniqueCount="37">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</sst>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22" zoomScaleNormal="100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3212</v>
      </c>
      <c r="D5" s="25">
        <v>256160.05</v>
      </c>
    </row>
    <row r="6" spans="2:8" x14ac:dyDescent="0.25">
      <c r="B6" s="1" t="s">
        <v>5</v>
      </c>
      <c r="C6" s="6">
        <v>3812</v>
      </c>
      <c r="D6" s="25">
        <v>111457.73999999999</v>
      </c>
    </row>
    <row r="7" spans="2:8" x14ac:dyDescent="0.25">
      <c r="B7" s="1" t="s">
        <v>6</v>
      </c>
      <c r="C7" s="6">
        <v>6151</v>
      </c>
      <c r="D7" s="25">
        <v>68492.05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14919</v>
      </c>
      <c r="D9" s="25">
        <v>90160.320000000007</v>
      </c>
      <c r="E9" s="14"/>
      <c r="F9" s="7"/>
    </row>
    <row r="10" spans="2:8" x14ac:dyDescent="0.25">
      <c r="B10" s="3" t="s">
        <v>8</v>
      </c>
      <c r="C10" s="8">
        <f>SUM(C5:C9)</f>
        <v>28105</v>
      </c>
      <c r="D10" s="4">
        <f>SUM(D5:D9)</f>
        <v>526270.15999999992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2569</v>
      </c>
      <c r="D14" s="25">
        <v>31056.6</v>
      </c>
    </row>
    <row r="15" spans="2:8" x14ac:dyDescent="0.25">
      <c r="B15" s="1" t="s">
        <v>5</v>
      </c>
      <c r="C15" s="6">
        <v>1592</v>
      </c>
      <c r="D15" s="25">
        <v>53698.82</v>
      </c>
    </row>
    <row r="16" spans="2:8" x14ac:dyDescent="0.25">
      <c r="B16" s="1" t="s">
        <v>6</v>
      </c>
      <c r="C16" s="6">
        <v>2161</v>
      </c>
      <c r="D16" s="25">
        <v>22326</v>
      </c>
    </row>
    <row r="17" spans="2:4" x14ac:dyDescent="0.25">
      <c r="B17" s="5" t="s">
        <v>12</v>
      </c>
      <c r="C17" s="7">
        <v>0</v>
      </c>
      <c r="D17" s="26">
        <v>0</v>
      </c>
    </row>
    <row r="18" spans="2:4" x14ac:dyDescent="0.25">
      <c r="B18" s="1" t="s">
        <v>7</v>
      </c>
      <c r="C18" s="6">
        <v>12703</v>
      </c>
      <c r="D18" s="25">
        <v>13384</v>
      </c>
    </row>
    <row r="19" spans="2:4" x14ac:dyDescent="0.25">
      <c r="B19" s="3" t="s">
        <v>8</v>
      </c>
      <c r="C19" s="8">
        <f>SUM(C14:C18)</f>
        <v>19025</v>
      </c>
      <c r="D19" s="4">
        <f>SUM(D14:D18)</f>
        <v>120465.42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3083</v>
      </c>
      <c r="D23" s="25">
        <v>33075.509999999995</v>
      </c>
    </row>
    <row r="24" spans="2:4" x14ac:dyDescent="0.25">
      <c r="B24" s="9" t="s">
        <v>5</v>
      </c>
      <c r="C24" s="6">
        <v>1553</v>
      </c>
      <c r="D24" s="25">
        <v>22817.52</v>
      </c>
    </row>
    <row r="25" spans="2:4" x14ac:dyDescent="0.25">
      <c r="B25" s="9" t="s">
        <v>6</v>
      </c>
      <c r="C25" s="6">
        <v>2135</v>
      </c>
      <c r="D25" s="25">
        <v>17623.010000000002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17311</v>
      </c>
      <c r="D27" s="25">
        <v>31673.079999999998</v>
      </c>
    </row>
    <row r="28" spans="2:4" x14ac:dyDescent="0.25">
      <c r="B28" s="10" t="s">
        <v>8</v>
      </c>
      <c r="C28" s="8">
        <f>SUM(C23:C27)</f>
        <v>24083</v>
      </c>
      <c r="D28" s="4">
        <f>SUM(D23:D27)</f>
        <v>105189.12000000001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493</v>
      </c>
      <c r="D32" s="25">
        <v>7313.39</v>
      </c>
    </row>
    <row r="33" spans="2:4" x14ac:dyDescent="0.25">
      <c r="B33" s="9" t="s">
        <v>5</v>
      </c>
      <c r="C33" s="6">
        <v>3048</v>
      </c>
      <c r="D33" s="25">
        <v>56621.049999999996</v>
      </c>
    </row>
    <row r="34" spans="2:4" x14ac:dyDescent="0.25">
      <c r="B34" s="9" t="s">
        <v>6</v>
      </c>
      <c r="C34" s="6">
        <v>486</v>
      </c>
      <c r="D34" s="25">
        <v>2326</v>
      </c>
    </row>
    <row r="35" spans="2:4" x14ac:dyDescent="0.25">
      <c r="B35" s="9" t="s">
        <v>7</v>
      </c>
      <c r="C35" s="6">
        <v>4018</v>
      </c>
      <c r="D35" s="25">
        <v>1159</v>
      </c>
    </row>
    <row r="36" spans="2:4" x14ac:dyDescent="0.25">
      <c r="B36" s="10" t="s">
        <v>8</v>
      </c>
      <c r="C36" s="8">
        <f>SUM(C32:C35)</f>
        <v>8045</v>
      </c>
      <c r="D36" s="4">
        <f>SUM(D32:D35)</f>
        <v>67419.44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2188</v>
      </c>
      <c r="D40" s="25">
        <v>9420</v>
      </c>
    </row>
    <row r="41" spans="2:4" x14ac:dyDescent="0.25">
      <c r="B41" s="1" t="s">
        <v>5</v>
      </c>
      <c r="C41" s="6">
        <v>1276</v>
      </c>
      <c r="D41" s="25">
        <v>30371</v>
      </c>
    </row>
    <row r="42" spans="2:4" x14ac:dyDescent="0.25">
      <c r="B42" s="1" t="s">
        <v>6</v>
      </c>
      <c r="C42" s="6">
        <v>1671</v>
      </c>
      <c r="D42" s="26">
        <v>0</v>
      </c>
    </row>
    <row r="43" spans="2:4" x14ac:dyDescent="0.25">
      <c r="B43" s="1" t="s">
        <v>7</v>
      </c>
      <c r="C43" s="6">
        <v>1865</v>
      </c>
      <c r="D43" s="25">
        <v>4039.88</v>
      </c>
    </row>
    <row r="44" spans="2:4" x14ac:dyDescent="0.25">
      <c r="B44" s="3" t="s">
        <v>8</v>
      </c>
      <c r="C44" s="8">
        <f>SUM(C40:C43)</f>
        <v>7000</v>
      </c>
      <c r="D44" s="4">
        <f>SUM(D40:D43)</f>
        <v>43830.879999999997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1896</v>
      </c>
      <c r="D48" s="25">
        <v>8096</v>
      </c>
    </row>
    <row r="49" spans="2:4" x14ac:dyDescent="0.25">
      <c r="B49" s="10" t="s">
        <v>8</v>
      </c>
      <c r="C49" s="8">
        <f>SUM(C48:C48)</f>
        <v>1896</v>
      </c>
      <c r="D49" s="4">
        <f>SUM(D48:D48)</f>
        <v>8096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576</v>
      </c>
      <c r="D53" s="25">
        <v>3061</v>
      </c>
    </row>
    <row r="54" spans="2:4" x14ac:dyDescent="0.25">
      <c r="B54" s="1" t="s">
        <v>5</v>
      </c>
      <c r="C54" s="6">
        <v>404</v>
      </c>
      <c r="D54" s="25">
        <v>1600</v>
      </c>
    </row>
    <row r="55" spans="2:4" x14ac:dyDescent="0.25">
      <c r="B55" s="1" t="s">
        <v>6</v>
      </c>
      <c r="C55" s="6">
        <v>617</v>
      </c>
      <c r="D55" s="26">
        <v>0</v>
      </c>
    </row>
    <row r="56" spans="2:4" x14ac:dyDescent="0.25">
      <c r="B56" s="1" t="s">
        <v>7</v>
      </c>
      <c r="C56" s="6">
        <v>2423</v>
      </c>
      <c r="D56" s="25">
        <v>1287</v>
      </c>
    </row>
    <row r="57" spans="2:4" x14ac:dyDescent="0.25">
      <c r="B57" s="3" t="s">
        <v>8</v>
      </c>
      <c r="C57" s="8">
        <f>SUM(C53:C56)</f>
        <v>4020</v>
      </c>
      <c r="D57" s="4">
        <f>SUM(D53:D56)</f>
        <v>5948</v>
      </c>
    </row>
    <row r="59" spans="2:4" x14ac:dyDescent="0.25">
      <c r="B59" s="12" t="s">
        <v>13</v>
      </c>
      <c r="C59" s="13">
        <f>SUM(C10+C28+C36+C49+C19+C57+C44)</f>
        <v>92174</v>
      </c>
      <c r="D59" s="13">
        <f>SUM(D10+D28+D36+D49+D19+D57+D44)</f>
        <v>877219.02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24 JUN'!C6, 'REPORTE DIARIO'!C:C)</f>
        <v>14017</v>
      </c>
      <c r="E6" s="16">
        <f>SUMIF('REPORTE DIARIO'!B:B,'EPR 24 JUN'!C6, 'REPORTE DIARIO'!D:D)</f>
        <v>348182.55</v>
      </c>
      <c r="F6" s="16">
        <f>J6*D6</f>
        <v>881068.57142857136</v>
      </c>
      <c r="G6" s="16">
        <f>+E6-F6</f>
        <v>-532886.02142857132</v>
      </c>
      <c r="H6" s="15">
        <f>ABS(G6/F6)</f>
        <v>0.60481787537211296</v>
      </c>
      <c r="I6" s="16">
        <f>E6/D6</f>
        <v>24.840019262324319</v>
      </c>
      <c r="J6" s="16">
        <f>(220/7)*2</f>
        <v>62.857142857142854</v>
      </c>
      <c r="K6" s="16">
        <f>+I6-J6</f>
        <v>-38.017123594818536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24 JUN'!C7, 'REPORTE DIARIO'!C:C)</f>
        <v>11685</v>
      </c>
      <c r="E7" s="16">
        <f>SUMIF('REPORTE DIARIO'!B:B,'EPR 24 JUN'!C7, 'REPORTE DIARIO'!D:D)</f>
        <v>276566.13</v>
      </c>
      <c r="F7" s="16">
        <f>J7*D7</f>
        <v>367242.8571428571</v>
      </c>
      <c r="G7" s="16">
        <f>+E7-F7</f>
        <v>-90676.727142857097</v>
      </c>
      <c r="H7" s="15">
        <f>ABS(G7/F7)</f>
        <v>0.24691216011203165</v>
      </c>
      <c r="I7" s="16">
        <f>E7/D7</f>
        <v>23.668474967907574</v>
      </c>
      <c r="J7" s="16">
        <f>(110/7)*2</f>
        <v>31.428571428571427</v>
      </c>
      <c r="K7" s="16">
        <f t="shared" ref="K7:K9" si="0">+I7-J7</f>
        <v>-7.7600964606638527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24 JUN'!C8, 'REPORTE DIARIO'!C:C)</f>
        <v>13221</v>
      </c>
      <c r="E8" s="16">
        <f>SUMIF('REPORTE DIARIO'!B:B,'EPR 24 JUN'!C8, 'REPORTE DIARIO'!D:D)</f>
        <v>110767.06</v>
      </c>
      <c r="F8" s="16">
        <f>J8*D8</f>
        <v>169984.28571428571</v>
      </c>
      <c r="G8" s="16">
        <f>+E8-F8</f>
        <v>-59217.225714285712</v>
      </c>
      <c r="H8" s="15">
        <f>ABS(G8/F8)</f>
        <v>0.34836882400894198</v>
      </c>
      <c r="I8" s="16">
        <f>E8/D8</f>
        <v>8.378115119885031</v>
      </c>
      <c r="J8" s="16">
        <f>(45/7)*2</f>
        <v>12.857142857142858</v>
      </c>
      <c r="K8" s="16">
        <f t="shared" si="0"/>
        <v>-4.4790277372578267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24 JUN'!C9, 'REPORTE DIARIO'!C:C)</f>
        <v>53239</v>
      </c>
      <c r="E9" s="16">
        <f>SUMIF('REPORTE DIARIO'!B:B,'EPR 24 JUN'!C9, 'REPORTE DIARIO'!D:D)</f>
        <v>141703.28</v>
      </c>
      <c r="F9" s="16">
        <f>J9*D9</f>
        <v>228167.14285714284</v>
      </c>
      <c r="G9" s="16">
        <f>+E9-F9</f>
        <v>-86463.862857142842</v>
      </c>
      <c r="H9" s="15">
        <f>ABS(G9/F9)</f>
        <v>0.37894966722390222</v>
      </c>
      <c r="I9" s="16">
        <f>E9/D9</f>
        <v>2.6616442833261331</v>
      </c>
      <c r="J9" s="16">
        <f>(15/7)*2</f>
        <v>4.2857142857142856</v>
      </c>
      <c r="K9" s="16">
        <f t="shared" si="0"/>
        <v>-1.6240700023881525</v>
      </c>
    </row>
    <row r="10" spans="2:12" x14ac:dyDescent="0.25">
      <c r="B10" s="16"/>
      <c r="C10" s="19" t="s">
        <v>17</v>
      </c>
      <c r="D10" s="24">
        <f>SUM(D6:D9)</f>
        <v>92162</v>
      </c>
      <c r="E10" s="20">
        <f>SUM(E6:E9)</f>
        <v>877219.02</v>
      </c>
      <c r="F10" s="20">
        <f>SUM(F6:F9)</f>
        <v>1646462.8571428568</v>
      </c>
      <c r="G10" s="20">
        <f>+E10-F10</f>
        <v>-769243.83714285679</v>
      </c>
      <c r="H10" s="21">
        <f>ABS(G10/F10)</f>
        <v>0.46720995484692712</v>
      </c>
      <c r="I10" s="20">
        <f>E10/D10</f>
        <v>9.5182289880861966</v>
      </c>
      <c r="J10" s="20">
        <f>F10/D10</f>
        <v>17.864877684326043</v>
      </c>
      <c r="K10" s="20">
        <f>I10-J10</f>
        <v>-8.3466486962398463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2025-06-24T16:08:27Z</dcterms:modified>
</cp:coreProperties>
</file>