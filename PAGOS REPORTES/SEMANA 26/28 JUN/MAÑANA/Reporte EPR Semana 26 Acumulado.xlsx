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6\28 JUN\MAÑANA\"/>
    </mc:Choice>
  </mc:AlternateContent>
  <xr:revisionPtr revIDLastSave="0" documentId="13_ncr:1_{CDEB87BD-FD58-4C8A-B283-9AC405301886}" xr6:coauthVersionLast="47" xr6:coauthVersionMax="47" xr10:uidLastSave="{00000000-0000-0000-0000-000000000000}"/>
  <bookViews>
    <workbookView xWindow="8775" yWindow="1350" windowWidth="19860" windowHeight="19530" xr2:uid="{4DC6C92A-CD8A-4966-829B-0B6A986E825B}"/>
  </bookViews>
  <sheets>
    <sheet name="REPORTE DIARIO" sheetId="1" r:id="rId1"/>
    <sheet name="DATA" sheetId="4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7" i="1"/>
  <c r="C36" i="1" l="1"/>
  <c r="D36" i="1"/>
  <c r="D19" i="1"/>
  <c r="C19" i="1"/>
  <c r="D6" i="3"/>
  <c r="D44" i="1"/>
  <c r="C44" i="1"/>
  <c r="D57" i="1"/>
  <c r="D49" i="1" l="1"/>
  <c r="C49" i="1"/>
  <c r="D27" i="1"/>
  <c r="C27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<sst xmlns="http://schemas.openxmlformats.org/spreadsheetml/2006/main" count="89" uniqueCount="37">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</sst>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13" zoomScaleNormal="100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3443</v>
      </c>
      <c r="D5" s="25">
        <v>633775.1399999999</v>
      </c>
    </row>
    <row r="6" spans="2:8" x14ac:dyDescent="0.25">
      <c r="B6" s="1" t="s">
        <v>5</v>
      </c>
      <c r="C6" s="6">
        <v>4088</v>
      </c>
      <c r="D6" s="25">
        <v>361713.19</v>
      </c>
    </row>
    <row r="7" spans="2:8" x14ac:dyDescent="0.25">
      <c r="B7" s="1" t="s">
        <v>6</v>
      </c>
      <c r="C7" s="6">
        <v>6775</v>
      </c>
      <c r="D7" s="25">
        <v>207490.89000000004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15493</v>
      </c>
      <c r="D9" s="25">
        <v>347350.42000000004</v>
      </c>
      <c r="E9" s="14"/>
      <c r="F9" s="7"/>
    </row>
    <row r="10" spans="2:8" x14ac:dyDescent="0.25">
      <c r="B10" s="3" t="s">
        <v>8</v>
      </c>
      <c r="C10" s="8">
        <f>SUM(C5:C9)</f>
        <v>29810</v>
      </c>
      <c r="D10" s="4">
        <f>SUM(D5:D9)</f>
        <v>1550329.6400000001</v>
      </c>
      <c r="E10" s="11" t="s">
        <v>14</v>
      </c>
    </row>
    <row r="12" spans="2:8" x14ac:dyDescent="0.25">
      <c r="B12" s="27" t="s">
        <v>10</v>
      </c>
      <c r="C12" s="27"/>
      <c r="D12" s="27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3049</v>
      </c>
      <c r="D14" s="25">
        <v>306215.3600000001</v>
      </c>
    </row>
    <row r="15" spans="2:8" x14ac:dyDescent="0.25">
      <c r="B15" s="9" t="s">
        <v>5</v>
      </c>
      <c r="C15" s="6">
        <v>1089</v>
      </c>
      <c r="D15" s="25">
        <v>90159.389999999985</v>
      </c>
    </row>
    <row r="16" spans="2:8" x14ac:dyDescent="0.25">
      <c r="B16" s="9" t="s">
        <v>6</v>
      </c>
      <c r="C16" s="6">
        <v>2509</v>
      </c>
      <c r="D16" s="25">
        <v>38518.049999999996</v>
      </c>
    </row>
    <row r="17" spans="2:4" x14ac:dyDescent="0.25">
      <c r="B17" s="5" t="s">
        <v>12</v>
      </c>
      <c r="C17" s="7">
        <v>1</v>
      </c>
      <c r="D17" s="25">
        <v>44</v>
      </c>
    </row>
    <row r="18" spans="2:4" x14ac:dyDescent="0.25">
      <c r="B18" s="9" t="s">
        <v>7</v>
      </c>
      <c r="C18" s="6">
        <v>17339</v>
      </c>
      <c r="D18" s="25">
        <v>88970.540000000008</v>
      </c>
    </row>
    <row r="19" spans="2:4" x14ac:dyDescent="0.25">
      <c r="B19" s="10" t="s">
        <v>8</v>
      </c>
      <c r="C19" s="8">
        <f>SUM(C14:C18)</f>
        <v>23987</v>
      </c>
      <c r="D19" s="4">
        <f>SUM(D14:D18)</f>
        <v>523907.34000000008</v>
      </c>
    </row>
    <row r="21" spans="2:4" x14ac:dyDescent="0.25">
      <c r="B21" s="28" t="s">
        <v>9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9" t="s">
        <v>4</v>
      </c>
      <c r="C23" s="6">
        <v>487</v>
      </c>
      <c r="D23" s="25">
        <v>144101.64000000001</v>
      </c>
    </row>
    <row r="24" spans="2:4" x14ac:dyDescent="0.25">
      <c r="B24" s="9" t="s">
        <v>5</v>
      </c>
      <c r="C24" s="6">
        <v>2807</v>
      </c>
      <c r="D24" s="25">
        <v>185501.97000000003</v>
      </c>
    </row>
    <row r="25" spans="2:4" x14ac:dyDescent="0.25">
      <c r="B25" s="9" t="s">
        <v>6</v>
      </c>
      <c r="C25" s="6">
        <v>727</v>
      </c>
      <c r="D25" s="25">
        <v>28742.13</v>
      </c>
    </row>
    <row r="26" spans="2:4" x14ac:dyDescent="0.25">
      <c r="B26" s="9" t="s">
        <v>7</v>
      </c>
      <c r="C26" s="6">
        <v>4012</v>
      </c>
      <c r="D26" s="25">
        <v>14451.060000000001</v>
      </c>
    </row>
    <row r="27" spans="2:4" x14ac:dyDescent="0.25">
      <c r="B27" s="10" t="s">
        <v>8</v>
      </c>
      <c r="C27" s="8">
        <f>SUM(C23:C26)</f>
        <v>8033</v>
      </c>
      <c r="D27" s="4">
        <f>SUM(D23:D26)</f>
        <v>372796.80000000005</v>
      </c>
    </row>
    <row r="29" spans="2:4" x14ac:dyDescent="0.25">
      <c r="B29" s="28" t="s">
        <v>30</v>
      </c>
      <c r="C29" s="28"/>
      <c r="D29" s="28"/>
    </row>
    <row r="30" spans="2:4" x14ac:dyDescent="0.25">
      <c r="B30" s="2" t="s">
        <v>1</v>
      </c>
      <c r="C30" s="2" t="s">
        <v>2</v>
      </c>
      <c r="D30" s="2" t="s">
        <v>3</v>
      </c>
    </row>
    <row r="31" spans="2:4" x14ac:dyDescent="0.25">
      <c r="B31" s="1" t="s">
        <v>4</v>
      </c>
      <c r="C31" s="6">
        <v>2647</v>
      </c>
      <c r="D31" s="25">
        <v>147682.53999999998</v>
      </c>
    </row>
    <row r="32" spans="2:4" x14ac:dyDescent="0.25">
      <c r="B32" s="1" t="s">
        <v>5</v>
      </c>
      <c r="C32" s="6">
        <v>1716</v>
      </c>
      <c r="D32" s="25">
        <v>93565.82</v>
      </c>
    </row>
    <row r="33" spans="2:4" x14ac:dyDescent="0.25">
      <c r="B33" s="1" t="s">
        <v>6</v>
      </c>
      <c r="C33" s="6">
        <v>2164</v>
      </c>
      <c r="D33" s="25">
        <v>60891.28</v>
      </c>
    </row>
    <row r="34" spans="2:4" x14ac:dyDescent="0.25">
      <c r="B34" s="5" t="s">
        <v>12</v>
      </c>
      <c r="C34" s="7">
        <v>0</v>
      </c>
      <c r="D34" s="26">
        <v>0</v>
      </c>
    </row>
    <row r="35" spans="2:4" x14ac:dyDescent="0.25">
      <c r="B35" s="1" t="s">
        <v>7</v>
      </c>
      <c r="C35" s="6">
        <v>12677</v>
      </c>
      <c r="D35" s="25">
        <v>70626.399999999994</v>
      </c>
    </row>
    <row r="36" spans="2:4" x14ac:dyDescent="0.25">
      <c r="B36" s="3" t="s">
        <v>8</v>
      </c>
      <c r="C36" s="8">
        <f>SUM(C31:C35)</f>
        <v>19204</v>
      </c>
      <c r="D36" s="4">
        <f>SUM(D31:D35)</f>
        <v>372766.04000000004</v>
      </c>
    </row>
    <row r="38" spans="2:4" x14ac:dyDescent="0.25">
      <c r="B38" s="28" t="s">
        <v>32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2238</v>
      </c>
      <c r="D40" s="25">
        <v>121640.31000000001</v>
      </c>
    </row>
    <row r="41" spans="2:4" x14ac:dyDescent="0.25">
      <c r="B41" s="1" t="s">
        <v>5</v>
      </c>
      <c r="C41" s="6">
        <v>1315</v>
      </c>
      <c r="D41" s="25">
        <v>106511</v>
      </c>
    </row>
    <row r="42" spans="2:4" x14ac:dyDescent="0.25">
      <c r="B42" s="1" t="s">
        <v>6</v>
      </c>
      <c r="C42" s="6">
        <v>1747</v>
      </c>
      <c r="D42" s="25">
        <v>10652</v>
      </c>
    </row>
    <row r="43" spans="2:4" x14ac:dyDescent="0.25">
      <c r="B43" s="1" t="s">
        <v>7</v>
      </c>
      <c r="C43" s="6">
        <v>1931</v>
      </c>
      <c r="D43" s="25">
        <v>12334.14</v>
      </c>
    </row>
    <row r="44" spans="2:4" x14ac:dyDescent="0.25">
      <c r="B44" s="3" t="s">
        <v>8</v>
      </c>
      <c r="C44" s="8">
        <f>SUM(C40:C43)</f>
        <v>7231</v>
      </c>
      <c r="D44" s="4">
        <f>SUM(D40:D43)</f>
        <v>251137.45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1882</v>
      </c>
      <c r="D48" s="25">
        <v>41802</v>
      </c>
    </row>
    <row r="49" spans="2:4" x14ac:dyDescent="0.25">
      <c r="B49" s="10" t="s">
        <v>8</v>
      </c>
      <c r="C49" s="8">
        <f>SUM(C48:C48)</f>
        <v>1882</v>
      </c>
      <c r="D49" s="4">
        <f>SUM(D48:D48)</f>
        <v>41802</v>
      </c>
    </row>
    <row r="51" spans="2:4" x14ac:dyDescent="0.25">
      <c r="B51" s="28" t="s">
        <v>31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575</v>
      </c>
      <c r="D53" s="25">
        <v>19189</v>
      </c>
    </row>
    <row r="54" spans="2:4" x14ac:dyDescent="0.25">
      <c r="B54" s="1" t="s">
        <v>5</v>
      </c>
      <c r="C54" s="6">
        <v>400</v>
      </c>
      <c r="D54" s="25">
        <v>3523</v>
      </c>
    </row>
    <row r="55" spans="2:4" x14ac:dyDescent="0.25">
      <c r="B55" s="1" t="s">
        <v>6</v>
      </c>
      <c r="C55" s="6">
        <v>619</v>
      </c>
      <c r="D55" s="25">
        <v>1438</v>
      </c>
    </row>
    <row r="56" spans="2:4" x14ac:dyDescent="0.25">
      <c r="B56" s="1" t="s">
        <v>7</v>
      </c>
      <c r="C56" s="6">
        <v>2422</v>
      </c>
      <c r="D56" s="25">
        <v>4744</v>
      </c>
    </row>
    <row r="57" spans="2:4" x14ac:dyDescent="0.25">
      <c r="B57" s="3" t="s">
        <v>8</v>
      </c>
      <c r="C57" s="8">
        <f>SUM(C53:C56)</f>
        <v>4016</v>
      </c>
      <c r="D57" s="4">
        <f>SUM(D53:D56)</f>
        <v>28894</v>
      </c>
    </row>
    <row r="59" spans="2:4" x14ac:dyDescent="0.25">
      <c r="B59" s="12" t="s">
        <v>13</v>
      </c>
      <c r="C59" s="13">
        <f>SUM(C10+C19+C27+C49+C36+C57+C44)</f>
        <v>94163</v>
      </c>
      <c r="D59" s="13">
        <f>SUM(D10+D19+D27+D49+D36+D57+D44)</f>
        <v>3141633.2700000005</v>
      </c>
    </row>
  </sheetData>
  <mergeCells count="7">
    <mergeCell ref="B46:D46"/>
    <mergeCell ref="B38:D38"/>
    <mergeCell ref="B29:D29"/>
    <mergeCell ref="B51:D51"/>
    <mergeCell ref="B3:D3"/>
    <mergeCell ref="B12:D12"/>
    <mergeCell ref="B21:D21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26 JUN'!C6, 'REPORTE DIARIO'!C:C)</f>
        <v>14321</v>
      </c>
      <c r="E6" s="16">
        <f>SUMIF('REPORTE DIARIO'!B:B,'EPR 26 JUN'!C6, 'REPORTE DIARIO'!D:D)</f>
        <v>1414405.9900000002</v>
      </c>
      <c r="F6" s="16">
        <f>J6*D6</f>
        <v>900177.14285714284</v>
      </c>
      <c r="G6" s="16">
        <f>+E6-F6</f>
        <v>514228.84714285738</v>
      </c>
      <c r="H6" s="15">
        <f>ABS(G6/F6)</f>
        <v>0.57125294862598497</v>
      </c>
      <c r="I6" s="16">
        <f>E6/D6</f>
        <v>98.764471056490478</v>
      </c>
      <c r="J6" s="16">
        <f>(220/7)*2</f>
        <v>62.857142857142854</v>
      </c>
      <c r="K6" s="16">
        <f>+I6-J6</f>
        <v>35.907328199347624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11415</v>
      </c>
      <c r="E7" s="16">
        <f>SUMIF('REPORTE DIARIO'!B:B,'EPR 26 JUN'!C7, 'REPORTE DIARIO'!D:D)</f>
        <v>840974.37000000011</v>
      </c>
      <c r="F7" s="16">
        <f>J7*D7</f>
        <v>358757.14285714284</v>
      </c>
      <c r="G7" s="16">
        <f>+E7-F7</f>
        <v>482217.22714285727</v>
      </c>
      <c r="H7" s="15">
        <f>ABS(G7/F7)</f>
        <v>1.3441327559431375</v>
      </c>
      <c r="I7" s="16">
        <f>E7/D7</f>
        <v>73.672743758212889</v>
      </c>
      <c r="J7" s="16">
        <f>(110/7)*2</f>
        <v>31.428571428571427</v>
      </c>
      <c r="K7" s="16">
        <f t="shared" ref="K7:K9" si="0">+I7-J7</f>
        <v>42.244172329641458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14541</v>
      </c>
      <c r="E8" s="16">
        <f>SUMIF('REPORTE DIARIO'!B:B,'EPR 26 JUN'!C8, 'REPORTE DIARIO'!D:D)</f>
        <v>347732.35</v>
      </c>
      <c r="F8" s="16">
        <f>J8*D8</f>
        <v>186955.71428571429</v>
      </c>
      <c r="G8" s="16">
        <f>+E8-F8</f>
        <v>160776.63571428569</v>
      </c>
      <c r="H8" s="15">
        <f>ABS(G8/F8)</f>
        <v>0.85997176565878841</v>
      </c>
      <c r="I8" s="16">
        <f>E8/D8</f>
        <v>23.91392270132728</v>
      </c>
      <c r="J8" s="16">
        <f>(45/7)*2</f>
        <v>12.857142857142858</v>
      </c>
      <c r="K8" s="16">
        <f t="shared" si="0"/>
        <v>11.056779844184423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26 JUN'!C9, 'REPORTE DIARIO'!C:C)</f>
        <v>53874</v>
      </c>
      <c r="E9" s="16">
        <f>SUMIF('REPORTE DIARIO'!B:B,'EPR 26 JUN'!C9, 'REPORTE DIARIO'!D:D)</f>
        <v>538476.56000000006</v>
      </c>
      <c r="F9" s="16">
        <f>J9*D9</f>
        <v>230888.57142857142</v>
      </c>
      <c r="G9" s="16">
        <f>+E9-F9</f>
        <v>307587.98857142864</v>
      </c>
      <c r="H9" s="15">
        <f>ABS(G9/F9)</f>
        <v>1.3321923500513546</v>
      </c>
      <c r="I9" s="16">
        <f>E9/D9</f>
        <v>9.9951100716486625</v>
      </c>
      <c r="J9" s="16">
        <f>(15/7)*2</f>
        <v>4.2857142857142856</v>
      </c>
      <c r="K9" s="16">
        <f t="shared" si="0"/>
        <v>5.7093957859343769</v>
      </c>
    </row>
    <row r="10" spans="2:12" x14ac:dyDescent="0.25">
      <c r="B10" s="16"/>
      <c r="C10" s="19" t="s">
        <v>17</v>
      </c>
      <c r="D10" s="24">
        <f>SUM(D6:D9)</f>
        <v>94151</v>
      </c>
      <c r="E10" s="20">
        <f>SUM(E6:E9)</f>
        <v>3141589.2700000005</v>
      </c>
      <c r="F10" s="20">
        <f>SUM(F6:F9)</f>
        <v>1676778.5714285714</v>
      </c>
      <c r="G10" s="20">
        <f>+E10-F10</f>
        <v>1464810.6985714291</v>
      </c>
      <c r="H10" s="21">
        <f>ABS(G10/F10)</f>
        <v>0.8735862465867803</v>
      </c>
      <c r="I10" s="20">
        <f>E10/D10</f>
        <v>33.367561364191573</v>
      </c>
      <c r="J10" s="20">
        <f>F10/D10</f>
        <v>17.809461093653507</v>
      </c>
      <c r="K10" s="20">
        <f>I10-J10</f>
        <v>15.558100270538066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2025-06-23T16:20:39Z</cp:lastPrinted>
  <dcterms:created xsi:type="dcterms:W3CDTF">2025-01-27T15:11:28Z</dcterms:created>
  <dcterms:modified xsi:type="dcterms:W3CDTF">2025-06-28T15:34:05Z</dcterms:modified>
</cp:coreProperties>
</file>