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9 JUN\NOCHE\"/>
    </mc:Choice>
  </mc:AlternateContent>
  <xr:revisionPtr revIDLastSave="0" documentId="8_{B373136C-B7B2-4E2D-B9D3-1D53335BDC39}" xr6:coauthVersionLast="47" xr6:coauthVersionMax="47" xr10:uidLastSave="{00000000-0000-0000-0000-000000000000}"/>
  <bookViews>
    <workbookView xWindow="-120" yWindow="-120" windowWidth="51840" windowHeight="21120" xr2:uid="{D69BA3BC-AE60-4D25-B870-EC166486724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<sst xmlns="http://schemas.openxmlformats.org/spreadsheetml/2006/main" count="95" uniqueCount="18">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</sst>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1B96-0FC0-4709-B9CD-77E51A8FACCD}">
  <dimension ref="B2:D53"/>
  <sheetViews>
    <sheetView tabSelected="1" topLeftCell="A53" workbookViewId="0">
      <selection activeCell="B2" sqref="B2:D5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98691.65</v>
      </c>
    </row>
    <row r="5" spans="2:4" x14ac:dyDescent="0.25">
      <c r="B5" s="2" t="s">
        <v>2</v>
      </c>
      <c r="C5" s="3">
        <v>38456.870000000003</v>
      </c>
    </row>
    <row r="6" spans="2:4" x14ac:dyDescent="0.25">
      <c r="B6" s="2" t="s">
        <v>3</v>
      </c>
      <c r="C6" s="3">
        <v>54556</v>
      </c>
    </row>
    <row r="7" spans="2:4" ht="16.5" thickBot="1" x14ac:dyDescent="0.3">
      <c r="B7" s="2" t="s">
        <v>4</v>
      </c>
      <c r="C7" s="3">
        <v>63439.37</v>
      </c>
      <c r="D7" s="1" t="s">
        <v>13</v>
      </c>
    </row>
    <row r="8" spans="2:4" ht="16.5" thickTop="1" x14ac:dyDescent="0.25">
      <c r="B8" s="4" t="s">
        <v>5</v>
      </c>
      <c r="C8" s="5">
        <v>255143.88999999998</v>
      </c>
      <c r="D8" s="5">
        <f>SUMIF(B:B, "Total general", C:C)</f>
        <v>512861.11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71443</v>
      </c>
    </row>
    <row r="13" spans="2:4" x14ac:dyDescent="0.25">
      <c r="B13" s="2" t="s">
        <v>2</v>
      </c>
      <c r="C13" s="3">
        <v>4648</v>
      </c>
    </row>
    <row r="14" spans="2:4" x14ac:dyDescent="0.25">
      <c r="B14" s="2" t="s">
        <v>3</v>
      </c>
      <c r="C14" s="3">
        <v>14820</v>
      </c>
    </row>
    <row r="15" spans="2:4" ht="15.75" thickBot="1" x14ac:dyDescent="0.3">
      <c r="B15" s="2" t="s">
        <v>4</v>
      </c>
      <c r="C15" s="3">
        <v>21147</v>
      </c>
    </row>
    <row r="16" spans="2:4" ht="16.5" thickTop="1" x14ac:dyDescent="0.25">
      <c r="B16" s="4" t="s">
        <v>5</v>
      </c>
      <c r="C16" s="5">
        <v>112058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20338.669999999998</v>
      </c>
    </row>
    <row r="21" spans="2:3" x14ac:dyDescent="0.25">
      <c r="B21" s="2" t="s">
        <v>2</v>
      </c>
      <c r="C21" s="3">
        <v>37592</v>
      </c>
    </row>
    <row r="22" spans="2:3" x14ac:dyDescent="0.25">
      <c r="B22" s="2" t="s">
        <v>3</v>
      </c>
      <c r="C22" s="3">
        <v>6358</v>
      </c>
    </row>
    <row r="23" spans="2:3" ht="15.75" thickBot="1" x14ac:dyDescent="0.3">
      <c r="B23" s="2" t="s">
        <v>4</v>
      </c>
      <c r="C23" s="3">
        <v>4418</v>
      </c>
    </row>
    <row r="24" spans="2:3" ht="16.5" thickTop="1" x14ac:dyDescent="0.25">
      <c r="B24" s="4" t="s">
        <v>5</v>
      </c>
      <c r="C24" s="5">
        <v>68706.67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24144</v>
      </c>
    </row>
    <row r="29" spans="2:3" x14ac:dyDescent="0.25">
      <c r="B29" s="2" t="s">
        <v>2</v>
      </c>
      <c r="C29" s="3">
        <v>4275</v>
      </c>
    </row>
    <row r="30" spans="2:3" x14ac:dyDescent="0.25">
      <c r="B30" s="2" t="s">
        <v>3</v>
      </c>
      <c r="C30" s="3">
        <v>8185.12</v>
      </c>
    </row>
    <row r="31" spans="2:3" ht="15.75" thickBot="1" x14ac:dyDescent="0.3">
      <c r="B31" s="2" t="s">
        <v>4</v>
      </c>
      <c r="C31" s="3">
        <v>10753</v>
      </c>
    </row>
    <row r="32" spans="2:3" ht="16.5" thickTop="1" x14ac:dyDescent="0.25">
      <c r="B32" s="4" t="s">
        <v>5</v>
      </c>
      <c r="C32" s="5">
        <v>47357.120000000003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12130.43</v>
      </c>
    </row>
    <row r="37" spans="2:3" x14ac:dyDescent="0.25">
      <c r="B37" s="2" t="s">
        <v>2</v>
      </c>
      <c r="C37" s="3">
        <v>1812</v>
      </c>
    </row>
    <row r="38" spans="2:3" x14ac:dyDescent="0.25">
      <c r="B38" s="2" t="s">
        <v>3</v>
      </c>
      <c r="C38" s="3">
        <v>322</v>
      </c>
    </row>
    <row r="39" spans="2:3" ht="15.75" thickBot="1" x14ac:dyDescent="0.3">
      <c r="B39" s="2" t="s">
        <v>4</v>
      </c>
      <c r="C39" s="3">
        <v>1885</v>
      </c>
    </row>
    <row r="40" spans="2:3" ht="16.5" thickTop="1" x14ac:dyDescent="0.25">
      <c r="B40" s="4" t="s">
        <v>5</v>
      </c>
      <c r="C40" s="5">
        <v>16149.43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7282</v>
      </c>
    </row>
    <row r="45" spans="2:3" ht="16.5" thickTop="1" x14ac:dyDescent="0.25">
      <c r="B45" s="4" t="s">
        <v>5</v>
      </c>
      <c r="C45" s="5">
        <v>7282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x14ac:dyDescent="0.25">
      <c r="B49" s="2" t="s">
        <v>1</v>
      </c>
      <c r="C49" s="3">
        <v>3853</v>
      </c>
    </row>
    <row r="50" spans="2:3" x14ac:dyDescent="0.25">
      <c r="B50" s="2" t="s">
        <v>2</v>
      </c>
      <c r="C50" s="3">
        <v>100</v>
      </c>
    </row>
    <row r="51" spans="2:3" x14ac:dyDescent="0.25">
      <c r="B51" s="2" t="s">
        <v>3</v>
      </c>
      <c r="C51" s="3">
        <v>318</v>
      </c>
    </row>
    <row r="52" spans="2:3" ht="15.75" thickBot="1" x14ac:dyDescent="0.3">
      <c r="B52" s="2" t="s">
        <v>4</v>
      </c>
      <c r="C52" s="3">
        <v>1893</v>
      </c>
    </row>
    <row r="53" spans="2:3" ht="16.5" thickTop="1" x14ac:dyDescent="0.25">
      <c r="B53" s="4" t="s">
        <v>5</v>
      </c>
      <c r="C53" s="5">
        <v>6164</v>
      </c>
    </row>
  </sheetData>
  <mergeCells count="7">
    <mergeCell ref="B18:C18"/>
    <mergeCell ref="B2:C2"/>
    <mergeCell ref="B10:C10"/>
    <mergeCell ref="B26:C26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522D-A842-478E-A740-ABEF341F1976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38478</v>
      </c>
      <c r="D4" s="7"/>
    </row>
    <row r="5" spans="2:4" ht="16.5" thickBot="1" x14ac:dyDescent="0.3">
      <c r="B5" s="2" t="s">
        <v>16</v>
      </c>
      <c r="C5" s="3">
        <v>216665.88999999998</v>
      </c>
      <c r="D5" s="1" t="s">
        <v>13</v>
      </c>
    </row>
    <row r="6" spans="2:4" ht="16.5" thickTop="1" x14ac:dyDescent="0.25">
      <c r="B6" s="4" t="s">
        <v>5</v>
      </c>
      <c r="C6" s="5">
        <v>255143.88999999998</v>
      </c>
      <c r="D6" s="5">
        <f>SUMIF(B:B,"Total general", C:C)</f>
        <v>512861.11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80500</v>
      </c>
      <c r="D10" s="7"/>
    </row>
    <row r="11" spans="2:4" ht="15.75" thickBot="1" x14ac:dyDescent="0.3">
      <c r="B11" s="2" t="s">
        <v>16</v>
      </c>
      <c r="C11" s="3">
        <v>31558</v>
      </c>
    </row>
    <row r="12" spans="2:4" ht="16.5" thickTop="1" x14ac:dyDescent="0.25">
      <c r="B12" s="4" t="s">
        <v>5</v>
      </c>
      <c r="C12" s="5">
        <v>112058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68706.67</v>
      </c>
    </row>
    <row r="17" spans="2:4" ht="16.5" thickTop="1" x14ac:dyDescent="0.25">
      <c r="B17" s="4" t="s">
        <v>5</v>
      </c>
      <c r="C17" s="5">
        <v>68706.67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400</v>
      </c>
    </row>
    <row r="22" spans="2:4" ht="15.75" thickBot="1" x14ac:dyDescent="0.3">
      <c r="B22" s="2" t="s">
        <v>16</v>
      </c>
      <c r="C22" s="3">
        <v>46957.119999999995</v>
      </c>
    </row>
    <row r="23" spans="2:4" ht="16.5" thickTop="1" x14ac:dyDescent="0.25">
      <c r="B23" s="4" t="s">
        <v>5</v>
      </c>
      <c r="C23" s="5">
        <v>47357.119999999995</v>
      </c>
    </row>
    <row r="25" spans="2:4" ht="15.75" x14ac:dyDescent="0.25">
      <c r="B25" s="6" t="s">
        <v>11</v>
      </c>
      <c r="C25" s="6"/>
    </row>
    <row r="26" spans="2:4" ht="15.75" x14ac:dyDescent="0.25">
      <c r="B26" s="1" t="s">
        <v>17</v>
      </c>
      <c r="C26" s="1" t="s">
        <v>0</v>
      </c>
    </row>
    <row r="27" spans="2:4" x14ac:dyDescent="0.25">
      <c r="B27" s="2" t="s">
        <v>15</v>
      </c>
      <c r="C27" s="7">
        <v>7228</v>
      </c>
      <c r="D27" s="7"/>
    </row>
    <row r="28" spans="2:4" ht="15.75" thickBot="1" x14ac:dyDescent="0.3">
      <c r="B28" s="2" t="s">
        <v>16</v>
      </c>
      <c r="C28" s="3">
        <v>8921.43</v>
      </c>
    </row>
    <row r="29" spans="2:4" ht="16.5" thickTop="1" x14ac:dyDescent="0.25">
      <c r="B29" s="4" t="s">
        <v>5</v>
      </c>
      <c r="C29" s="5">
        <v>16149.43</v>
      </c>
    </row>
    <row r="31" spans="2:4" ht="15.75" x14ac:dyDescent="0.25">
      <c r="B31" s="6" t="s">
        <v>10</v>
      </c>
      <c r="C31" s="6"/>
    </row>
    <row r="32" spans="2:4" ht="15.75" x14ac:dyDescent="0.25">
      <c r="B32" s="1" t="s">
        <v>17</v>
      </c>
      <c r="C32" s="1" t="s">
        <v>0</v>
      </c>
    </row>
    <row r="33" spans="2:4" ht="15.75" thickBot="1" x14ac:dyDescent="0.3">
      <c r="B33" s="2" t="s">
        <v>15</v>
      </c>
      <c r="C33" s="7">
        <v>7282</v>
      </c>
      <c r="D33" s="7"/>
    </row>
    <row r="34" spans="2:4" ht="16.5" thickTop="1" x14ac:dyDescent="0.25">
      <c r="B34" s="4" t="s">
        <v>5</v>
      </c>
      <c r="C34" s="5">
        <v>7282</v>
      </c>
    </row>
    <row r="36" spans="2:4" ht="15.75" x14ac:dyDescent="0.25">
      <c r="B36" s="6" t="s">
        <v>9</v>
      </c>
      <c r="C36" s="6"/>
    </row>
    <row r="37" spans="2:4" ht="15.75" x14ac:dyDescent="0.25">
      <c r="B37" s="1" t="s">
        <v>17</v>
      </c>
      <c r="C37" s="1" t="s">
        <v>0</v>
      </c>
    </row>
    <row r="38" spans="2:4" x14ac:dyDescent="0.25">
      <c r="B38" s="2" t="s">
        <v>15</v>
      </c>
      <c r="C38" s="7">
        <v>2301</v>
      </c>
      <c r="D38" s="7"/>
    </row>
    <row r="39" spans="2:4" ht="15.75" thickBot="1" x14ac:dyDescent="0.3">
      <c r="B39" s="2" t="s">
        <v>16</v>
      </c>
      <c r="C39" s="3">
        <v>3863</v>
      </c>
    </row>
    <row r="40" spans="2:4" ht="16.5" thickTop="1" x14ac:dyDescent="0.25">
      <c r="B40" s="4" t="s">
        <v>5</v>
      </c>
      <c r="C40" s="5">
        <v>6164</v>
      </c>
    </row>
  </sheetData>
  <mergeCells count="7">
    <mergeCell ref="B36:C36"/>
    <mergeCell ref="B2:C2"/>
    <mergeCell ref="B8:C8"/>
    <mergeCell ref="B14:C14"/>
    <mergeCell ref="B19:C19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2025-06-30T02:24:39Z</dcterms:created>
  <dcterms:modified xsi:type="dcterms:W3CDTF">2025-06-30T02:30:19Z</dcterms:modified>
</cp:coreProperties>
</file>