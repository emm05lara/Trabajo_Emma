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6\29 JUN\NOCHE\"/>
    </mc:Choice>
  </mc:AlternateContent>
  <xr:revisionPtr revIDLastSave="0" documentId="13_ncr:1_{2296E57A-5F57-4105-9DA2-E6B0A778ECEE}" xr6:coauthVersionLast="47" xr6:coauthVersionMax="47" xr10:uidLastSave="{00000000-0000-0000-0000-000000000000}"/>
  <bookViews>
    <workbookView xWindow="9810" yWindow="1350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<sst xmlns="http://schemas.openxmlformats.org/spreadsheetml/2006/main" count="89" uniqueCount="37">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</sst>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16" zoomScaleNormal="100" workbookViewId="0">
      <selection activeCell="B56" sqref="B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3662</v>
      </c>
      <c r="D5" s="25">
        <v>839678.39</v>
      </c>
    </row>
    <row r="6" spans="2:8" x14ac:dyDescent="0.25">
      <c r="B6" s="1" t="s">
        <v>5</v>
      </c>
      <c r="C6" s="6">
        <v>4121</v>
      </c>
      <c r="D6" s="25">
        <v>527524.17999999993</v>
      </c>
    </row>
    <row r="7" spans="2:8" x14ac:dyDescent="0.25">
      <c r="B7" s="1" t="s">
        <v>6</v>
      </c>
      <c r="C7" s="6">
        <v>6859</v>
      </c>
      <c r="D7" s="25">
        <v>337092.89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15493</v>
      </c>
      <c r="D9" s="25">
        <v>500077.25000000006</v>
      </c>
      <c r="E9" s="14"/>
      <c r="F9" s="7"/>
    </row>
    <row r="10" spans="2:8" x14ac:dyDescent="0.25">
      <c r="B10" s="3" t="s">
        <v>8</v>
      </c>
      <c r="C10" s="8">
        <f>SUM(C5:C9)</f>
        <v>30146</v>
      </c>
      <c r="D10" s="4">
        <f>SUM(D5:D9)</f>
        <v>2204372.71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3038</v>
      </c>
      <c r="D14" s="25">
        <v>348685.64</v>
      </c>
    </row>
    <row r="15" spans="2:8" x14ac:dyDescent="0.25">
      <c r="B15" s="9" t="s">
        <v>5</v>
      </c>
      <c r="C15" s="6">
        <v>1085</v>
      </c>
      <c r="D15" s="25">
        <v>97793.389999999985</v>
      </c>
    </row>
    <row r="16" spans="2:8" x14ac:dyDescent="0.25">
      <c r="B16" s="9" t="s">
        <v>6</v>
      </c>
      <c r="C16" s="6">
        <v>2509</v>
      </c>
      <c r="D16" s="25">
        <v>58365.169999999991</v>
      </c>
    </row>
    <row r="17" spans="2:4" x14ac:dyDescent="0.25">
      <c r="B17" s="5" t="s">
        <v>12</v>
      </c>
      <c r="C17" s="7">
        <v>1</v>
      </c>
      <c r="D17" s="25">
        <v>44</v>
      </c>
    </row>
    <row r="18" spans="2:4" x14ac:dyDescent="0.25">
      <c r="B18" s="9" t="s">
        <v>7</v>
      </c>
      <c r="C18" s="6">
        <v>17351</v>
      </c>
      <c r="D18" s="25">
        <v>112601.38000000002</v>
      </c>
    </row>
    <row r="19" spans="2:4" x14ac:dyDescent="0.25">
      <c r="B19" s="10" t="s">
        <v>8</v>
      </c>
      <c r="C19" s="8">
        <f>SUM(C14:C18)</f>
        <v>23984</v>
      </c>
      <c r="D19" s="4">
        <f>SUM(D14:D18)</f>
        <v>617489.58000000007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2629</v>
      </c>
      <c r="D23" s="25">
        <v>257648.54000000004</v>
      </c>
    </row>
    <row r="24" spans="2:4" x14ac:dyDescent="0.25">
      <c r="B24" s="1" t="s">
        <v>5</v>
      </c>
      <c r="C24" s="6">
        <v>1793</v>
      </c>
      <c r="D24" s="25">
        <v>112667.36</v>
      </c>
    </row>
    <row r="25" spans="2:4" x14ac:dyDescent="0.25">
      <c r="B25" s="1" t="s">
        <v>6</v>
      </c>
      <c r="C25" s="6">
        <v>2162</v>
      </c>
      <c r="D25" s="25">
        <v>94765.28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12674</v>
      </c>
      <c r="D27" s="25">
        <v>108993.4</v>
      </c>
    </row>
    <row r="28" spans="2:4" x14ac:dyDescent="0.25">
      <c r="B28" s="3" t="s">
        <v>8</v>
      </c>
      <c r="C28" s="8">
        <f>SUM(C23:C27)</f>
        <v>19258</v>
      </c>
      <c r="D28" s="4">
        <f>SUM(D23:D27)</f>
        <v>574074.58000000007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487</v>
      </c>
      <c r="D32" s="25">
        <v>173598.30000000002</v>
      </c>
    </row>
    <row r="33" spans="2:4" x14ac:dyDescent="0.25">
      <c r="B33" s="9" t="s">
        <v>5</v>
      </c>
      <c r="C33" s="6">
        <v>2812</v>
      </c>
      <c r="D33" s="25">
        <v>240611.97000000003</v>
      </c>
    </row>
    <row r="34" spans="2:4" x14ac:dyDescent="0.25">
      <c r="B34" s="9" t="s">
        <v>6</v>
      </c>
      <c r="C34" s="6">
        <v>736</v>
      </c>
      <c r="D34" s="25">
        <v>39252.130000000005</v>
      </c>
    </row>
    <row r="35" spans="2:4" x14ac:dyDescent="0.25">
      <c r="B35" s="9" t="s">
        <v>7</v>
      </c>
      <c r="C35" s="6">
        <v>4012</v>
      </c>
      <c r="D35" s="25">
        <v>20649.060000000001</v>
      </c>
    </row>
    <row r="36" spans="2:4" x14ac:dyDescent="0.25">
      <c r="B36" s="10" t="s">
        <v>8</v>
      </c>
      <c r="C36" s="8">
        <f>SUM(C32:C35)</f>
        <v>8047</v>
      </c>
      <c r="D36" s="4">
        <f>SUM(D32:D35)</f>
        <v>474111.46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2465</v>
      </c>
      <c r="D40" s="25">
        <v>122993.74</v>
      </c>
    </row>
    <row r="41" spans="2:4" x14ac:dyDescent="0.25">
      <c r="B41" s="1" t="s">
        <v>5</v>
      </c>
      <c r="C41" s="6">
        <v>1430</v>
      </c>
      <c r="D41" s="25">
        <v>114561</v>
      </c>
    </row>
    <row r="42" spans="2:4" x14ac:dyDescent="0.25">
      <c r="B42" s="1" t="s">
        <v>6</v>
      </c>
      <c r="C42" s="6">
        <v>1870</v>
      </c>
      <c r="D42" s="25">
        <v>13410</v>
      </c>
    </row>
    <row r="43" spans="2:4" x14ac:dyDescent="0.25">
      <c r="B43" s="1" t="s">
        <v>7</v>
      </c>
      <c r="C43" s="6">
        <v>2196</v>
      </c>
      <c r="D43" s="25">
        <v>20700.14</v>
      </c>
    </row>
    <row r="44" spans="2:4" x14ac:dyDescent="0.25">
      <c r="B44" s="3" t="s">
        <v>8</v>
      </c>
      <c r="C44" s="8">
        <f>SUM(C40:C43)</f>
        <v>7961</v>
      </c>
      <c r="D44" s="4">
        <f>SUM(D40:D43)</f>
        <v>271664.88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1880</v>
      </c>
      <c r="D48" s="25">
        <v>64743</v>
      </c>
    </row>
    <row r="49" spans="2:4" x14ac:dyDescent="0.25">
      <c r="B49" s="10" t="s">
        <v>8</v>
      </c>
      <c r="C49" s="8">
        <f>SUM(C48:C48)</f>
        <v>1880</v>
      </c>
      <c r="D49" s="4">
        <f>SUM(D48:D48)</f>
        <v>64743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575</v>
      </c>
      <c r="D53" s="25">
        <v>26774</v>
      </c>
    </row>
    <row r="54" spans="2:4" x14ac:dyDescent="0.25">
      <c r="B54" s="1" t="s">
        <v>5</v>
      </c>
      <c r="C54" s="6">
        <v>383</v>
      </c>
      <c r="D54" s="25">
        <v>4936</v>
      </c>
    </row>
    <row r="55" spans="2:4" x14ac:dyDescent="0.25">
      <c r="B55" s="1" t="s">
        <v>6</v>
      </c>
      <c r="C55" s="6">
        <v>619</v>
      </c>
      <c r="D55" s="25">
        <v>2068</v>
      </c>
    </row>
    <row r="56" spans="2:4" x14ac:dyDescent="0.25">
      <c r="B56" s="1" t="s">
        <v>7</v>
      </c>
      <c r="C56" s="6">
        <v>2422</v>
      </c>
      <c r="D56" s="25">
        <v>10200</v>
      </c>
    </row>
    <row r="57" spans="2:4" x14ac:dyDescent="0.25">
      <c r="B57" s="3" t="s">
        <v>8</v>
      </c>
      <c r="C57" s="8">
        <f>SUM(C53:C56)</f>
        <v>3999</v>
      </c>
      <c r="D57" s="4">
        <f>SUM(D53:D56)</f>
        <v>43978</v>
      </c>
    </row>
    <row r="59" spans="2:4" x14ac:dyDescent="0.25">
      <c r="B59" s="12" t="s">
        <v>13</v>
      </c>
      <c r="C59" s="13">
        <f>SUM(C10+C19+C36+C49+C28+C57+C44)</f>
        <v>95275</v>
      </c>
      <c r="D59" s="13">
        <f>SUM(D10+D19+D36+D49+D28+D57+D44)</f>
        <v>4250434.21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14736</v>
      </c>
      <c r="E6" s="16">
        <f>SUMIF('REPORTE DIARIO'!B:B,'EPR 26 JUN'!C6, 'REPORTE DIARIO'!D:D)</f>
        <v>1834121.61</v>
      </c>
      <c r="F6" s="16">
        <f>J6*D6</f>
        <v>926262.85714285704</v>
      </c>
      <c r="G6" s="16">
        <f>+E6-F6</f>
        <v>907858.75285714306</v>
      </c>
      <c r="H6" s="15">
        <f>ABS(G6/F6)</f>
        <v>0.98013079749037635</v>
      </c>
      <c r="I6" s="16">
        <f>E6/D6</f>
        <v>124.46536441368079</v>
      </c>
      <c r="J6" s="16">
        <f>(220/7)*2</f>
        <v>62.857142857142854</v>
      </c>
      <c r="K6" s="16">
        <f>+I6-J6</f>
        <v>61.608221556537934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11624</v>
      </c>
      <c r="E7" s="16">
        <f>SUMIF('REPORTE DIARIO'!B:B,'EPR 26 JUN'!C7, 'REPORTE DIARIO'!D:D)</f>
        <v>1098093.8999999999</v>
      </c>
      <c r="F7" s="16">
        <f>J7*D7</f>
        <v>365325.71428571426</v>
      </c>
      <c r="G7" s="16">
        <f>+E7-F7</f>
        <v>732768.18571428559</v>
      </c>
      <c r="H7" s="15">
        <f>ABS(G7/F7)</f>
        <v>2.0057941641118688</v>
      </c>
      <c r="I7" s="16">
        <f>E7/D7</f>
        <v>94.467816586373019</v>
      </c>
      <c r="J7" s="16">
        <f>(110/7)*2</f>
        <v>31.428571428571427</v>
      </c>
      <c r="K7" s="16">
        <f t="shared" ref="K7:K9" si="0">+I7-J7</f>
        <v>63.039245157801588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14755</v>
      </c>
      <c r="E8" s="16">
        <f>SUMIF('REPORTE DIARIO'!B:B,'EPR 26 JUN'!C8, 'REPORTE DIARIO'!D:D)</f>
        <v>544953.47</v>
      </c>
      <c r="F8" s="16">
        <f>J8*D8</f>
        <v>189707.14285714287</v>
      </c>
      <c r="G8" s="16">
        <f>+E8-F8</f>
        <v>355246.32714285713</v>
      </c>
      <c r="H8" s="15">
        <f>ABS(G8/F8)</f>
        <v>1.8726038555668509</v>
      </c>
      <c r="I8" s="16">
        <f>E8/D8</f>
        <v>36.933478143002368</v>
      </c>
      <c r="J8" s="16">
        <f>(45/7)*2</f>
        <v>12.857142857142858</v>
      </c>
      <c r="K8" s="16">
        <f t="shared" si="0"/>
        <v>24.076335285859511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54148</v>
      </c>
      <c r="E9" s="16">
        <f>SUMIF('REPORTE DIARIO'!B:B,'EPR 26 JUN'!C9, 'REPORTE DIARIO'!D:D)</f>
        <v>773221.23000000021</v>
      </c>
      <c r="F9" s="16">
        <f>J9*D9</f>
        <v>232062.85714285713</v>
      </c>
      <c r="G9" s="16">
        <f>+E9-F9</f>
        <v>541158.37285714305</v>
      </c>
      <c r="H9" s="15">
        <f>ABS(G9/F9)</f>
        <v>2.3319473849449666</v>
      </c>
      <c r="I9" s="16">
        <f>E9/D9</f>
        <v>14.279774506907</v>
      </c>
      <c r="J9" s="16">
        <f>(15/7)*2</f>
        <v>4.2857142857142856</v>
      </c>
      <c r="K9" s="16">
        <f t="shared" si="0"/>
        <v>9.994060221192715</v>
      </c>
    </row>
    <row r="10" spans="2:12" x14ac:dyDescent="0.25">
      <c r="B10" s="16"/>
      <c r="C10" s="19" t="s">
        <v>17</v>
      </c>
      <c r="D10" s="24">
        <f>SUM(D6:D9)</f>
        <v>95263</v>
      </c>
      <c r="E10" s="20">
        <f>SUM(E6:E9)</f>
        <v>4250390.21</v>
      </c>
      <c r="F10" s="20">
        <f>SUM(F6:F9)</f>
        <v>1713358.5714285714</v>
      </c>
      <c r="G10" s="20">
        <f>+E10-F10</f>
        <v>2537031.6385714286</v>
      </c>
      <c r="H10" s="21">
        <f>ABS(G10/F10)</f>
        <v>1.4807359538617135</v>
      </c>
      <c r="I10" s="20">
        <f>E10/D10</f>
        <v>44.617429747121129</v>
      </c>
      <c r="J10" s="20">
        <f>F10/D10</f>
        <v>17.985561775595681</v>
      </c>
      <c r="K10" s="20">
        <f>I10-J10</f>
        <v>26.631867971525448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2025-06-30T02:42:33Z</dcterms:modified>
</cp:coreProperties>
</file>