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6\26 JUN\MAÑANA\"/>
    </mc:Choice>
  </mc:AlternateContent>
  <xr:revisionPtr revIDLastSave="0" documentId="13_ncr:1_{C71D37D5-DE94-44D0-B380-75F817923BDF}" xr6:coauthVersionLast="47" xr6:coauthVersionMax="47" xr10:uidLastSave="{00000000-0000-0000-0000-000000000000}"/>
  <bookViews>
    <workbookView xWindow="6525" yWindow="1350" windowWidth="19860" windowHeight="19530" xr2:uid="{4DC6C92A-CD8A-4966-829B-0B6A986E825B}"/>
  </bookViews>
  <sheets>
    <sheet name="REPORTE DIARIO" sheetId="1" r:id="rId1"/>
    <sheet name="DATA" sheetId="4" r:id="rId2"/>
    <sheet name="EPR 26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57" i="1"/>
  <c r="C36" i="1" l="1"/>
  <c r="D36" i="1"/>
  <c r="D19" i="1"/>
  <c r="C19" i="1"/>
  <c r="D6" i="3"/>
  <c r="D44" i="1"/>
  <c r="C44" i="1"/>
  <c r="D57" i="1"/>
  <c r="D49" i="1" l="1"/>
  <c r="C49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<sst xmlns="http://schemas.openxmlformats.org/spreadsheetml/2006/main" count="89" uniqueCount="37">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</sst>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31" zoomScaleNormal="100" workbookViewId="0">
      <selection activeCell="A56" sqref="A56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3252</v>
      </c>
      <c r="D5" s="25">
        <v>429136.46</v>
      </c>
    </row>
    <row r="6" spans="2:8" x14ac:dyDescent="0.25">
      <c r="B6" s="1" t="s">
        <v>5</v>
      </c>
      <c r="C6" s="6">
        <v>4140</v>
      </c>
      <c r="D6" s="25">
        <v>222033.43000000002</v>
      </c>
    </row>
    <row r="7" spans="2:8" x14ac:dyDescent="0.25">
      <c r="B7" s="1" t="s">
        <v>6</v>
      </c>
      <c r="C7" s="6">
        <v>6566</v>
      </c>
      <c r="D7" s="25">
        <v>122499.66000000002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15463</v>
      </c>
      <c r="D9" s="25">
        <v>225076.97999999998</v>
      </c>
      <c r="E9" s="14"/>
      <c r="F9" s="7"/>
    </row>
    <row r="10" spans="2:8" x14ac:dyDescent="0.25">
      <c r="B10" s="3" t="s">
        <v>8</v>
      </c>
      <c r="C10" s="8">
        <f>SUM(C5:C9)</f>
        <v>29432</v>
      </c>
      <c r="D10" s="4">
        <f>SUM(D5:D9)</f>
        <v>998746.53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3075</v>
      </c>
      <c r="D14" s="25">
        <v>192593.32</v>
      </c>
    </row>
    <row r="15" spans="2:8" x14ac:dyDescent="0.25">
      <c r="B15" s="9" t="s">
        <v>5</v>
      </c>
      <c r="C15" s="6">
        <v>1553</v>
      </c>
      <c r="D15" s="25">
        <v>41932.630000000005</v>
      </c>
    </row>
    <row r="16" spans="2:8" x14ac:dyDescent="0.25">
      <c r="B16" s="9" t="s">
        <v>6</v>
      </c>
      <c r="C16" s="6">
        <v>2128</v>
      </c>
      <c r="D16" s="25">
        <v>27039.090000000004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17336</v>
      </c>
      <c r="D18" s="25">
        <v>64726.48</v>
      </c>
    </row>
    <row r="19" spans="2:4" x14ac:dyDescent="0.25">
      <c r="B19" s="10" t="s">
        <v>8</v>
      </c>
      <c r="C19" s="8">
        <f>SUM(C14:C18)</f>
        <v>24093</v>
      </c>
      <c r="D19" s="4">
        <f>SUM(D14:D18)</f>
        <v>326291.52</v>
      </c>
    </row>
    <row r="21" spans="2:4" x14ac:dyDescent="0.25">
      <c r="B21" s="28" t="s">
        <v>9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9" t="s">
        <v>4</v>
      </c>
      <c r="C23" s="6">
        <v>491</v>
      </c>
      <c r="D23" s="25">
        <v>117175.85999999999</v>
      </c>
    </row>
    <row r="24" spans="2:4" x14ac:dyDescent="0.25">
      <c r="B24" s="9" t="s">
        <v>5</v>
      </c>
      <c r="C24" s="6">
        <v>3049</v>
      </c>
      <c r="D24" s="25">
        <v>152194.16</v>
      </c>
    </row>
    <row r="25" spans="2:4" x14ac:dyDescent="0.25">
      <c r="B25" s="9" t="s">
        <v>6</v>
      </c>
      <c r="C25" s="6">
        <v>493</v>
      </c>
      <c r="D25" s="25">
        <v>18182.150000000001</v>
      </c>
    </row>
    <row r="26" spans="2:4" x14ac:dyDescent="0.25">
      <c r="B26" s="9" t="s">
        <v>7</v>
      </c>
      <c r="C26" s="6">
        <v>4013</v>
      </c>
      <c r="D26" s="25">
        <v>7089.56</v>
      </c>
    </row>
    <row r="27" spans="2:4" x14ac:dyDescent="0.25">
      <c r="B27" s="10" t="s">
        <v>8</v>
      </c>
      <c r="C27" s="8">
        <f>SUM(C23:C26)</f>
        <v>8046</v>
      </c>
      <c r="D27" s="4">
        <f>SUM(D23:D26)</f>
        <v>294641.73000000004</v>
      </c>
    </row>
    <row r="29" spans="2:4" x14ac:dyDescent="0.25">
      <c r="B29" s="28" t="s">
        <v>30</v>
      </c>
      <c r="C29" s="28"/>
      <c r="D29" s="28"/>
    </row>
    <row r="30" spans="2:4" x14ac:dyDescent="0.25">
      <c r="B30" s="2" t="s">
        <v>1</v>
      </c>
      <c r="C30" s="2" t="s">
        <v>2</v>
      </c>
      <c r="D30" s="2" t="s">
        <v>3</v>
      </c>
    </row>
    <row r="31" spans="2:4" x14ac:dyDescent="0.25">
      <c r="B31" s="1" t="s">
        <v>4</v>
      </c>
      <c r="C31" s="6">
        <v>3075</v>
      </c>
      <c r="D31" s="25">
        <v>90707.989999999991</v>
      </c>
    </row>
    <row r="32" spans="2:4" x14ac:dyDescent="0.25">
      <c r="B32" s="1" t="s">
        <v>5</v>
      </c>
      <c r="C32" s="6">
        <v>1553</v>
      </c>
      <c r="D32" s="25">
        <v>65453.82</v>
      </c>
    </row>
    <row r="33" spans="2:4" x14ac:dyDescent="0.25">
      <c r="B33" s="1" t="s">
        <v>6</v>
      </c>
      <c r="C33" s="6">
        <v>2128</v>
      </c>
      <c r="D33" s="25">
        <v>38164.5</v>
      </c>
    </row>
    <row r="34" spans="2:4" x14ac:dyDescent="0.25">
      <c r="B34" s="5" t="s">
        <v>12</v>
      </c>
      <c r="C34" s="7">
        <v>1</v>
      </c>
      <c r="D34" s="26">
        <v>0</v>
      </c>
    </row>
    <row r="35" spans="2:4" x14ac:dyDescent="0.25">
      <c r="B35" s="1" t="s">
        <v>7</v>
      </c>
      <c r="C35" s="6">
        <v>17336</v>
      </c>
      <c r="D35" s="25">
        <v>34882.829999999994</v>
      </c>
    </row>
    <row r="36" spans="2:4" x14ac:dyDescent="0.25">
      <c r="B36" s="3" t="s">
        <v>8</v>
      </c>
      <c r="C36" s="8">
        <f>SUM(C31:C35)</f>
        <v>24093</v>
      </c>
      <c r="D36" s="4">
        <f>SUM(D31:D35)</f>
        <v>229209.13999999998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2177</v>
      </c>
      <c r="D40" s="25">
        <v>43799.26</v>
      </c>
    </row>
    <row r="41" spans="2:4" x14ac:dyDescent="0.25">
      <c r="B41" s="1" t="s">
        <v>5</v>
      </c>
      <c r="C41" s="6">
        <v>1275</v>
      </c>
      <c r="D41" s="25">
        <v>99259</v>
      </c>
    </row>
    <row r="42" spans="2:4" x14ac:dyDescent="0.25">
      <c r="B42" s="1" t="s">
        <v>6</v>
      </c>
      <c r="C42" s="6">
        <v>1669</v>
      </c>
      <c r="D42" s="25">
        <v>2072</v>
      </c>
    </row>
    <row r="43" spans="2:4" x14ac:dyDescent="0.25">
      <c r="B43" s="1" t="s">
        <v>7</v>
      </c>
      <c r="C43" s="6">
        <v>1864</v>
      </c>
      <c r="D43" s="25">
        <v>8728.14</v>
      </c>
    </row>
    <row r="44" spans="2:4" x14ac:dyDescent="0.25">
      <c r="B44" s="3" t="s">
        <v>8</v>
      </c>
      <c r="C44" s="8">
        <f>SUM(C40:C43)</f>
        <v>6985</v>
      </c>
      <c r="D44" s="4">
        <f>SUM(D40:D43)</f>
        <v>153858.40000000002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1891</v>
      </c>
      <c r="D48" s="25">
        <v>24717</v>
      </c>
    </row>
    <row r="49" spans="2:4" x14ac:dyDescent="0.25">
      <c r="B49" s="10" t="s">
        <v>8</v>
      </c>
      <c r="C49" s="8">
        <f>SUM(C48:C48)</f>
        <v>1891</v>
      </c>
      <c r="D49" s="4">
        <f>SUM(D48:D48)</f>
        <v>24717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575</v>
      </c>
      <c r="D53" s="25">
        <v>4361</v>
      </c>
    </row>
    <row r="54" spans="2:4" x14ac:dyDescent="0.25">
      <c r="B54" s="1" t="s">
        <v>5</v>
      </c>
      <c r="C54" s="6">
        <v>401</v>
      </c>
      <c r="D54" s="25">
        <v>1600</v>
      </c>
    </row>
    <row r="55" spans="2:4" x14ac:dyDescent="0.25">
      <c r="B55" s="1" t="s">
        <v>6</v>
      </c>
      <c r="C55" s="6">
        <v>616</v>
      </c>
      <c r="D55" s="26">
        <v>0</v>
      </c>
    </row>
    <row r="56" spans="2:4" x14ac:dyDescent="0.25">
      <c r="B56" s="1" t="s">
        <v>7</v>
      </c>
      <c r="C56" s="6">
        <v>2422</v>
      </c>
      <c r="D56" s="25">
        <v>3687</v>
      </c>
    </row>
    <row r="57" spans="2:4" x14ac:dyDescent="0.25">
      <c r="B57" s="3" t="s">
        <v>8</v>
      </c>
      <c r="C57" s="8">
        <f>SUM(C53:C56)</f>
        <v>4014</v>
      </c>
      <c r="D57" s="4">
        <f>SUM(D53:D56)</f>
        <v>9648</v>
      </c>
    </row>
    <row r="59" spans="2:4" x14ac:dyDescent="0.25">
      <c r="B59" s="12" t="s">
        <v>13</v>
      </c>
      <c r="C59" s="13">
        <f>SUM(C10+C19+C27+C49+C36+C57+C44)</f>
        <v>98554</v>
      </c>
      <c r="D59" s="13">
        <f>SUM(D10+D19+D27+D49+D36+D57+D44)</f>
        <v>2037112.3199999998</v>
      </c>
    </row>
  </sheetData>
  <mergeCells count="7">
    <mergeCell ref="B46:D46"/>
    <mergeCell ref="B38:D38"/>
    <mergeCell ref="B29:D29"/>
    <mergeCell ref="B51:D51"/>
    <mergeCell ref="B3:D3"/>
    <mergeCell ref="B12:D12"/>
    <mergeCell ref="B21:D21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26 JUN'!C6, 'REPORTE DIARIO'!C:C)</f>
        <v>14536</v>
      </c>
      <c r="E6" s="16">
        <f>SUMIF('REPORTE DIARIO'!B:B,'EPR 26 JUN'!C6, 'REPORTE DIARIO'!D:D)</f>
        <v>902490.89</v>
      </c>
      <c r="F6" s="16">
        <f>J6*D6</f>
        <v>913691.42857142852</v>
      </c>
      <c r="G6" s="16">
        <f>+E6-F6</f>
        <v>-11200.538571428508</v>
      </c>
      <c r="H6" s="15">
        <f>ABS(G6/F6)</f>
        <v>1.2258557124630941E-2</v>
      </c>
      <c r="I6" s="16">
        <f>E6/D6</f>
        <v>62.086604980737484</v>
      </c>
      <c r="J6" s="16">
        <f>(220/7)*2</f>
        <v>62.857142857142854</v>
      </c>
      <c r="K6" s="16">
        <f>+I6-J6</f>
        <v>-0.77053787640537053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26 JUN'!C7, 'REPORTE DIARIO'!C:C)</f>
        <v>11971</v>
      </c>
      <c r="E7" s="16">
        <f>SUMIF('REPORTE DIARIO'!B:B,'EPR 26 JUN'!C7, 'REPORTE DIARIO'!D:D)</f>
        <v>582473.04</v>
      </c>
      <c r="F7" s="16">
        <f>J7*D7</f>
        <v>376231.42857142858</v>
      </c>
      <c r="G7" s="16">
        <f>+E7-F7</f>
        <v>206241.61142857146</v>
      </c>
      <c r="H7" s="15">
        <f>ABS(G7/F7)</f>
        <v>0.54817751991555352</v>
      </c>
      <c r="I7" s="16">
        <f>E7/D7</f>
        <v>48.657007768774541</v>
      </c>
      <c r="J7" s="16">
        <f>(110/7)*2</f>
        <v>31.428571428571427</v>
      </c>
      <c r="K7" s="16">
        <f t="shared" ref="K7:K9" si="0">+I7-J7</f>
        <v>17.228436340203114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26 JUN'!C8, 'REPORTE DIARIO'!C:C)</f>
        <v>13600</v>
      </c>
      <c r="E8" s="16">
        <f>SUMIF('REPORTE DIARIO'!B:B,'EPR 26 JUN'!C8, 'REPORTE DIARIO'!D:D)</f>
        <v>207957.40000000002</v>
      </c>
      <c r="F8" s="16">
        <f>J8*D8</f>
        <v>174857.14285714287</v>
      </c>
      <c r="G8" s="16">
        <f>+E8-F8</f>
        <v>33100.257142857154</v>
      </c>
      <c r="H8" s="15">
        <f>ABS(G8/F8)</f>
        <v>0.18929885620915038</v>
      </c>
      <c r="I8" s="16">
        <f>E8/D8</f>
        <v>15.290985294117649</v>
      </c>
      <c r="J8" s="16">
        <f>(45/7)*2</f>
        <v>12.857142857142858</v>
      </c>
      <c r="K8" s="16">
        <f t="shared" si="0"/>
        <v>2.4338424369747909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26 JUN'!C9, 'REPORTE DIARIO'!C:C)</f>
        <v>58434</v>
      </c>
      <c r="E9" s="16">
        <f>SUMIF('REPORTE DIARIO'!B:B,'EPR 26 JUN'!C9, 'REPORTE DIARIO'!D:D)</f>
        <v>344190.99</v>
      </c>
      <c r="F9" s="16">
        <f>J9*D9</f>
        <v>250431.42857142855</v>
      </c>
      <c r="G9" s="16">
        <f>+E9-F9</f>
        <v>93759.56142857144</v>
      </c>
      <c r="H9" s="15">
        <f>ABS(G9/F9)</f>
        <v>0.37439215182941443</v>
      </c>
      <c r="I9" s="16">
        <f>E9/D9</f>
        <v>5.8902520792689188</v>
      </c>
      <c r="J9" s="16">
        <f>(15/7)*2</f>
        <v>4.2857142857142856</v>
      </c>
      <c r="K9" s="16">
        <f t="shared" si="0"/>
        <v>1.6045377935546332</v>
      </c>
    </row>
    <row r="10" spans="2:12" x14ac:dyDescent="0.25">
      <c r="B10" s="16"/>
      <c r="C10" s="19" t="s">
        <v>17</v>
      </c>
      <c r="D10" s="24">
        <f>SUM(D6:D9)</f>
        <v>98541</v>
      </c>
      <c r="E10" s="20">
        <f>SUM(E6:E9)</f>
        <v>2037112.32</v>
      </c>
      <c r="F10" s="20">
        <f>SUM(F6:F9)</f>
        <v>1715211.4285714286</v>
      </c>
      <c r="G10" s="20">
        <f>+E10-F10</f>
        <v>321900.89142857143</v>
      </c>
      <c r="H10" s="21">
        <f>ABS(G10/F10)</f>
        <v>0.1876741759449897</v>
      </c>
      <c r="I10" s="20">
        <f>E10/D10</f>
        <v>20.672738454044509</v>
      </c>
      <c r="J10" s="20">
        <f>F10/D10</f>
        <v>17.406068829943155</v>
      </c>
      <c r="K10" s="20">
        <f>I10-J10</f>
        <v>3.266669624101354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2025-06-23T16:20:39Z</cp:lastPrinted>
  <dcterms:created xsi:type="dcterms:W3CDTF">2025-01-27T15:11:28Z</dcterms:created>
  <dcterms:modified xsi:type="dcterms:W3CDTF">2025-06-26T16:08:53Z</dcterms:modified>
</cp:coreProperties>
</file>