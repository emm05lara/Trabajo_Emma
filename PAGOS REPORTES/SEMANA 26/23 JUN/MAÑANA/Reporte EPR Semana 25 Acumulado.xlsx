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6\23 JUN\MAÑANA\"/>
    </mc:Choice>
  </mc:AlternateContent>
  <xr:revisionPtr revIDLastSave="0" documentId="13_ncr:1_{08C5D9D3-78DF-4C28-A10A-55AD6381CE31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22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28" i="1" l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<sst xmlns="http://schemas.openxmlformats.org/spreadsheetml/2006/main" count="89" uniqueCount="37">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</sst>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40" zoomScaleNormal="100" workbookViewId="0">
      <selection activeCell="E56" sqref="E56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3222</v>
      </c>
      <c r="D5" s="25">
        <v>890252.87000000011</v>
      </c>
    </row>
    <row r="6" spans="2:8" x14ac:dyDescent="0.3">
      <c r="B6" s="1" t="s">
        <v>5</v>
      </c>
      <c r="C6" s="6">
        <v>3760</v>
      </c>
      <c r="D6" s="25">
        <v>533381.64</v>
      </c>
    </row>
    <row r="7" spans="2:8" x14ac:dyDescent="0.3">
      <c r="B7" s="1" t="s">
        <v>6</v>
      </c>
      <c r="C7" s="6">
        <v>5799</v>
      </c>
      <c r="D7" s="25">
        <v>322067.13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14659</v>
      </c>
      <c r="D9" s="25">
        <v>428718.95999999996</v>
      </c>
      <c r="E9" s="14"/>
      <c r="F9" s="7"/>
    </row>
    <row r="10" spans="2:8" x14ac:dyDescent="0.3">
      <c r="B10" s="3" t="s">
        <v>8</v>
      </c>
      <c r="C10" s="8">
        <f>SUM(C5:C9)</f>
        <v>27451</v>
      </c>
      <c r="D10" s="4">
        <f>SUM(D5:D9)</f>
        <v>2174420.6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3083</v>
      </c>
      <c r="D14" s="25">
        <v>406265.52000000019</v>
      </c>
    </row>
    <row r="15" spans="2:8" x14ac:dyDescent="0.3">
      <c r="B15" s="9" t="s">
        <v>5</v>
      </c>
      <c r="C15" s="6">
        <v>1573</v>
      </c>
      <c r="D15" s="25">
        <v>199888.32</v>
      </c>
    </row>
    <row r="16" spans="2:8" x14ac:dyDescent="0.3">
      <c r="B16" s="9" t="s">
        <v>6</v>
      </c>
      <c r="C16" s="6">
        <v>2135</v>
      </c>
      <c r="D16" s="25">
        <v>49082.680000000008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17300</v>
      </c>
      <c r="D18" s="25">
        <v>107023.73999999999</v>
      </c>
    </row>
    <row r="19" spans="2:4" x14ac:dyDescent="0.3">
      <c r="B19" s="10" t="s">
        <v>8</v>
      </c>
      <c r="C19" s="8">
        <f>SUM(C14:C18)</f>
        <v>24092</v>
      </c>
      <c r="D19" s="4">
        <f>SUM(D14:D18)</f>
        <v>762299.26000000024</v>
      </c>
    </row>
    <row r="21" spans="2:4" x14ac:dyDescent="0.3">
      <c r="B21" s="28" t="s">
        <v>30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2552</v>
      </c>
      <c r="D23" s="25">
        <v>258214.37</v>
      </c>
    </row>
    <row r="24" spans="2:4" x14ac:dyDescent="0.3">
      <c r="B24" s="1" t="s">
        <v>5</v>
      </c>
      <c r="C24" s="6">
        <v>1588</v>
      </c>
      <c r="D24" s="25">
        <v>63827</v>
      </c>
    </row>
    <row r="25" spans="2:4" x14ac:dyDescent="0.3">
      <c r="B25" s="1" t="s">
        <v>6</v>
      </c>
      <c r="C25" s="6">
        <v>2161</v>
      </c>
      <c r="D25" s="25">
        <v>113073</v>
      </c>
    </row>
    <row r="26" spans="2:4" x14ac:dyDescent="0.3">
      <c r="B26" s="5" t="s">
        <v>12</v>
      </c>
      <c r="C26" s="7">
        <v>0</v>
      </c>
      <c r="D26" s="26">
        <v>0</v>
      </c>
    </row>
    <row r="27" spans="2:4" x14ac:dyDescent="0.3">
      <c r="B27" s="1" t="s">
        <v>7</v>
      </c>
      <c r="C27" s="6">
        <v>12688</v>
      </c>
      <c r="D27" s="25">
        <v>116494.44</v>
      </c>
    </row>
    <row r="28" spans="2:4" x14ac:dyDescent="0.3">
      <c r="B28" s="3" t="s">
        <v>8</v>
      </c>
      <c r="C28" s="8">
        <f>SUM(C23:C27)</f>
        <v>18989</v>
      </c>
      <c r="D28" s="4">
        <f>SUM(D23:D27)</f>
        <v>551608.81000000006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488</v>
      </c>
      <c r="D32" s="25">
        <v>124166.44</v>
      </c>
    </row>
    <row r="33" spans="2:4" x14ac:dyDescent="0.3">
      <c r="B33" s="9" t="s">
        <v>5</v>
      </c>
      <c r="C33" s="6">
        <v>3042</v>
      </c>
      <c r="D33" s="25">
        <v>219201.94999999998</v>
      </c>
    </row>
    <row r="34" spans="2:4" x14ac:dyDescent="0.3">
      <c r="B34" s="9" t="s">
        <v>6</v>
      </c>
      <c r="C34" s="6">
        <v>479</v>
      </c>
      <c r="D34" s="25">
        <v>15224</v>
      </c>
    </row>
    <row r="35" spans="2:4" x14ac:dyDescent="0.3">
      <c r="B35" s="9" t="s">
        <v>7</v>
      </c>
      <c r="C35" s="6">
        <v>4018</v>
      </c>
      <c r="D35" s="25">
        <v>31428.26</v>
      </c>
    </row>
    <row r="36" spans="2:4" x14ac:dyDescent="0.3">
      <c r="B36" s="10" t="s">
        <v>8</v>
      </c>
      <c r="C36" s="8">
        <f>SUM(C32:C35)</f>
        <v>8027</v>
      </c>
      <c r="D36" s="4">
        <f>SUM(D32:D35)</f>
        <v>390020.65</v>
      </c>
    </row>
    <row r="38" spans="2:4" x14ac:dyDescent="0.3">
      <c r="B38" s="28" t="s">
        <v>32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2225</v>
      </c>
      <c r="D40" s="25">
        <v>125372.93000000001</v>
      </c>
    </row>
    <row r="41" spans="2:4" x14ac:dyDescent="0.3">
      <c r="B41" s="1" t="s">
        <v>5</v>
      </c>
      <c r="C41" s="6">
        <v>1278</v>
      </c>
      <c r="D41" s="25">
        <v>69678.83</v>
      </c>
    </row>
    <row r="42" spans="2:4" x14ac:dyDescent="0.3">
      <c r="B42" s="1" t="s">
        <v>6</v>
      </c>
      <c r="C42" s="6">
        <v>1672</v>
      </c>
      <c r="D42" s="25">
        <v>25297</v>
      </c>
    </row>
    <row r="43" spans="2:4" x14ac:dyDescent="0.3">
      <c r="B43" s="1" t="s">
        <v>7</v>
      </c>
      <c r="C43" s="6">
        <v>1866</v>
      </c>
      <c r="D43" s="25">
        <v>15102</v>
      </c>
    </row>
    <row r="44" spans="2:4" x14ac:dyDescent="0.3">
      <c r="B44" s="3" t="s">
        <v>8</v>
      </c>
      <c r="C44" s="8">
        <f>SUM(C40:C43)</f>
        <v>7041</v>
      </c>
      <c r="D44" s="4">
        <f>SUM(D40:D43)</f>
        <v>235450.76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574</v>
      </c>
      <c r="D48" s="25">
        <v>22005</v>
      </c>
    </row>
    <row r="49" spans="2:4" x14ac:dyDescent="0.3">
      <c r="B49" s="1" t="s">
        <v>5</v>
      </c>
      <c r="C49" s="6">
        <v>408</v>
      </c>
      <c r="D49" s="25">
        <v>6675</v>
      </c>
    </row>
    <row r="50" spans="2:4" x14ac:dyDescent="0.3">
      <c r="B50" s="1" t="s">
        <v>6</v>
      </c>
      <c r="C50" s="6">
        <v>617</v>
      </c>
      <c r="D50" s="25">
        <v>19300</v>
      </c>
    </row>
    <row r="51" spans="2:4" x14ac:dyDescent="0.3">
      <c r="B51" s="1" t="s">
        <v>7</v>
      </c>
      <c r="C51" s="6">
        <v>2426</v>
      </c>
      <c r="D51" s="25">
        <v>19664.480000000003</v>
      </c>
    </row>
    <row r="52" spans="2:4" x14ac:dyDescent="0.3">
      <c r="B52" s="3" t="s">
        <v>8</v>
      </c>
      <c r="C52" s="8">
        <f>SUM(C48:C51)</f>
        <v>4025</v>
      </c>
      <c r="D52" s="4">
        <f>SUM(D48:D51)</f>
        <v>67644.48000000001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1931</v>
      </c>
      <c r="D56" s="25">
        <v>62064</v>
      </c>
    </row>
    <row r="57" spans="2:4" x14ac:dyDescent="0.3">
      <c r="B57" s="10" t="s">
        <v>8</v>
      </c>
      <c r="C57" s="8">
        <f>SUM(C56:C56)</f>
        <v>1931</v>
      </c>
      <c r="D57" s="4">
        <f>SUM(D56:D56)</f>
        <v>62064</v>
      </c>
    </row>
    <row r="59" spans="2:4" x14ac:dyDescent="0.3">
      <c r="B59" s="12" t="s">
        <v>13</v>
      </c>
      <c r="C59" s="13">
        <f>SUM(C10+C19+C36+C57+C28+C52+C44)</f>
        <v>91556</v>
      </c>
      <c r="D59" s="13">
        <f>SUM(D10+D19+D36+D57+D28+D52+D44)</f>
        <v>4243508.5600000005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C1" zoomScale="145" zoomScaleNormal="145" workbookViewId="0">
      <selection activeCell="B2" sqref="B2:K14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22 JUN'!C6, 'REPORTE DIARIO'!C:C)</f>
        <v>14075</v>
      </c>
      <c r="E6" s="16">
        <f>SUMIF('REPORTE DIARIO'!B:B,'EPR 22 JUN'!C6, 'REPORTE DIARIO'!D:D)</f>
        <v>1888341.1300000001</v>
      </c>
      <c r="F6" s="16">
        <f>J6*D6</f>
        <v>3096500</v>
      </c>
      <c r="G6" s="16">
        <f>+E6-F6</f>
        <v>-1208158.8699999999</v>
      </c>
      <c r="H6" s="15">
        <f>ABS(G6/F6)</f>
        <v>0.39016918133376388</v>
      </c>
      <c r="I6" s="16">
        <f>E6/D6</f>
        <v>134.16278010657194</v>
      </c>
      <c r="J6" s="16">
        <f>(220/7)*7</f>
        <v>220</v>
      </c>
      <c r="K6" s="16">
        <f>+I6-J6</f>
        <v>-85.837219893428056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22 JUN'!C7, 'REPORTE DIARIO'!C:C)</f>
        <v>11649</v>
      </c>
      <c r="E7" s="16">
        <f>SUMIF('REPORTE DIARIO'!B:B,'EPR 22 JUN'!C7, 'REPORTE DIARIO'!D:D)</f>
        <v>1092652.74</v>
      </c>
      <c r="F7" s="16">
        <f>J7*D7</f>
        <v>1281390</v>
      </c>
      <c r="G7" s="16">
        <f>+E7-F7</f>
        <v>-188737.26</v>
      </c>
      <c r="H7" s="15">
        <f>ABS(G7/F7)</f>
        <v>0.14729103551611922</v>
      </c>
      <c r="I7" s="16">
        <f>E7/D7</f>
        <v>93.797986093226882</v>
      </c>
      <c r="J7" s="16">
        <f>(110/7)*7</f>
        <v>110</v>
      </c>
      <c r="K7" s="16">
        <f t="shared" ref="K7:K9" si="0">+I7-J7</f>
        <v>-16.202013906773118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22 JUN'!C8, 'REPORTE DIARIO'!C:C)</f>
        <v>12863</v>
      </c>
      <c r="E8" s="16">
        <f>SUMIF('REPORTE DIARIO'!B:B,'EPR 22 JUN'!C8, 'REPORTE DIARIO'!D:D)</f>
        <v>544043.81000000006</v>
      </c>
      <c r="F8" s="16">
        <f>J8*D8</f>
        <v>578835</v>
      </c>
      <c r="G8" s="16">
        <f>+E8-F8</f>
        <v>-34791.189999999944</v>
      </c>
      <c r="H8" s="15">
        <f>ABS(G8/F8)</f>
        <v>6.010553957518109E-2</v>
      </c>
      <c r="I8" s="16">
        <f>E8/D8</f>
        <v>42.295250719116851</v>
      </c>
      <c r="J8" s="16">
        <f>(45/7)*7</f>
        <v>45</v>
      </c>
      <c r="K8" s="16">
        <f t="shared" si="0"/>
        <v>-2.7047492808831493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22 JUN'!C9, 'REPORTE DIARIO'!C:C)</f>
        <v>52957</v>
      </c>
      <c r="E9" s="16">
        <f>SUMIF('REPORTE DIARIO'!B:B,'EPR 22 JUN'!C9, 'REPORTE DIARIO'!D:D)</f>
        <v>718431.87999999989</v>
      </c>
      <c r="F9" s="16">
        <f>J9*D9</f>
        <v>794355</v>
      </c>
      <c r="G9" s="16">
        <f>+E9-F9</f>
        <v>-75923.120000000112</v>
      </c>
      <c r="H9" s="15">
        <f>ABS(G9/F9)</f>
        <v>9.5578324552624591E-2</v>
      </c>
      <c r="I9" s="16">
        <f>E9/D9</f>
        <v>13.566325131710631</v>
      </c>
      <c r="J9" s="16">
        <f>(15/7)*7</f>
        <v>15</v>
      </c>
      <c r="K9" s="16">
        <f t="shared" si="0"/>
        <v>-1.4336748682893692</v>
      </c>
    </row>
    <row r="10" spans="2:12" x14ac:dyDescent="0.3">
      <c r="B10" s="16"/>
      <c r="C10" s="19" t="s">
        <v>17</v>
      </c>
      <c r="D10" s="24">
        <f>SUM(D6:D9)</f>
        <v>91544</v>
      </c>
      <c r="E10" s="20">
        <f>SUM(E6:E9)</f>
        <v>4243469.5600000005</v>
      </c>
      <c r="F10" s="20">
        <f>SUM(F6:F9)</f>
        <v>5751080</v>
      </c>
      <c r="G10" s="20">
        <f>+E10-F10</f>
        <v>-1507610.4399999995</v>
      </c>
      <c r="H10" s="21">
        <f>ABS(G10/F10)</f>
        <v>0.26214388254032278</v>
      </c>
      <c r="I10" s="20">
        <f>E10/D10</f>
        <v>46.354425849864555</v>
      </c>
      <c r="J10" s="20">
        <f>F10/D10</f>
        <v>62.823123306825131</v>
      </c>
      <c r="K10" s="20">
        <f>I10-J10</f>
        <v>-16.468697456960577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2025-06-23T16:20:39Z</cp:lastPrinted>
  <dcterms:created xsi:type="dcterms:W3CDTF">2025-01-27T15:11:28Z</dcterms:created>
  <dcterms:modified xsi:type="dcterms:W3CDTF">2025-06-23T16:20:45Z</dcterms:modified>
</cp:coreProperties>
</file>