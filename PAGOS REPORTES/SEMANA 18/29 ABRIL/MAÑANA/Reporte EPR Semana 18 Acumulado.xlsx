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8\29 ABRIL\MAÑANA\"/>
    </mc:Choice>
  </mc:AlternateContent>
  <xr:revisionPtr revIDLastSave="0" documentId="13_ncr:1_{45935E19-0FC1-49A7-9EF2-B8D53C3EFCE4}" xr6:coauthVersionLast="47" xr6:coauthVersionMax="47" xr10:uidLastSave="{00000000-0000-0000-0000-000000000000}"/>
  <bookViews>
    <workbookView xWindow="21285" yWindow="7935" windowWidth="10005" windowHeight="5445" xr2:uid="{4DC6C92A-CD8A-4966-829B-0B6A986E825B}"/>
  </bookViews>
  <sheets>
    <sheet name="REPORTE DIARIO" sheetId="1" r:id="rId1"/>
    <sheet name="DATA" sheetId="4" r:id="rId2"/>
    <sheet name="EPR 29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56" i="1"/>
  <c r="C56" i="1"/>
  <c r="D48" i="1"/>
  <c r="C48" i="1"/>
  <c r="D19" i="1"/>
  <c r="C19" i="1"/>
  <c r="D40" i="1" l="1"/>
  <c r="C40" i="1"/>
  <c r="D35" i="1"/>
  <c r="C35" i="1"/>
  <c r="D27" i="1"/>
  <c r="C27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<sst xmlns="http://schemas.openxmlformats.org/spreadsheetml/2006/main" count="88" uniqueCount="37">
  <si>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</si>
  <si>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</si>
  <si>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</si>
  <si>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</si>
  <si>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</si>
  <si>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</si>
  <si>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</si>
  <si>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</si>
  <si>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</si>
  <si>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</si>
  <si>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</si>
  <si>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</si>
  <si>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</si>
  <si>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</si>
  <si>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</si>
  <si>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</si>
  <si>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</si>
  <si>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</si>
  <si>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</si>
  <si>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</si>
  <si>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</si>
  <si>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</si>
  <si>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</si>
  <si>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</si>
  <si>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</si>
  <si>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</si>
  <si>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</si>
  <si>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</si>
  <si>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</si>
  <si>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</si>
  <si>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</si>
  <si>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</si>
  <si>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</si>
  <si>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</si>
  <si>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COBRANZA GENERAL  OLGUIN</t>
  </si>
  <si>
    <t>Samantha, Samantha 2, Sofia, Edith, Fernando, Olguin y Federico</t>
  </si>
  <si>
    <t>SALDO ACUMULADO SEMANA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</si>
</sst>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31" zoomScaleNormal="100" workbookViewId="0">
      <selection activeCell="C55" sqref="C55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4314</v>
      </c>
      <c r="D5" s="25">
        <v>55854.06</v>
      </c>
    </row>
    <row r="6" spans="2:8" x14ac:dyDescent="0.25">
      <c r="B6" s="1" t="s">
        <v>5</v>
      </c>
      <c r="C6" s="6">
        <v>6200</v>
      </c>
      <c r="D6" s="25">
        <v>73730.69</v>
      </c>
    </row>
    <row r="7" spans="2:8" x14ac:dyDescent="0.25">
      <c r="B7" s="1" t="s">
        <v>6</v>
      </c>
      <c r="C7" s="6">
        <v>4588</v>
      </c>
      <c r="D7" s="25">
        <v>40471</v>
      </c>
    </row>
    <row r="8" spans="2:8" x14ac:dyDescent="0.25">
      <c r="B8" s="5" t="s">
        <v>12</v>
      </c>
      <c r="C8" s="7">
        <v>8</v>
      </c>
      <c r="D8" s="26">
        <v>0</v>
      </c>
    </row>
    <row r="9" spans="2:8" x14ac:dyDescent="0.25">
      <c r="B9" s="1" t="s">
        <v>7</v>
      </c>
      <c r="C9" s="6">
        <v>13357</v>
      </c>
      <c r="D9" s="25">
        <v>63762.659999999996</v>
      </c>
      <c r="F9" s="7"/>
    </row>
    <row r="10" spans="2:8" x14ac:dyDescent="0.25">
      <c r="B10" s="3" t="s">
        <v>8</v>
      </c>
      <c r="C10" s="8">
        <f>SUM(C5:C9)</f>
        <v>28467</v>
      </c>
      <c r="D10" s="4">
        <f>SUM(D5:D9)</f>
        <v>233818.41</v>
      </c>
      <c r="E10" s="11" t="s">
        <v>14</v>
      </c>
    </row>
    <row r="12" spans="2:8" x14ac:dyDescent="0.25">
      <c r="B12" s="27" t="s">
        <v>32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2001</v>
      </c>
      <c r="D14" s="25">
        <v>46067.89</v>
      </c>
    </row>
    <row r="15" spans="2:8" x14ac:dyDescent="0.25">
      <c r="B15" s="1" t="s">
        <v>5</v>
      </c>
      <c r="C15" s="6">
        <v>1685</v>
      </c>
      <c r="D15" s="25">
        <v>60357.78</v>
      </c>
    </row>
    <row r="16" spans="2:8" x14ac:dyDescent="0.25">
      <c r="B16" s="1" t="s">
        <v>6</v>
      </c>
      <c r="C16" s="6">
        <v>3058</v>
      </c>
      <c r="D16" s="25">
        <v>8472</v>
      </c>
    </row>
    <row r="17" spans="2:11" x14ac:dyDescent="0.25">
      <c r="B17" s="5" t="s">
        <v>12</v>
      </c>
      <c r="C17" s="7">
        <v>2</v>
      </c>
      <c r="D17" s="26">
        <v>0</v>
      </c>
    </row>
    <row r="18" spans="2:11" x14ac:dyDescent="0.25">
      <c r="B18" s="1" t="s">
        <v>7</v>
      </c>
      <c r="C18" s="6">
        <v>21596</v>
      </c>
      <c r="D18" s="25">
        <v>60098.01</v>
      </c>
    </row>
    <row r="19" spans="2:11" x14ac:dyDescent="0.25">
      <c r="B19" s="3" t="s">
        <v>8</v>
      </c>
      <c r="C19" s="8">
        <f>SUM(C14:C18)</f>
        <v>28342</v>
      </c>
      <c r="D19" s="4">
        <f>SUM(D14:D18)</f>
        <v>174995.68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3899</v>
      </c>
      <c r="D23" s="25">
        <v>38465.47</v>
      </c>
    </row>
    <row r="24" spans="2:11" x14ac:dyDescent="0.25">
      <c r="B24" s="9" t="s">
        <v>5</v>
      </c>
      <c r="C24" s="6">
        <v>2291</v>
      </c>
      <c r="D24" s="25">
        <v>26691.63</v>
      </c>
    </row>
    <row r="25" spans="2:11" x14ac:dyDescent="0.25">
      <c r="B25" s="9" t="s">
        <v>6</v>
      </c>
      <c r="C25" s="6">
        <v>1812</v>
      </c>
      <c r="D25" s="25">
        <v>7285.6900000000005</v>
      </c>
    </row>
    <row r="26" spans="2:11" x14ac:dyDescent="0.25">
      <c r="B26" s="9" t="s">
        <v>7</v>
      </c>
      <c r="C26" s="6">
        <v>9592</v>
      </c>
      <c r="D26" s="25">
        <v>7030</v>
      </c>
    </row>
    <row r="27" spans="2:11" x14ac:dyDescent="0.25">
      <c r="B27" s="10" t="s">
        <v>8</v>
      </c>
      <c r="C27" s="8">
        <f>SUM(C23:C26)</f>
        <v>17594</v>
      </c>
      <c r="D27" s="4">
        <f>SUM(D23:D26)</f>
        <v>79472.790000000008</v>
      </c>
      <c r="K27" s="7"/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323</v>
      </c>
      <c r="D31" s="25">
        <v>10126</v>
      </c>
    </row>
    <row r="32" spans="2:11" x14ac:dyDescent="0.25">
      <c r="B32" s="9" t="s">
        <v>5</v>
      </c>
      <c r="C32" s="6">
        <v>1288</v>
      </c>
      <c r="D32" s="25">
        <v>5997.94</v>
      </c>
    </row>
    <row r="33" spans="2:4" x14ac:dyDescent="0.25">
      <c r="B33" s="9" t="s">
        <v>6</v>
      </c>
      <c r="C33" s="6">
        <v>2376</v>
      </c>
      <c r="D33" s="25">
        <v>3255.71</v>
      </c>
    </row>
    <row r="34" spans="2:4" x14ac:dyDescent="0.25">
      <c r="B34" s="9" t="s">
        <v>7</v>
      </c>
      <c r="C34" s="6">
        <v>4260</v>
      </c>
      <c r="D34" s="25">
        <v>3250</v>
      </c>
    </row>
    <row r="35" spans="2:4" x14ac:dyDescent="0.25">
      <c r="B35" s="10" t="s">
        <v>8</v>
      </c>
      <c r="C35" s="8">
        <f>SUM(C31:C34)</f>
        <v>8247</v>
      </c>
      <c r="D35" s="4">
        <f>SUM(D31:D34)</f>
        <v>22629.649999999998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2043</v>
      </c>
      <c r="D39" s="25">
        <v>14857</v>
      </c>
    </row>
    <row r="40" spans="2:4" x14ac:dyDescent="0.25">
      <c r="B40" s="10" t="s">
        <v>8</v>
      </c>
      <c r="C40" s="8">
        <f>SUM(C39:C39)</f>
        <v>2043</v>
      </c>
      <c r="D40" s="4">
        <f>SUM(D39:D39)</f>
        <v>14857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37</v>
      </c>
      <c r="D44" s="25">
        <v>2113</v>
      </c>
    </row>
    <row r="45" spans="2:4" x14ac:dyDescent="0.25">
      <c r="B45" s="1" t="s">
        <v>5</v>
      </c>
      <c r="C45" s="6">
        <v>429</v>
      </c>
      <c r="D45" s="25">
        <v>2523</v>
      </c>
    </row>
    <row r="46" spans="2:4" x14ac:dyDescent="0.25">
      <c r="B46" s="1" t="s">
        <v>6</v>
      </c>
      <c r="C46" s="6">
        <v>311</v>
      </c>
      <c r="D46" s="25">
        <v>600</v>
      </c>
    </row>
    <row r="47" spans="2:4" x14ac:dyDescent="0.25">
      <c r="B47" s="1" t="s">
        <v>7</v>
      </c>
      <c r="C47" s="6">
        <v>1946</v>
      </c>
      <c r="D47" s="25">
        <v>1787</v>
      </c>
    </row>
    <row r="48" spans="2:4" x14ac:dyDescent="0.25">
      <c r="B48" s="3" t="s">
        <v>8</v>
      </c>
      <c r="C48" s="8">
        <f>SUM(C44:C47)</f>
        <v>2723</v>
      </c>
      <c r="D48" s="4">
        <f>SUM(D44:D47)</f>
        <v>7023</v>
      </c>
    </row>
    <row r="50" spans="2:4" x14ac:dyDescent="0.25">
      <c r="B50" s="27" t="s">
        <v>34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75</v>
      </c>
      <c r="D52" s="26">
        <v>0</v>
      </c>
    </row>
    <row r="53" spans="2:4" x14ac:dyDescent="0.25">
      <c r="B53" s="1" t="s">
        <v>5</v>
      </c>
      <c r="C53" s="6">
        <v>253</v>
      </c>
      <c r="D53" s="26">
        <v>0</v>
      </c>
    </row>
    <row r="54" spans="2:4" x14ac:dyDescent="0.25">
      <c r="B54" s="1" t="s">
        <v>6</v>
      </c>
      <c r="C54" s="6">
        <v>621</v>
      </c>
      <c r="D54" s="26">
        <v>0</v>
      </c>
    </row>
    <row r="55" spans="2:4" x14ac:dyDescent="0.25">
      <c r="B55" s="1" t="s">
        <v>7</v>
      </c>
      <c r="C55" s="6">
        <v>843</v>
      </c>
      <c r="D55" s="26">
        <v>0</v>
      </c>
    </row>
    <row r="56" spans="2:4" x14ac:dyDescent="0.25">
      <c r="B56" s="3" t="s">
        <v>8</v>
      </c>
      <c r="C56" s="8">
        <f>SUM(C52:C55)</f>
        <v>1792</v>
      </c>
      <c r="D56" s="4">
        <f>SUM(D52:D55)</f>
        <v>0</v>
      </c>
    </row>
    <row r="58" spans="2:4" x14ac:dyDescent="0.25">
      <c r="B58" s="12" t="s">
        <v>13</v>
      </c>
      <c r="C58" s="13">
        <f>SUM(C10+C27+C35+C40+C19+C48+C56)</f>
        <v>89208</v>
      </c>
      <c r="D58" s="13">
        <f>SUM(D10+D27+D35+D40+D19+D48+D56)</f>
        <v>532796.53</v>
      </c>
    </row>
  </sheetData>
  <mergeCells count="7">
    <mergeCell ref="B50:D50"/>
    <mergeCell ref="B12:D12"/>
    <mergeCell ref="B42:D42"/>
    <mergeCell ref="B3:D3"/>
    <mergeCell ref="B21:D21"/>
    <mergeCell ref="B29:D29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6" t="s">
        <v>4</v>
      </c>
      <c r="D6" s="23">
        <f>SUMIF('REPORTE DIARIO'!B:B,'EPR 29 ABR'!C6, 'REPORTE DIARIO'!C:C)</f>
        <v>12692</v>
      </c>
      <c r="E6" s="16">
        <f>SUMIF('REPORTE DIARIO'!B:B,'EPR 29 ABR'!C6, 'REPORTE DIARIO'!D:D)</f>
        <v>167483.41999999998</v>
      </c>
      <c r="F6" s="16">
        <f>J6*D6</f>
        <v>725257.14285714284</v>
      </c>
      <c r="G6" s="16">
        <f>+E6-F6</f>
        <v>-557773.7228571428</v>
      </c>
      <c r="H6" s="15">
        <f>ABS(G6/F6)</f>
        <v>0.76907029231011659</v>
      </c>
      <c r="I6" s="16">
        <f>E6/D6</f>
        <v>13.195983296564764</v>
      </c>
      <c r="J6" s="16">
        <f>(200/7)*2</f>
        <v>57.142857142857146</v>
      </c>
      <c r="K6" s="16">
        <f>+I6-J6</f>
        <v>-43.946873846292384</v>
      </c>
      <c r="L6" s="15"/>
    </row>
    <row r="7" spans="2:12" x14ac:dyDescent="0.25">
      <c r="B7" s="16" t="s">
        <v>30</v>
      </c>
      <c r="C7" s="16" t="s">
        <v>5</v>
      </c>
      <c r="D7" s="23">
        <f>SUMIF('REPORTE DIARIO'!B:B,'EPR 29 ABR'!C7, 'REPORTE DIARIO'!C:C)</f>
        <v>12146</v>
      </c>
      <c r="E7" s="16">
        <f>SUMIF('REPORTE DIARIO'!B:B,'EPR 29 ABR'!C7, 'REPORTE DIARIO'!D:D)</f>
        <v>169301.04</v>
      </c>
      <c r="F7" s="16">
        <f>J7*D7</f>
        <v>381731.42857142858</v>
      </c>
      <c r="G7" s="16">
        <f>+E7-F7</f>
        <v>-212430.38857142857</v>
      </c>
      <c r="H7" s="15">
        <f>ABS(G7/F7)</f>
        <v>0.5564917443827373</v>
      </c>
      <c r="I7" s="16">
        <f>E7/D7</f>
        <v>13.938830890828257</v>
      </c>
      <c r="J7" s="16">
        <f>(110/7)*2</f>
        <v>31.428571428571427</v>
      </c>
      <c r="K7" s="16">
        <f t="shared" ref="K7:K9" si="0">+I7-J7</f>
        <v>-17.48974053774317</v>
      </c>
      <c r="L7" s="15"/>
    </row>
    <row r="8" spans="2:12" x14ac:dyDescent="0.25">
      <c r="B8" s="16" t="s">
        <v>30</v>
      </c>
      <c r="C8" s="16" t="s">
        <v>6</v>
      </c>
      <c r="D8" s="23">
        <f>SUMIF('REPORTE DIARIO'!B:B,'EPR 29 ABR'!C8, 'REPORTE DIARIO'!C:C)</f>
        <v>12766</v>
      </c>
      <c r="E8" s="16">
        <f>SUMIF('REPORTE DIARIO'!B:B,'EPR 29 ABR'!C8, 'REPORTE DIARIO'!D:D)</f>
        <v>60084.4</v>
      </c>
      <c r="F8" s="16">
        <f>J8*D8</f>
        <v>164134.28571428571</v>
      </c>
      <c r="G8" s="16">
        <f>+E8-F8</f>
        <v>-104049.88571428572</v>
      </c>
      <c r="H8" s="15">
        <f>ABS(G8/F8)</f>
        <v>0.6339314498581301</v>
      </c>
      <c r="I8" s="16">
        <f>E8/D8</f>
        <v>4.7065956446811841</v>
      </c>
      <c r="J8" s="16">
        <f>(45/7)*2</f>
        <v>12.857142857142858</v>
      </c>
      <c r="K8" s="16">
        <f t="shared" si="0"/>
        <v>-8.1505472124616745</v>
      </c>
      <c r="L8" s="15"/>
    </row>
    <row r="9" spans="2:12" x14ac:dyDescent="0.25">
      <c r="B9" s="16" t="s">
        <v>31</v>
      </c>
      <c r="C9" s="16" t="s">
        <v>7</v>
      </c>
      <c r="D9" s="23">
        <f>SUMIF('REPORTE DIARIO'!B:B,'EPR 29 ABR'!C9, 'REPORTE DIARIO'!C:C)</f>
        <v>51594</v>
      </c>
      <c r="E9" s="16">
        <f>SUMIF('REPORTE DIARIO'!B:B,'EPR 29 ABR'!C9, 'REPORTE DIARIO'!D:D)</f>
        <v>135927.66999999998</v>
      </c>
      <c r="F9" s="16">
        <f>J9*D9</f>
        <v>221117.14285714284</v>
      </c>
      <c r="G9" s="16">
        <f>+E9-F9</f>
        <v>-85189.472857142857</v>
      </c>
      <c r="H9" s="15">
        <f>ABS(G9/F9)</f>
        <v>0.38526851313460225</v>
      </c>
      <c r="I9" s="16">
        <f>E9/D9</f>
        <v>2.6345635151374189</v>
      </c>
      <c r="J9" s="16">
        <f>(15/7)*2</f>
        <v>4.2857142857142856</v>
      </c>
      <c r="K9" s="16">
        <f t="shared" si="0"/>
        <v>-1.6511507705768667</v>
      </c>
    </row>
    <row r="10" spans="2:12" x14ac:dyDescent="0.25">
      <c r="B10" s="16"/>
      <c r="C10" s="19" t="s">
        <v>17</v>
      </c>
      <c r="D10" s="24">
        <f>SUM(D6:D9)</f>
        <v>89198</v>
      </c>
      <c r="E10" s="20">
        <f>SUM(E6:E9)</f>
        <v>532796.53</v>
      </c>
      <c r="F10" s="20">
        <f>SUM(F6:F9)</f>
        <v>1492240</v>
      </c>
      <c r="G10" s="20">
        <f>+E10-F10</f>
        <v>-959443.47</v>
      </c>
      <c r="H10" s="21">
        <f>ABS(G10/F10)</f>
        <v>0.64295520157615393</v>
      </c>
      <c r="I10" s="20">
        <f>E10/D10</f>
        <v>5.9731891970671995</v>
      </c>
      <c r="J10" s="20">
        <f>F10/D10</f>
        <v>16.729523083477208</v>
      </c>
      <c r="K10" s="20">
        <f>I10-J10</f>
        <v>-10.756333886410008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35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29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2025-04-29T15:47:02Z</dcterms:modified>
</cp:coreProperties>
</file>