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0 ABRIL\MAÑANA\"/>
    </mc:Choice>
  </mc:AlternateContent>
  <xr:revisionPtr revIDLastSave="0" documentId="13_ncr:1_{A0CF168C-584F-4C0E-BE1D-0DD5214860A1}" xr6:coauthVersionLast="47" xr6:coauthVersionMax="47" xr10:uidLastSave="{00000000-0000-0000-0000-000000000000}"/>
  <bookViews>
    <workbookView xWindow="14715" yWindow="2415" windowWidth="10005" windowHeight="5445" activeTab="2" xr2:uid="{4DC6C92A-CD8A-4966-829B-0B6A986E825B}"/>
  </bookViews>
  <sheets>
    <sheet name="REPORTE DIARIO" sheetId="1" r:id="rId1"/>
    <sheet name="DATA" sheetId="4" r:id="rId2"/>
    <sheet name="EPR 3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<sst xmlns="http://schemas.openxmlformats.org/spreadsheetml/2006/main" count="88" uniqueCount="37">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</sst>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22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4312</v>
      </c>
      <c r="D5" s="25">
        <v>111927.26000000001</v>
      </c>
    </row>
    <row r="6" spans="2:8" x14ac:dyDescent="0.25">
      <c r="B6" s="1" t="s">
        <v>5</v>
      </c>
      <c r="C6" s="6">
        <v>4555</v>
      </c>
      <c r="D6" s="25">
        <v>104051.69</v>
      </c>
    </row>
    <row r="7" spans="2:8" x14ac:dyDescent="0.25">
      <c r="B7" s="1" t="s">
        <v>6</v>
      </c>
      <c r="C7" s="6">
        <v>6210</v>
      </c>
      <c r="D7" s="25">
        <v>117227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13408</v>
      </c>
      <c r="D9" s="25">
        <v>107201.31999999999</v>
      </c>
      <c r="F9" s="7"/>
    </row>
    <row r="10" spans="2:8" x14ac:dyDescent="0.25">
      <c r="B10" s="3" t="s">
        <v>8</v>
      </c>
      <c r="C10" s="8">
        <f>SUM(C5:C9)</f>
        <v>28495</v>
      </c>
      <c r="D10" s="4">
        <f>SUM(D5:D9)</f>
        <v>440407.27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2000</v>
      </c>
      <c r="D14" s="25">
        <v>73929.23000000001</v>
      </c>
    </row>
    <row r="15" spans="2:8" x14ac:dyDescent="0.25">
      <c r="B15" s="1" t="s">
        <v>5</v>
      </c>
      <c r="C15" s="6">
        <v>1705</v>
      </c>
      <c r="D15" s="25">
        <v>65966.78</v>
      </c>
    </row>
    <row r="16" spans="2:8" x14ac:dyDescent="0.25">
      <c r="B16" s="1" t="s">
        <v>6</v>
      </c>
      <c r="C16" s="6">
        <v>3071</v>
      </c>
      <c r="D16" s="25">
        <v>10775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21626</v>
      </c>
      <c r="D18" s="25">
        <v>88351.010000000009</v>
      </c>
    </row>
    <row r="19" spans="2:11" x14ac:dyDescent="0.25">
      <c r="B19" s="3" t="s">
        <v>8</v>
      </c>
      <c r="C19" s="8">
        <f>SUM(C14:C18)</f>
        <v>28404</v>
      </c>
      <c r="D19" s="4">
        <f>SUM(D14:D18)</f>
        <v>239022.02000000002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3897</v>
      </c>
      <c r="D23" s="25">
        <v>93634.26</v>
      </c>
    </row>
    <row r="24" spans="2:11" x14ac:dyDescent="0.25">
      <c r="B24" s="9" t="s">
        <v>5</v>
      </c>
      <c r="C24" s="6">
        <v>2284</v>
      </c>
      <c r="D24" s="25">
        <v>49461.83</v>
      </c>
    </row>
    <row r="25" spans="2:11" x14ac:dyDescent="0.25">
      <c r="B25" s="9" t="s">
        <v>6</v>
      </c>
      <c r="C25" s="6">
        <v>1825</v>
      </c>
      <c r="D25" s="25">
        <v>14345.69</v>
      </c>
    </row>
    <row r="26" spans="2:11" x14ac:dyDescent="0.25">
      <c r="B26" s="9" t="s">
        <v>7</v>
      </c>
      <c r="C26" s="6">
        <v>9604</v>
      </c>
      <c r="D26" s="25">
        <v>11821.04</v>
      </c>
    </row>
    <row r="27" spans="2:11" x14ac:dyDescent="0.25">
      <c r="B27" s="10" t="s">
        <v>8</v>
      </c>
      <c r="C27" s="8">
        <f>SUM(C23:C26)</f>
        <v>17610</v>
      </c>
      <c r="D27" s="4">
        <f>SUM(D23:D26)</f>
        <v>169262.82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323</v>
      </c>
      <c r="D31" s="25">
        <v>19756</v>
      </c>
    </row>
    <row r="32" spans="2:11" x14ac:dyDescent="0.25">
      <c r="B32" s="9" t="s">
        <v>5</v>
      </c>
      <c r="C32" s="6">
        <v>1283</v>
      </c>
      <c r="D32" s="25">
        <v>12189.149999999998</v>
      </c>
    </row>
    <row r="33" spans="2:4" x14ac:dyDescent="0.25">
      <c r="B33" s="9" t="s">
        <v>6</v>
      </c>
      <c r="C33" s="6">
        <v>2376</v>
      </c>
      <c r="D33" s="25">
        <v>3455.71</v>
      </c>
    </row>
    <row r="34" spans="2:4" x14ac:dyDescent="0.25">
      <c r="B34" s="9" t="s">
        <v>7</v>
      </c>
      <c r="C34" s="6">
        <v>4260</v>
      </c>
      <c r="D34" s="25">
        <v>3250</v>
      </c>
    </row>
    <row r="35" spans="2:4" x14ac:dyDescent="0.25">
      <c r="B35" s="10" t="s">
        <v>8</v>
      </c>
      <c r="C35" s="8">
        <f>SUM(C31:C34)</f>
        <v>8242</v>
      </c>
      <c r="D35" s="4">
        <f>SUM(D31:D34)</f>
        <v>38650.86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2043</v>
      </c>
      <c r="D39" s="25">
        <v>19863</v>
      </c>
    </row>
    <row r="40" spans="2:4" x14ac:dyDescent="0.25">
      <c r="B40" s="10" t="s">
        <v>8</v>
      </c>
      <c r="C40" s="8">
        <f>SUM(C39:C39)</f>
        <v>2043</v>
      </c>
      <c r="D40" s="4">
        <f>SUM(D39:D39)</f>
        <v>19863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2323</v>
      </c>
    </row>
    <row r="45" spans="2:4" x14ac:dyDescent="0.25">
      <c r="B45" s="1" t="s">
        <v>5</v>
      </c>
      <c r="C45" s="6">
        <v>449</v>
      </c>
      <c r="D45" s="25">
        <v>2523</v>
      </c>
    </row>
    <row r="46" spans="2:4" x14ac:dyDescent="0.25">
      <c r="B46" s="1" t="s">
        <v>6</v>
      </c>
      <c r="C46" s="6">
        <v>325</v>
      </c>
      <c r="D46" s="25">
        <v>600</v>
      </c>
    </row>
    <row r="47" spans="2:4" x14ac:dyDescent="0.25">
      <c r="B47" s="1" t="s">
        <v>7</v>
      </c>
      <c r="C47" s="6">
        <v>1974</v>
      </c>
      <c r="D47" s="25">
        <v>1787</v>
      </c>
    </row>
    <row r="48" spans="2:4" x14ac:dyDescent="0.25">
      <c r="B48" s="3" t="s">
        <v>8</v>
      </c>
      <c r="C48" s="8">
        <f>SUM(C44:C47)</f>
        <v>2785</v>
      </c>
      <c r="D48" s="4">
        <f>SUM(D44:D47)</f>
        <v>7233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6">
        <v>0</v>
      </c>
    </row>
    <row r="53" spans="2:4" x14ac:dyDescent="0.25">
      <c r="B53" s="1" t="s">
        <v>5</v>
      </c>
      <c r="C53" s="6">
        <v>273</v>
      </c>
      <c r="D53" s="25">
        <v>1629</v>
      </c>
    </row>
    <row r="54" spans="2:4" x14ac:dyDescent="0.25">
      <c r="B54" s="1" t="s">
        <v>6</v>
      </c>
      <c r="C54" s="6">
        <v>635</v>
      </c>
      <c r="D54" s="26">
        <v>0</v>
      </c>
    </row>
    <row r="55" spans="2:4" x14ac:dyDescent="0.25">
      <c r="B55" s="1" t="s">
        <v>7</v>
      </c>
      <c r="C55" s="6">
        <v>873</v>
      </c>
      <c r="D55" s="25">
        <v>1785</v>
      </c>
    </row>
    <row r="56" spans="2:4" x14ac:dyDescent="0.25">
      <c r="B56" s="3" t="s">
        <v>8</v>
      </c>
      <c r="C56" s="8">
        <f>SUM(C52:C55)</f>
        <v>1856</v>
      </c>
      <c r="D56" s="4">
        <f>SUM(D52:D55)</f>
        <v>3414</v>
      </c>
    </row>
    <row r="58" spans="2:4" x14ac:dyDescent="0.25">
      <c r="B58" s="12" t="s">
        <v>13</v>
      </c>
      <c r="C58" s="13">
        <f>SUM(C10+C27+C35+C40+C19+C48+C56)</f>
        <v>89435</v>
      </c>
      <c r="D58" s="13">
        <f>SUM(D10+D27+D35+D40+D19+D48+D56)</f>
        <v>917852.97000000009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30 ABR'!C6, 'REPORTE DIARIO'!C:C)</f>
        <v>12687</v>
      </c>
      <c r="E6" s="16">
        <f>SUMIF('REPORTE DIARIO'!B:B,'EPR 30 ABR'!C6, 'REPORTE DIARIO'!D:D)</f>
        <v>321432.75</v>
      </c>
      <c r="F6" s="16">
        <f>J6*D6</f>
        <v>724971.42857142864</v>
      </c>
      <c r="G6" s="16">
        <f>+E6-F6</f>
        <v>-403538.67857142864</v>
      </c>
      <c r="H6" s="15">
        <f>ABS(G6/F6)</f>
        <v>0.55662700993142589</v>
      </c>
      <c r="I6" s="16">
        <f>E6/D6</f>
        <v>25.33559943248995</v>
      </c>
      <c r="J6" s="16">
        <f>(200/7)*2</f>
        <v>57.142857142857146</v>
      </c>
      <c r="K6" s="16">
        <f>+I6-J6</f>
        <v>-31.807257710367196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30 ABR'!C7, 'REPORTE DIARIO'!C:C)</f>
        <v>10549</v>
      </c>
      <c r="E7" s="16">
        <f>SUMIF('REPORTE DIARIO'!B:B,'EPR 30 ABR'!C7, 'REPORTE DIARIO'!D:D)</f>
        <v>235821.44999999998</v>
      </c>
      <c r="F7" s="16">
        <f>J7*D7</f>
        <v>331540</v>
      </c>
      <c r="G7" s="16">
        <f>+E7-F7</f>
        <v>-95718.550000000017</v>
      </c>
      <c r="H7" s="15">
        <f>ABS(G7/F7)</f>
        <v>0.28870890390299819</v>
      </c>
      <c r="I7" s="16">
        <f>E7/D7</f>
        <v>22.354863020191484</v>
      </c>
      <c r="J7" s="16">
        <f>(110/7)*2</f>
        <v>31.428571428571427</v>
      </c>
      <c r="K7" s="16">
        <f t="shared" ref="K7:K9" si="0">+I7-J7</f>
        <v>-9.0737084083799431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30 ABR'!C8, 'REPORTE DIARIO'!C:C)</f>
        <v>14442</v>
      </c>
      <c r="E8" s="16">
        <f>SUMIF('REPORTE DIARIO'!B:B,'EPR 30 ABR'!C8, 'REPORTE DIARIO'!D:D)</f>
        <v>146403.4</v>
      </c>
      <c r="F8" s="16">
        <f>J8*D8</f>
        <v>185682.85714285716</v>
      </c>
      <c r="G8" s="16">
        <f>+E8-F8</f>
        <v>-39279.457142857165</v>
      </c>
      <c r="H8" s="15">
        <f>ABS(G8/F8)</f>
        <v>0.21154056840388383</v>
      </c>
      <c r="I8" s="16">
        <f>E8/D8</f>
        <v>10.137335549092922</v>
      </c>
      <c r="J8" s="16">
        <f>(45/7)*2</f>
        <v>12.857142857142858</v>
      </c>
      <c r="K8" s="16">
        <f t="shared" si="0"/>
        <v>-2.7198073080499352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30 ABR'!C9, 'REPORTE DIARIO'!C:C)</f>
        <v>51745</v>
      </c>
      <c r="E9" s="16">
        <f>SUMIF('REPORTE DIARIO'!B:B,'EPR 30 ABR'!C9, 'REPORTE DIARIO'!D:D)</f>
        <v>214195.37000000002</v>
      </c>
      <c r="F9" s="16">
        <f>J9*D9</f>
        <v>221764.28571428571</v>
      </c>
      <c r="G9" s="16">
        <f>+E9-F9</f>
        <v>-7568.9157142856857</v>
      </c>
      <c r="H9" s="15">
        <f>ABS(G9/F9)</f>
        <v>3.4130453828066995E-2</v>
      </c>
      <c r="I9" s="16">
        <f>E9/D9</f>
        <v>4.1394409121654272</v>
      </c>
      <c r="J9" s="16">
        <f>(15/7)*2</f>
        <v>4.2857142857142856</v>
      </c>
      <c r="K9" s="16">
        <f t="shared" si="0"/>
        <v>-0.14627337354885839</v>
      </c>
    </row>
    <row r="10" spans="2:12" x14ac:dyDescent="0.25">
      <c r="B10" s="16"/>
      <c r="C10" s="19" t="s">
        <v>17</v>
      </c>
      <c r="D10" s="24">
        <f>SUM(D6:D9)</f>
        <v>89423</v>
      </c>
      <c r="E10" s="20">
        <f>SUM(E6:E9)</f>
        <v>917852.97</v>
      </c>
      <c r="F10" s="20">
        <f>SUM(F6:F9)</f>
        <v>1463958.5714285716</v>
      </c>
      <c r="G10" s="20">
        <f>+E10-F10</f>
        <v>-546105.60142857162</v>
      </c>
      <c r="H10" s="21">
        <f>ABS(G10/F10)</f>
        <v>0.37303350797397672</v>
      </c>
      <c r="I10" s="20">
        <f>E10/D10</f>
        <v>10.264171074555763</v>
      </c>
      <c r="J10" s="20">
        <f>F10/D10</f>
        <v>16.371163698696886</v>
      </c>
      <c r="K10" s="20">
        <f>I10-J10</f>
        <v>-6.1069926241411228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2025-04-30T15:53:43Z</dcterms:modified>
</cp:coreProperties>
</file>