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 MAYO\MAÑANA\"/>
    </mc:Choice>
  </mc:AlternateContent>
  <xr:revisionPtr revIDLastSave="0" documentId="13_ncr:1_{F2DC554E-A1FF-4DA2-A058-71DEFD2A5C0C}" xr6:coauthVersionLast="47" xr6:coauthVersionMax="47" xr10:uidLastSave="{00000000-0000-0000-0000-000000000000}"/>
  <bookViews>
    <workbookView xWindow="24030" yWindow="11730" windowWidth="10005" windowHeight="5445" xr2:uid="{4DC6C92A-CD8A-4966-829B-0B6A986E825B}"/>
  </bookViews>
  <sheets>
    <sheet name="REPORTE DIARIO" sheetId="1" r:id="rId1"/>
    <sheet name="DATA" sheetId="4" r:id="rId2"/>
    <sheet name="EPR 03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6" i="3"/>
  <c r="D56" i="1"/>
  <c r="C56" i="1"/>
  <c r="D48" i="1"/>
  <c r="C48" i="1"/>
  <c r="D19" i="1"/>
  <c r="C19" i="1"/>
  <c r="D40" i="1" l="1"/>
  <c r="C40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<sst xmlns="http://schemas.openxmlformats.org/spreadsheetml/2006/main" count="88" uniqueCount="37">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</sst>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8" zoomScaleNormal="100" workbookViewId="0">
      <selection activeCell="C55" sqref="C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4239</v>
      </c>
      <c r="D5" s="25">
        <v>402630.99</v>
      </c>
    </row>
    <row r="6" spans="2:8" x14ac:dyDescent="0.25">
      <c r="B6" s="1" t="s">
        <v>5</v>
      </c>
      <c r="C6" s="6">
        <v>4553</v>
      </c>
      <c r="D6" s="25">
        <v>268648.41000000003</v>
      </c>
    </row>
    <row r="7" spans="2:8" x14ac:dyDescent="0.25">
      <c r="B7" s="1" t="s">
        <v>6</v>
      </c>
      <c r="C7" s="6">
        <v>6249</v>
      </c>
      <c r="D7" s="25">
        <v>194581.33000000002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13424</v>
      </c>
      <c r="D9" s="25">
        <v>330368.97000000003</v>
      </c>
      <c r="E9" s="14"/>
      <c r="F9" s="7"/>
    </row>
    <row r="10" spans="2:8" x14ac:dyDescent="0.25">
      <c r="B10" s="3" t="s">
        <v>8</v>
      </c>
      <c r="C10" s="8">
        <f>SUM(C5:C9)</f>
        <v>28475</v>
      </c>
      <c r="D10" s="4">
        <f>SUM(D5:D9)</f>
        <v>1196229.7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1981</v>
      </c>
      <c r="D14" s="25">
        <v>203457.23999999996</v>
      </c>
    </row>
    <row r="15" spans="2:8" x14ac:dyDescent="0.25">
      <c r="B15" s="1" t="s">
        <v>5</v>
      </c>
      <c r="C15" s="6">
        <v>1735</v>
      </c>
      <c r="D15" s="25">
        <v>175191.8</v>
      </c>
    </row>
    <row r="16" spans="2:8" x14ac:dyDescent="0.25">
      <c r="B16" s="1" t="s">
        <v>6</v>
      </c>
      <c r="C16" s="6">
        <v>3083</v>
      </c>
      <c r="D16" s="25">
        <v>37418.550000000003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21626</v>
      </c>
      <c r="D18" s="25">
        <v>190089.57</v>
      </c>
    </row>
    <row r="19" spans="2:11" x14ac:dyDescent="0.25">
      <c r="B19" s="3" t="s">
        <v>8</v>
      </c>
      <c r="C19" s="8">
        <f>SUM(C14:C18)</f>
        <v>28427</v>
      </c>
      <c r="D19" s="4">
        <f>SUM(D14:D18)</f>
        <v>606157.15999999992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3867</v>
      </c>
      <c r="D23" s="25">
        <v>308765.85000000009</v>
      </c>
    </row>
    <row r="24" spans="2:11" x14ac:dyDescent="0.25">
      <c r="B24" s="9" t="s">
        <v>5</v>
      </c>
      <c r="C24" s="6">
        <v>2266</v>
      </c>
      <c r="D24" s="25">
        <v>131636.84</v>
      </c>
    </row>
    <row r="25" spans="2:11" x14ac:dyDescent="0.25">
      <c r="B25" s="9" t="s">
        <v>6</v>
      </c>
      <c r="C25" s="6">
        <v>1874</v>
      </c>
      <c r="D25" s="25">
        <v>33099.379999999997</v>
      </c>
    </row>
    <row r="26" spans="2:11" x14ac:dyDescent="0.25">
      <c r="B26" s="9" t="s">
        <v>7</v>
      </c>
      <c r="C26" s="6">
        <v>9601</v>
      </c>
      <c r="D26" s="25">
        <v>29067.040000000001</v>
      </c>
    </row>
    <row r="27" spans="2:11" x14ac:dyDescent="0.25">
      <c r="B27" s="10" t="s">
        <v>8</v>
      </c>
      <c r="C27" s="8">
        <f>SUM(C23:C26)</f>
        <v>17608</v>
      </c>
      <c r="D27" s="4">
        <f>SUM(D23:D26)</f>
        <v>502569.11000000004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322</v>
      </c>
      <c r="D31" s="25">
        <v>75049.989999999991</v>
      </c>
    </row>
    <row r="32" spans="2:11" x14ac:dyDescent="0.25">
      <c r="B32" s="9" t="s">
        <v>5</v>
      </c>
      <c r="C32" s="6">
        <v>1305</v>
      </c>
      <c r="D32" s="25">
        <v>65809.38</v>
      </c>
    </row>
    <row r="33" spans="2:4" x14ac:dyDescent="0.25">
      <c r="B33" s="9" t="s">
        <v>6</v>
      </c>
      <c r="C33" s="6">
        <v>2374</v>
      </c>
      <c r="D33" s="25">
        <v>12422.15</v>
      </c>
    </row>
    <row r="34" spans="2:4" x14ac:dyDescent="0.25">
      <c r="B34" s="9" t="s">
        <v>7</v>
      </c>
      <c r="C34" s="6">
        <v>4259</v>
      </c>
      <c r="D34" s="25">
        <v>30001</v>
      </c>
    </row>
    <row r="35" spans="2:4" x14ac:dyDescent="0.25">
      <c r="B35" s="10" t="s">
        <v>8</v>
      </c>
      <c r="C35" s="8">
        <f>SUM(C31:C34)</f>
        <v>8260</v>
      </c>
      <c r="D35" s="4">
        <f>SUM(D31:D34)</f>
        <v>183282.52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2060</v>
      </c>
      <c r="D39" s="25">
        <v>53045</v>
      </c>
    </row>
    <row r="40" spans="2:4" x14ac:dyDescent="0.25">
      <c r="B40" s="10" t="s">
        <v>8</v>
      </c>
      <c r="C40" s="8">
        <f>SUM(C39:C39)</f>
        <v>2060</v>
      </c>
      <c r="D40" s="4">
        <f>SUM(D39:D39)</f>
        <v>53045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37</v>
      </c>
      <c r="D44" s="25">
        <v>2323.7199999999998</v>
      </c>
    </row>
    <row r="45" spans="2:4" x14ac:dyDescent="0.25">
      <c r="B45" s="1" t="s">
        <v>5</v>
      </c>
      <c r="C45" s="6">
        <v>481</v>
      </c>
      <c r="D45" s="25">
        <v>3823</v>
      </c>
    </row>
    <row r="46" spans="2:4" x14ac:dyDescent="0.25">
      <c r="B46" s="1" t="s">
        <v>6</v>
      </c>
      <c r="C46" s="6">
        <v>340</v>
      </c>
      <c r="D46" s="25">
        <v>1920</v>
      </c>
    </row>
    <row r="47" spans="2:4" x14ac:dyDescent="0.25">
      <c r="B47" s="1" t="s">
        <v>7</v>
      </c>
      <c r="C47" s="6">
        <v>1990</v>
      </c>
      <c r="D47" s="25">
        <v>12113</v>
      </c>
    </row>
    <row r="48" spans="2:4" x14ac:dyDescent="0.25">
      <c r="B48" s="3" t="s">
        <v>8</v>
      </c>
      <c r="C48" s="8">
        <f>SUM(C44:C47)</f>
        <v>2848</v>
      </c>
      <c r="D48" s="4">
        <f>SUM(D44:D47)</f>
        <v>20179.72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75</v>
      </c>
      <c r="D52" s="25">
        <v>2637</v>
      </c>
    </row>
    <row r="53" spans="2:4" x14ac:dyDescent="0.25">
      <c r="B53" s="1" t="s">
        <v>5</v>
      </c>
      <c r="C53" s="6">
        <v>305</v>
      </c>
      <c r="D53" s="25">
        <v>1629</v>
      </c>
    </row>
    <row r="54" spans="2:4" x14ac:dyDescent="0.25">
      <c r="B54" s="1" t="s">
        <v>6</v>
      </c>
      <c r="C54" s="6">
        <v>650</v>
      </c>
      <c r="D54" s="26">
        <v>0</v>
      </c>
    </row>
    <row r="55" spans="2:4" x14ac:dyDescent="0.25">
      <c r="B55" s="1" t="s">
        <v>7</v>
      </c>
      <c r="C55" s="6">
        <v>883</v>
      </c>
      <c r="D55" s="25">
        <v>2285</v>
      </c>
    </row>
    <row r="56" spans="2:4" x14ac:dyDescent="0.25">
      <c r="B56" s="3" t="s">
        <v>8</v>
      </c>
      <c r="C56" s="8">
        <f>SUM(C52:C55)</f>
        <v>1913</v>
      </c>
      <c r="D56" s="4">
        <f>SUM(D52:D55)</f>
        <v>6551</v>
      </c>
    </row>
    <row r="58" spans="2:4" x14ac:dyDescent="0.25">
      <c r="B58" s="12" t="s">
        <v>13</v>
      </c>
      <c r="C58" s="13">
        <f>SUM(C10+C27+C35+C40+C19+C48+C56)</f>
        <v>89591</v>
      </c>
      <c r="D58" s="13">
        <f>SUM(D10+D27+D35+D40+D19+D48+D56)</f>
        <v>2568014.2100000004</v>
      </c>
    </row>
  </sheetData>
  <mergeCells count="7">
    <mergeCell ref="B50:D50"/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03 MAYO'!C6, 'REPORTE DIARIO'!C:C)</f>
        <v>12581</v>
      </c>
      <c r="E6" s="16">
        <f>SUMIF('REPORTE DIARIO'!B:B,'EPR 03 MAYO'!C6, 'REPORTE DIARIO'!D:D)</f>
        <v>1047909.79</v>
      </c>
      <c r="F6" s="16">
        <f>J6*D6</f>
        <v>2372417.1428571427</v>
      </c>
      <c r="G6" s="16">
        <f>+E6-F6</f>
        <v>-1324507.3528571427</v>
      </c>
      <c r="H6" s="15">
        <f>ABS(G6/F6)</f>
        <v>0.55829446218805168</v>
      </c>
      <c r="I6" s="16">
        <f>E6/D6</f>
        <v>83.293044273110254</v>
      </c>
      <c r="J6" s="16">
        <f>(220/7)*6</f>
        <v>188.57142857142856</v>
      </c>
      <c r="K6" s="16">
        <f>+I6-J6</f>
        <v>-105.2783842983183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03 MAYO'!C7, 'REPORTE DIARIO'!C:C)</f>
        <v>10645</v>
      </c>
      <c r="E7" s="16">
        <f>SUMIF('REPORTE DIARIO'!B:B,'EPR 03 MAYO'!C7, 'REPORTE DIARIO'!D:D)</f>
        <v>646738.43000000005</v>
      </c>
      <c r="F7" s="16">
        <f>J7*D7</f>
        <v>1003671.4285714285</v>
      </c>
      <c r="G7" s="16">
        <f>+E7-F7</f>
        <v>-356932.99857142847</v>
      </c>
      <c r="H7" s="15">
        <f>ABS(G7/F7)</f>
        <v>0.35562733820117559</v>
      </c>
      <c r="I7" s="16">
        <f>E7/D7</f>
        <v>60.755136683889155</v>
      </c>
      <c r="J7" s="16">
        <f>(110/7)*6</f>
        <v>94.285714285714278</v>
      </c>
      <c r="K7" s="16">
        <f t="shared" ref="K7:K9" si="0">+I7-J7</f>
        <v>-33.530577601825122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03 MAYO'!C8, 'REPORTE DIARIO'!C:C)</f>
        <v>14570</v>
      </c>
      <c r="E8" s="16">
        <f>SUMIF('REPORTE DIARIO'!B:B,'EPR 03 MAYO'!C8, 'REPORTE DIARIO'!D:D)</f>
        <v>279441.41000000003</v>
      </c>
      <c r="F8" s="16">
        <f>J8*D8</f>
        <v>561985.7142857142</v>
      </c>
      <c r="G8" s="16">
        <f>+E8-F8</f>
        <v>-282544.30428571417</v>
      </c>
      <c r="H8" s="15">
        <f>ABS(G8/F8)</f>
        <v>0.50276065227890887</v>
      </c>
      <c r="I8" s="16">
        <f>E8/D8</f>
        <v>19.179231983527799</v>
      </c>
      <c r="J8" s="16">
        <f>(45/7)*6</f>
        <v>38.571428571428569</v>
      </c>
      <c r="K8" s="16">
        <f t="shared" si="0"/>
        <v>-19.39219658790077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03 MAYO'!C9, 'REPORTE DIARIO'!C:C)</f>
        <v>51783</v>
      </c>
      <c r="E9" s="16">
        <f>SUMIF('REPORTE DIARIO'!B:B,'EPR 03 MAYO'!C9, 'REPORTE DIARIO'!D:D)</f>
        <v>593924.58000000007</v>
      </c>
      <c r="F9" s="16">
        <f>J9*D9</f>
        <v>665781.42857142864</v>
      </c>
      <c r="G9" s="16">
        <f>+E9-F9</f>
        <v>-71856.848571428563</v>
      </c>
      <c r="H9" s="15">
        <f>ABS(G9/F9)</f>
        <v>0.10792858660178048</v>
      </c>
      <c r="I9" s="16">
        <f>E9/D9</f>
        <v>11.469489600834253</v>
      </c>
      <c r="J9" s="16">
        <f>(15/7)*6</f>
        <v>12.857142857142858</v>
      </c>
      <c r="K9" s="16">
        <f t="shared" si="0"/>
        <v>-1.3876532563086048</v>
      </c>
    </row>
    <row r="10" spans="2:12" x14ac:dyDescent="0.25">
      <c r="B10" s="16"/>
      <c r="C10" s="19" t="s">
        <v>17</v>
      </c>
      <c r="D10" s="24">
        <f>SUM(D6:D9)</f>
        <v>89579</v>
      </c>
      <c r="E10" s="20">
        <f>SUM(E6:E9)</f>
        <v>2568014.2100000004</v>
      </c>
      <c r="F10" s="20">
        <f>SUM(F6:F9)</f>
        <v>4603855.7142857146</v>
      </c>
      <c r="G10" s="20">
        <f>+E10-F10</f>
        <v>-2035841.5042857141</v>
      </c>
      <c r="H10" s="21">
        <f>ABS(G10/F10)</f>
        <v>0.44220358556601153</v>
      </c>
      <c r="I10" s="20">
        <f>E10/D10</f>
        <v>28.667591846303267</v>
      </c>
      <c r="J10" s="20">
        <f>F10/D10</f>
        <v>51.394363793810093</v>
      </c>
      <c r="K10" s="20">
        <f>I10-J10</f>
        <v>-22.726771947506826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03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2025-05-03T15:50:16Z</dcterms:modified>
</cp:coreProperties>
</file>