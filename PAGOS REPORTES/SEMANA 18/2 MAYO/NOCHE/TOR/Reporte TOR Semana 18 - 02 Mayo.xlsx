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NOCHE\TOR\"/>
    </mc:Choice>
  </mc:AlternateContent>
  <xr:revisionPtr revIDLastSave="0" documentId="13_ncr:1_{9A3D52A1-758B-4ACD-9BFC-B981005713F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0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H7" i="3"/>
  <c r="G7" i="3"/>
  <c r="F7" i="3"/>
  <c r="D26" i="1"/>
  <c r="D31" i="1"/>
  <c r="C31" i="1"/>
  <c r="C26" i="1"/>
  <c r="D11" i="1" l="1"/>
  <c r="C11" i="1"/>
  <c r="D16" i="1"/>
  <c r="C16" i="1"/>
  <c r="D21" i="1"/>
  <c r="C21" i="1"/>
  <c r="D6" i="1"/>
  <c r="C6" i="1"/>
  <c r="E6" i="3"/>
  <c r="D6" i="3"/>
  <c r="C33" i="1" l="1"/>
  <c r="D33" i="1"/>
  <c r="D7" i="3"/>
  <c r="E7" i="3"/>
</calcChain>
</file>

<file path=xl/sharedStrings.xml><?xml version="1.0" encoding="utf-8"?>
<sst xmlns="http://schemas.openxmlformats.org/spreadsheetml/2006/main" count="52" uniqueCount="26">
  <si>
    <t>COBRANZA GENERAL  SAMANTHA</t>
  </si>
  <si>
    <t>Segmento</t>
  </si>
  <si>
    <t>Cuentas</t>
  </si>
  <si>
    <t>Recuperación</t>
  </si>
  <si>
    <t>Mas 55 semanas de atraso</t>
  </si>
  <si>
    <t>Total general</t>
  </si>
  <si>
    <t>COBRANZA GENERAL  SOFIA</t>
  </si>
  <si>
    <t>COBRANZA GENERAL  EDITH</t>
  </si>
  <si>
    <t>Cobranza Total</t>
  </si>
  <si>
    <t>CUENTAS</t>
  </si>
  <si>
    <t>TOTAL</t>
  </si>
  <si>
    <t>REPORTE CONSOLIDADO POR SEGMENTOS</t>
  </si>
  <si>
    <t>Nota:</t>
  </si>
  <si>
    <t>El saldo consolidado incluye los siguientes despachos</t>
  </si>
  <si>
    <t>COBRANZA REAL</t>
  </si>
  <si>
    <t>COORDINADOR</t>
  </si>
  <si>
    <t>SEGMENTO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</si>
  <si>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</si>
  <si>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</si>
  <si>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</si>
  <si>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</si>
  <si>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02 MAYO</t>
  </si>
  <si>
    <t>Convenios Registrados</t>
  </si>
  <si>
    <t>Convenios Cobrados</t>
  </si>
  <si>
    <t>Convenios Ideales</t>
  </si>
  <si>
    <t>Cristian Cortés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</si>
</sst>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7" formatCode="0_ ;[Red]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3" fontId="0" fillId="0" borderId="0" xfId="0" applyNumberFormat="1"/>
    <xf numFmtId="4" fontId="0" fillId="0" borderId="1" xfId="0" applyNumberFormat="1" applyBorder="1"/>
    <xf numFmtId="1" fontId="0" fillId="0" borderId="0" xfId="0" applyNumberFormat="1"/>
    <xf numFmtId="167" fontId="3" fillId="0" borderId="0" xfId="0" applyNumberFormat="1" applyFont="1"/>
    <xf numFmtId="3" fontId="3" fillId="0" borderId="0" xfId="0" applyNumberFormat="1" applyFont="1"/>
  </cellXfs>
  <cellStyles count="2">
    <cellStyle name="Millares" xfId="1" builtinId="3"/>
    <cellStyle name="Normal" xfId="0" builtinId="0"/>
  </cellStyles>
  <dxfs count="7"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H7" totalsRowShown="0">
  <tableColumns count="7">
    <tableColumn id="10" xr3:uid="{E2572DBF-4CD3-4511-AFD2-8A81A35C7CDE}" name="COORDINADOR" dataDxfId="6"/>
    <tableColumn id="1" xr3:uid="{9B9925FF-5C6A-4926-9062-251DAD38C2AE}" name="SEGMENTO" dataDxfId="5"/>
    <tableColumn id="2" xr3:uid="{E838DF92-80B1-4D21-9BF7-A170DE386593}" name="CUENTAS" dataDxfId="4"/>
    <tableColumn id="3" xr3:uid="{F53A5B40-25BE-4590-A6F8-C5317A4E1532}" name="COBRANZA REAL" dataDxfId="3"/>
    <tableColumn id="4" xr3:uid="{0F8304F9-3539-4520-BB51-0958821ACD10}" name="Convenios Registrados" dataDxfId="2"/>
    <tableColumn id="5" xr3:uid="{BA014B50-E674-49B5-943E-C0F72C0EFA90}" name="Convenios Cobrados" dataDxfId="1">
      <calculatedColumnFormula>+E6-F6</calculatedColumnFormula>
    </tableColumn>
    <tableColumn id="6" xr3:uid="{0E52C3C2-FFCD-49C1-927E-6CFD2905826E}" name="Convenios Ideales" dataDxfId="0">
      <calculatedColumnFormula>150/7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33"/>
  <sheetViews>
    <sheetView showGridLines="0" workbookViewId="0">
      <selection activeCell="D30" sqref="D3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11" x14ac:dyDescent="0.25">
      <c r="B3" s="22" t="s">
        <v>0</v>
      </c>
      <c r="C3" s="22"/>
      <c r="D3" s="22"/>
      <c r="H3" s="6"/>
    </row>
    <row r="4" spans="2:11" x14ac:dyDescent="0.25">
      <c r="B4" s="2" t="s">
        <v>1</v>
      </c>
      <c r="C4" s="2" t="s">
        <v>2</v>
      </c>
      <c r="D4" s="2" t="s">
        <v>3</v>
      </c>
    </row>
    <row r="5" spans="2:11" x14ac:dyDescent="0.25">
      <c r="B5" s="1" t="s">
        <v>4</v>
      </c>
      <c r="C5" s="24">
        <v>7983</v>
      </c>
      <c r="D5" s="25">
        <v>54664.520000000004</v>
      </c>
    </row>
    <row r="6" spans="2:11" x14ac:dyDescent="0.25">
      <c r="B6" s="3" t="s">
        <v>5</v>
      </c>
      <c r="C6" s="6">
        <f>SUM(C5:C5)</f>
        <v>7983</v>
      </c>
      <c r="D6" s="4">
        <f>SUM(D5:D5)</f>
        <v>54664.520000000004</v>
      </c>
    </row>
    <row r="8" spans="2:11" x14ac:dyDescent="0.25">
      <c r="B8" s="22" t="s">
        <v>17</v>
      </c>
      <c r="C8" s="22"/>
      <c r="D8" s="22"/>
    </row>
    <row r="9" spans="2:11" x14ac:dyDescent="0.25">
      <c r="B9" s="2" t="s">
        <v>1</v>
      </c>
      <c r="C9" s="2" t="s">
        <v>2</v>
      </c>
      <c r="D9" s="2" t="s">
        <v>3</v>
      </c>
    </row>
    <row r="10" spans="2:11" x14ac:dyDescent="0.25">
      <c r="B10" s="1" t="s">
        <v>4</v>
      </c>
      <c r="C10" s="24">
        <v>1894</v>
      </c>
      <c r="D10" s="25">
        <v>7614</v>
      </c>
    </row>
    <row r="11" spans="2:11" x14ac:dyDescent="0.25">
      <c r="B11" s="3" t="s">
        <v>5</v>
      </c>
      <c r="C11" s="6">
        <f>SUM(C10:C10)</f>
        <v>1894</v>
      </c>
      <c r="D11" s="4">
        <f>SUM(D10:D10)</f>
        <v>7614</v>
      </c>
    </row>
    <row r="13" spans="2:11" x14ac:dyDescent="0.25">
      <c r="B13" s="23" t="s">
        <v>7</v>
      </c>
      <c r="C13" s="23"/>
      <c r="D13" s="23"/>
    </row>
    <row r="14" spans="2:11" x14ac:dyDescent="0.25">
      <c r="B14" s="4" t="s">
        <v>1</v>
      </c>
      <c r="C14" s="4" t="s">
        <v>2</v>
      </c>
      <c r="D14" s="4" t="s">
        <v>3</v>
      </c>
    </row>
    <row r="15" spans="2:11" x14ac:dyDescent="0.25">
      <c r="B15" s="7" t="s">
        <v>4</v>
      </c>
      <c r="C15" s="24">
        <v>9601</v>
      </c>
      <c r="D15" s="25">
        <v>4408</v>
      </c>
      <c r="K15" s="5"/>
    </row>
    <row r="16" spans="2:11" x14ac:dyDescent="0.25">
      <c r="B16" s="8" t="s">
        <v>5</v>
      </c>
      <c r="C16" s="6">
        <f>SUM(C15:C15)</f>
        <v>9601</v>
      </c>
      <c r="D16" s="4">
        <f>SUM(D15:D15)</f>
        <v>4408</v>
      </c>
    </row>
    <row r="18" spans="2:4" x14ac:dyDescent="0.25">
      <c r="B18" s="22" t="s">
        <v>6</v>
      </c>
      <c r="C18" s="22"/>
      <c r="D18" s="22"/>
    </row>
    <row r="19" spans="2:4" x14ac:dyDescent="0.25">
      <c r="B19" s="2" t="s">
        <v>1</v>
      </c>
      <c r="C19" s="2" t="s">
        <v>2</v>
      </c>
      <c r="D19" s="2" t="s">
        <v>3</v>
      </c>
    </row>
    <row r="20" spans="2:4" x14ac:dyDescent="0.25">
      <c r="B20" s="7" t="s">
        <v>4</v>
      </c>
      <c r="C20" s="24">
        <v>4259</v>
      </c>
      <c r="D20" s="25">
        <v>18326</v>
      </c>
    </row>
    <row r="21" spans="2:4" x14ac:dyDescent="0.25">
      <c r="B21" s="8" t="s">
        <v>5</v>
      </c>
      <c r="C21" s="6">
        <f>SUM(C20:C20)</f>
        <v>4259</v>
      </c>
      <c r="D21" s="4">
        <f>SUM(D20:D20)</f>
        <v>18326</v>
      </c>
    </row>
    <row r="23" spans="2:4" x14ac:dyDescent="0.25">
      <c r="B23" s="22" t="s">
        <v>18</v>
      </c>
      <c r="C23" s="22"/>
      <c r="D23" s="22"/>
    </row>
    <row r="24" spans="2:4" x14ac:dyDescent="0.25">
      <c r="B24" s="2" t="s">
        <v>1</v>
      </c>
      <c r="C24" s="2" t="s">
        <v>2</v>
      </c>
      <c r="D24" s="2" t="s">
        <v>3</v>
      </c>
    </row>
    <row r="25" spans="2:4" x14ac:dyDescent="0.25">
      <c r="B25" s="1" t="s">
        <v>4</v>
      </c>
      <c r="C25" s="24">
        <v>326</v>
      </c>
      <c r="D25" s="25">
        <v>1385</v>
      </c>
    </row>
    <row r="26" spans="2:4" x14ac:dyDescent="0.25">
      <c r="B26" s="3" t="s">
        <v>5</v>
      </c>
      <c r="C26" s="6">
        <f>SUM(C25:C25)</f>
        <v>326</v>
      </c>
      <c r="D26" s="4">
        <f>SUM(D25:D25)</f>
        <v>1385</v>
      </c>
    </row>
    <row r="28" spans="2:4" x14ac:dyDescent="0.25">
      <c r="B28" s="22" t="s">
        <v>19</v>
      </c>
      <c r="C28" s="22"/>
      <c r="D28" s="22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4</v>
      </c>
      <c r="C30" s="24">
        <v>6</v>
      </c>
      <c r="D30" s="21">
        <v>0</v>
      </c>
    </row>
    <row r="31" spans="2:4" x14ac:dyDescent="0.25">
      <c r="B31" s="3" t="s">
        <v>5</v>
      </c>
      <c r="C31" s="6">
        <f>SUM(C30:C30)</f>
        <v>6</v>
      </c>
      <c r="D31" s="4">
        <f>SUM(D30:D30)</f>
        <v>0</v>
      </c>
    </row>
    <row r="33" spans="2:4" x14ac:dyDescent="0.25">
      <c r="B33" s="9" t="s">
        <v>8</v>
      </c>
      <c r="C33" s="10">
        <f>SUM(C6+C21+C16+C11+C26+C31)</f>
        <v>24069</v>
      </c>
      <c r="D33" s="10">
        <f>SUM(D6+D21+D16+D11+D26+D31)</f>
        <v>86397.52</v>
      </c>
    </row>
  </sheetData>
  <mergeCells count="6">
    <mergeCell ref="B28:D28"/>
    <mergeCell ref="B3:D3"/>
    <mergeCell ref="B18:D18"/>
    <mergeCell ref="B23:D23"/>
    <mergeCell ref="B8:D8"/>
    <mergeCell ref="B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I11"/>
  <sheetViews>
    <sheetView showGridLines="0" tabSelected="1" zoomScale="130" zoomScaleNormal="130" workbookViewId="0">
      <selection activeCell="A2" sqref="A2"/>
    </sheetView>
  </sheetViews>
  <sheetFormatPr baseColWidth="10" defaultRowHeight="15" x14ac:dyDescent="0.25"/>
  <cols>
    <col min="2" max="2" width="59" bestFit="1" customWidth="1"/>
    <col min="3" max="3" width="24" bestFit="1" customWidth="1"/>
    <col min="4" max="4" width="9.28515625" bestFit="1" customWidth="1"/>
    <col min="5" max="5" width="15.85546875" bestFit="1" customWidth="1"/>
    <col min="6" max="6" width="21.28515625" bestFit="1" customWidth="1"/>
    <col min="7" max="7" width="19.140625" bestFit="1" customWidth="1"/>
    <col min="8" max="8" width="17.28515625" bestFit="1" customWidth="1"/>
    <col min="9" max="11" width="9.85546875" bestFit="1" customWidth="1"/>
    <col min="12" max="12" width="15.7109375" bestFit="1" customWidth="1"/>
  </cols>
  <sheetData>
    <row r="2" spans="2:9" ht="15.75" x14ac:dyDescent="0.25">
      <c r="B2" s="15" t="s">
        <v>11</v>
      </c>
    </row>
    <row r="3" spans="2:9" x14ac:dyDescent="0.25">
      <c r="B3" s="14" t="s">
        <v>21</v>
      </c>
    </row>
    <row r="5" spans="2:9" x14ac:dyDescent="0.25">
      <c r="B5" t="s">
        <v>15</v>
      </c>
      <c r="C5" t="s">
        <v>16</v>
      </c>
      <c r="D5" s="14" t="s">
        <v>9</v>
      </c>
      <c r="E5" s="14" t="s">
        <v>14</v>
      </c>
      <c r="F5" s="14" t="s">
        <v>22</v>
      </c>
      <c r="G5" s="14" t="s">
        <v>23</v>
      </c>
      <c r="H5" s="14" t="s">
        <v>24</v>
      </c>
      <c r="I5" s="12"/>
    </row>
    <row r="6" spans="2:9" x14ac:dyDescent="0.25">
      <c r="B6" s="13" t="s">
        <v>25</v>
      </c>
      <c r="C6" s="1" t="s">
        <v>4</v>
      </c>
      <c r="D6" s="19">
        <f>SUMIF('REPORTE DIARIO'!B:B,'EPR 02 MAYO'!C6, 'REPORTE DIARIO'!C:C)</f>
        <v>24069</v>
      </c>
      <c r="E6" s="13">
        <f>SUMIF('REPORTE DIARIO'!B:B,'EPR 02 MAYO'!C6, 'REPORTE DIARIO'!D:D)</f>
        <v>86397.52</v>
      </c>
      <c r="F6" s="26">
        <v>0</v>
      </c>
      <c r="G6" s="26">
        <v>0</v>
      </c>
      <c r="H6" s="26">
        <f t="shared" ref="H6" si="0">150/7</f>
        <v>21.428571428571427</v>
      </c>
    </row>
    <row r="7" spans="2:9" x14ac:dyDescent="0.25">
      <c r="B7" s="13"/>
      <c r="C7" s="16" t="s">
        <v>10</v>
      </c>
      <c r="D7" s="20">
        <f>SUM(D6:D6)</f>
        <v>24069</v>
      </c>
      <c r="E7" s="17">
        <f>SUM(E6:E6)</f>
        <v>86397.52</v>
      </c>
      <c r="F7" s="20">
        <f>F6</f>
        <v>0</v>
      </c>
      <c r="G7" s="27">
        <f>G6</f>
        <v>0</v>
      </c>
      <c r="H7" s="28">
        <f>H6</f>
        <v>21.428571428571427</v>
      </c>
    </row>
    <row r="9" spans="2:9" x14ac:dyDescent="0.25">
      <c r="B9" s="18" t="s">
        <v>12</v>
      </c>
      <c r="I9" s="11"/>
    </row>
    <row r="10" spans="2:9" x14ac:dyDescent="0.25">
      <c r="B10" t="s">
        <v>13</v>
      </c>
    </row>
    <row r="11" spans="2:9" x14ac:dyDescent="0.25">
      <c r="B11" t="s">
        <v>20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2025-05-03T04:20:56Z</dcterms:modified>
</cp:coreProperties>
</file>