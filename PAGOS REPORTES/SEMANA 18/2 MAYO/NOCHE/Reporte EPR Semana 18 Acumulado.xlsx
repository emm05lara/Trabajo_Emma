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 MAYO\NOCHE\"/>
    </mc:Choice>
  </mc:AlternateContent>
  <xr:revisionPtr revIDLastSave="0" documentId="13_ncr:1_{BBBFD3F6-DA14-4286-AB9D-D7745F6FEEEF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02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J9" i="3"/>
  <c r="J8" i="3"/>
  <c r="J7" i="3"/>
  <c r="D6" i="3"/>
  <c r="D56" i="1"/>
  <c r="C56" i="1"/>
  <c r="D48" i="1"/>
  <c r="C48" i="1"/>
  <c r="D19" i="1"/>
  <c r="C19" i="1"/>
  <c r="D40" i="1" l="1"/>
  <c r="C40" i="1"/>
  <c r="D35" i="1"/>
  <c r="C35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<sst xmlns="http://schemas.openxmlformats.org/spreadsheetml/2006/main" count="88" uniqueCount="37">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</sst>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25" zoomScaleNormal="100" workbookViewId="0">
      <selection activeCell="E53" sqref="E5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4239</v>
      </c>
      <c r="D5" s="25">
        <v>393342.87</v>
      </c>
    </row>
    <row r="6" spans="2:8" x14ac:dyDescent="0.25">
      <c r="B6" s="1" t="s">
        <v>5</v>
      </c>
      <c r="C6" s="6">
        <v>4553</v>
      </c>
      <c r="D6" s="25">
        <v>264225.40999999997</v>
      </c>
    </row>
    <row r="7" spans="2:8" x14ac:dyDescent="0.25">
      <c r="B7" s="1" t="s">
        <v>6</v>
      </c>
      <c r="C7" s="6">
        <v>6249</v>
      </c>
      <c r="D7" s="25">
        <v>187902.19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13424</v>
      </c>
      <c r="D9" s="25">
        <v>322904.10000000003</v>
      </c>
      <c r="E9" s="14"/>
      <c r="F9" s="7"/>
    </row>
    <row r="10" spans="2:8" x14ac:dyDescent="0.25">
      <c r="B10" s="3" t="s">
        <v>8</v>
      </c>
      <c r="C10" s="8">
        <f>SUM(C5:C9)</f>
        <v>28475</v>
      </c>
      <c r="D10" s="4">
        <f>SUM(D5:D9)</f>
        <v>1168374.57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1981</v>
      </c>
      <c r="D14" s="25">
        <v>200124.31999999998</v>
      </c>
    </row>
    <row r="15" spans="2:8" x14ac:dyDescent="0.25">
      <c r="B15" s="1" t="s">
        <v>5</v>
      </c>
      <c r="C15" s="6">
        <v>1735</v>
      </c>
      <c r="D15" s="25">
        <v>174374.78</v>
      </c>
    </row>
    <row r="16" spans="2:8" x14ac:dyDescent="0.25">
      <c r="B16" s="1" t="s">
        <v>6</v>
      </c>
      <c r="C16" s="6">
        <v>3083</v>
      </c>
      <c r="D16" s="25">
        <v>37253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21626</v>
      </c>
      <c r="D18" s="25">
        <v>189908.57</v>
      </c>
    </row>
    <row r="19" spans="2:11" x14ac:dyDescent="0.25">
      <c r="B19" s="3" t="s">
        <v>8</v>
      </c>
      <c r="C19" s="8">
        <f>SUM(C14:C18)</f>
        <v>28427</v>
      </c>
      <c r="D19" s="4">
        <f>SUM(D14:D18)</f>
        <v>601660.66999999993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3867</v>
      </c>
      <c r="D23" s="25">
        <v>297968.90000000002</v>
      </c>
    </row>
    <row r="24" spans="2:11" x14ac:dyDescent="0.25">
      <c r="B24" s="9" t="s">
        <v>5</v>
      </c>
      <c r="C24" s="6">
        <v>2266</v>
      </c>
      <c r="D24" s="25">
        <v>129647.15</v>
      </c>
    </row>
    <row r="25" spans="2:11" x14ac:dyDescent="0.25">
      <c r="B25" s="9" t="s">
        <v>6</v>
      </c>
      <c r="C25" s="6">
        <v>1874</v>
      </c>
      <c r="D25" s="25">
        <v>32496.379999999997</v>
      </c>
    </row>
    <row r="26" spans="2:11" x14ac:dyDescent="0.25">
      <c r="B26" s="9" t="s">
        <v>7</v>
      </c>
      <c r="C26" s="6">
        <v>9601</v>
      </c>
      <c r="D26" s="25">
        <v>28575.040000000001</v>
      </c>
    </row>
    <row r="27" spans="2:11" x14ac:dyDescent="0.25">
      <c r="B27" s="10" t="s">
        <v>8</v>
      </c>
      <c r="C27" s="8">
        <f>SUM(C23:C26)</f>
        <v>17608</v>
      </c>
      <c r="D27" s="4">
        <f>SUM(D23:D26)</f>
        <v>488687.47000000003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322</v>
      </c>
      <c r="D31" s="25">
        <v>72929.2</v>
      </c>
    </row>
    <row r="32" spans="2:11" x14ac:dyDescent="0.25">
      <c r="B32" s="9" t="s">
        <v>5</v>
      </c>
      <c r="C32" s="6">
        <v>1305</v>
      </c>
      <c r="D32" s="25">
        <v>66029.38</v>
      </c>
    </row>
    <row r="33" spans="2:4" x14ac:dyDescent="0.25">
      <c r="B33" s="9" t="s">
        <v>6</v>
      </c>
      <c r="C33" s="6">
        <v>2374</v>
      </c>
      <c r="D33" s="25">
        <v>11699.15</v>
      </c>
    </row>
    <row r="34" spans="2:4" x14ac:dyDescent="0.25">
      <c r="B34" s="9" t="s">
        <v>7</v>
      </c>
      <c r="C34" s="6">
        <v>4259</v>
      </c>
      <c r="D34" s="25">
        <v>30001</v>
      </c>
    </row>
    <row r="35" spans="2:4" x14ac:dyDescent="0.25">
      <c r="B35" s="10" t="s">
        <v>8</v>
      </c>
      <c r="C35" s="8">
        <f>SUM(C31:C34)</f>
        <v>8260</v>
      </c>
      <c r="D35" s="4">
        <f>SUM(D31:D34)</f>
        <v>180658.73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2060</v>
      </c>
      <c r="D39" s="25">
        <v>52628</v>
      </c>
    </row>
    <row r="40" spans="2:4" x14ac:dyDescent="0.25">
      <c r="B40" s="10" t="s">
        <v>8</v>
      </c>
      <c r="C40" s="8">
        <f>SUM(C39:C39)</f>
        <v>2060</v>
      </c>
      <c r="D40" s="4">
        <f>SUM(D39:D39)</f>
        <v>52628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37</v>
      </c>
      <c r="D44" s="25">
        <v>2323</v>
      </c>
    </row>
    <row r="45" spans="2:4" x14ac:dyDescent="0.25">
      <c r="B45" s="1" t="s">
        <v>5</v>
      </c>
      <c r="C45" s="6">
        <v>481</v>
      </c>
      <c r="D45" s="25">
        <v>3823</v>
      </c>
    </row>
    <row r="46" spans="2:4" x14ac:dyDescent="0.25">
      <c r="B46" s="1" t="s">
        <v>6</v>
      </c>
      <c r="C46" s="6">
        <v>340</v>
      </c>
      <c r="D46" s="25">
        <v>1920</v>
      </c>
    </row>
    <row r="47" spans="2:4" x14ac:dyDescent="0.25">
      <c r="B47" s="1" t="s">
        <v>7</v>
      </c>
      <c r="C47" s="6">
        <v>1990</v>
      </c>
      <c r="D47" s="25">
        <v>12113</v>
      </c>
    </row>
    <row r="48" spans="2:4" x14ac:dyDescent="0.25">
      <c r="B48" s="3" t="s">
        <v>8</v>
      </c>
      <c r="C48" s="8">
        <f>SUM(C44:C47)</f>
        <v>2848</v>
      </c>
      <c r="D48" s="4">
        <f>SUM(D44:D47)</f>
        <v>20179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75</v>
      </c>
      <c r="D52" s="25">
        <v>2637</v>
      </c>
    </row>
    <row r="53" spans="2:4" x14ac:dyDescent="0.25">
      <c r="B53" s="1" t="s">
        <v>5</v>
      </c>
      <c r="C53" s="6">
        <v>305</v>
      </c>
      <c r="D53" s="25">
        <v>1629</v>
      </c>
    </row>
    <row r="54" spans="2:4" x14ac:dyDescent="0.25">
      <c r="B54" s="1" t="s">
        <v>6</v>
      </c>
      <c r="C54" s="6">
        <v>650</v>
      </c>
      <c r="D54" s="26">
        <v>0</v>
      </c>
    </row>
    <row r="55" spans="2:4" x14ac:dyDescent="0.25">
      <c r="B55" s="1" t="s">
        <v>7</v>
      </c>
      <c r="C55" s="6">
        <v>883</v>
      </c>
      <c r="D55" s="25">
        <v>2285</v>
      </c>
    </row>
    <row r="56" spans="2:4" x14ac:dyDescent="0.25">
      <c r="B56" s="3" t="s">
        <v>8</v>
      </c>
      <c r="C56" s="8">
        <f>SUM(C52:C55)</f>
        <v>1913</v>
      </c>
      <c r="D56" s="4">
        <f>SUM(D52:D55)</f>
        <v>6551</v>
      </c>
    </row>
    <row r="58" spans="2:4" x14ac:dyDescent="0.25">
      <c r="B58" s="12" t="s">
        <v>13</v>
      </c>
      <c r="C58" s="13">
        <f>SUM(C10+C27+C35+C40+C19+C48+C56)</f>
        <v>89591</v>
      </c>
      <c r="D58" s="13">
        <f>SUM(D10+D27+D35+D40+D19+D48+D56)</f>
        <v>2518739.44</v>
      </c>
    </row>
  </sheetData>
  <mergeCells count="7">
    <mergeCell ref="B50:D50"/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K10" sqref="K10"/>
    </sheetView>
  </sheetViews>
  <sheetFormatPr baseColWidth="10" defaultRowHeight="15" x14ac:dyDescent="0.25"/>
  <cols>
    <col min="2" max="2" width="18.14062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02 MAYO'!C6, 'REPORTE DIARIO'!C:C)</f>
        <v>12581</v>
      </c>
      <c r="E6" s="16">
        <f>SUMIF('REPORTE DIARIO'!B:B,'EPR 02 MAYO'!C6, 'REPORTE DIARIO'!D:D)</f>
        <v>1021953.2899999999</v>
      </c>
      <c r="F6" s="16">
        <f>J6*D6</f>
        <v>1977014.2857142857</v>
      </c>
      <c r="G6" s="16">
        <f>+E6-F6</f>
        <v>-955060.99571428576</v>
      </c>
      <c r="H6" s="15">
        <f>ABS(G6/F6)</f>
        <v>0.48308249597155889</v>
      </c>
      <c r="I6" s="16">
        <f>E6/D6</f>
        <v>81.229893490183599</v>
      </c>
      <c r="J6" s="16">
        <f>(220/7)*5</f>
        <v>157.14285714285714</v>
      </c>
      <c r="K6" s="16">
        <f>+I6-J6</f>
        <v>-75.91296365267354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02 MAYO'!C7, 'REPORTE DIARIO'!C:C)</f>
        <v>10645</v>
      </c>
      <c r="E7" s="16">
        <f>SUMIF('REPORTE DIARIO'!B:B,'EPR 02 MAYO'!C7, 'REPORTE DIARIO'!D:D)</f>
        <v>639728.72</v>
      </c>
      <c r="F7" s="16">
        <f>J7*D7</f>
        <v>836392.85714285716</v>
      </c>
      <c r="G7" s="16">
        <f>+E7-F7</f>
        <v>-196664.13714285719</v>
      </c>
      <c r="H7" s="15">
        <f>ABS(G7/F7)</f>
        <v>0.23513368803108592</v>
      </c>
      <c r="I7" s="16">
        <f>E7/D7</f>
        <v>60.096638797557539</v>
      </c>
      <c r="J7" s="16">
        <f>(110/7)*5</f>
        <v>78.571428571428569</v>
      </c>
      <c r="K7" s="16">
        <f t="shared" ref="K7:K9" si="0">+I7-J7</f>
        <v>-18.474789773871031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02 MAYO'!C8, 'REPORTE DIARIO'!C:C)</f>
        <v>14570</v>
      </c>
      <c r="E8" s="16">
        <f>SUMIF('REPORTE DIARIO'!B:B,'EPR 02 MAYO'!C8, 'REPORTE DIARIO'!D:D)</f>
        <v>271270.72000000003</v>
      </c>
      <c r="F8" s="16">
        <f>J8*D8</f>
        <v>468321.42857142864</v>
      </c>
      <c r="G8" s="16">
        <f>+E8-F8</f>
        <v>-197050.70857142861</v>
      </c>
      <c r="H8" s="15">
        <f>ABS(G8/F8)</f>
        <v>0.42075953938839322</v>
      </c>
      <c r="I8" s="16">
        <f>E8/D8</f>
        <v>18.61844337680165</v>
      </c>
      <c r="J8" s="16">
        <f>(45/7)*5</f>
        <v>32.142857142857146</v>
      </c>
      <c r="K8" s="16">
        <f t="shared" si="0"/>
        <v>-13.524413766055496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02 MAYO'!C9, 'REPORTE DIARIO'!C:C)</f>
        <v>51783</v>
      </c>
      <c r="E9" s="16">
        <f>SUMIF('REPORTE DIARIO'!B:B,'EPR 02 MAYO'!C9, 'REPORTE DIARIO'!D:D)</f>
        <v>585786.71000000008</v>
      </c>
      <c r="F9" s="16">
        <f>J9*D9</f>
        <v>554817.85714285716</v>
      </c>
      <c r="G9" s="16">
        <f>+E9-F9</f>
        <v>30968.85285714292</v>
      </c>
      <c r="H9" s="15">
        <f>ABS(G9/F9)</f>
        <v>5.5818053543955977E-2</v>
      </c>
      <c r="I9" s="16">
        <f>E9/D9</f>
        <v>11.312336287970957</v>
      </c>
      <c r="J9" s="16">
        <f>(15/7)*5</f>
        <v>10.714285714285714</v>
      </c>
      <c r="K9" s="16">
        <f t="shared" si="0"/>
        <v>0.59805057368524395</v>
      </c>
    </row>
    <row r="10" spans="2:12" x14ac:dyDescent="0.25">
      <c r="B10" s="16"/>
      <c r="C10" s="19" t="s">
        <v>17</v>
      </c>
      <c r="D10" s="24">
        <f>SUM(D6:D9)</f>
        <v>89579</v>
      </c>
      <c r="E10" s="20">
        <f>SUM(E6:E9)</f>
        <v>2518739.44</v>
      </c>
      <c r="F10" s="20">
        <f>SUM(F6:F9)</f>
        <v>3836546.4285714286</v>
      </c>
      <c r="G10" s="20">
        <f>+E10-F10</f>
        <v>-1317806.9885714287</v>
      </c>
      <c r="H10" s="21">
        <f>ABS(G10/F10)</f>
        <v>0.34348782508077857</v>
      </c>
      <c r="I10" s="20">
        <f>E10/D10</f>
        <v>28.117521294053294</v>
      </c>
      <c r="J10" s="20">
        <f>F10/D10</f>
        <v>42.828636494841746</v>
      </c>
      <c r="K10" s="20">
        <f>I10-J10</f>
        <v>-14.711115200788452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02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2025-05-03T03:50:43Z</dcterms:modified>
</cp:coreProperties>
</file>