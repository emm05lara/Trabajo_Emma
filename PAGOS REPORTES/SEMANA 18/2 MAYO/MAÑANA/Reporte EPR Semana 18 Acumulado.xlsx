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MAÑANA\"/>
    </mc:Choice>
  </mc:AlternateContent>
  <xr:revisionPtr revIDLastSave="0" documentId="13_ncr:1_{58A4F509-A7CE-44C9-A203-3193F47B26C3}" xr6:coauthVersionLast="47" xr6:coauthVersionMax="47" xr10:uidLastSave="{00000000-0000-0000-0000-000000000000}"/>
  <bookViews>
    <workbookView xWindow="19200" yWindow="6900" windowWidth="10005" windowHeight="5445" activeTab="2" xr2:uid="{4DC6C92A-CD8A-4966-829B-0B6A986E825B}"/>
  </bookViews>
  <sheets>
    <sheet name="REPORTE DIARIO" sheetId="1" r:id="rId1"/>
    <sheet name="DATA" sheetId="4" r:id="rId2"/>
    <sheet name="EPR 0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9" i="3"/>
  <c r="J8" i="3"/>
  <c r="J7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<sst xmlns="http://schemas.openxmlformats.org/spreadsheetml/2006/main" count="88" uniqueCount="37">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</sst>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9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4239</v>
      </c>
      <c r="D5" s="25">
        <v>314963.84000000003</v>
      </c>
    </row>
    <row r="6" spans="2:8" x14ac:dyDescent="0.25">
      <c r="B6" s="1" t="s">
        <v>5</v>
      </c>
      <c r="C6" s="6">
        <v>4539</v>
      </c>
      <c r="D6" s="25">
        <v>185596.69</v>
      </c>
    </row>
    <row r="7" spans="2:8" x14ac:dyDescent="0.25">
      <c r="B7" s="1" t="s">
        <v>6</v>
      </c>
      <c r="C7" s="6">
        <v>6224</v>
      </c>
      <c r="D7" s="25">
        <v>161431.19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13420</v>
      </c>
      <c r="D9" s="25">
        <v>254696.59000000003</v>
      </c>
      <c r="E9" s="14"/>
      <c r="F9" s="7"/>
    </row>
    <row r="10" spans="2:8" x14ac:dyDescent="0.25">
      <c r="B10" s="3" t="s">
        <v>8</v>
      </c>
      <c r="C10" s="8">
        <f>SUM(C5:C9)</f>
        <v>28432</v>
      </c>
      <c r="D10" s="4">
        <f>SUM(D5:D9)</f>
        <v>916688.31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1981</v>
      </c>
      <c r="D14" s="25">
        <v>129618.66</v>
      </c>
    </row>
    <row r="15" spans="2:8" x14ac:dyDescent="0.25">
      <c r="B15" s="1" t="s">
        <v>5</v>
      </c>
      <c r="C15" s="6">
        <v>1733</v>
      </c>
      <c r="D15" s="25">
        <v>162881.78</v>
      </c>
    </row>
    <row r="16" spans="2:8" x14ac:dyDescent="0.25">
      <c r="B16" s="1" t="s">
        <v>6</v>
      </c>
      <c r="C16" s="6">
        <v>3081</v>
      </c>
      <c r="D16" s="25">
        <v>27349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21622</v>
      </c>
      <c r="D18" s="25">
        <v>144577.57</v>
      </c>
    </row>
    <row r="19" spans="2:11" x14ac:dyDescent="0.25">
      <c r="B19" s="3" t="s">
        <v>8</v>
      </c>
      <c r="C19" s="8">
        <f>SUM(C14:C18)</f>
        <v>28419</v>
      </c>
      <c r="D19" s="4">
        <f>SUM(D14:D18)</f>
        <v>464427.01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3867</v>
      </c>
      <c r="D23" s="25">
        <v>217157.72000000003</v>
      </c>
    </row>
    <row r="24" spans="2:11" x14ac:dyDescent="0.25">
      <c r="B24" s="9" t="s">
        <v>5</v>
      </c>
      <c r="C24" s="6">
        <v>2266</v>
      </c>
      <c r="D24" s="25">
        <v>96951.829999999987</v>
      </c>
    </row>
    <row r="25" spans="2:11" x14ac:dyDescent="0.25">
      <c r="B25" s="9" t="s">
        <v>6</v>
      </c>
      <c r="C25" s="6">
        <v>1841</v>
      </c>
      <c r="D25" s="25">
        <v>21771.69</v>
      </c>
    </row>
    <row r="26" spans="2:11" x14ac:dyDescent="0.25">
      <c r="B26" s="9" t="s">
        <v>7</v>
      </c>
      <c r="C26" s="6">
        <v>9600</v>
      </c>
      <c r="D26" s="25">
        <v>24167.040000000001</v>
      </c>
    </row>
    <row r="27" spans="2:11" x14ac:dyDescent="0.25">
      <c r="B27" s="10" t="s">
        <v>8</v>
      </c>
      <c r="C27" s="8">
        <f>SUM(C23:C26)</f>
        <v>17574</v>
      </c>
      <c r="D27" s="4">
        <f>SUM(D23:D26)</f>
        <v>360048.28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322</v>
      </c>
      <c r="D31" s="25">
        <v>54014.27</v>
      </c>
    </row>
    <row r="32" spans="2:11" x14ac:dyDescent="0.25">
      <c r="B32" s="9" t="s">
        <v>5</v>
      </c>
      <c r="C32" s="6">
        <v>1291</v>
      </c>
      <c r="D32" s="25">
        <v>43032.63</v>
      </c>
    </row>
    <row r="33" spans="2:4" x14ac:dyDescent="0.25">
      <c r="B33" s="9" t="s">
        <v>6</v>
      </c>
      <c r="C33" s="6">
        <v>2374</v>
      </c>
      <c r="D33" s="25">
        <v>8616.15</v>
      </c>
    </row>
    <row r="34" spans="2:4" x14ac:dyDescent="0.25">
      <c r="B34" s="9" t="s">
        <v>7</v>
      </c>
      <c r="C34" s="6">
        <v>4259</v>
      </c>
      <c r="D34" s="25">
        <v>11675</v>
      </c>
    </row>
    <row r="35" spans="2:4" x14ac:dyDescent="0.25">
      <c r="B35" s="10" t="s">
        <v>8</v>
      </c>
      <c r="C35" s="8">
        <f>SUM(C31:C34)</f>
        <v>8246</v>
      </c>
      <c r="D35" s="4">
        <f>SUM(D31:D34)</f>
        <v>117338.04999999999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2048</v>
      </c>
      <c r="D39" s="25">
        <v>42808</v>
      </c>
    </row>
    <row r="40" spans="2:4" x14ac:dyDescent="0.25">
      <c r="B40" s="10" t="s">
        <v>8</v>
      </c>
      <c r="C40" s="8">
        <f>SUM(C39:C39)</f>
        <v>2048</v>
      </c>
      <c r="D40" s="4">
        <f>SUM(D39:D39)</f>
        <v>42808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</v>
      </c>
    </row>
    <row r="45" spans="2:4" x14ac:dyDescent="0.25">
      <c r="B45" s="1" t="s">
        <v>5</v>
      </c>
      <c r="C45" s="6">
        <v>478</v>
      </c>
      <c r="D45" s="25">
        <v>2523</v>
      </c>
    </row>
    <row r="46" spans="2:4" x14ac:dyDescent="0.25">
      <c r="B46" s="1" t="s">
        <v>6</v>
      </c>
      <c r="C46" s="6">
        <v>339</v>
      </c>
      <c r="D46" s="25">
        <v>600</v>
      </c>
    </row>
    <row r="47" spans="2:4" x14ac:dyDescent="0.25">
      <c r="B47" s="1" t="s">
        <v>7</v>
      </c>
      <c r="C47" s="6">
        <v>1987</v>
      </c>
      <c r="D47" s="25">
        <v>9320</v>
      </c>
    </row>
    <row r="48" spans="2:4" x14ac:dyDescent="0.25">
      <c r="B48" s="3" t="s">
        <v>8</v>
      </c>
      <c r="C48" s="8">
        <f>SUM(C44:C47)</f>
        <v>2841</v>
      </c>
      <c r="D48" s="4">
        <f>SUM(D44:D47)</f>
        <v>14766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5">
        <v>810</v>
      </c>
    </row>
    <row r="53" spans="2:4" x14ac:dyDescent="0.25">
      <c r="B53" s="1" t="s">
        <v>5</v>
      </c>
      <c r="C53" s="6">
        <v>302</v>
      </c>
      <c r="D53" s="25">
        <v>1629</v>
      </c>
    </row>
    <row r="54" spans="2:4" x14ac:dyDescent="0.25">
      <c r="B54" s="1" t="s">
        <v>6</v>
      </c>
      <c r="C54" s="6">
        <v>649</v>
      </c>
      <c r="D54" s="26">
        <v>0</v>
      </c>
    </row>
    <row r="55" spans="2:4" x14ac:dyDescent="0.25">
      <c r="B55" s="1" t="s">
        <v>7</v>
      </c>
      <c r="C55" s="6">
        <v>880</v>
      </c>
      <c r="D55" s="25">
        <v>2285</v>
      </c>
    </row>
    <row r="56" spans="2:4" x14ac:dyDescent="0.25">
      <c r="B56" s="3" t="s">
        <v>8</v>
      </c>
      <c r="C56" s="8">
        <f>SUM(C52:C55)</f>
        <v>1906</v>
      </c>
      <c r="D56" s="4">
        <f>SUM(D52:D55)</f>
        <v>4724</v>
      </c>
    </row>
    <row r="58" spans="2:4" x14ac:dyDescent="0.25">
      <c r="B58" s="12" t="s">
        <v>13</v>
      </c>
      <c r="C58" s="13">
        <f>SUM(C10+C27+C35+C40+C19+C48+C56)</f>
        <v>89466</v>
      </c>
      <c r="D58" s="13">
        <f>SUM(D10+D27+D35+D40+D19+D48+D56)</f>
        <v>1920799.6500000001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02 MAYO'!C6, 'REPORTE DIARIO'!C:C)</f>
        <v>12569</v>
      </c>
      <c r="E6" s="16">
        <f>SUMIF('REPORTE DIARIO'!B:B,'EPR 02 MAYO'!C6, 'REPORTE DIARIO'!D:D)</f>
        <v>761695.49</v>
      </c>
      <c r="F6" s="16">
        <f>J6*D6</f>
        <v>1975128.5714285714</v>
      </c>
      <c r="G6" s="16">
        <f>+E6-F6</f>
        <v>-1213433.0814285714</v>
      </c>
      <c r="H6" s="15">
        <f>ABS(G6/F6)</f>
        <v>0.61435650265082198</v>
      </c>
      <c r="I6" s="16">
        <f>E6/D6</f>
        <v>60.601121012013685</v>
      </c>
      <c r="J6" s="16">
        <f>(220/7)*5</f>
        <v>157.14285714285714</v>
      </c>
      <c r="K6" s="16">
        <f>+I6-J6</f>
        <v>-96.541736130843447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02 MAYO'!C7, 'REPORTE DIARIO'!C:C)</f>
        <v>10609</v>
      </c>
      <c r="E7" s="16">
        <f>SUMIF('REPORTE DIARIO'!B:B,'EPR 02 MAYO'!C7, 'REPORTE DIARIO'!D:D)</f>
        <v>492614.92999999993</v>
      </c>
      <c r="F7" s="16">
        <f>J7*D7</f>
        <v>833564.28571428568</v>
      </c>
      <c r="G7" s="16">
        <f>+E7-F7</f>
        <v>-340949.35571428575</v>
      </c>
      <c r="H7" s="15">
        <f>ABS(G7/F7)</f>
        <v>0.40902586825936815</v>
      </c>
      <c r="I7" s="16">
        <f>E7/D7</f>
        <v>46.433681779621068</v>
      </c>
      <c r="J7" s="16">
        <f>(110/7)*5</f>
        <v>78.571428571428569</v>
      </c>
      <c r="K7" s="16">
        <f t="shared" ref="K7:K9" si="0">+I7-J7</f>
        <v>-32.137746791807501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02 MAYO'!C8, 'REPORTE DIARIO'!C:C)</f>
        <v>14508</v>
      </c>
      <c r="E8" s="16">
        <f>SUMIF('REPORTE DIARIO'!B:B,'EPR 02 MAYO'!C8, 'REPORTE DIARIO'!D:D)</f>
        <v>219768.03</v>
      </c>
      <c r="F8" s="16">
        <f>J8*D8</f>
        <v>466328.57142857148</v>
      </c>
      <c r="G8" s="16">
        <f>+E8-F8</f>
        <v>-246560.54142857148</v>
      </c>
      <c r="H8" s="15">
        <f>ABS(G8/F8)</f>
        <v>0.52872707471739733</v>
      </c>
      <c r="I8" s="16">
        <f>E8/D8</f>
        <v>15.148058312655087</v>
      </c>
      <c r="J8" s="16">
        <f>(45/7)*5</f>
        <v>32.142857142857146</v>
      </c>
      <c r="K8" s="16">
        <f t="shared" si="0"/>
        <v>-16.994798830202058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02 MAYO'!C9, 'REPORTE DIARIO'!C:C)</f>
        <v>51768</v>
      </c>
      <c r="E9" s="16">
        <f>SUMIF('REPORTE DIARIO'!B:B,'EPR 02 MAYO'!C9, 'REPORTE DIARIO'!D:D)</f>
        <v>446721.2</v>
      </c>
      <c r="F9" s="16">
        <f>J9*D9</f>
        <v>554657.14285714284</v>
      </c>
      <c r="G9" s="16">
        <f>+E9-F9</f>
        <v>-107935.94285714283</v>
      </c>
      <c r="H9" s="15">
        <f>ABS(G9/F9)</f>
        <v>0.1945993921598928</v>
      </c>
      <c r="I9" s="16">
        <f>E9/D9</f>
        <v>8.6292922268582917</v>
      </c>
      <c r="J9" s="16">
        <f>(15/7)*5</f>
        <v>10.714285714285714</v>
      </c>
      <c r="K9" s="16">
        <f t="shared" si="0"/>
        <v>-2.0849934874274219</v>
      </c>
    </row>
    <row r="10" spans="2:12" x14ac:dyDescent="0.25">
      <c r="B10" s="16"/>
      <c r="C10" s="19" t="s">
        <v>17</v>
      </c>
      <c r="D10" s="24">
        <f>SUM(D6:D9)</f>
        <v>89454</v>
      </c>
      <c r="E10" s="20">
        <f>SUM(E6:E9)</f>
        <v>1920799.65</v>
      </c>
      <c r="F10" s="20">
        <f>SUM(F6:F9)</f>
        <v>3829678.5714285714</v>
      </c>
      <c r="G10" s="20">
        <f>+E10-F10</f>
        <v>-1908878.9214285715</v>
      </c>
      <c r="H10" s="21">
        <f>ABS(G10/F10)</f>
        <v>0.49844363850006063</v>
      </c>
      <c r="I10" s="20">
        <f>E10/D10</f>
        <v>21.472484740760613</v>
      </c>
      <c r="J10" s="20">
        <f>F10/D10</f>
        <v>42.811708491834587</v>
      </c>
      <c r="K10" s="20">
        <f>I10-J10</f>
        <v>-21.339223751073973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2025-05-02T15:15:00Z</dcterms:modified>
</cp:coreProperties>
</file>