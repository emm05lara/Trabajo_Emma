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4 MAYO\MAÑANA\"/>
    </mc:Choice>
  </mc:AlternateContent>
  <xr:revisionPtr revIDLastSave="0" documentId="13_ncr:1_{E5AFF94D-6784-4845-9C98-2D4650F14202}" xr6:coauthVersionLast="47" xr6:coauthVersionMax="47" xr10:uidLastSave="{00000000-0000-0000-0000-000000000000}"/>
  <bookViews>
    <workbookView xWindow="27135" yWindow="14835" windowWidth="10005" windowHeight="5445" xr2:uid="{4DC6C92A-CD8A-4966-829B-0B6A986E825B}"/>
  </bookViews>
  <sheets>
    <sheet name="REPORTE DIARIO" sheetId="1" r:id="rId1"/>
    <sheet name="DATA" sheetId="4" r:id="rId2"/>
    <sheet name="EPR 04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56" i="1"/>
  <c r="C56" i="1"/>
  <c r="D48" i="1"/>
  <c r="C48" i="1"/>
  <c r="D19" i="1"/>
  <c r="C19" i="1"/>
  <c r="D40" i="1" l="1"/>
  <c r="C40" i="1"/>
  <c r="D35" i="1"/>
  <c r="C35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<sst xmlns="http://schemas.openxmlformats.org/spreadsheetml/2006/main" count="88" uniqueCount="37">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</sst>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14" zoomScaleNormal="100" workbookViewId="0">
      <selection activeCell="D53" sqref="D5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4324</v>
      </c>
      <c r="D5" s="25">
        <v>497600.99</v>
      </c>
    </row>
    <row r="6" spans="2:8" x14ac:dyDescent="0.25">
      <c r="B6" s="1" t="s">
        <v>5</v>
      </c>
      <c r="C6" s="6">
        <v>4442</v>
      </c>
      <c r="D6" s="25">
        <v>328453.41000000003</v>
      </c>
    </row>
    <row r="7" spans="2:8" x14ac:dyDescent="0.25">
      <c r="B7" s="1" t="s">
        <v>6</v>
      </c>
      <c r="C7" s="6">
        <v>6378</v>
      </c>
      <c r="D7" s="25">
        <v>253215.59000000003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13434</v>
      </c>
      <c r="D9" s="25">
        <v>399374.97000000003</v>
      </c>
      <c r="E9" s="14"/>
      <c r="F9" s="7"/>
    </row>
    <row r="10" spans="2:8" x14ac:dyDescent="0.25">
      <c r="B10" s="3" t="s">
        <v>8</v>
      </c>
      <c r="C10" s="8">
        <f>SUM(C5:C9)</f>
        <v>28588</v>
      </c>
      <c r="D10" s="4">
        <f>SUM(D5:D9)</f>
        <v>1478644.96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2048</v>
      </c>
      <c r="D14" s="25">
        <v>235903.80999999997</v>
      </c>
    </row>
    <row r="15" spans="2:8" x14ac:dyDescent="0.25">
      <c r="B15" s="1" t="s">
        <v>5</v>
      </c>
      <c r="C15" s="6">
        <v>1688</v>
      </c>
      <c r="D15" s="25">
        <v>201496.8</v>
      </c>
    </row>
    <row r="16" spans="2:8" x14ac:dyDescent="0.25">
      <c r="B16" s="1" t="s">
        <v>6</v>
      </c>
      <c r="C16" s="6">
        <v>3095</v>
      </c>
      <c r="D16" s="25">
        <v>57416.55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21621</v>
      </c>
      <c r="D18" s="25">
        <v>228450.57</v>
      </c>
    </row>
    <row r="19" spans="2:11" x14ac:dyDescent="0.25">
      <c r="B19" s="3" t="s">
        <v>8</v>
      </c>
      <c r="C19" s="8">
        <f>SUM(C14:C18)</f>
        <v>28454</v>
      </c>
      <c r="D19" s="4">
        <f>SUM(D14:D18)</f>
        <v>723267.73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3907</v>
      </c>
      <c r="D23" s="25">
        <v>353985.91000000003</v>
      </c>
    </row>
    <row r="24" spans="2:11" x14ac:dyDescent="0.25">
      <c r="B24" s="9" t="s">
        <v>5</v>
      </c>
      <c r="C24" s="6">
        <v>2145</v>
      </c>
      <c r="D24" s="25">
        <v>145370.84</v>
      </c>
    </row>
    <row r="25" spans="2:11" x14ac:dyDescent="0.25">
      <c r="B25" s="9" t="s">
        <v>6</v>
      </c>
      <c r="C25" s="6">
        <v>2158</v>
      </c>
      <c r="D25" s="25">
        <v>41651.380000000005</v>
      </c>
    </row>
    <row r="26" spans="2:11" x14ac:dyDescent="0.25">
      <c r="B26" s="9" t="s">
        <v>7</v>
      </c>
      <c r="C26" s="6">
        <v>9602</v>
      </c>
      <c r="D26" s="25">
        <v>34740.04</v>
      </c>
    </row>
    <row r="27" spans="2:11" x14ac:dyDescent="0.25">
      <c r="B27" s="10" t="s">
        <v>8</v>
      </c>
      <c r="C27" s="8">
        <f>SUM(C23:C26)</f>
        <v>17812</v>
      </c>
      <c r="D27" s="4">
        <f>SUM(D23:D26)</f>
        <v>575748.17000000004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320</v>
      </c>
      <c r="D31" s="25">
        <v>85965.99</v>
      </c>
    </row>
    <row r="32" spans="2:11" x14ac:dyDescent="0.25">
      <c r="B32" s="9" t="s">
        <v>5</v>
      </c>
      <c r="C32" s="6">
        <v>1225</v>
      </c>
      <c r="D32" s="25">
        <v>97680.38</v>
      </c>
    </row>
    <row r="33" spans="2:4" x14ac:dyDescent="0.25">
      <c r="B33" s="9" t="s">
        <v>6</v>
      </c>
      <c r="C33" s="6">
        <v>2376</v>
      </c>
      <c r="D33" s="25">
        <v>13332.15</v>
      </c>
    </row>
    <row r="34" spans="2:4" x14ac:dyDescent="0.25">
      <c r="B34" s="9" t="s">
        <v>7</v>
      </c>
      <c r="C34" s="6">
        <v>4259</v>
      </c>
      <c r="D34" s="25">
        <v>30552</v>
      </c>
    </row>
    <row r="35" spans="2:4" x14ac:dyDescent="0.25">
      <c r="B35" s="10" t="s">
        <v>8</v>
      </c>
      <c r="C35" s="8">
        <f>SUM(C31:C34)</f>
        <v>8180</v>
      </c>
      <c r="D35" s="4">
        <f>SUM(D31:D34)</f>
        <v>227530.52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2126</v>
      </c>
      <c r="D39" s="25">
        <v>61120</v>
      </c>
    </row>
    <row r="40" spans="2:4" x14ac:dyDescent="0.25">
      <c r="B40" s="10" t="s">
        <v>8</v>
      </c>
      <c r="C40" s="8">
        <f>SUM(C39:C39)</f>
        <v>2126</v>
      </c>
      <c r="D40" s="4">
        <f>SUM(D39:D39)</f>
        <v>61120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112</v>
      </c>
      <c r="D44" s="25">
        <v>8053.7199999999993</v>
      </c>
    </row>
    <row r="45" spans="2:4" x14ac:dyDescent="0.25">
      <c r="B45" s="1" t="s">
        <v>5</v>
      </c>
      <c r="C45" s="6">
        <v>485</v>
      </c>
      <c r="D45" s="25">
        <v>10386</v>
      </c>
    </row>
    <row r="46" spans="2:4" x14ac:dyDescent="0.25">
      <c r="B46" s="1" t="s">
        <v>6</v>
      </c>
      <c r="C46" s="6">
        <v>355</v>
      </c>
      <c r="D46" s="25">
        <v>1920</v>
      </c>
    </row>
    <row r="47" spans="2:4" x14ac:dyDescent="0.25">
      <c r="B47" s="1" t="s">
        <v>7</v>
      </c>
      <c r="C47" s="6">
        <v>1994</v>
      </c>
      <c r="D47" s="25">
        <v>14001</v>
      </c>
    </row>
    <row r="48" spans="2:4" x14ac:dyDescent="0.25">
      <c r="B48" s="3" t="s">
        <v>8</v>
      </c>
      <c r="C48" s="8">
        <f>SUM(C44:C47)</f>
        <v>2946</v>
      </c>
      <c r="D48" s="4">
        <f>SUM(D44:D47)</f>
        <v>34360.720000000001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150</v>
      </c>
      <c r="D52" s="25">
        <v>2637</v>
      </c>
    </row>
    <row r="53" spans="2:4" x14ac:dyDescent="0.25">
      <c r="B53" s="1" t="s">
        <v>5</v>
      </c>
      <c r="C53" s="6">
        <v>309</v>
      </c>
      <c r="D53" s="25">
        <v>3129</v>
      </c>
    </row>
    <row r="54" spans="2:4" x14ac:dyDescent="0.25">
      <c r="B54" s="1" t="s">
        <v>6</v>
      </c>
      <c r="C54" s="6">
        <v>665</v>
      </c>
      <c r="D54" s="25">
        <v>2800</v>
      </c>
    </row>
    <row r="55" spans="2:4" x14ac:dyDescent="0.25">
      <c r="B55" s="1" t="s">
        <v>7</v>
      </c>
      <c r="C55" s="6">
        <v>887</v>
      </c>
      <c r="D55" s="25">
        <v>2785</v>
      </c>
    </row>
    <row r="56" spans="2:4" x14ac:dyDescent="0.25">
      <c r="B56" s="3" t="s">
        <v>8</v>
      </c>
      <c r="C56" s="8">
        <f>SUM(C52:C55)</f>
        <v>2011</v>
      </c>
      <c r="D56" s="4">
        <f>SUM(D52:D55)</f>
        <v>11351</v>
      </c>
    </row>
    <row r="58" spans="2:4" x14ac:dyDescent="0.25">
      <c r="B58" s="12" t="s">
        <v>13</v>
      </c>
      <c r="C58" s="13">
        <f>SUM(C10+C27+C35+C40+C19+C48+C56)</f>
        <v>90117</v>
      </c>
      <c r="D58" s="13">
        <f>SUM(D10+D27+D35+D40+D19+D48+D56)</f>
        <v>3112023.1</v>
      </c>
    </row>
  </sheetData>
  <mergeCells count="7">
    <mergeCell ref="B50:D50"/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G9" sqref="G9"/>
    </sheetView>
  </sheetViews>
  <sheetFormatPr baseColWidth="10" defaultRowHeight="15" x14ac:dyDescent="0.25"/>
  <cols>
    <col min="2" max="2" width="18.14062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04 MAYO'!C6, 'REPORTE DIARIO'!C:C)</f>
        <v>12987</v>
      </c>
      <c r="E6" s="16">
        <f>SUMIF('REPORTE DIARIO'!B:B,'EPR 04 MAYO'!C6, 'REPORTE DIARIO'!D:D)</f>
        <v>1245267.42</v>
      </c>
      <c r="F6" s="16">
        <f>J6*D6</f>
        <v>2857140</v>
      </c>
      <c r="G6" s="16">
        <f>+E6-F6</f>
        <v>-1611872.58</v>
      </c>
      <c r="H6" s="15">
        <f>ABS(G6/F6)</f>
        <v>0.56415596715596716</v>
      </c>
      <c r="I6" s="16">
        <f>E6/D6</f>
        <v>95.885687225687221</v>
      </c>
      <c r="J6" s="16">
        <f>(220/7)*7</f>
        <v>220</v>
      </c>
      <c r="K6" s="16">
        <f>+I6-J6</f>
        <v>-124.11431277431278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04 MAYO'!C7, 'REPORTE DIARIO'!C:C)</f>
        <v>10294</v>
      </c>
      <c r="E7" s="16">
        <f>SUMIF('REPORTE DIARIO'!B:B,'EPR 04 MAYO'!C7, 'REPORTE DIARIO'!D:D)</f>
        <v>786516.42999999993</v>
      </c>
      <c r="F7" s="16">
        <f>J7*D7</f>
        <v>1132340</v>
      </c>
      <c r="G7" s="16">
        <f>+E7-F7</f>
        <v>-345823.57000000007</v>
      </c>
      <c r="H7" s="15">
        <f>ABS(G7/F7)</f>
        <v>0.30540612360245162</v>
      </c>
      <c r="I7" s="16">
        <f>E7/D7</f>
        <v>76.405326403730328</v>
      </c>
      <c r="J7" s="16">
        <f>(110/7)*7</f>
        <v>110</v>
      </c>
      <c r="K7" s="16">
        <f t="shared" ref="K7:K9" si="0">+I7-J7</f>
        <v>-33.594673596269672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04 MAYO'!C8, 'REPORTE DIARIO'!C:C)</f>
        <v>15027</v>
      </c>
      <c r="E8" s="16">
        <f>SUMIF('REPORTE DIARIO'!B:B,'EPR 04 MAYO'!C8, 'REPORTE DIARIO'!D:D)</f>
        <v>370335.67000000004</v>
      </c>
      <c r="F8" s="16">
        <f>J8*D8</f>
        <v>676215</v>
      </c>
      <c r="G8" s="16">
        <f>+E8-F8</f>
        <v>-305879.32999999996</v>
      </c>
      <c r="H8" s="15">
        <f>ABS(G8/F8)</f>
        <v>0.45234035033236464</v>
      </c>
      <c r="I8" s="16">
        <f>E8/D8</f>
        <v>24.644684235043592</v>
      </c>
      <c r="J8" s="16">
        <f>(45/7)*7</f>
        <v>45</v>
      </c>
      <c r="K8" s="16">
        <f t="shared" si="0"/>
        <v>-20.355315764956408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04 MAYO'!C9, 'REPORTE DIARIO'!C:C)</f>
        <v>51797</v>
      </c>
      <c r="E9" s="16">
        <f>SUMIF('REPORTE DIARIO'!B:B,'EPR 04 MAYO'!C9, 'REPORTE DIARIO'!D:D)</f>
        <v>709903.58000000007</v>
      </c>
      <c r="F9" s="16">
        <f>J9*D9</f>
        <v>776955</v>
      </c>
      <c r="G9" s="16">
        <f>+E9-F9</f>
        <v>-67051.419999999925</v>
      </c>
      <c r="H9" s="15">
        <f>ABS(G9/F9)</f>
        <v>8.6300261919930912E-2</v>
      </c>
      <c r="I9" s="16">
        <f>E9/D9</f>
        <v>13.705496071201036</v>
      </c>
      <c r="J9" s="16">
        <f>(15/7)*7</f>
        <v>15</v>
      </c>
      <c r="K9" s="16">
        <f t="shared" si="0"/>
        <v>-1.2945039287989637</v>
      </c>
    </row>
    <row r="10" spans="2:12" x14ac:dyDescent="0.25">
      <c r="B10" s="16"/>
      <c r="C10" s="19" t="s">
        <v>17</v>
      </c>
      <c r="D10" s="24">
        <f>SUM(D6:D9)</f>
        <v>90105</v>
      </c>
      <c r="E10" s="20">
        <f>SUM(E6:E9)</f>
        <v>3112023.1</v>
      </c>
      <c r="F10" s="20">
        <f>SUM(F6:F9)</f>
        <v>5442650</v>
      </c>
      <c r="G10" s="20">
        <f>+E10-F10</f>
        <v>-2330626.9</v>
      </c>
      <c r="H10" s="21">
        <f>ABS(G10/F10)</f>
        <v>0.42821546489302087</v>
      </c>
      <c r="I10" s="20">
        <f>E10/D10</f>
        <v>34.537740413961494</v>
      </c>
      <c r="J10" s="20">
        <f>F10/D10</f>
        <v>60.403418234282228</v>
      </c>
      <c r="K10" s="20">
        <f>I10-J10</f>
        <v>-25.865677820320734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04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2025-05-04T15:19:03Z</dcterms:modified>
</cp:coreProperties>
</file>