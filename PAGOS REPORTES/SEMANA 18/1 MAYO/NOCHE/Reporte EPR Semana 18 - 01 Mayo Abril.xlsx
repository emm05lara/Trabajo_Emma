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1 MAYO\NOCHE\"/>
    </mc:Choice>
  </mc:AlternateContent>
  <xr:revisionPtr revIDLastSave="0" documentId="13_ncr:1_{CAB0221E-6F1D-458D-B937-6DDE117B26C6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29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6" i="3"/>
  <c r="D48" i="1"/>
  <c r="C48" i="1"/>
  <c r="D56" i="1"/>
  <c r="C56" i="1"/>
  <c r="D27" i="1" l="1"/>
  <c r="C27" i="1"/>
  <c r="J8" i="3"/>
  <c r="J7" i="3"/>
  <c r="D6" i="3"/>
  <c r="F6" i="3" s="1"/>
  <c r="D40" i="1"/>
  <c r="C40" i="1"/>
  <c r="D18" i="1"/>
  <c r="C18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<sst xmlns="http://schemas.openxmlformats.org/spreadsheetml/2006/main" count="87" uniqueCount="36">
  <si>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</si>
  <si>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</si>
  <si>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</si>
  <si>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</si>
  <si>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</si>
  <si>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</si>
  <si>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</si>
  <si>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</si>
  <si>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</si>
  <si>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</si>
  <si>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</si>
  <si>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</si>
  <si>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</si>
  <si>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</si>
  <si>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</si>
  <si>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</si>
  <si>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</si>
  <si>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</si>
  <si>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</si>
  <si>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</si>
  <si>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</si>
  <si>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</si>
  <si>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</si>
  <si>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</si>
  <si>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</si>
  <si>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</si>
  <si>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</si>
  <si>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</si>
  <si>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</si>
  <si>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</si>
  <si>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</si>
  <si>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</si>
  <si>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</si>
  <si>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</si>
  <si>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</si>
  <si>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01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</si>
</sst>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" fontId="0" fillId="0" borderId="1" xfId="0" applyNumberFormat="1" applyBorder="1"/>
    <xf numFmtId="0" fontId="0" fillId="0" borderId="1" xfId="0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37" workbookViewId="0">
      <selection activeCell="E42" sqref="E4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4241</v>
      </c>
      <c r="D5" s="25">
        <v>38531</v>
      </c>
    </row>
    <row r="6" spans="2:8" x14ac:dyDescent="0.25">
      <c r="B6" s="1" t="s">
        <v>5</v>
      </c>
      <c r="C6" s="6">
        <v>4568</v>
      </c>
      <c r="D6" s="25">
        <v>40021</v>
      </c>
    </row>
    <row r="7" spans="2:8" x14ac:dyDescent="0.25">
      <c r="B7" s="1" t="s">
        <v>6</v>
      </c>
      <c r="C7" s="6">
        <v>6226</v>
      </c>
      <c r="D7" s="25">
        <v>20196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5442</v>
      </c>
      <c r="D9" s="27">
        <v>2188</v>
      </c>
    </row>
    <row r="10" spans="2:8" x14ac:dyDescent="0.25">
      <c r="B10" s="3" t="s">
        <v>8</v>
      </c>
      <c r="C10" s="8">
        <f>SUM(C5:C9)</f>
        <v>20487</v>
      </c>
      <c r="D10" s="4">
        <f>SUM(D5:D9)</f>
        <v>100936</v>
      </c>
    </row>
    <row r="12" spans="2:8" x14ac:dyDescent="0.25">
      <c r="B12" s="30" t="s">
        <v>10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3877</v>
      </c>
      <c r="D14" s="25">
        <v>49208.89</v>
      </c>
    </row>
    <row r="15" spans="2:8" x14ac:dyDescent="0.25">
      <c r="B15" s="9" t="s">
        <v>5</v>
      </c>
      <c r="C15" s="6">
        <v>2278</v>
      </c>
      <c r="D15" s="25">
        <v>16022</v>
      </c>
    </row>
    <row r="16" spans="2:8" x14ac:dyDescent="0.25">
      <c r="B16" s="9" t="s">
        <v>6</v>
      </c>
      <c r="C16" s="6">
        <v>1841</v>
      </c>
      <c r="D16" s="25">
        <v>3019</v>
      </c>
    </row>
    <row r="17" spans="2:11" x14ac:dyDescent="0.25">
      <c r="B17" s="9" t="s">
        <v>7</v>
      </c>
      <c r="C17" s="6">
        <v>0</v>
      </c>
      <c r="D17" s="26">
        <v>0</v>
      </c>
    </row>
    <row r="18" spans="2:11" x14ac:dyDescent="0.25">
      <c r="B18" s="10" t="s">
        <v>8</v>
      </c>
      <c r="C18" s="8">
        <f>SUM(C14:C17)</f>
        <v>7996</v>
      </c>
      <c r="D18" s="4">
        <f>SUM(D14:D17)</f>
        <v>68249.89</v>
      </c>
    </row>
    <row r="20" spans="2:11" x14ac:dyDescent="0.25">
      <c r="B20" s="29" t="s">
        <v>29</v>
      </c>
      <c r="C20" s="29"/>
      <c r="D20" s="29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1985</v>
      </c>
      <c r="D22" s="25">
        <v>13017</v>
      </c>
    </row>
    <row r="23" spans="2:11" x14ac:dyDescent="0.25">
      <c r="B23" s="1" t="s">
        <v>5</v>
      </c>
      <c r="C23" s="6">
        <v>1735</v>
      </c>
      <c r="D23" s="25">
        <v>83611</v>
      </c>
    </row>
    <row r="24" spans="2:11" x14ac:dyDescent="0.25">
      <c r="B24" s="1" t="s">
        <v>6</v>
      </c>
      <c r="C24" s="6">
        <v>3083</v>
      </c>
      <c r="D24" s="25">
        <v>10060</v>
      </c>
    </row>
    <row r="25" spans="2:11" x14ac:dyDescent="0.25">
      <c r="B25" s="5" t="s">
        <v>12</v>
      </c>
      <c r="C25" s="7">
        <v>2</v>
      </c>
      <c r="D25" s="24">
        <v>0</v>
      </c>
    </row>
    <row r="26" spans="2:11" x14ac:dyDescent="0.25">
      <c r="B26" s="1" t="s">
        <v>7</v>
      </c>
      <c r="C26" s="6">
        <v>19737</v>
      </c>
      <c r="D26" s="27">
        <v>9807</v>
      </c>
      <c r="K26" s="7"/>
    </row>
    <row r="27" spans="2:11" x14ac:dyDescent="0.25">
      <c r="B27" s="3" t="s">
        <v>8</v>
      </c>
      <c r="C27" s="8">
        <f>SUM(C22:C26)</f>
        <v>26542</v>
      </c>
      <c r="D27" s="4">
        <f>SUM(D22:D26)</f>
        <v>116495</v>
      </c>
    </row>
    <row r="29" spans="2:11" x14ac:dyDescent="0.25">
      <c r="B29" s="29" t="s">
        <v>9</v>
      </c>
      <c r="C29" s="29"/>
      <c r="D29" s="29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323</v>
      </c>
      <c r="D31" s="25">
        <v>8223</v>
      </c>
    </row>
    <row r="32" spans="2:11" x14ac:dyDescent="0.25">
      <c r="B32" s="9" t="s">
        <v>5</v>
      </c>
      <c r="C32" s="6">
        <v>1307</v>
      </c>
      <c r="D32" s="25">
        <v>4288</v>
      </c>
    </row>
    <row r="33" spans="2:4" x14ac:dyDescent="0.25">
      <c r="B33" s="9" t="s">
        <v>6</v>
      </c>
      <c r="C33" s="6">
        <v>2374</v>
      </c>
      <c r="D33" s="25">
        <v>698</v>
      </c>
    </row>
    <row r="34" spans="2:4" x14ac:dyDescent="0.25">
      <c r="B34" s="9" t="s">
        <v>7</v>
      </c>
      <c r="C34" s="6">
        <v>0</v>
      </c>
      <c r="D34" s="26">
        <v>0</v>
      </c>
    </row>
    <row r="35" spans="2:4" x14ac:dyDescent="0.25">
      <c r="B35" s="10" t="s">
        <v>8</v>
      </c>
      <c r="C35" s="8">
        <f>SUM(C31:C34)</f>
        <v>4004</v>
      </c>
      <c r="D35" s="4">
        <f>SUM(D31:D34)</f>
        <v>13209</v>
      </c>
    </row>
    <row r="37" spans="2:4" x14ac:dyDescent="0.25">
      <c r="B37" s="30" t="s">
        <v>11</v>
      </c>
      <c r="C37" s="30"/>
      <c r="D37" s="30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2049</v>
      </c>
      <c r="D39" s="25">
        <v>5783</v>
      </c>
    </row>
    <row r="40" spans="2:4" x14ac:dyDescent="0.25">
      <c r="B40" s="10" t="s">
        <v>8</v>
      </c>
      <c r="C40" s="8">
        <f>SUM(C39:C39)</f>
        <v>2049</v>
      </c>
      <c r="D40" s="4">
        <f>SUM(D39:D39)</f>
        <v>5783</v>
      </c>
    </row>
    <row r="42" spans="2:4" x14ac:dyDescent="0.25">
      <c r="B42" s="29" t="s">
        <v>31</v>
      </c>
      <c r="C42" s="29"/>
      <c r="D42" s="29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75</v>
      </c>
      <c r="D44" s="25">
        <v>10</v>
      </c>
    </row>
    <row r="45" spans="2:4" x14ac:dyDescent="0.25">
      <c r="B45" s="1" t="s">
        <v>5</v>
      </c>
      <c r="C45" s="6">
        <v>305</v>
      </c>
      <c r="D45" s="26">
        <v>0</v>
      </c>
    </row>
    <row r="46" spans="2:4" x14ac:dyDescent="0.25">
      <c r="B46" s="1" t="s">
        <v>6</v>
      </c>
      <c r="C46" s="6">
        <v>649</v>
      </c>
      <c r="D46" s="26">
        <v>0</v>
      </c>
    </row>
    <row r="47" spans="2:4" x14ac:dyDescent="0.25">
      <c r="B47" s="1" t="s">
        <v>7</v>
      </c>
      <c r="C47" s="6">
        <v>878</v>
      </c>
      <c r="D47" s="26">
        <v>0</v>
      </c>
    </row>
    <row r="48" spans="2:4" x14ac:dyDescent="0.25">
      <c r="B48" s="3" t="s">
        <v>8</v>
      </c>
      <c r="C48" s="8">
        <f>SUM(C44:C47)</f>
        <v>1907</v>
      </c>
      <c r="D48" s="4">
        <f>SUM(D44:D47)</f>
        <v>10</v>
      </c>
    </row>
    <row r="50" spans="2:4" x14ac:dyDescent="0.25">
      <c r="B50" s="29" t="s">
        <v>30</v>
      </c>
      <c r="C50" s="29"/>
      <c r="D50" s="29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37</v>
      </c>
      <c r="D52" s="26">
        <v>0</v>
      </c>
    </row>
    <row r="53" spans="2:4" x14ac:dyDescent="0.25">
      <c r="B53" s="1" t="s">
        <v>5</v>
      </c>
      <c r="C53" s="6">
        <v>481</v>
      </c>
      <c r="D53" s="26">
        <v>0</v>
      </c>
    </row>
    <row r="54" spans="2:4" x14ac:dyDescent="0.25">
      <c r="B54" s="1" t="s">
        <v>6</v>
      </c>
      <c r="C54" s="6">
        <v>339</v>
      </c>
      <c r="D54" s="26">
        <v>0</v>
      </c>
    </row>
    <row r="55" spans="2:4" x14ac:dyDescent="0.25">
      <c r="B55" s="1" t="s">
        <v>7</v>
      </c>
      <c r="C55" s="6">
        <v>1663</v>
      </c>
      <c r="D55" s="28">
        <v>3275</v>
      </c>
    </row>
    <row r="56" spans="2:4" x14ac:dyDescent="0.25">
      <c r="B56" s="3" t="s">
        <v>8</v>
      </c>
      <c r="C56" s="8">
        <f>SUM(C52:C55)</f>
        <v>2520</v>
      </c>
      <c r="D56" s="4">
        <f>SUM(D52:D55)</f>
        <v>3275</v>
      </c>
    </row>
    <row r="58" spans="2:4" x14ac:dyDescent="0.25">
      <c r="B58" s="11" t="s">
        <v>13</v>
      </c>
      <c r="C58" s="12">
        <f>SUM(C10+C35+C18+C40+C27+C56+C48)</f>
        <v>65505</v>
      </c>
      <c r="D58" s="12">
        <f>SUM(D10+D35+D18+D40+D27+D56+D48)</f>
        <v>307957.89</v>
      </c>
    </row>
  </sheetData>
  <mergeCells count="7">
    <mergeCell ref="B42:D42"/>
    <mergeCell ref="B3:D3"/>
    <mergeCell ref="B29:D29"/>
    <mergeCell ref="B37:D37"/>
    <mergeCell ref="B50:D50"/>
    <mergeCell ref="B20:D20"/>
    <mergeCell ref="B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3" sqref="B3"/>
    </sheetView>
  </sheetViews>
  <sheetFormatPr baseColWidth="10" defaultRowHeight="15" x14ac:dyDescent="0.25"/>
  <cols>
    <col min="2" max="2" width="59" bestFit="1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29 ABR'!C6, 'REPORTE DIARIO'!C:C)</f>
        <v>12587</v>
      </c>
      <c r="E6" s="15">
        <f>SUMIF('REPORTE DIARIO'!B:B,'EPR 29 ABR'!C6, 'REPORTE DIARIO'!D:D)</f>
        <v>114772.89</v>
      </c>
      <c r="F6" s="15">
        <f>J6*D6</f>
        <v>395591.42857142858</v>
      </c>
      <c r="G6" s="15">
        <f>+E6-F6</f>
        <v>-280818.53857142857</v>
      </c>
      <c r="H6" s="14">
        <f>ABS(G6/F6)</f>
        <v>0.70987012935423988</v>
      </c>
      <c r="I6" s="15">
        <f>E6/D6</f>
        <v>9.1183673631524584</v>
      </c>
      <c r="J6" s="15">
        <f>220/7</f>
        <v>31.428571428571427</v>
      </c>
      <c r="K6" s="15">
        <f>+I6-J6</f>
        <v>-22.310204065418969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29 ABR'!C7, 'REPORTE DIARIO'!C:C)</f>
        <v>10674</v>
      </c>
      <c r="E7" s="15">
        <f>SUMIF('REPORTE DIARIO'!B:B,'EPR 29 ABR'!C7, 'REPORTE DIARIO'!D:D)</f>
        <v>143942</v>
      </c>
      <c r="F7" s="15">
        <f>J7*D7</f>
        <v>167734.28571428571</v>
      </c>
      <c r="G7" s="15">
        <f>+E7-F7</f>
        <v>-23792.28571428571</v>
      </c>
      <c r="H7" s="14">
        <f>ABS(G7/F7)</f>
        <v>0.14184509513345936</v>
      </c>
      <c r="I7" s="15">
        <f>E7/D7</f>
        <v>13.485291362188496</v>
      </c>
      <c r="J7" s="15">
        <f>110/7</f>
        <v>15.714285714285714</v>
      </c>
      <c r="K7" s="15">
        <f t="shared" ref="K7:K9" si="0">+I7-J7</f>
        <v>-2.2289943520972173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29 ABR'!C8, 'REPORTE DIARIO'!C:C)</f>
        <v>14512</v>
      </c>
      <c r="E8" s="15">
        <f>SUMIF('REPORTE DIARIO'!B:B,'EPR 29 ABR'!C8, 'REPORTE DIARIO'!D:D)</f>
        <v>33973</v>
      </c>
      <c r="F8" s="15">
        <f>J8*D8</f>
        <v>93291.42857142858</v>
      </c>
      <c r="G8" s="15">
        <f>+E8-F8</f>
        <v>-59318.42857142858</v>
      </c>
      <c r="H8" s="14">
        <f>ABS(G8/F8)</f>
        <v>0.63584007105230922</v>
      </c>
      <c r="I8" s="15">
        <f>E8/D8</f>
        <v>2.3410281146637266</v>
      </c>
      <c r="J8" s="15">
        <f>45/7</f>
        <v>6.4285714285714288</v>
      </c>
      <c r="K8" s="15">
        <f t="shared" si="0"/>
        <v>-4.0875433139077018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29 ABR'!C9, 'REPORTE DIARIO'!C:C)</f>
        <v>27720</v>
      </c>
      <c r="E9" s="15">
        <f>SUMIF('REPORTE DIARIO'!B:B,'EPR 29 ABR'!C9, 'REPORTE DIARIO'!D:D)</f>
        <v>15270</v>
      </c>
      <c r="F9" s="15">
        <f>J9*D9</f>
        <v>47520</v>
      </c>
      <c r="G9" s="15">
        <f>+E9-F9</f>
        <v>-32250</v>
      </c>
      <c r="H9" s="14">
        <f>ABS(G9/F9)</f>
        <v>0.67866161616161613</v>
      </c>
      <c r="I9" s="15">
        <f>E9/D9</f>
        <v>0.55086580086580084</v>
      </c>
      <c r="J9" s="15">
        <f>12/7</f>
        <v>1.7142857142857142</v>
      </c>
      <c r="K9" s="15">
        <f t="shared" si="0"/>
        <v>-1.1634199134199132</v>
      </c>
    </row>
    <row r="10" spans="2:12" x14ac:dyDescent="0.25">
      <c r="B10" s="15"/>
      <c r="C10" s="18" t="s">
        <v>16</v>
      </c>
      <c r="D10" s="23">
        <f>SUM(D6:D9)</f>
        <v>65493</v>
      </c>
      <c r="E10" s="19">
        <f>SUM(E6:E9)</f>
        <v>307957.89</v>
      </c>
      <c r="F10" s="19">
        <f>SUM(F6:F9)</f>
        <v>704137.14285714296</v>
      </c>
      <c r="G10" s="19">
        <f>+E10-F10</f>
        <v>-396179.25285714294</v>
      </c>
      <c r="H10" s="20">
        <f>ABS(G10/F10)</f>
        <v>0.56264501436408498</v>
      </c>
      <c r="I10" s="19">
        <f>E10/D10</f>
        <v>4.7021496953872939</v>
      </c>
      <c r="J10" s="19">
        <f>F10/D10</f>
        <v>10.751334384699785</v>
      </c>
      <c r="K10" s="19">
        <f>I10-J10</f>
        <v>-6.049184689312491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29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2025-05-02T02:43:40Z</dcterms:modified>
</cp:coreProperties>
</file>