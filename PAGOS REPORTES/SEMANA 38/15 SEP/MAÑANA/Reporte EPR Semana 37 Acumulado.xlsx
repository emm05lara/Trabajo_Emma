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8\15 SEP\MAÑANA\"/>
    </mc:Choice>
  </mc:AlternateContent>
  <xr:revisionPtr revIDLastSave="0" documentId="13_ncr:1_{CEEB17BF-C370-43D2-B969-523E47338682}" xr6:coauthVersionLast="47" xr6:coauthVersionMax="47" xr10:uidLastSave="{00000000-0000-0000-0000-000000000000}"/>
  <bookViews>
    <workbookView xWindow="17565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36" i="1"/>
  <c r="C36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36" i="5"/>
  <c r="C36" i="5"/>
  <c r="D45" i="5"/>
  <c r="C45" i="5"/>
  <c r="C27" i="5"/>
  <c r="C10" i="5"/>
  <c r="J9" i="3"/>
  <c r="J8" i="3"/>
  <c r="J7" i="3"/>
  <c r="J6" i="3"/>
  <c r="C44" i="1"/>
  <c r="C55" i="5" l="1"/>
  <c r="D8" i="6"/>
  <c r="C8" i="6"/>
  <c r="D55" i="5"/>
  <c r="C19" i="1"/>
  <c r="D19" i="1"/>
  <c r="D28" i="1"/>
  <c r="C28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<sst xmlns="http://schemas.openxmlformats.org/spreadsheetml/2006/main" count="146" uniqueCount="37">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</sst>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2"/>
  <sheetViews>
    <sheetView showGridLines="0" topLeftCell="A19" zoomScaleNormal="100" workbookViewId="0">
      <selection activeCell="C43" sqref="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5">
        <v>76</v>
      </c>
    </row>
    <row r="6" spans="2:8" x14ac:dyDescent="0.25">
      <c r="B6" s="1" t="s">
        <v>5</v>
      </c>
      <c r="C6" s="6">
        <v>8346</v>
      </c>
      <c r="D6" s="25">
        <v>912738.78999999992</v>
      </c>
    </row>
    <row r="7" spans="2:8" x14ac:dyDescent="0.25">
      <c r="B7" s="1" t="s">
        <v>6</v>
      </c>
      <c r="C7" s="6">
        <v>7907</v>
      </c>
      <c r="D7" s="25">
        <v>300415.12</v>
      </c>
    </row>
    <row r="8" spans="2:8" x14ac:dyDescent="0.25">
      <c r="B8" s="5" t="s">
        <v>11</v>
      </c>
      <c r="C8" s="7">
        <v>1232</v>
      </c>
      <c r="D8" s="25">
        <v>500</v>
      </c>
    </row>
    <row r="9" spans="2:8" x14ac:dyDescent="0.25">
      <c r="B9" s="1" t="s">
        <v>7</v>
      </c>
      <c r="C9" s="6">
        <v>35288</v>
      </c>
      <c r="D9" s="25">
        <v>477643.79000000004</v>
      </c>
      <c r="E9" s="14"/>
      <c r="F9" s="7"/>
    </row>
    <row r="10" spans="2:8" x14ac:dyDescent="0.25">
      <c r="B10" s="3" t="s">
        <v>8</v>
      </c>
      <c r="C10" s="8">
        <f>SUM(C5:C9)</f>
        <v>52774</v>
      </c>
      <c r="D10" s="4">
        <f>SUM(D5:D9)</f>
        <v>1691373.7</v>
      </c>
      <c r="E10" s="11" t="s">
        <v>13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2003</v>
      </c>
      <c r="D15" s="25">
        <v>202859.16</v>
      </c>
    </row>
    <row r="16" spans="2:8" x14ac:dyDescent="0.25">
      <c r="B16" s="1" t="s">
        <v>6</v>
      </c>
      <c r="C16" s="6">
        <v>1941</v>
      </c>
      <c r="D16" s="25">
        <v>118583</v>
      </c>
    </row>
    <row r="17" spans="2:4" x14ac:dyDescent="0.25">
      <c r="B17" s="5" t="s">
        <v>11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18102</v>
      </c>
      <c r="D18" s="25">
        <v>121605.31</v>
      </c>
    </row>
    <row r="19" spans="2:4" x14ac:dyDescent="0.25">
      <c r="B19" s="3" t="s">
        <v>8</v>
      </c>
      <c r="C19" s="8">
        <f>SUM(C14:C18)</f>
        <v>22046</v>
      </c>
      <c r="D19" s="4">
        <f>SUM(D14:D18)</f>
        <v>443047.47000000003</v>
      </c>
    </row>
    <row r="21" spans="2:4" x14ac:dyDescent="0.25">
      <c r="B21" s="30" t="s">
        <v>9</v>
      </c>
      <c r="C21" s="30"/>
      <c r="D21" s="30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4</v>
      </c>
      <c r="D23" s="25">
        <v>1510.4</v>
      </c>
    </row>
    <row r="24" spans="2:4" x14ac:dyDescent="0.25">
      <c r="B24" s="9" t="s">
        <v>5</v>
      </c>
      <c r="C24" s="6">
        <v>2314</v>
      </c>
      <c r="D24" s="25">
        <v>248818.15999999997</v>
      </c>
    </row>
    <row r="25" spans="2:4" x14ac:dyDescent="0.25">
      <c r="B25" s="9" t="s">
        <v>6</v>
      </c>
      <c r="C25" s="6">
        <v>870</v>
      </c>
      <c r="D25" s="25">
        <v>41182.92</v>
      </c>
    </row>
    <row r="26" spans="2:4" x14ac:dyDescent="0.25">
      <c r="B26" s="5" t="s">
        <v>11</v>
      </c>
      <c r="C26" s="7">
        <v>0</v>
      </c>
      <c r="D26" s="26">
        <v>0</v>
      </c>
    </row>
    <row r="27" spans="2:4" x14ac:dyDescent="0.25">
      <c r="B27" s="9" t="s">
        <v>7</v>
      </c>
      <c r="C27" s="6">
        <v>12940</v>
      </c>
      <c r="D27" s="25">
        <v>99988.06</v>
      </c>
    </row>
    <row r="28" spans="2:4" x14ac:dyDescent="0.25">
      <c r="B28" s="10" t="s">
        <v>8</v>
      </c>
      <c r="C28" s="8">
        <f>SUM(C23:C27)</f>
        <v>16128</v>
      </c>
      <c r="D28" s="4">
        <f>SUM(D23:D27)</f>
        <v>391499.54</v>
      </c>
    </row>
    <row r="30" spans="2:4" x14ac:dyDescent="0.25">
      <c r="B30" s="30" t="s">
        <v>10</v>
      </c>
      <c r="C30" s="30"/>
      <c r="D30" s="30"/>
    </row>
    <row r="31" spans="2:4" x14ac:dyDescent="0.25">
      <c r="B31" s="4" t="s">
        <v>1</v>
      </c>
      <c r="C31" s="4" t="s">
        <v>2</v>
      </c>
      <c r="D31" s="4" t="s">
        <v>3</v>
      </c>
    </row>
    <row r="32" spans="2:4" x14ac:dyDescent="0.25">
      <c r="B32" s="9" t="s">
        <v>4</v>
      </c>
      <c r="C32" s="6">
        <v>2671</v>
      </c>
      <c r="D32" s="25">
        <v>108471.23000000001</v>
      </c>
    </row>
    <row r="33" spans="2:4" x14ac:dyDescent="0.25">
      <c r="B33" s="1" t="s">
        <v>5</v>
      </c>
      <c r="C33" s="6">
        <v>2278</v>
      </c>
      <c r="D33" s="25">
        <v>108885.57999999999</v>
      </c>
    </row>
    <row r="34" spans="2:4" x14ac:dyDescent="0.25">
      <c r="B34" s="1" t="s">
        <v>6</v>
      </c>
      <c r="C34" s="6">
        <v>2260</v>
      </c>
      <c r="D34" s="25">
        <v>39824.49</v>
      </c>
    </row>
    <row r="35" spans="2:4" x14ac:dyDescent="0.25">
      <c r="B35" s="1" t="s">
        <v>7</v>
      </c>
      <c r="C35" s="6">
        <v>26</v>
      </c>
      <c r="D35" s="25">
        <v>2045</v>
      </c>
    </row>
    <row r="36" spans="2:4" x14ac:dyDescent="0.25">
      <c r="B36" s="10" t="s">
        <v>8</v>
      </c>
      <c r="C36" s="8">
        <f>SUM(C32:C35)</f>
        <v>7235</v>
      </c>
      <c r="D36" s="4">
        <f>SUM(D32:D35)</f>
        <v>259226.3</v>
      </c>
    </row>
    <row r="38" spans="2:4" x14ac:dyDescent="0.25">
      <c r="B38" s="29" t="s">
        <v>29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562</v>
      </c>
      <c r="D41" s="25">
        <v>90739.02</v>
      </c>
    </row>
    <row r="42" spans="2:4" x14ac:dyDescent="0.25">
      <c r="B42" s="1" t="s">
        <v>6</v>
      </c>
      <c r="C42" s="6">
        <v>8</v>
      </c>
      <c r="D42" s="25">
        <v>4170</v>
      </c>
    </row>
    <row r="43" spans="2:4" x14ac:dyDescent="0.25">
      <c r="B43" s="1" t="s">
        <v>7</v>
      </c>
      <c r="C43" s="6">
        <v>1234</v>
      </c>
      <c r="D43" s="25">
        <v>9378</v>
      </c>
    </row>
    <row r="44" spans="2:4" x14ac:dyDescent="0.25">
      <c r="B44" s="3" t="s">
        <v>8</v>
      </c>
      <c r="C44" s="8">
        <f>SUM(C40:C43)</f>
        <v>1804</v>
      </c>
      <c r="D44" s="4">
        <f>SUM(D40:D43)</f>
        <v>104287.02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99987</v>
      </c>
      <c r="D52" s="13">
        <f>SUMIF(B:B, "Total general", D:D)</f>
        <v>2889434.03</v>
      </c>
    </row>
  </sheetData>
  <mergeCells count="5">
    <mergeCell ref="B3:D3"/>
    <mergeCell ref="B21:D21"/>
    <mergeCell ref="B30:D30"/>
    <mergeCell ref="B12:D12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tabSelected="1" topLeftCell="A25" zoomScaleNormal="100" workbookViewId="0">
      <selection activeCell="D51" sqref="D5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1294</v>
      </c>
      <c r="D5" s="25">
        <v>60000.21</v>
      </c>
      <c r="E5" s="11"/>
    </row>
    <row r="6" spans="2:8" x14ac:dyDescent="0.25">
      <c r="B6" s="1" t="s">
        <v>5</v>
      </c>
      <c r="C6" s="28">
        <v>14342</v>
      </c>
      <c r="D6" s="25">
        <v>398875.25999999989</v>
      </c>
    </row>
    <row r="7" spans="2:8" x14ac:dyDescent="0.25">
      <c r="B7" s="1" t="s">
        <v>6</v>
      </c>
      <c r="C7" s="28">
        <v>3792</v>
      </c>
      <c r="D7" s="25">
        <v>85090.11</v>
      </c>
    </row>
    <row r="8" spans="2:8" x14ac:dyDescent="0.25">
      <c r="B8" s="5" t="s">
        <v>11</v>
      </c>
      <c r="C8" s="28">
        <v>2739</v>
      </c>
      <c r="D8" s="25">
        <v>3114</v>
      </c>
    </row>
    <row r="9" spans="2:8" x14ac:dyDescent="0.25">
      <c r="B9" s="1" t="s">
        <v>7</v>
      </c>
      <c r="C9" s="28">
        <v>2919</v>
      </c>
      <c r="D9" s="25">
        <v>18137</v>
      </c>
      <c r="E9" s="14"/>
      <c r="F9" s="7"/>
    </row>
    <row r="10" spans="2:8" x14ac:dyDescent="0.25">
      <c r="B10" s="3" t="s">
        <v>8</v>
      </c>
      <c r="C10" s="8">
        <f>SUM(C5:C9)</f>
        <v>25086</v>
      </c>
      <c r="D10" s="4">
        <f>SUM(D5:D9)</f>
        <v>565216.57999999996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2542</v>
      </c>
      <c r="D14" s="25">
        <v>102943.23000000001</v>
      </c>
    </row>
    <row r="15" spans="2:8" x14ac:dyDescent="0.25">
      <c r="B15" s="1" t="s">
        <v>5</v>
      </c>
      <c r="C15" s="27">
        <v>1284</v>
      </c>
      <c r="D15" s="25">
        <v>92567.579999999987</v>
      </c>
    </row>
    <row r="16" spans="2:8" x14ac:dyDescent="0.25">
      <c r="B16" s="1" t="s">
        <v>6</v>
      </c>
      <c r="C16" s="27">
        <v>2181</v>
      </c>
      <c r="D16" s="25">
        <v>39760.49</v>
      </c>
    </row>
    <row r="17" spans="2:4" x14ac:dyDescent="0.25">
      <c r="B17" s="9" t="s">
        <v>7</v>
      </c>
      <c r="C17" s="27">
        <v>26</v>
      </c>
      <c r="D17" s="25">
        <v>2045</v>
      </c>
    </row>
    <row r="18" spans="2:4" x14ac:dyDescent="0.25">
      <c r="B18" s="10" t="s">
        <v>8</v>
      </c>
      <c r="C18" s="8">
        <f>SUM(C14:C17)</f>
        <v>6033</v>
      </c>
      <c r="D18" s="4">
        <f>SUM(D14:D17)</f>
        <v>237316.3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3529.45</v>
      </c>
    </row>
    <row r="24" spans="2:4" x14ac:dyDescent="0.25">
      <c r="B24" s="1" t="s">
        <v>6</v>
      </c>
      <c r="C24">
        <v>56</v>
      </c>
      <c r="D24" s="25">
        <v>1948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7228</v>
      </c>
    </row>
    <row r="27" spans="2:4" x14ac:dyDescent="0.25">
      <c r="B27" s="3" t="s">
        <v>8</v>
      </c>
      <c r="C27" s="8">
        <f>SUM(C22:C26)</f>
        <v>376</v>
      </c>
      <c r="D27" s="4">
        <f>SUM(D22:D26)</f>
        <v>12705.45</v>
      </c>
    </row>
    <row r="29" spans="2:4" x14ac:dyDescent="0.25">
      <c r="B29" s="29" t="s">
        <v>34</v>
      </c>
      <c r="C29" s="29"/>
      <c r="D29" s="29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11">
        <v>0</v>
      </c>
      <c r="D31" s="26">
        <v>0</v>
      </c>
    </row>
    <row r="32" spans="2:4" x14ac:dyDescent="0.25">
      <c r="B32" s="1" t="s">
        <v>5</v>
      </c>
      <c r="C32">
        <v>3</v>
      </c>
      <c r="D32" s="25">
        <v>763</v>
      </c>
    </row>
    <row r="33" spans="2:4" x14ac:dyDescent="0.25">
      <c r="B33" s="1" t="s">
        <v>6</v>
      </c>
      <c r="C33">
        <v>36</v>
      </c>
      <c r="D33" s="26">
        <v>0</v>
      </c>
    </row>
    <row r="34" spans="2:4" x14ac:dyDescent="0.25">
      <c r="B34" s="5" t="s">
        <v>11</v>
      </c>
      <c r="C34" s="11">
        <v>0</v>
      </c>
      <c r="D34" s="26">
        <v>0</v>
      </c>
    </row>
    <row r="35" spans="2:4" x14ac:dyDescent="0.25">
      <c r="B35" s="1" t="s">
        <v>7</v>
      </c>
      <c r="C35">
        <v>332</v>
      </c>
      <c r="D35" s="25">
        <v>2934</v>
      </c>
    </row>
    <row r="36" spans="2:4" x14ac:dyDescent="0.25">
      <c r="B36" s="3" t="s">
        <v>8</v>
      </c>
      <c r="C36" s="8">
        <f>SUM(C31:C35)</f>
        <v>371</v>
      </c>
      <c r="D36" s="4">
        <f>SUM(D31:D35)</f>
        <v>3697</v>
      </c>
    </row>
    <row r="38" spans="2:4" x14ac:dyDescent="0.25">
      <c r="B38" s="30" t="s">
        <v>9</v>
      </c>
      <c r="C38" s="30"/>
      <c r="D38" s="30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11">
        <v>0</v>
      </c>
      <c r="D40" s="7">
        <v>0</v>
      </c>
    </row>
    <row r="41" spans="2:4" x14ac:dyDescent="0.25">
      <c r="B41" s="9" t="s">
        <v>5</v>
      </c>
      <c r="C41">
        <v>3</v>
      </c>
      <c r="D41" s="26">
        <v>0</v>
      </c>
    </row>
    <row r="42" spans="2:4" x14ac:dyDescent="0.25">
      <c r="B42" s="9" t="s">
        <v>6</v>
      </c>
      <c r="C42">
        <v>1</v>
      </c>
      <c r="D42" s="26">
        <v>0</v>
      </c>
    </row>
    <row r="43" spans="2:4" x14ac:dyDescent="0.25">
      <c r="B43" s="5" t="s">
        <v>11</v>
      </c>
      <c r="C43" s="7">
        <v>0</v>
      </c>
      <c r="D43" s="7">
        <v>0</v>
      </c>
    </row>
    <row r="44" spans="2:4" x14ac:dyDescent="0.25">
      <c r="B44" s="9" t="s">
        <v>7</v>
      </c>
      <c r="C44">
        <v>167</v>
      </c>
      <c r="D44" s="25">
        <v>1774</v>
      </c>
    </row>
    <row r="45" spans="2:4" x14ac:dyDescent="0.25">
      <c r="B45" s="10" t="s">
        <v>8</v>
      </c>
      <c r="C45" s="8">
        <f>SUM(C40:C44)</f>
        <v>171</v>
      </c>
      <c r="D45" s="4">
        <f>SUM(D40:D44)</f>
        <v>1774</v>
      </c>
    </row>
    <row r="47" spans="2:4" x14ac:dyDescent="0.25">
      <c r="B47" s="29" t="s">
        <v>29</v>
      </c>
      <c r="C47" s="29"/>
      <c r="D47" s="29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5">
        <v>557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557</v>
      </c>
    </row>
    <row r="55" spans="2:4" x14ac:dyDescent="0.25">
      <c r="B55" s="12" t="s">
        <v>12</v>
      </c>
      <c r="C55" s="13">
        <f>SUMIF(B:B, "Total general", C:C)</f>
        <v>32104</v>
      </c>
      <c r="D55" s="13">
        <f>SUMIF(B:B, "Total general", D:D)</f>
        <v>821266.32999999984</v>
      </c>
    </row>
  </sheetData>
  <mergeCells count="7">
    <mergeCell ref="B38:D38"/>
    <mergeCell ref="B47:D47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3836</v>
      </c>
      <c r="D3" s="14">
        <f>SUMIF('CDC-OLGUIN'!B:B, "Extrajudicial - 0 a 28 semanas de atraso", 'CDC-OLGUIN'!D:D)</f>
        <v>162943.44</v>
      </c>
    </row>
    <row r="4" spans="2:6" x14ac:dyDescent="0.25">
      <c r="B4" s="1" t="s">
        <v>5</v>
      </c>
      <c r="C4" s="6">
        <f>SUMIF('CDC-OLGUIN'!B:B, "Extrajudicial - 29 a 39 semanas de atraso", 'CDC-OLGUIN'!C:C)</f>
        <v>15651</v>
      </c>
      <c r="D4" s="14">
        <f>SUMIF('CDC-OLGUIN'!B:B, "Extrajudicial - 29 a 39 semanas de atraso", 'CDC-OLGUIN'!D:D)</f>
        <v>495735.28999999986</v>
      </c>
    </row>
    <row r="5" spans="2:6" x14ac:dyDescent="0.25">
      <c r="B5" s="1" t="s">
        <v>6</v>
      </c>
      <c r="C5" s="6">
        <f>SUMIF('CDC-OLGUIN'!B:B, "Extrajudicial - 40 a 55 semanas de atraso", 'CDC-OLGUIN'!C:C)</f>
        <v>6066</v>
      </c>
      <c r="D5" s="14">
        <f>SUMIF('CDC-OLGUIN'!B:B, "Extrajudicial - 40 a 55 semanas de atraso", 'CDC-OLGUIN'!D:D)</f>
        <v>126798.6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3114</v>
      </c>
    </row>
    <row r="7" spans="2:6" x14ac:dyDescent="0.25">
      <c r="B7" s="1" t="s">
        <v>7</v>
      </c>
      <c r="C7" s="6">
        <f>SUMIF('CDC-OLGUIN'!B:B, "Mas 55 semanas de atraso", 'CDC-OLGUIN'!C:C)</f>
        <v>3811</v>
      </c>
      <c r="D7" s="6">
        <f>SUMIF('CDC-OLGUIN'!B:B, "Mas 55 semanas de atraso", 'CDC-OLGUIN'!D:D)</f>
        <v>32675</v>
      </c>
      <c r="E7" s="14"/>
      <c r="F7" s="7"/>
    </row>
    <row r="8" spans="2:6" x14ac:dyDescent="0.25">
      <c r="B8" s="3" t="s">
        <v>8</v>
      </c>
      <c r="C8" s="8">
        <f>SUM(C3:C7)</f>
        <v>32104</v>
      </c>
      <c r="D8" s="4">
        <f>SUM(D3:D7)</f>
        <v>821266.32999999984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2676</v>
      </c>
      <c r="E6" s="16">
        <f>SUMIF('REPORTE DIARIO'!B:B,'EPR 26 JUN'!C6, 'REPORTE DIARIO'!D:D)</f>
        <v>110057.63</v>
      </c>
      <c r="F6" s="16">
        <f>J6*D6</f>
        <v>168205.71428571429</v>
      </c>
      <c r="G6" s="16">
        <f>+E6-F6</f>
        <v>-58148.084285714285</v>
      </c>
      <c r="H6" s="15">
        <f>ABS(G6/F6)</f>
        <v>0.34569624779181951</v>
      </c>
      <c r="I6" s="16">
        <f>E6/D6</f>
        <v>41.127664424514201</v>
      </c>
      <c r="J6" s="16">
        <f>(220/7)*2</f>
        <v>62.857142857142854</v>
      </c>
      <c r="K6" s="16">
        <f>+I6-J6</f>
        <v>-21.729478432628653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15503</v>
      </c>
      <c r="E7" s="16">
        <f>SUMIF('REPORTE DIARIO'!B:B,'EPR 26 JUN'!C7, 'REPORTE DIARIO'!D:D)</f>
        <v>1564040.71</v>
      </c>
      <c r="F7" s="16">
        <f>J7*D7</f>
        <v>487237.14285714284</v>
      </c>
      <c r="G7" s="16">
        <f>+E7-F7</f>
        <v>1076803.5671428572</v>
      </c>
      <c r="H7" s="15">
        <f>ABS(G7/F7)</f>
        <v>2.2100194595767393</v>
      </c>
      <c r="I7" s="16">
        <f>E7/D7</f>
        <v>100.88632587241179</v>
      </c>
      <c r="J7" s="16">
        <f>(110/7)*2</f>
        <v>31.428571428571427</v>
      </c>
      <c r="K7" s="16">
        <f t="shared" ref="K7:K9" si="0">+I7-J7</f>
        <v>69.457754443840358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12986</v>
      </c>
      <c r="E8" s="16">
        <f>SUMIF('REPORTE DIARIO'!B:B,'EPR 26 JUN'!C8, 'REPORTE DIARIO'!D:D)</f>
        <v>504175.52999999997</v>
      </c>
      <c r="F8" s="16">
        <f>J8*D8</f>
        <v>166962.85714285716</v>
      </c>
      <c r="G8" s="16">
        <f>+E8-F8</f>
        <v>337212.67285714281</v>
      </c>
      <c r="H8" s="15">
        <f>ABS(G8/F8)</f>
        <v>2.0196867652343546</v>
      </c>
      <c r="I8" s="16">
        <f>E8/D8</f>
        <v>38.824544124441701</v>
      </c>
      <c r="J8" s="16">
        <f>(45/7)*2</f>
        <v>12.857142857142858</v>
      </c>
      <c r="K8" s="16">
        <f t="shared" si="0"/>
        <v>25.967401267298843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67590</v>
      </c>
      <c r="E9" s="16">
        <f>SUMIF('REPORTE DIARIO'!B:B,'EPR 26 JUN'!C9, 'REPORTE DIARIO'!D:D)</f>
        <v>710660.16000000015</v>
      </c>
      <c r="F9" s="16">
        <f>J9*D9</f>
        <v>289671.42857142858</v>
      </c>
      <c r="G9" s="16">
        <f>+E9-F9</f>
        <v>420988.73142857157</v>
      </c>
      <c r="H9" s="15">
        <f>ABS(G9/F9)</f>
        <v>1.4533319130048827</v>
      </c>
      <c r="I9" s="16">
        <f>E9/D9</f>
        <v>10.514279627163784</v>
      </c>
      <c r="J9" s="16">
        <f>(15/7)*2</f>
        <v>4.2857142857142856</v>
      </c>
      <c r="K9" s="16">
        <f t="shared" si="0"/>
        <v>6.2285653414494986</v>
      </c>
    </row>
    <row r="10" spans="2:12" x14ac:dyDescent="0.25">
      <c r="B10" s="16"/>
      <c r="C10" s="19" t="s">
        <v>16</v>
      </c>
      <c r="D10" s="24">
        <f>SUM(D6:D9)</f>
        <v>98755</v>
      </c>
      <c r="E10" s="20">
        <f>SUM(E6:E9)</f>
        <v>2888934.03</v>
      </c>
      <c r="F10" s="20">
        <f>SUM(F6:F9)</f>
        <v>1112077.142857143</v>
      </c>
      <c r="G10" s="20">
        <f>+E10-F10</f>
        <v>1776856.8871428568</v>
      </c>
      <c r="H10" s="21">
        <f>ABS(G10/F10)</f>
        <v>1.5977820410711483</v>
      </c>
      <c r="I10" s="20">
        <f>E10/D10</f>
        <v>29.253546959647611</v>
      </c>
      <c r="J10" s="20">
        <f>F10/D10</f>
        <v>11.260970511438844</v>
      </c>
      <c r="K10" s="20">
        <f>I10-J10</f>
        <v>17.992576448208766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2025-09-15T15:45:28Z</dcterms:modified>
</cp:coreProperties>
</file>