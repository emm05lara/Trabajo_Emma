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8\18 SEP\NOCHE\"/>
    </mc:Choice>
  </mc:AlternateContent>
  <xr:revisionPtr revIDLastSave="0" documentId="8_{66CD8222-AB41-4311-8C0E-05D8A4445E7D}" xr6:coauthVersionLast="47" xr6:coauthVersionMax="47" xr10:uidLastSave="{00000000-0000-0000-0000-000000000000}"/>
  <bookViews>
    <workbookView xWindow="-120" yWindow="-120" windowWidth="51840" windowHeight="21120" xr2:uid="{20F2C446-016D-4031-B632-6E61571AD35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8" i="3" s="1"/>
  <c r="B2" i="2"/>
  <c r="D10" i="2" s="1"/>
  <c r="B1" i="1"/>
  <c r="D7" i="1" s="1"/>
</calcChain>
</file>

<file path=xl/sharedStrings.xml><?xml version="1.0" encoding="utf-8"?>
<sst xmlns="http://schemas.openxmlformats.org/spreadsheetml/2006/main" count="94" uniqueCount="20">
  <si>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</si>
  <si>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</si>
  <si>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</si>
  <si>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</si>
  <si>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</si>
  <si>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</si>
  <si>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</si>
  <si>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</si>
  <si>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</si>
  <si>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</si>
  <si>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</si>
  <si>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TOTAL COBRADO</t>
  </si>
  <si>
    <t>Segmento</t>
  </si>
  <si>
    <t>CONSUMO</t>
  </si>
  <si>
    <t>CREDIMAX</t>
  </si>
  <si>
    <t>ITALIKA</t>
  </si>
  <si>
    <t>REESTRUCTURA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</si>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</sst>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5741-01B8-4A77-B024-EEFDEF5BC86E}">
  <dimension ref="B1:D34"/>
  <sheetViews>
    <sheetView tabSelected="1" workbookViewId="0">
      <selection activeCell="B1" sqref="B1:D3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1" spans="2:4" x14ac:dyDescent="0.25">
      <c r="B1" s="6" t="str">
        <f ca="1" xml:space="preserve"> " COBRANZA INTERNOS " &amp; TEXT(TODAY(), " dd/mm/aaaa ") &amp; TEXT(NOW(), " hh:mm ")</f>
        <v xml:space="preserve"> COBRANZA INTERNOS  18/09/2025  19:24 </v>
      </c>
      <c r="C1" s="6"/>
    </row>
    <row r="2" spans="2:4" x14ac:dyDescent="0.25">
      <c r="B2" s="6" t="s">
        <v>5</v>
      </c>
      <c r="C2" s="6"/>
    </row>
    <row r="3" spans="2:4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41905.75</v>
      </c>
    </row>
    <row r="5" spans="2:4" x14ac:dyDescent="0.25">
      <c r="B5" s="2" t="s">
        <v>2</v>
      </c>
      <c r="C5" s="3">
        <v>14104</v>
      </c>
    </row>
    <row r="6" spans="2:4" ht="15.75" thickBot="1" x14ac:dyDescent="0.3">
      <c r="B6" s="2" t="s">
        <v>3</v>
      </c>
      <c r="C6" s="3">
        <v>35722.699999999997</v>
      </c>
      <c r="D6" s="1" t="s">
        <v>11</v>
      </c>
    </row>
    <row r="7" spans="2:4" ht="15.75" thickTop="1" x14ac:dyDescent="0.25">
      <c r="B7" s="4" t="s">
        <v>4</v>
      </c>
      <c r="C7" s="5">
        <v>91732.45</v>
      </c>
      <c r="D7" s="5">
        <f ca="1">SUMIF(B:B, "Total general", C:C)</f>
        <v>154894.46</v>
      </c>
    </row>
    <row r="9" spans="2:4" x14ac:dyDescent="0.25">
      <c r="B9" s="6" t="s">
        <v>9</v>
      </c>
      <c r="C9" s="6"/>
    </row>
    <row r="10" spans="2:4" x14ac:dyDescent="0.25">
      <c r="B10" s="1" t="s">
        <v>12</v>
      </c>
      <c r="C10" s="1" t="s">
        <v>0</v>
      </c>
    </row>
    <row r="11" spans="2:4" x14ac:dyDescent="0.25">
      <c r="B11" s="2" t="s">
        <v>10</v>
      </c>
      <c r="C11" s="3">
        <v>10147.939999999999</v>
      </c>
    </row>
    <row r="12" spans="2:4" x14ac:dyDescent="0.25">
      <c r="B12" s="2" t="s">
        <v>1</v>
      </c>
      <c r="C12" s="3">
        <v>9831.0600000000013</v>
      </c>
    </row>
    <row r="13" spans="2:4" ht="15.75" thickBot="1" x14ac:dyDescent="0.3">
      <c r="B13" s="2" t="s">
        <v>2</v>
      </c>
      <c r="C13" s="3">
        <v>2494</v>
      </c>
    </row>
    <row r="14" spans="2:4" ht="15.75" thickTop="1" x14ac:dyDescent="0.25">
      <c r="B14" s="4" t="s">
        <v>4</v>
      </c>
      <c r="C14" s="5">
        <v>22473</v>
      </c>
    </row>
    <row r="16" spans="2:4" x14ac:dyDescent="0.25">
      <c r="B16" s="6" t="s">
        <v>7</v>
      </c>
      <c r="C16" s="6"/>
    </row>
    <row r="17" spans="2:3" x14ac:dyDescent="0.25">
      <c r="B17" s="1" t="s">
        <v>12</v>
      </c>
      <c r="C17" s="1" t="s">
        <v>0</v>
      </c>
    </row>
    <row r="18" spans="2:3" x14ac:dyDescent="0.25">
      <c r="B18" s="2" t="s">
        <v>1</v>
      </c>
      <c r="C18" s="3">
        <v>6515.5</v>
      </c>
    </row>
    <row r="19" spans="2:3" x14ac:dyDescent="0.25">
      <c r="B19" s="2" t="s">
        <v>2</v>
      </c>
      <c r="C19" s="3">
        <v>1000</v>
      </c>
    </row>
    <row r="20" spans="2:3" ht="15.75" thickBot="1" x14ac:dyDescent="0.3">
      <c r="B20" s="2" t="s">
        <v>3</v>
      </c>
      <c r="C20" s="3">
        <v>13187.51</v>
      </c>
    </row>
    <row r="21" spans="2:3" ht="15.75" thickTop="1" x14ac:dyDescent="0.25">
      <c r="B21" s="4" t="s">
        <v>4</v>
      </c>
      <c r="C21" s="5">
        <v>20703.010000000002</v>
      </c>
    </row>
    <row r="23" spans="2:3" x14ac:dyDescent="0.25">
      <c r="B23" s="6" t="s">
        <v>6</v>
      </c>
      <c r="C23" s="6"/>
    </row>
    <row r="24" spans="2:3" x14ac:dyDescent="0.25">
      <c r="B24" s="1" t="s">
        <v>12</v>
      </c>
      <c r="C24" s="1" t="s">
        <v>0</v>
      </c>
    </row>
    <row r="25" spans="2:3" x14ac:dyDescent="0.25">
      <c r="B25" s="2" t="s">
        <v>1</v>
      </c>
      <c r="C25" s="3">
        <v>6584</v>
      </c>
    </row>
    <row r="26" spans="2:3" x14ac:dyDescent="0.25">
      <c r="B26" s="2" t="s">
        <v>2</v>
      </c>
      <c r="C26" s="3">
        <v>1241</v>
      </c>
    </row>
    <row r="27" spans="2:3" ht="15.75" thickBot="1" x14ac:dyDescent="0.3">
      <c r="B27" s="2" t="s">
        <v>3</v>
      </c>
      <c r="C27" s="3">
        <v>8331</v>
      </c>
    </row>
    <row r="28" spans="2:3" ht="15.75" thickTop="1" x14ac:dyDescent="0.25">
      <c r="B28" s="4" t="s">
        <v>4</v>
      </c>
      <c r="C28" s="5">
        <v>16156</v>
      </c>
    </row>
    <row r="30" spans="2:3" x14ac:dyDescent="0.25">
      <c r="B30" s="6" t="s">
        <v>8</v>
      </c>
      <c r="C30" s="6"/>
    </row>
    <row r="31" spans="2:3" x14ac:dyDescent="0.25">
      <c r="B31" s="1" t="s">
        <v>12</v>
      </c>
      <c r="C31" s="1" t="s">
        <v>0</v>
      </c>
    </row>
    <row r="32" spans="2:3" x14ac:dyDescent="0.25">
      <c r="B32" s="2" t="s">
        <v>1</v>
      </c>
      <c r="C32" s="3">
        <v>2860</v>
      </c>
    </row>
    <row r="33" spans="2:3" ht="15.75" thickBot="1" x14ac:dyDescent="0.3">
      <c r="B33" s="2" t="s">
        <v>2</v>
      </c>
      <c r="C33" s="3">
        <v>970</v>
      </c>
    </row>
    <row r="34" spans="2:3" ht="15.75" thickTop="1" x14ac:dyDescent="0.25">
      <c r="B34" s="4" t="s">
        <v>4</v>
      </c>
      <c r="C34" s="5">
        <v>3830</v>
      </c>
    </row>
  </sheetData>
  <mergeCells count="6">
    <mergeCell ref="B2:C2"/>
    <mergeCell ref="B23:C23"/>
    <mergeCell ref="B16:C16"/>
    <mergeCell ref="B30:C30"/>
    <mergeCell ref="B9:C9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1299-E0B3-4DC7-B234-5F0118BEC83E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18/09/2025  19:24 </v>
      </c>
      <c r="C2" s="6"/>
    </row>
    <row r="3" spans="2:4" x14ac:dyDescent="0.25">
      <c r="B3" s="6" t="s">
        <v>5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2128</v>
      </c>
    </row>
    <row r="6" spans="2:4" x14ac:dyDescent="0.25">
      <c r="B6" s="2" t="s">
        <v>14</v>
      </c>
      <c r="C6" s="3">
        <v>5720</v>
      </c>
    </row>
    <row r="7" spans="2:4" x14ac:dyDescent="0.25">
      <c r="B7" s="2" t="s">
        <v>15</v>
      </c>
      <c r="C7" s="3">
        <v>600</v>
      </c>
    </row>
    <row r="8" spans="2:4" x14ac:dyDescent="0.25">
      <c r="B8" s="2" t="s">
        <v>16</v>
      </c>
      <c r="C8" s="3">
        <v>9096</v>
      </c>
    </row>
    <row r="9" spans="2:4" ht="15.75" thickBot="1" x14ac:dyDescent="0.3">
      <c r="B9" s="2" t="s">
        <v>17</v>
      </c>
      <c r="C9" s="3">
        <v>74188.45</v>
      </c>
      <c r="D9" s="1" t="s">
        <v>11</v>
      </c>
    </row>
    <row r="10" spans="2:4" ht="15.75" thickTop="1" x14ac:dyDescent="0.25">
      <c r="B10" s="4" t="s">
        <v>4</v>
      </c>
      <c r="C10" s="5">
        <v>91732.45</v>
      </c>
      <c r="D10" s="5">
        <f ca="1">SUMIF(B:B, "Total general", C:C)</f>
        <v>154894.46</v>
      </c>
    </row>
    <row r="12" spans="2:4" x14ac:dyDescent="0.25">
      <c r="B12" s="6" t="s">
        <v>9</v>
      </c>
      <c r="C12" s="6"/>
    </row>
    <row r="13" spans="2:4" x14ac:dyDescent="0.25">
      <c r="B13" s="1" t="s">
        <v>18</v>
      </c>
      <c r="C13" s="1" t="s">
        <v>0</v>
      </c>
    </row>
    <row r="14" spans="2:4" x14ac:dyDescent="0.25">
      <c r="B14" s="2" t="s">
        <v>13</v>
      </c>
      <c r="C14" s="3">
        <v>2330</v>
      </c>
    </row>
    <row r="15" spans="2:4" x14ac:dyDescent="0.25">
      <c r="B15" s="2" t="s">
        <v>14</v>
      </c>
      <c r="C15" s="3">
        <v>567</v>
      </c>
    </row>
    <row r="16" spans="2:4" x14ac:dyDescent="0.25">
      <c r="B16" s="2" t="s">
        <v>15</v>
      </c>
      <c r="C16" s="3">
        <v>1294</v>
      </c>
    </row>
    <row r="17" spans="2:3" x14ac:dyDescent="0.25">
      <c r="B17" s="2" t="s">
        <v>16</v>
      </c>
      <c r="C17" s="3">
        <v>500</v>
      </c>
    </row>
    <row r="18" spans="2:3" ht="15.75" thickBot="1" x14ac:dyDescent="0.3">
      <c r="B18" s="2" t="s">
        <v>17</v>
      </c>
      <c r="C18" s="3">
        <v>17782</v>
      </c>
    </row>
    <row r="19" spans="2:3" ht="15.75" thickTop="1" x14ac:dyDescent="0.25">
      <c r="B19" s="4" t="s">
        <v>4</v>
      </c>
      <c r="C19" s="5">
        <v>22473</v>
      </c>
    </row>
    <row r="21" spans="2:3" x14ac:dyDescent="0.25">
      <c r="B21" s="6" t="s">
        <v>7</v>
      </c>
      <c r="C21" s="6"/>
    </row>
    <row r="22" spans="2:3" x14ac:dyDescent="0.25">
      <c r="B22" s="1" t="s">
        <v>18</v>
      </c>
      <c r="C22" s="1" t="s">
        <v>0</v>
      </c>
    </row>
    <row r="23" spans="2:3" ht="15.75" thickBot="1" x14ac:dyDescent="0.3">
      <c r="B23" s="2" t="s">
        <v>17</v>
      </c>
      <c r="C23" s="3">
        <v>20703.010000000002</v>
      </c>
    </row>
    <row r="24" spans="2:3" ht="15.75" thickTop="1" x14ac:dyDescent="0.25">
      <c r="B24" s="4" t="s">
        <v>4</v>
      </c>
      <c r="C24" s="5">
        <v>20703.010000000002</v>
      </c>
    </row>
    <row r="26" spans="2:3" x14ac:dyDescent="0.25">
      <c r="B26" s="6" t="s">
        <v>6</v>
      </c>
      <c r="C26" s="6"/>
    </row>
    <row r="27" spans="2:3" x14ac:dyDescent="0.25">
      <c r="B27" s="1" t="s">
        <v>18</v>
      </c>
      <c r="C27" s="1" t="s">
        <v>0</v>
      </c>
    </row>
    <row r="28" spans="2:3" x14ac:dyDescent="0.25">
      <c r="B28" s="2" t="s">
        <v>14</v>
      </c>
      <c r="C28" s="3">
        <v>2643</v>
      </c>
    </row>
    <row r="29" spans="2:3" x14ac:dyDescent="0.25">
      <c r="B29" s="2" t="s">
        <v>15</v>
      </c>
      <c r="C29" s="3">
        <v>670</v>
      </c>
    </row>
    <row r="30" spans="2:3" x14ac:dyDescent="0.25">
      <c r="B30" s="2" t="s">
        <v>16</v>
      </c>
      <c r="C30" s="3">
        <v>278</v>
      </c>
    </row>
    <row r="31" spans="2:3" ht="15.75" thickBot="1" x14ac:dyDescent="0.3">
      <c r="B31" s="2" t="s">
        <v>17</v>
      </c>
      <c r="C31" s="3">
        <v>12565</v>
      </c>
    </row>
    <row r="32" spans="2:3" ht="15.75" thickTop="1" x14ac:dyDescent="0.25">
      <c r="B32" s="4" t="s">
        <v>4</v>
      </c>
      <c r="C32" s="5">
        <v>16156</v>
      </c>
    </row>
    <row r="34" spans="2:3" x14ac:dyDescent="0.25">
      <c r="B34" s="6" t="s">
        <v>8</v>
      </c>
      <c r="C34" s="6"/>
    </row>
    <row r="35" spans="2:3" x14ac:dyDescent="0.25">
      <c r="B35" s="1" t="s">
        <v>18</v>
      </c>
      <c r="C35" s="1" t="s">
        <v>0</v>
      </c>
    </row>
    <row r="36" spans="2:3" x14ac:dyDescent="0.25">
      <c r="B36" s="2" t="s">
        <v>13</v>
      </c>
      <c r="C36" s="3">
        <v>1000</v>
      </c>
    </row>
    <row r="37" spans="2:3" x14ac:dyDescent="0.25">
      <c r="B37" s="2" t="s">
        <v>14</v>
      </c>
      <c r="C37" s="3">
        <v>970</v>
      </c>
    </row>
    <row r="38" spans="2:3" ht="15.75" thickBot="1" x14ac:dyDescent="0.3">
      <c r="B38" s="2" t="s">
        <v>17</v>
      </c>
      <c r="C38" s="3">
        <v>1860</v>
      </c>
    </row>
    <row r="39" spans="2:3" ht="15.75" thickTop="1" x14ac:dyDescent="0.25">
      <c r="B39" s="4" t="s">
        <v>4</v>
      </c>
      <c r="C39" s="5">
        <v>3830</v>
      </c>
    </row>
  </sheetData>
  <mergeCells count="6">
    <mergeCell ref="B2:C2"/>
    <mergeCell ref="B3:C3"/>
    <mergeCell ref="B12:C12"/>
    <mergeCell ref="B21:C21"/>
    <mergeCell ref="B26:C26"/>
    <mergeCell ref="B34:C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C6EC-5D78-4265-A203-E50F6CE377C0}">
  <dimension ref="B2:D20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18/09/2025  19:24 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10</v>
      </c>
      <c r="C5" s="3">
        <v>620</v>
      </c>
    </row>
    <row r="6" spans="2:4" x14ac:dyDescent="0.25">
      <c r="B6" s="2" t="s">
        <v>1</v>
      </c>
      <c r="C6" s="3">
        <v>18942.7</v>
      </c>
    </row>
    <row r="7" spans="2:4" ht="15.75" thickBot="1" x14ac:dyDescent="0.3">
      <c r="B7" s="2" t="s">
        <v>2</v>
      </c>
      <c r="C7" s="3">
        <v>10301</v>
      </c>
      <c r="D7" s="1" t="s">
        <v>11</v>
      </c>
    </row>
    <row r="8" spans="2:4" ht="15.75" thickTop="1" x14ac:dyDescent="0.25">
      <c r="B8" s="4" t="s">
        <v>4</v>
      </c>
      <c r="C8" s="5">
        <v>29863.7</v>
      </c>
      <c r="D8" s="5">
        <f ca="1">SUMIF(B:B, "Total general", C:C)</f>
        <v>50448.7</v>
      </c>
    </row>
    <row r="10" spans="2:4" x14ac:dyDescent="0.25">
      <c r="B10" s="6" t="s">
        <v>9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10</v>
      </c>
      <c r="C12" s="3">
        <v>10147.939999999999</v>
      </c>
    </row>
    <row r="13" spans="2:4" x14ac:dyDescent="0.25">
      <c r="B13" s="2" t="s">
        <v>1</v>
      </c>
      <c r="C13" s="3">
        <v>7180.06</v>
      </c>
    </row>
    <row r="14" spans="2:4" ht="15.75" thickBot="1" x14ac:dyDescent="0.3">
      <c r="B14" s="2" t="s">
        <v>2</v>
      </c>
      <c r="C14" s="3">
        <v>2494</v>
      </c>
    </row>
    <row r="15" spans="2:4" ht="15.75" thickTop="1" x14ac:dyDescent="0.25">
      <c r="B15" s="4" t="s">
        <v>4</v>
      </c>
      <c r="C15" s="5">
        <v>19822</v>
      </c>
    </row>
    <row r="17" spans="2:3" x14ac:dyDescent="0.25">
      <c r="B17" s="6" t="s">
        <v>6</v>
      </c>
      <c r="C17" s="6"/>
    </row>
    <row r="18" spans="2:3" x14ac:dyDescent="0.25">
      <c r="B18" s="1" t="s">
        <v>12</v>
      </c>
      <c r="C18" s="1" t="s">
        <v>0</v>
      </c>
    </row>
    <row r="19" spans="2:3" ht="15.75" thickBot="1" x14ac:dyDescent="0.3">
      <c r="B19" s="2" t="s">
        <v>1</v>
      </c>
      <c r="C19" s="3">
        <v>763</v>
      </c>
    </row>
    <row r="20" spans="2:3" ht="15.75" thickTop="1" x14ac:dyDescent="0.25">
      <c r="B20" s="4" t="s">
        <v>4</v>
      </c>
      <c r="C20" s="5">
        <v>763</v>
      </c>
    </row>
  </sheetData>
  <mergeCells count="4">
    <mergeCell ref="B3:C3"/>
    <mergeCell ref="B17:C17"/>
    <mergeCell ref="B10:C10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2025-09-19T01:18:15Z</dcterms:created>
  <dcterms:modified xsi:type="dcterms:W3CDTF">2025-09-19T01:24:43Z</dcterms:modified>
</cp:coreProperties>
</file>