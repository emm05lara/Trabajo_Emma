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D:\PAGOS REPORTES\SEMANA 38\18 SEP\TARDE1\"/>
    </mc:Choice>
  </mc:AlternateContent>
  <xr:revisionPtr revIDLastSave="0" documentId="8_{C848EE5B-35EA-4A41-ACD6-78908CCD491D}" xr6:coauthVersionLast="47" xr6:coauthVersionMax="47" xr10:uidLastSave="{00000000-0000-0000-0000-000000000000}"/>
  <bookViews>
    <workbookView xWindow="-108" yWindow="-108" windowWidth="23256" windowHeight="12456" xr2:uid="{B28685B8-CDE2-4E91-BBC8-5857C9A42D5D}"/>
  </bookViews>
  <sheets>
    <sheet name="Hoja1" sheetId="1" r:id="rId1"/>
    <sheet name="Hoja2" sheetId="2" r:id="rId2"/>
    <sheet name="Hoja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2" i="3" l="1"/>
  <c r="D8" i="3" s="1"/>
  <c r="B2" i="2"/>
  <c r="D10" i="2" s="1"/>
  <c r="B1" i="1"/>
  <c r="D7" i="1" s="1"/>
</calcChain>
</file>

<file path=xl/sharedStrings.xml><?xml version="1.0" encoding="utf-8"?>
<sst xmlns="http://schemas.openxmlformats.org/spreadsheetml/2006/main" count="82" uniqueCount="20">
  <si>
    <t>Suma de Recuperación por Gestión</t>
  </si>
  <si>
    <t>Extrajudicial - 29 a 39 semanas de atraso</t>
  </si>
  <si>
    <t>Extrajudicial - 40 a 55 semanas de atraso</t>
  </si>
  <si>
    <t>Mas 55 semanas de atraso</t>
  </si>
  <si>
    <t>Total general</t>
  </si>
  <si>
    <t>SAMANTHA</t>
  </si>
  <si>
    <t>ANDREA</t>
  </si>
  <si>
    <t>EDITH</t>
  </si>
  <si>
    <t>FEDERICO</t>
  </si>
  <si>
    <t>FERNANDO</t>
  </si>
  <si>
    <t>Extrajudicial - 0 a 28 semanas de atraso</t>
  </si>
  <si>
    <t>TOTAL COBRADO</t>
  </si>
  <si>
    <t>Segmento</t>
  </si>
  <si>
    <t>CONSUMO</t>
  </si>
  <si>
    <t>CREDIMAX</t>
  </si>
  <si>
    <t>ITALIKA</t>
  </si>
  <si>
    <t>REESTRUCTURA</t>
  </si>
  <si>
    <t>TOR</t>
  </si>
  <si>
    <t>Producto</t>
  </si>
  <si>
    <t>CDC 100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</si>
</sst>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11"/>
      <color rgb="FFFFFFFF"/>
      <name val="Calibri"/>
      <family val="2"/>
    </font>
    <font>
      <sz val="11"/>
      <color theme="1"/>
      <name val="Calibri"/>
      <family val="2"/>
    </font>
    <font>
      <b/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31869B"/>
        <bgColor rgb="FF31869B"/>
      </patternFill>
    </fill>
  </fills>
  <borders count="4">
    <border>
      <left/>
      <right/>
      <top/>
      <bottom/>
      <diagonal/>
    </border>
    <border>
      <left/>
      <right/>
      <top/>
      <bottom style="thin">
        <color rgb="FFDAEEF3"/>
      </bottom>
      <diagonal/>
    </border>
    <border>
      <left/>
      <right/>
      <top style="thin">
        <color rgb="FFDAEEF3"/>
      </top>
      <bottom style="thin">
        <color rgb="FFDAEEF3"/>
      </bottom>
      <diagonal/>
    </border>
    <border>
      <left/>
      <right/>
      <top style="double">
        <color rgb="FF31869B"/>
      </top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/>
    <xf numFmtId="0" fontId="2" fillId="0" borderId="2" xfId="0" applyFont="1" applyBorder="1" applyAlignment="1">
      <alignment horizontal="left"/>
    </xf>
    <xf numFmtId="4" fontId="2" fillId="0" borderId="2" xfId="0" applyNumberFormat="1" applyFont="1" applyBorder="1"/>
    <xf numFmtId="0" fontId="3" fillId="0" borderId="3" xfId="0" applyFont="1" applyBorder="1" applyAlignment="1">
      <alignment horizontal="left"/>
    </xf>
    <xf numFmtId="4" fontId="3" fillId="0" borderId="3" xfId="0" applyNumberFormat="1" applyFont="1" applyBorder="1"/>
    <xf numFmtId="0" fontId="1" fillId="2" borderId="0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13C3EDA-A0A5-43B1-BECF-34A3956AC3ED}">
  <dimension ref="B1:D31"/>
  <sheetViews>
    <sheetView tabSelected="1" workbookViewId="0">
      <selection activeCell="B1" sqref="B1:C31"/>
    </sheetView>
  </sheetViews>
  <sheetFormatPr baseColWidth="10" defaultRowHeight="14.4" x14ac:dyDescent="0.3"/>
  <cols>
    <col min="2" max="2" width="34.44140625" bestFit="1" customWidth="1"/>
    <col min="3" max="3" width="29.6640625" bestFit="1" customWidth="1"/>
    <col min="4" max="4" width="15.109375" bestFit="1" customWidth="1"/>
  </cols>
  <sheetData>
    <row r="1" spans="2:4" x14ac:dyDescent="0.3">
      <c r="B1" s="6" t="str">
        <f ca="1" xml:space="preserve"> " COBRANZA INTERNOS " &amp; TEXT(TODAY(), " dd/mm/aaaa ") &amp; TEXT(NOW(), " hh:mm ")</f>
        <v xml:space="preserve"> COBRANZA INTERNOS  18/09/2025  13:27 </v>
      </c>
      <c r="C1" s="6"/>
    </row>
    <row r="2" spans="2:4" x14ac:dyDescent="0.3">
      <c r="B2" s="6" t="s">
        <v>5</v>
      </c>
      <c r="C2" s="6"/>
    </row>
    <row r="3" spans="2:4" x14ac:dyDescent="0.3">
      <c r="B3" s="1" t="s">
        <v>12</v>
      </c>
      <c r="C3" s="1" t="s">
        <v>0</v>
      </c>
    </row>
    <row r="4" spans="2:4" x14ac:dyDescent="0.3">
      <c r="B4" s="2" t="s">
        <v>1</v>
      </c>
      <c r="C4" s="3">
        <v>15526</v>
      </c>
    </row>
    <row r="5" spans="2:4" x14ac:dyDescent="0.3">
      <c r="B5" s="2" t="s">
        <v>2</v>
      </c>
      <c r="C5" s="3">
        <v>7208</v>
      </c>
    </row>
    <row r="6" spans="2:4" ht="15" thickBot="1" x14ac:dyDescent="0.35">
      <c r="B6" s="2" t="s">
        <v>3</v>
      </c>
      <c r="C6" s="3">
        <v>16093.56</v>
      </c>
      <c r="D6" s="1" t="s">
        <v>11</v>
      </c>
    </row>
    <row r="7" spans="2:4" ht="15" thickTop="1" x14ac:dyDescent="0.3">
      <c r="B7" s="4" t="s">
        <v>4</v>
      </c>
      <c r="C7" s="5">
        <v>38827.56</v>
      </c>
      <c r="D7" s="5">
        <f ca="1">SUMIF(B:B, "Total general", C:C)</f>
        <v>72162.559999999998</v>
      </c>
    </row>
    <row r="9" spans="2:4" x14ac:dyDescent="0.3">
      <c r="B9" s="6" t="s">
        <v>9</v>
      </c>
      <c r="C9" s="6"/>
    </row>
    <row r="10" spans="2:4" x14ac:dyDescent="0.3">
      <c r="B10" s="1" t="s">
        <v>12</v>
      </c>
      <c r="C10" s="1" t="s">
        <v>0</v>
      </c>
    </row>
    <row r="11" spans="2:4" x14ac:dyDescent="0.3">
      <c r="B11" s="2" t="s">
        <v>10</v>
      </c>
      <c r="C11" s="3">
        <v>9821.9399999999987</v>
      </c>
    </row>
    <row r="12" spans="2:4" x14ac:dyDescent="0.3">
      <c r="B12" s="2" t="s">
        <v>1</v>
      </c>
      <c r="C12" s="3">
        <v>8941.0600000000013</v>
      </c>
    </row>
    <row r="13" spans="2:4" ht="15" thickBot="1" x14ac:dyDescent="0.35">
      <c r="B13" s="2" t="s">
        <v>2</v>
      </c>
      <c r="C13" s="3">
        <v>893</v>
      </c>
    </row>
    <row r="14" spans="2:4" ht="15" thickTop="1" x14ac:dyDescent="0.3">
      <c r="B14" s="4" t="s">
        <v>4</v>
      </c>
      <c r="C14" s="5">
        <v>19656</v>
      </c>
    </row>
    <row r="16" spans="2:4" x14ac:dyDescent="0.3">
      <c r="B16" s="6" t="s">
        <v>6</v>
      </c>
      <c r="C16" s="6"/>
    </row>
    <row r="17" spans="2:3" x14ac:dyDescent="0.3">
      <c r="B17" s="1" t="s">
        <v>12</v>
      </c>
      <c r="C17" s="1" t="s">
        <v>0</v>
      </c>
    </row>
    <row r="18" spans="2:3" x14ac:dyDescent="0.3">
      <c r="B18" s="2" t="s">
        <v>1</v>
      </c>
      <c r="C18" s="3">
        <v>2635</v>
      </c>
    </row>
    <row r="19" spans="2:3" ht="15" thickBot="1" x14ac:dyDescent="0.35">
      <c r="B19" s="2" t="s">
        <v>3</v>
      </c>
      <c r="C19" s="3">
        <v>3128</v>
      </c>
    </row>
    <row r="20" spans="2:3" ht="15" thickTop="1" x14ac:dyDescent="0.3">
      <c r="B20" s="4" t="s">
        <v>4</v>
      </c>
      <c r="C20" s="5">
        <v>5763</v>
      </c>
    </row>
    <row r="22" spans="2:3" x14ac:dyDescent="0.3">
      <c r="B22" s="6" t="s">
        <v>7</v>
      </c>
      <c r="C22" s="6"/>
    </row>
    <row r="23" spans="2:3" x14ac:dyDescent="0.3">
      <c r="B23" s="1" t="s">
        <v>12</v>
      </c>
      <c r="C23" s="1" t="s">
        <v>0</v>
      </c>
    </row>
    <row r="24" spans="2:3" x14ac:dyDescent="0.3">
      <c r="B24" s="2" t="s">
        <v>1</v>
      </c>
      <c r="C24" s="3">
        <v>3036</v>
      </c>
    </row>
    <row r="25" spans="2:3" ht="15" thickBot="1" x14ac:dyDescent="0.35">
      <c r="B25" s="2" t="s">
        <v>3</v>
      </c>
      <c r="C25" s="3">
        <v>2020</v>
      </c>
    </row>
    <row r="26" spans="2:3" ht="15" thickTop="1" x14ac:dyDescent="0.3">
      <c r="B26" s="4" t="s">
        <v>4</v>
      </c>
      <c r="C26" s="5">
        <v>5056</v>
      </c>
    </row>
    <row r="28" spans="2:3" x14ac:dyDescent="0.3">
      <c r="B28" s="6" t="s">
        <v>8</v>
      </c>
      <c r="C28" s="6"/>
    </row>
    <row r="29" spans="2:3" x14ac:dyDescent="0.3">
      <c r="B29" s="1" t="s">
        <v>12</v>
      </c>
      <c r="C29" s="1" t="s">
        <v>0</v>
      </c>
    </row>
    <row r="30" spans="2:3" ht="15" thickBot="1" x14ac:dyDescent="0.35">
      <c r="B30" s="2" t="s">
        <v>1</v>
      </c>
      <c r="C30" s="3">
        <v>2860</v>
      </c>
    </row>
    <row r="31" spans="2:3" ht="15" thickTop="1" x14ac:dyDescent="0.3">
      <c r="B31" s="4" t="s">
        <v>4</v>
      </c>
      <c r="C31" s="5">
        <v>2860</v>
      </c>
    </row>
  </sheetData>
  <mergeCells count="6">
    <mergeCell ref="B2:C2"/>
    <mergeCell ref="B16:C16"/>
    <mergeCell ref="B22:C22"/>
    <mergeCell ref="B28:C28"/>
    <mergeCell ref="B9:C9"/>
    <mergeCell ref="B1:C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9DEC7DF-2B13-4767-A01C-DA9E5B86C010}">
  <dimension ref="B2:D36"/>
  <sheetViews>
    <sheetView workbookViewId="0">
      <selection activeCell="B2" sqref="B2:C2"/>
    </sheetView>
  </sheetViews>
  <sheetFormatPr baseColWidth="10" defaultRowHeight="14.4" x14ac:dyDescent="0.3"/>
  <cols>
    <col min="2" max="2" width="14.109375" bestFit="1" customWidth="1"/>
    <col min="3" max="3" width="29.6640625" bestFit="1" customWidth="1"/>
    <col min="4" max="4" width="15.109375" bestFit="1" customWidth="1"/>
  </cols>
  <sheetData>
    <row r="2" spans="2:4" x14ac:dyDescent="0.3">
      <c r="B2" s="6" t="str">
        <f ca="1" xml:space="preserve"> " COBRANZA INTERNOS " &amp; TEXT(TODAY(), " dd/mm/aaaa ") &amp; TEXT(NOW(), " hh:mm ")</f>
        <v xml:space="preserve"> COBRANZA INTERNOS  18/09/2025  13:27 </v>
      </c>
      <c r="C2" s="6"/>
    </row>
    <row r="3" spans="2:4" x14ac:dyDescent="0.3">
      <c r="B3" s="6" t="s">
        <v>5</v>
      </c>
      <c r="C3" s="6"/>
    </row>
    <row r="4" spans="2:4" x14ac:dyDescent="0.3">
      <c r="B4" s="1" t="s">
        <v>18</v>
      </c>
      <c r="C4" s="1" t="s">
        <v>0</v>
      </c>
    </row>
    <row r="5" spans="2:4" x14ac:dyDescent="0.3">
      <c r="B5" s="2" t="s">
        <v>13</v>
      </c>
      <c r="C5" s="3">
        <v>486</v>
      </c>
    </row>
    <row r="6" spans="2:4" x14ac:dyDescent="0.3">
      <c r="B6" s="2" t="s">
        <v>14</v>
      </c>
      <c r="C6" s="3">
        <v>720</v>
      </c>
    </row>
    <row r="7" spans="2:4" x14ac:dyDescent="0.3">
      <c r="B7" s="2" t="s">
        <v>15</v>
      </c>
      <c r="C7" s="3">
        <v>600</v>
      </c>
    </row>
    <row r="8" spans="2:4" x14ac:dyDescent="0.3">
      <c r="B8" s="2" t="s">
        <v>16</v>
      </c>
      <c r="C8" s="3">
        <v>8103</v>
      </c>
    </row>
    <row r="9" spans="2:4" ht="15" thickBot="1" x14ac:dyDescent="0.35">
      <c r="B9" s="2" t="s">
        <v>17</v>
      </c>
      <c r="C9" s="3">
        <v>28918.559999999998</v>
      </c>
      <c r="D9" s="1" t="s">
        <v>11</v>
      </c>
    </row>
    <row r="10" spans="2:4" ht="15" thickTop="1" x14ac:dyDescent="0.3">
      <c r="B10" s="4" t="s">
        <v>4</v>
      </c>
      <c r="C10" s="5">
        <v>38827.56</v>
      </c>
      <c r="D10" s="5">
        <f ca="1">SUMIF(B:B, "Total general", C:C)</f>
        <v>72162.559999999998</v>
      </c>
    </row>
    <row r="12" spans="2:4" x14ac:dyDescent="0.3">
      <c r="B12" s="6" t="s">
        <v>9</v>
      </c>
      <c r="C12" s="6"/>
    </row>
    <row r="13" spans="2:4" x14ac:dyDescent="0.3">
      <c r="B13" s="1" t="s">
        <v>18</v>
      </c>
      <c r="C13" s="1" t="s">
        <v>0</v>
      </c>
    </row>
    <row r="14" spans="2:4" x14ac:dyDescent="0.3">
      <c r="B14" s="2" t="s">
        <v>13</v>
      </c>
      <c r="C14" s="3">
        <v>2325</v>
      </c>
    </row>
    <row r="15" spans="2:4" x14ac:dyDescent="0.3">
      <c r="B15" s="2" t="s">
        <v>14</v>
      </c>
      <c r="C15" s="3">
        <v>351</v>
      </c>
    </row>
    <row r="16" spans="2:4" x14ac:dyDescent="0.3">
      <c r="B16" s="2" t="s">
        <v>16</v>
      </c>
      <c r="C16" s="3">
        <v>500</v>
      </c>
    </row>
    <row r="17" spans="2:3" ht="15" thickBot="1" x14ac:dyDescent="0.35">
      <c r="B17" s="2" t="s">
        <v>17</v>
      </c>
      <c r="C17" s="3">
        <v>16480</v>
      </c>
    </row>
    <row r="18" spans="2:3" ht="15" thickTop="1" x14ac:dyDescent="0.3">
      <c r="B18" s="4" t="s">
        <v>4</v>
      </c>
      <c r="C18" s="5">
        <v>19656</v>
      </c>
    </row>
    <row r="20" spans="2:3" x14ac:dyDescent="0.3">
      <c r="B20" s="6" t="s">
        <v>6</v>
      </c>
      <c r="C20" s="6"/>
    </row>
    <row r="21" spans="2:3" x14ac:dyDescent="0.3">
      <c r="B21" s="1" t="s">
        <v>18</v>
      </c>
      <c r="C21" s="1" t="s">
        <v>0</v>
      </c>
    </row>
    <row r="22" spans="2:3" x14ac:dyDescent="0.3">
      <c r="B22" s="2" t="s">
        <v>14</v>
      </c>
      <c r="C22" s="3">
        <v>1530</v>
      </c>
    </row>
    <row r="23" spans="2:3" x14ac:dyDescent="0.3">
      <c r="B23" s="2" t="s">
        <v>15</v>
      </c>
      <c r="C23" s="3">
        <v>670</v>
      </c>
    </row>
    <row r="24" spans="2:3" ht="15" thickBot="1" x14ac:dyDescent="0.35">
      <c r="B24" s="2" t="s">
        <v>17</v>
      </c>
      <c r="C24" s="3">
        <v>3563</v>
      </c>
    </row>
    <row r="25" spans="2:3" ht="15" thickTop="1" x14ac:dyDescent="0.3">
      <c r="B25" s="4" t="s">
        <v>4</v>
      </c>
      <c r="C25" s="5">
        <v>5763</v>
      </c>
    </row>
    <row r="27" spans="2:3" x14ac:dyDescent="0.3">
      <c r="B27" s="6" t="s">
        <v>7</v>
      </c>
      <c r="C27" s="6"/>
    </row>
    <row r="28" spans="2:3" x14ac:dyDescent="0.3">
      <c r="B28" s="1" t="s">
        <v>18</v>
      </c>
      <c r="C28" s="1" t="s">
        <v>0</v>
      </c>
    </row>
    <row r="29" spans="2:3" ht="15" thickBot="1" x14ac:dyDescent="0.35">
      <c r="B29" s="2" t="s">
        <v>17</v>
      </c>
      <c r="C29" s="3">
        <v>5056</v>
      </c>
    </row>
    <row r="30" spans="2:3" ht="15" thickTop="1" x14ac:dyDescent="0.3">
      <c r="B30" s="4" t="s">
        <v>4</v>
      </c>
      <c r="C30" s="5">
        <v>5056</v>
      </c>
    </row>
    <row r="32" spans="2:3" x14ac:dyDescent="0.3">
      <c r="B32" s="6" t="s">
        <v>8</v>
      </c>
      <c r="C32" s="6"/>
    </row>
    <row r="33" spans="2:3" x14ac:dyDescent="0.3">
      <c r="B33" s="1" t="s">
        <v>18</v>
      </c>
      <c r="C33" s="1" t="s">
        <v>0</v>
      </c>
    </row>
    <row r="34" spans="2:3" x14ac:dyDescent="0.3">
      <c r="B34" s="2" t="s">
        <v>13</v>
      </c>
      <c r="C34" s="3">
        <v>1000</v>
      </c>
    </row>
    <row r="35" spans="2:3" ht="15" thickBot="1" x14ac:dyDescent="0.35">
      <c r="B35" s="2" t="s">
        <v>17</v>
      </c>
      <c r="C35" s="3">
        <v>1860</v>
      </c>
    </row>
    <row r="36" spans="2:3" ht="15" thickTop="1" x14ac:dyDescent="0.3">
      <c r="B36" s="4" t="s">
        <v>4</v>
      </c>
      <c r="C36" s="5">
        <v>2860</v>
      </c>
    </row>
  </sheetData>
  <mergeCells count="6">
    <mergeCell ref="B2:C2"/>
    <mergeCell ref="B3:C3"/>
    <mergeCell ref="B12:C12"/>
    <mergeCell ref="B20:C20"/>
    <mergeCell ref="B27:C27"/>
    <mergeCell ref="B32:C3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921EBD-3F7F-42F2-B972-64FA593A3ACC}">
  <dimension ref="B2:D14"/>
  <sheetViews>
    <sheetView workbookViewId="0">
      <selection activeCell="B2" sqref="B2:C2"/>
    </sheetView>
  </sheetViews>
  <sheetFormatPr baseColWidth="10" defaultRowHeight="14.4" x14ac:dyDescent="0.3"/>
  <cols>
    <col min="2" max="2" width="34.44140625" bestFit="1" customWidth="1"/>
    <col min="3" max="3" width="29.6640625" bestFit="1" customWidth="1"/>
    <col min="4" max="4" width="15.109375" bestFit="1" customWidth="1"/>
  </cols>
  <sheetData>
    <row r="2" spans="2:4" x14ac:dyDescent="0.3">
      <c r="B2" s="6" t="str">
        <f ca="1" xml:space="preserve"> " ETIQUETA PROYECTO CDC " &amp; TEXT(TODAY(), " dd/mm/aaaa ") &amp; TEXT(NOW(), " hh:mm ")</f>
        <v xml:space="preserve"> ETIQUETA PROYECTO CDC  18/09/2025  13:27 </v>
      </c>
      <c r="C2" s="6"/>
    </row>
    <row r="3" spans="2:4" x14ac:dyDescent="0.3">
      <c r="B3" s="6" t="s">
        <v>9</v>
      </c>
      <c r="C3" s="6"/>
    </row>
    <row r="4" spans="2:4" x14ac:dyDescent="0.3">
      <c r="B4" s="1" t="s">
        <v>12</v>
      </c>
      <c r="C4" s="1" t="s">
        <v>0</v>
      </c>
    </row>
    <row r="5" spans="2:4" x14ac:dyDescent="0.3">
      <c r="B5" s="2" t="s">
        <v>10</v>
      </c>
      <c r="C5" s="3">
        <v>9821.9399999999987</v>
      </c>
    </row>
    <row r="6" spans="2:4" x14ac:dyDescent="0.3">
      <c r="B6" s="2" t="s">
        <v>1</v>
      </c>
      <c r="C6" s="3">
        <v>6290.06</v>
      </c>
    </row>
    <row r="7" spans="2:4" ht="15" thickBot="1" x14ac:dyDescent="0.35">
      <c r="B7" s="2" t="s">
        <v>2</v>
      </c>
      <c r="C7" s="3">
        <v>893</v>
      </c>
      <c r="D7" s="1" t="s">
        <v>11</v>
      </c>
    </row>
    <row r="8" spans="2:4" ht="15" thickTop="1" x14ac:dyDescent="0.3">
      <c r="B8" s="4" t="s">
        <v>4</v>
      </c>
      <c r="C8" s="5">
        <v>17005</v>
      </c>
      <c r="D8" s="5">
        <f ca="1">SUMIF(B:B, "Total general", C:C)</f>
        <v>31507.7</v>
      </c>
    </row>
    <row r="10" spans="2:4" x14ac:dyDescent="0.3">
      <c r="B10" s="6" t="s">
        <v>19</v>
      </c>
      <c r="C10" s="6"/>
    </row>
    <row r="11" spans="2:4" x14ac:dyDescent="0.3">
      <c r="B11" s="1" t="s">
        <v>12</v>
      </c>
      <c r="C11" s="1" t="s">
        <v>0</v>
      </c>
    </row>
    <row r="12" spans="2:4" x14ac:dyDescent="0.3">
      <c r="B12" s="2" t="s">
        <v>1</v>
      </c>
      <c r="C12" s="3">
        <v>11374.7</v>
      </c>
    </row>
    <row r="13" spans="2:4" ht="15" thickBot="1" x14ac:dyDescent="0.35">
      <c r="B13" s="2" t="s">
        <v>2</v>
      </c>
      <c r="C13" s="3">
        <v>3128</v>
      </c>
    </row>
    <row r="14" spans="2:4" ht="15" thickTop="1" x14ac:dyDescent="0.3">
      <c r="B14" s="4" t="s">
        <v>4</v>
      </c>
      <c r="C14" s="5">
        <v>14502.7</v>
      </c>
    </row>
  </sheetData>
  <mergeCells count="3">
    <mergeCell ref="B10:C10"/>
    <mergeCell ref="B3:C3"/>
    <mergeCell ref="B2:C2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Hoja1</vt:lpstr>
      <vt:lpstr>Hoja2</vt:lpstr>
      <vt:lpstr>Hoja3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Emmanuel Lara Hernández</dc:creator>
  <cp:lastModifiedBy>Emmanuel Lara Hernández</cp:lastModifiedBy>
  <dcterms:created xsi:type="dcterms:W3CDTF">2025-09-18T19:22:04Z</dcterms:created>
  <dcterms:modified xsi:type="dcterms:W3CDTF">2025-09-18T19:28:12Z</dcterms:modified>
</cp:coreProperties>
</file>