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38\17 SEP\TARDE1\"/>
    </mc:Choice>
  </mc:AlternateContent>
  <xr:revisionPtr revIDLastSave="0" documentId="8_{4AEE6440-E109-467F-95EC-31265D8F212F}" xr6:coauthVersionLast="47" xr6:coauthVersionMax="47" xr10:uidLastSave="{00000000-0000-0000-0000-000000000000}"/>
  <bookViews>
    <workbookView xWindow="-108" yWindow="-108" windowWidth="23256" windowHeight="12456" xr2:uid="{D8DB4E5B-50A2-4530-B43A-364430B4B404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D8" i="3" s="1"/>
  <c r="B2" i="2"/>
  <c r="D9" i="2" s="1"/>
  <c r="B1" i="1"/>
  <c r="D7" i="1" s="1"/>
</calcChain>
</file>

<file path=xl/sharedStrings.xml><?xml version="1.0" encoding="utf-8"?>
<sst xmlns="http://schemas.openxmlformats.org/spreadsheetml/2006/main" count="84" uniqueCount="21">
  <si>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</si>
  <si>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</si>
  <si>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</si>
  <si>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</si>
  <si>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</si>
  <si>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</si>
  <si>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</si>
  <si>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</si>
  <si>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</si>
  <si>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</si>
  <si>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Extrajudicial - 0 a 28 semanas de atraso</t>
  </si>
  <si>
    <t>TOTAL COBRADO</t>
  </si>
  <si>
    <t>Segmento</t>
  </si>
  <si>
    <t>CONSUMO</t>
  </si>
  <si>
    <t>CREDIMAX</t>
  </si>
  <si>
    <t>REESTRUCTURA</t>
  </si>
  <si>
    <t>TOR</t>
  </si>
  <si>
    <t>OTROS</t>
  </si>
  <si>
    <t>ITALIKA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</si>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</sst>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AB1C9-51D5-4363-BDFF-7C9A8C27888D}">
  <dimension ref="B1:D33"/>
  <sheetViews>
    <sheetView tabSelected="1" topLeftCell="A11" workbookViewId="0">
      <selection activeCell="B1" sqref="B1:D33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1" spans="2:4" x14ac:dyDescent="0.3">
      <c r="B1" s="6" t="str">
        <f ca="1" xml:space="preserve"> " COBRANZA INTERNOS " &amp; TEXT(TODAY(), " dd/mm/aaaa ") &amp; TEXT(NOW(), " hh:mm ")</f>
        <v xml:space="preserve"> COBRANZA INTERNOS  17/09/2025  13:45 </v>
      </c>
      <c r="C1" s="6"/>
    </row>
    <row r="2" spans="2:4" x14ac:dyDescent="0.3">
      <c r="B2" s="6" t="s">
        <v>5</v>
      </c>
      <c r="C2" s="6"/>
    </row>
    <row r="3" spans="2:4" x14ac:dyDescent="0.3">
      <c r="B3" s="1" t="s">
        <v>12</v>
      </c>
      <c r="C3" s="1" t="s">
        <v>0</v>
      </c>
    </row>
    <row r="4" spans="2:4" x14ac:dyDescent="0.3">
      <c r="B4" s="2" t="s">
        <v>1</v>
      </c>
      <c r="C4" s="3">
        <v>64673.56</v>
      </c>
    </row>
    <row r="5" spans="2:4" x14ac:dyDescent="0.3">
      <c r="B5" s="2" t="s">
        <v>2</v>
      </c>
      <c r="C5" s="3">
        <v>6606</v>
      </c>
    </row>
    <row r="6" spans="2:4" ht="15" thickBot="1" x14ac:dyDescent="0.35">
      <c r="B6" s="2" t="s">
        <v>3</v>
      </c>
      <c r="C6" s="3">
        <v>27420.05</v>
      </c>
      <c r="D6" s="1" t="s">
        <v>11</v>
      </c>
    </row>
    <row r="7" spans="2:4" ht="15" thickTop="1" x14ac:dyDescent="0.3">
      <c r="B7" s="4" t="s">
        <v>4</v>
      </c>
      <c r="C7" s="5">
        <v>98699.61</v>
      </c>
      <c r="D7" s="5">
        <f ca="1">SUMIF(B:B, "Total general", C:C)</f>
        <v>134580.22999999998</v>
      </c>
    </row>
    <row r="9" spans="2:4" x14ac:dyDescent="0.3">
      <c r="B9" s="6" t="s">
        <v>7</v>
      </c>
      <c r="C9" s="6"/>
    </row>
    <row r="10" spans="2:4" x14ac:dyDescent="0.3">
      <c r="B10" s="1" t="s">
        <v>12</v>
      </c>
      <c r="C10" s="1" t="s">
        <v>0</v>
      </c>
    </row>
    <row r="11" spans="2:4" x14ac:dyDescent="0.3">
      <c r="B11" s="2" t="s">
        <v>1</v>
      </c>
      <c r="C11" s="3">
        <v>11464.62</v>
      </c>
    </row>
    <row r="12" spans="2:4" x14ac:dyDescent="0.3">
      <c r="B12" s="2" t="s">
        <v>2</v>
      </c>
      <c r="C12" s="3">
        <v>1000</v>
      </c>
    </row>
    <row r="13" spans="2:4" ht="15" thickBot="1" x14ac:dyDescent="0.35">
      <c r="B13" s="2" t="s">
        <v>3</v>
      </c>
      <c r="C13" s="3">
        <v>3247</v>
      </c>
    </row>
    <row r="14" spans="2:4" ht="15" thickTop="1" x14ac:dyDescent="0.3">
      <c r="B14" s="4" t="s">
        <v>4</v>
      </c>
      <c r="C14" s="5">
        <v>15711.62</v>
      </c>
    </row>
    <row r="16" spans="2:4" x14ac:dyDescent="0.3">
      <c r="B16" s="6" t="s">
        <v>6</v>
      </c>
      <c r="C16" s="6"/>
    </row>
    <row r="17" spans="2:3" x14ac:dyDescent="0.3">
      <c r="B17" s="1" t="s">
        <v>12</v>
      </c>
      <c r="C17" s="1" t="s">
        <v>0</v>
      </c>
    </row>
    <row r="18" spans="2:3" x14ac:dyDescent="0.3">
      <c r="B18" s="2" t="s">
        <v>1</v>
      </c>
      <c r="C18" s="3">
        <v>4860</v>
      </c>
    </row>
    <row r="19" spans="2:3" x14ac:dyDescent="0.3">
      <c r="B19" s="2" t="s">
        <v>2</v>
      </c>
      <c r="C19" s="3">
        <v>2076</v>
      </c>
    </row>
    <row r="20" spans="2:3" ht="15" thickBot="1" x14ac:dyDescent="0.35">
      <c r="B20" s="2" t="s">
        <v>3</v>
      </c>
      <c r="C20" s="3">
        <v>3416</v>
      </c>
    </row>
    <row r="21" spans="2:3" ht="15" thickTop="1" x14ac:dyDescent="0.3">
      <c r="B21" s="4" t="s">
        <v>4</v>
      </c>
      <c r="C21" s="5">
        <v>10352</v>
      </c>
    </row>
    <row r="23" spans="2:3" x14ac:dyDescent="0.3">
      <c r="B23" s="6" t="s">
        <v>9</v>
      </c>
      <c r="C23" s="6"/>
    </row>
    <row r="24" spans="2:3" x14ac:dyDescent="0.3">
      <c r="B24" s="1" t="s">
        <v>12</v>
      </c>
      <c r="C24" s="1" t="s">
        <v>0</v>
      </c>
    </row>
    <row r="25" spans="2:3" x14ac:dyDescent="0.3">
      <c r="B25" s="2" t="s">
        <v>10</v>
      </c>
      <c r="C25" s="3">
        <v>3968</v>
      </c>
    </row>
    <row r="26" spans="2:3" x14ac:dyDescent="0.3">
      <c r="B26" s="2" t="s">
        <v>1</v>
      </c>
      <c r="C26" s="3">
        <v>2032</v>
      </c>
    </row>
    <row r="27" spans="2:3" ht="15" thickBot="1" x14ac:dyDescent="0.35">
      <c r="B27" s="2" t="s">
        <v>2</v>
      </c>
      <c r="C27" s="3">
        <v>712</v>
      </c>
    </row>
    <row r="28" spans="2:3" ht="15" thickTop="1" x14ac:dyDescent="0.3">
      <c r="B28" s="4" t="s">
        <v>4</v>
      </c>
      <c r="C28" s="5">
        <v>6712</v>
      </c>
    </row>
    <row r="30" spans="2:3" x14ac:dyDescent="0.3">
      <c r="B30" s="6" t="s">
        <v>8</v>
      </c>
      <c r="C30" s="6"/>
    </row>
    <row r="31" spans="2:3" x14ac:dyDescent="0.3">
      <c r="B31" s="1" t="s">
        <v>12</v>
      </c>
      <c r="C31" s="1" t="s">
        <v>0</v>
      </c>
    </row>
    <row r="32" spans="2:3" ht="15" thickBot="1" x14ac:dyDescent="0.35">
      <c r="B32" s="2" t="s">
        <v>3</v>
      </c>
      <c r="C32" s="3">
        <v>3105</v>
      </c>
    </row>
    <row r="33" spans="2:3" ht="15" thickTop="1" x14ac:dyDescent="0.3">
      <c r="B33" s="4" t="s">
        <v>4</v>
      </c>
      <c r="C33" s="5">
        <v>3105</v>
      </c>
    </row>
  </sheetData>
  <mergeCells count="6">
    <mergeCell ref="B2:C2"/>
    <mergeCell ref="B16:C16"/>
    <mergeCell ref="B9:C9"/>
    <mergeCell ref="B30:C30"/>
    <mergeCell ref="B23:C23"/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25778-88C5-48DC-8430-2FEEFD07A8E2}">
  <dimension ref="B2:D37"/>
  <sheetViews>
    <sheetView workbookViewId="0">
      <selection activeCell="B2" sqref="B2:C2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COBRANZA INTERNOS " &amp; TEXT(TODAY(), " dd/mm/aaaa ") &amp; TEXT(NOW(), " hh:mm ")</f>
        <v xml:space="preserve"> COBRANZA INTERNOS  17/09/2025  13:45 </v>
      </c>
      <c r="C2" s="6"/>
    </row>
    <row r="3" spans="2:4" x14ac:dyDescent="0.3">
      <c r="B3" s="6" t="s">
        <v>5</v>
      </c>
      <c r="C3" s="6"/>
    </row>
    <row r="4" spans="2:4" x14ac:dyDescent="0.3">
      <c r="B4" s="1" t="s">
        <v>19</v>
      </c>
      <c r="C4" s="1" t="s">
        <v>0</v>
      </c>
    </row>
    <row r="5" spans="2:4" x14ac:dyDescent="0.3">
      <c r="B5" s="2" t="s">
        <v>13</v>
      </c>
      <c r="C5" s="3">
        <v>1032</v>
      </c>
    </row>
    <row r="6" spans="2:4" x14ac:dyDescent="0.3">
      <c r="B6" s="2" t="s">
        <v>14</v>
      </c>
      <c r="C6" s="3">
        <v>3174</v>
      </c>
    </row>
    <row r="7" spans="2:4" x14ac:dyDescent="0.3">
      <c r="B7" s="2" t="s">
        <v>15</v>
      </c>
      <c r="C7" s="3">
        <v>4974</v>
      </c>
    </row>
    <row r="8" spans="2:4" ht="15" thickBot="1" x14ac:dyDescent="0.35">
      <c r="B8" s="2" t="s">
        <v>16</v>
      </c>
      <c r="C8" s="3">
        <v>89519.61</v>
      </c>
      <c r="D8" s="1" t="s">
        <v>11</v>
      </c>
    </row>
    <row r="9" spans="2:4" ht="15" thickTop="1" x14ac:dyDescent="0.3">
      <c r="B9" s="4" t="s">
        <v>4</v>
      </c>
      <c r="C9" s="5">
        <v>98699.61</v>
      </c>
      <c r="D9" s="5">
        <f ca="1">SUMIF(B:B, "Total general", C:C)</f>
        <v>134580.22999999998</v>
      </c>
    </row>
    <row r="11" spans="2:4" x14ac:dyDescent="0.3">
      <c r="B11" s="6" t="s">
        <v>7</v>
      </c>
      <c r="C11" s="6"/>
    </row>
    <row r="12" spans="2:4" x14ac:dyDescent="0.3">
      <c r="B12" s="1" t="s">
        <v>19</v>
      </c>
      <c r="C12" s="1" t="s">
        <v>0</v>
      </c>
    </row>
    <row r="13" spans="2:4" ht="15" thickBot="1" x14ac:dyDescent="0.35">
      <c r="B13" s="2" t="s">
        <v>16</v>
      </c>
      <c r="C13" s="3">
        <v>15711.62</v>
      </c>
    </row>
    <row r="14" spans="2:4" ht="15" thickTop="1" x14ac:dyDescent="0.3">
      <c r="B14" s="4" t="s">
        <v>4</v>
      </c>
      <c r="C14" s="5">
        <v>15711.62</v>
      </c>
    </row>
    <row r="16" spans="2:4" x14ac:dyDescent="0.3">
      <c r="B16" s="6" t="s">
        <v>6</v>
      </c>
      <c r="C16" s="6"/>
    </row>
    <row r="17" spans="2:3" x14ac:dyDescent="0.3">
      <c r="B17" s="1" t="s">
        <v>19</v>
      </c>
      <c r="C17" s="1" t="s">
        <v>0</v>
      </c>
    </row>
    <row r="18" spans="2:3" x14ac:dyDescent="0.3">
      <c r="B18" s="2" t="s">
        <v>13</v>
      </c>
      <c r="C18" s="3">
        <v>170</v>
      </c>
    </row>
    <row r="19" spans="2:3" x14ac:dyDescent="0.3">
      <c r="B19" s="2" t="s">
        <v>14</v>
      </c>
      <c r="C19" s="3">
        <v>2344</v>
      </c>
    </row>
    <row r="20" spans="2:3" x14ac:dyDescent="0.3">
      <c r="B20" s="2" t="s">
        <v>17</v>
      </c>
      <c r="C20" s="3">
        <v>500</v>
      </c>
    </row>
    <row r="21" spans="2:3" x14ac:dyDescent="0.3">
      <c r="B21" s="2" t="s">
        <v>15</v>
      </c>
      <c r="C21" s="3">
        <v>1000</v>
      </c>
    </row>
    <row r="22" spans="2:3" ht="15" thickBot="1" x14ac:dyDescent="0.35">
      <c r="B22" s="2" t="s">
        <v>16</v>
      </c>
      <c r="C22" s="3">
        <v>6338</v>
      </c>
    </row>
    <row r="23" spans="2:3" ht="15" thickTop="1" x14ac:dyDescent="0.3">
      <c r="B23" s="4" t="s">
        <v>4</v>
      </c>
      <c r="C23" s="5">
        <v>10352</v>
      </c>
    </row>
    <row r="25" spans="2:3" x14ac:dyDescent="0.3">
      <c r="B25" s="6" t="s">
        <v>9</v>
      </c>
      <c r="C25" s="6"/>
    </row>
    <row r="26" spans="2:3" x14ac:dyDescent="0.3">
      <c r="B26" s="1" t="s">
        <v>19</v>
      </c>
      <c r="C26" s="1" t="s">
        <v>0</v>
      </c>
    </row>
    <row r="27" spans="2:3" x14ac:dyDescent="0.3">
      <c r="B27" s="2" t="s">
        <v>13</v>
      </c>
      <c r="C27" s="3">
        <v>244</v>
      </c>
    </row>
    <row r="28" spans="2:3" x14ac:dyDescent="0.3">
      <c r="B28" s="2" t="s">
        <v>14</v>
      </c>
      <c r="C28" s="3">
        <v>1230</v>
      </c>
    </row>
    <row r="29" spans="2:3" x14ac:dyDescent="0.3">
      <c r="B29" s="2" t="s">
        <v>18</v>
      </c>
      <c r="C29" s="3">
        <v>1528</v>
      </c>
    </row>
    <row r="30" spans="2:3" ht="15" thickBot="1" x14ac:dyDescent="0.35">
      <c r="B30" s="2" t="s">
        <v>16</v>
      </c>
      <c r="C30" s="3">
        <v>3710</v>
      </c>
    </row>
    <row r="31" spans="2:3" ht="15" thickTop="1" x14ac:dyDescent="0.3">
      <c r="B31" s="4" t="s">
        <v>4</v>
      </c>
      <c r="C31" s="5">
        <v>6712</v>
      </c>
    </row>
    <row r="33" spans="2:3" x14ac:dyDescent="0.3">
      <c r="B33" s="6" t="s">
        <v>8</v>
      </c>
      <c r="C33" s="6"/>
    </row>
    <row r="34" spans="2:3" x14ac:dyDescent="0.3">
      <c r="B34" s="1" t="s">
        <v>19</v>
      </c>
      <c r="C34" s="1" t="s">
        <v>0</v>
      </c>
    </row>
    <row r="35" spans="2:3" x14ac:dyDescent="0.3">
      <c r="B35" s="2" t="s">
        <v>15</v>
      </c>
      <c r="C35" s="3">
        <v>2816</v>
      </c>
    </row>
    <row r="36" spans="2:3" ht="15" thickBot="1" x14ac:dyDescent="0.35">
      <c r="B36" s="2" t="s">
        <v>16</v>
      </c>
      <c r="C36" s="3">
        <v>289</v>
      </c>
    </row>
    <row r="37" spans="2:3" ht="15" thickTop="1" x14ac:dyDescent="0.3">
      <c r="B37" s="4" t="s">
        <v>4</v>
      </c>
      <c r="C37" s="5">
        <v>3105</v>
      </c>
    </row>
  </sheetData>
  <mergeCells count="6">
    <mergeCell ref="B2:C2"/>
    <mergeCell ref="B3:C3"/>
    <mergeCell ref="B11:C11"/>
    <mergeCell ref="B16:C16"/>
    <mergeCell ref="B25:C25"/>
    <mergeCell ref="B33:C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05005-FDE4-486B-8778-539456C54873}">
  <dimension ref="B2:D13"/>
  <sheetViews>
    <sheetView workbookViewId="0">
      <selection activeCell="B4" sqref="B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ETIQUETA PROYECTO CDC " &amp; TEXT(TODAY(), " dd/mm/aaaa ") &amp; TEXT(NOW(), " hh:mm ")</f>
        <v xml:space="preserve"> ETIQUETA PROYECTO CDC  17/09/2025  13:45 </v>
      </c>
      <c r="C2" s="6"/>
    </row>
    <row r="3" spans="2:4" x14ac:dyDescent="0.3">
      <c r="B3" s="6" t="s">
        <v>9</v>
      </c>
      <c r="C3" s="6"/>
    </row>
    <row r="4" spans="2:4" x14ac:dyDescent="0.3">
      <c r="B4" s="1" t="s">
        <v>12</v>
      </c>
      <c r="C4" s="1" t="s">
        <v>0</v>
      </c>
    </row>
    <row r="5" spans="2:4" x14ac:dyDescent="0.3">
      <c r="B5" s="2" t="s">
        <v>10</v>
      </c>
      <c r="C5" s="3">
        <v>3968</v>
      </c>
    </row>
    <row r="6" spans="2:4" x14ac:dyDescent="0.3">
      <c r="B6" s="2" t="s">
        <v>1</v>
      </c>
      <c r="C6" s="3">
        <v>2032</v>
      </c>
    </row>
    <row r="7" spans="2:4" ht="15" thickBot="1" x14ac:dyDescent="0.35">
      <c r="B7" s="2" t="s">
        <v>2</v>
      </c>
      <c r="C7" s="3">
        <v>712</v>
      </c>
      <c r="D7" s="1" t="s">
        <v>11</v>
      </c>
    </row>
    <row r="8" spans="2:4" ht="15" thickTop="1" x14ac:dyDescent="0.3">
      <c r="B8" s="4" t="s">
        <v>4</v>
      </c>
      <c r="C8" s="5">
        <v>6712</v>
      </c>
      <c r="D8" s="5">
        <f ca="1">SUMIF(B:B, "Total general", C:C)</f>
        <v>11700</v>
      </c>
    </row>
    <row r="10" spans="2:4" x14ac:dyDescent="0.3">
      <c r="B10" s="6" t="s">
        <v>20</v>
      </c>
      <c r="C10" s="6"/>
    </row>
    <row r="11" spans="2:4" x14ac:dyDescent="0.3">
      <c r="B11" s="1" t="s">
        <v>12</v>
      </c>
      <c r="C11" s="1" t="s">
        <v>0</v>
      </c>
    </row>
    <row r="12" spans="2:4" ht="15" thickBot="1" x14ac:dyDescent="0.35">
      <c r="B12" s="2" t="s">
        <v>1</v>
      </c>
      <c r="C12" s="3">
        <v>4988</v>
      </c>
    </row>
    <row r="13" spans="2:4" ht="15" thickTop="1" x14ac:dyDescent="0.3">
      <c r="B13" s="4" t="s">
        <v>4</v>
      </c>
      <c r="C13" s="5">
        <v>4988</v>
      </c>
    </row>
  </sheetData>
  <mergeCells count="3">
    <mergeCell ref="B10:C10"/>
    <mergeCell ref="B3:C3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dcterms:created xsi:type="dcterms:W3CDTF">2025-09-17T19:40:04Z</dcterms:created>
  <dcterms:modified xsi:type="dcterms:W3CDTF">2025-09-17T19:45:46Z</dcterms:modified>
</cp:coreProperties>
</file>