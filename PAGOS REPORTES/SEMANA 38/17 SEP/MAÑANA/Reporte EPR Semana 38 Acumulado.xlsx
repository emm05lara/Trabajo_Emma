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8\17 SEP\MAÑANA\"/>
    </mc:Choice>
  </mc:AlternateContent>
  <xr:revisionPtr revIDLastSave="0" documentId="13_ncr:1_{015F7C38-686F-49E0-90E0-D0ACC62C1F85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1" l="1"/>
  <c r="D18" i="5"/>
  <c r="C18" i="5"/>
  <c r="D18" i="1"/>
  <c r="C18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45" i="5"/>
  <c r="C45" i="5"/>
  <c r="D36" i="5"/>
  <c r="C36" i="5"/>
  <c r="C27" i="5"/>
  <c r="C10" i="5"/>
  <c r="J9" i="3"/>
  <c r="J8" i="3"/>
  <c r="J7" i="3"/>
  <c r="J6" i="3"/>
  <c r="C44" i="1"/>
  <c r="C55" i="5" l="1"/>
  <c r="D8" i="6"/>
  <c r="C8" i="6"/>
  <c r="D55" i="5"/>
  <c r="C36" i="1"/>
  <c r="D36" i="1"/>
  <c r="D27" i="1"/>
  <c r="C27" i="1"/>
  <c r="D6" i="3"/>
  <c r="D10" i="1" l="1"/>
  <c r="D52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<sst xmlns="http://schemas.openxmlformats.org/spreadsheetml/2006/main" count="146" uniqueCount="37">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</sst>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2"/>
  <sheetViews>
    <sheetView showGridLines="0" topLeftCell="A52" zoomScaleNormal="100" workbookViewId="0">
      <selection activeCell="B3" sqref="B3:D52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9" t="s">
        <v>0</v>
      </c>
      <c r="C3" s="29"/>
      <c r="D3" s="29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41</v>
      </c>
      <c r="D5" s="25">
        <v>76</v>
      </c>
    </row>
    <row r="6" spans="2:8" x14ac:dyDescent="0.3">
      <c r="B6" s="1" t="s">
        <v>5</v>
      </c>
      <c r="C6" s="6">
        <v>8348</v>
      </c>
      <c r="D6" s="25">
        <v>255454.41999999998</v>
      </c>
    </row>
    <row r="7" spans="2:8" x14ac:dyDescent="0.3">
      <c r="B7" s="1" t="s">
        <v>6</v>
      </c>
      <c r="C7" s="6">
        <v>7984</v>
      </c>
      <c r="D7" s="25">
        <v>95626.57</v>
      </c>
    </row>
    <row r="8" spans="2:8" x14ac:dyDescent="0.3">
      <c r="B8" s="5" t="s">
        <v>11</v>
      </c>
      <c r="C8" s="7">
        <v>1232</v>
      </c>
      <c r="D8" s="26">
        <v>0</v>
      </c>
    </row>
    <row r="9" spans="2:8" x14ac:dyDescent="0.3">
      <c r="B9" s="1" t="s">
        <v>7</v>
      </c>
      <c r="C9" s="6">
        <v>35470</v>
      </c>
      <c r="D9" s="25">
        <v>100886.28</v>
      </c>
      <c r="E9" s="14"/>
      <c r="F9" s="7"/>
    </row>
    <row r="10" spans="2:8" x14ac:dyDescent="0.3">
      <c r="B10" s="3" t="s">
        <v>8</v>
      </c>
      <c r="C10" s="8">
        <f>SUM(C5:C9)</f>
        <v>53075</v>
      </c>
      <c r="D10" s="4">
        <f>SUM(D5:D9)</f>
        <v>452043.27</v>
      </c>
      <c r="E10" s="11" t="s">
        <v>13</v>
      </c>
    </row>
    <row r="12" spans="2:8" x14ac:dyDescent="0.3">
      <c r="B12" s="30" t="s">
        <v>10</v>
      </c>
      <c r="C12" s="30"/>
      <c r="D12" s="30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2939</v>
      </c>
      <c r="D14" s="25">
        <v>64003.55</v>
      </c>
    </row>
    <row r="15" spans="2:8" x14ac:dyDescent="0.3">
      <c r="B15" s="1" t="s">
        <v>5</v>
      </c>
      <c r="C15" s="6">
        <v>2272</v>
      </c>
      <c r="D15" s="25">
        <v>67583.08</v>
      </c>
    </row>
    <row r="16" spans="2:8" x14ac:dyDescent="0.3">
      <c r="B16" s="1" t="s">
        <v>6</v>
      </c>
      <c r="C16" s="6">
        <v>2409</v>
      </c>
      <c r="D16" s="25">
        <v>7111</v>
      </c>
    </row>
    <row r="17" spans="2:4" x14ac:dyDescent="0.3">
      <c r="B17" s="1" t="s">
        <v>7</v>
      </c>
      <c r="C17" s="6">
        <v>26</v>
      </c>
      <c r="D17" s="25">
        <v>1800</v>
      </c>
    </row>
    <row r="18" spans="2:4" x14ac:dyDescent="0.3">
      <c r="B18" s="10" t="s">
        <v>8</v>
      </c>
      <c r="C18" s="8">
        <f>SUM(C14:C17)</f>
        <v>7646</v>
      </c>
      <c r="D18" s="4">
        <f>SUM(D14:D17)</f>
        <v>140497.63</v>
      </c>
    </row>
    <row r="20" spans="2:4" x14ac:dyDescent="0.3">
      <c r="B20" s="30" t="s">
        <v>9</v>
      </c>
      <c r="C20" s="30"/>
      <c r="D20" s="30"/>
    </row>
    <row r="21" spans="2:4" x14ac:dyDescent="0.3">
      <c r="B21" s="4" t="s">
        <v>1</v>
      </c>
      <c r="C21" s="4" t="s">
        <v>2</v>
      </c>
      <c r="D21" s="4" t="s">
        <v>3</v>
      </c>
    </row>
    <row r="22" spans="2:4" x14ac:dyDescent="0.3">
      <c r="B22" s="9" t="s">
        <v>4</v>
      </c>
      <c r="C22" s="6">
        <v>10</v>
      </c>
      <c r="D22" s="25">
        <v>3104.64</v>
      </c>
    </row>
    <row r="23" spans="2:4" x14ac:dyDescent="0.3">
      <c r="B23" s="9" t="s">
        <v>5</v>
      </c>
      <c r="C23" s="6">
        <v>2416</v>
      </c>
      <c r="D23" s="25">
        <v>90109.92</v>
      </c>
    </row>
    <row r="24" spans="2:4" x14ac:dyDescent="0.3">
      <c r="B24" s="9" t="s">
        <v>6</v>
      </c>
      <c r="C24" s="6">
        <v>870</v>
      </c>
      <c r="D24" s="25">
        <v>9505</v>
      </c>
    </row>
    <row r="25" spans="2:4" x14ac:dyDescent="0.3">
      <c r="B25" s="5" t="s">
        <v>11</v>
      </c>
      <c r="C25" s="7">
        <v>0</v>
      </c>
      <c r="D25" s="26">
        <v>0</v>
      </c>
    </row>
    <row r="26" spans="2:4" x14ac:dyDescent="0.3">
      <c r="B26" s="9" t="s">
        <v>7</v>
      </c>
      <c r="C26" s="6">
        <v>12957</v>
      </c>
      <c r="D26" s="25">
        <v>33349.410000000003</v>
      </c>
    </row>
    <row r="27" spans="2:4" x14ac:dyDescent="0.3">
      <c r="B27" s="10" t="s">
        <v>8</v>
      </c>
      <c r="C27" s="8">
        <f>SUM(C22:C26)</f>
        <v>16253</v>
      </c>
      <c r="D27" s="4">
        <f>SUM(D22:D26)</f>
        <v>136068.97</v>
      </c>
    </row>
    <row r="29" spans="2:4" x14ac:dyDescent="0.3">
      <c r="B29" s="29" t="s">
        <v>34</v>
      </c>
      <c r="C29" s="29"/>
      <c r="D29" s="29"/>
    </row>
    <row r="30" spans="2:4" x14ac:dyDescent="0.3">
      <c r="B30" s="2" t="s">
        <v>1</v>
      </c>
      <c r="C30" s="2" t="s">
        <v>2</v>
      </c>
      <c r="D30" s="2" t="s">
        <v>3</v>
      </c>
    </row>
    <row r="31" spans="2:4" x14ac:dyDescent="0.3">
      <c r="B31" s="1" t="s">
        <v>4</v>
      </c>
      <c r="C31" s="6">
        <v>0</v>
      </c>
      <c r="D31" s="26">
        <v>0</v>
      </c>
    </row>
    <row r="32" spans="2:4" x14ac:dyDescent="0.3">
      <c r="B32" s="1" t="s">
        <v>5</v>
      </c>
      <c r="C32" s="6">
        <v>2000</v>
      </c>
      <c r="D32" s="25">
        <v>55712.2</v>
      </c>
    </row>
    <row r="33" spans="2:4" x14ac:dyDescent="0.3">
      <c r="B33" s="1" t="s">
        <v>6</v>
      </c>
      <c r="C33" s="6">
        <v>1897</v>
      </c>
      <c r="D33" s="25">
        <v>20109</v>
      </c>
    </row>
    <row r="34" spans="2:4" x14ac:dyDescent="0.3">
      <c r="B34" s="5" t="s">
        <v>11</v>
      </c>
      <c r="C34" s="6">
        <v>0</v>
      </c>
      <c r="D34" s="11">
        <v>0</v>
      </c>
    </row>
    <row r="35" spans="2:4" x14ac:dyDescent="0.3">
      <c r="B35" s="1" t="s">
        <v>7</v>
      </c>
      <c r="C35" s="7">
        <v>18099</v>
      </c>
      <c r="D35" s="25">
        <v>40100</v>
      </c>
    </row>
    <row r="36" spans="2:4" x14ac:dyDescent="0.3">
      <c r="B36" s="3" t="s">
        <v>8</v>
      </c>
      <c r="C36" s="8">
        <f>SUM(C31:C35)</f>
        <v>21996</v>
      </c>
      <c r="D36" s="4">
        <f>SUM(D31:D35)</f>
        <v>115921.2</v>
      </c>
    </row>
    <row r="38" spans="2:4" x14ac:dyDescent="0.3">
      <c r="B38" s="29" t="s">
        <v>29</v>
      </c>
      <c r="C38" s="29"/>
      <c r="D38" s="29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0</v>
      </c>
      <c r="D40" s="26">
        <v>0</v>
      </c>
    </row>
    <row r="41" spans="2:4" x14ac:dyDescent="0.3">
      <c r="B41" s="1" t="s">
        <v>5</v>
      </c>
      <c r="C41" s="6">
        <v>561</v>
      </c>
      <c r="D41" s="25">
        <v>3901</v>
      </c>
    </row>
    <row r="42" spans="2:4" x14ac:dyDescent="0.3">
      <c r="B42" s="1" t="s">
        <v>6</v>
      </c>
      <c r="C42" s="6">
        <v>8</v>
      </c>
      <c r="D42" s="25">
        <v>1000</v>
      </c>
    </row>
    <row r="43" spans="2:4" x14ac:dyDescent="0.3">
      <c r="B43" s="1" t="s">
        <v>7</v>
      </c>
      <c r="C43" s="6">
        <v>1234</v>
      </c>
      <c r="D43" s="25">
        <v>1471</v>
      </c>
    </row>
    <row r="44" spans="2:4" x14ac:dyDescent="0.3">
      <c r="B44" s="3" t="s">
        <v>8</v>
      </c>
      <c r="C44" s="8">
        <f>SUM(C40:C43)</f>
        <v>1803</v>
      </c>
      <c r="D44" s="4">
        <f>SUM(D40:D43)</f>
        <v>6372</v>
      </c>
    </row>
    <row r="45" spans="2:4" hidden="1" x14ac:dyDescent="0.3"/>
    <row r="46" spans="2:4" hidden="1" x14ac:dyDescent="0.3"/>
    <row r="47" spans="2:4" hidden="1" x14ac:dyDescent="0.3"/>
    <row r="48" spans="2:4" hidden="1" x14ac:dyDescent="0.3"/>
    <row r="49" spans="2:4" hidden="1" x14ac:dyDescent="0.3"/>
    <row r="50" spans="2:4" hidden="1" x14ac:dyDescent="0.3"/>
    <row r="52" spans="2:4" x14ac:dyDescent="0.3">
      <c r="B52" s="12" t="s">
        <v>12</v>
      </c>
      <c r="C52" s="13">
        <f>SUMIF(B:B, "Total general", C:C)</f>
        <v>100773</v>
      </c>
      <c r="D52" s="13">
        <f>SUMIF(B:B, "Total general", D:D)</f>
        <v>850903.07</v>
      </c>
    </row>
  </sheetData>
  <mergeCells count="5">
    <mergeCell ref="B3:D3"/>
    <mergeCell ref="B20:D20"/>
    <mergeCell ref="B12:D12"/>
    <mergeCell ref="B29:D29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5"/>
  <sheetViews>
    <sheetView showGridLines="0" tabSelected="1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9" t="s">
        <v>36</v>
      </c>
      <c r="C1" s="29"/>
      <c r="D1" s="29"/>
    </row>
    <row r="3" spans="2:8" x14ac:dyDescent="0.3">
      <c r="B3" s="29" t="s">
        <v>35</v>
      </c>
      <c r="C3" s="29"/>
      <c r="D3" s="29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28">
        <v>1564</v>
      </c>
      <c r="D5" s="25">
        <v>9378.7200000000012</v>
      </c>
      <c r="E5" s="11"/>
    </row>
    <row r="6" spans="2:8" x14ac:dyDescent="0.3">
      <c r="B6" s="1" t="s">
        <v>5</v>
      </c>
      <c r="C6" s="28">
        <v>14169</v>
      </c>
      <c r="D6" s="25">
        <v>139701.48000000001</v>
      </c>
    </row>
    <row r="7" spans="2:8" x14ac:dyDescent="0.3">
      <c r="B7" s="1" t="s">
        <v>6</v>
      </c>
      <c r="C7" s="28">
        <v>3914</v>
      </c>
      <c r="D7" s="25">
        <v>13282</v>
      </c>
    </row>
    <row r="8" spans="2:8" x14ac:dyDescent="0.3">
      <c r="B8" s="5" t="s">
        <v>11</v>
      </c>
      <c r="C8" s="28">
        <v>2739</v>
      </c>
      <c r="D8" s="26">
        <v>0</v>
      </c>
    </row>
    <row r="9" spans="2:8" x14ac:dyDescent="0.3">
      <c r="B9" s="1" t="s">
        <v>7</v>
      </c>
      <c r="C9" s="28">
        <v>2918</v>
      </c>
      <c r="D9" s="25">
        <v>2208.36</v>
      </c>
      <c r="E9" s="14"/>
      <c r="F9" s="7"/>
    </row>
    <row r="10" spans="2:8" x14ac:dyDescent="0.3">
      <c r="B10" s="3" t="s">
        <v>8</v>
      </c>
      <c r="C10" s="8">
        <f>SUM(C5:C9)</f>
        <v>25304</v>
      </c>
      <c r="D10" s="4">
        <f>SUM(D5:D9)</f>
        <v>164570.56</v>
      </c>
      <c r="E10" s="11" t="s">
        <v>13</v>
      </c>
    </row>
    <row r="12" spans="2:8" x14ac:dyDescent="0.3">
      <c r="B12" s="30" t="s">
        <v>10</v>
      </c>
      <c r="C12" s="30"/>
      <c r="D12" s="30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>
        <v>2665</v>
      </c>
      <c r="D14" s="25">
        <v>59304.55</v>
      </c>
    </row>
    <row r="15" spans="2:8" x14ac:dyDescent="0.3">
      <c r="B15" s="1" t="s">
        <v>5</v>
      </c>
      <c r="C15">
        <v>1266</v>
      </c>
      <c r="D15" s="25">
        <v>50703.08</v>
      </c>
    </row>
    <row r="16" spans="2:8" x14ac:dyDescent="0.3">
      <c r="B16" s="1" t="s">
        <v>6</v>
      </c>
      <c r="C16">
        <v>2237</v>
      </c>
      <c r="D16" s="25">
        <v>7111</v>
      </c>
    </row>
    <row r="17" spans="2:4" x14ac:dyDescent="0.3">
      <c r="B17" s="9" t="s">
        <v>7</v>
      </c>
      <c r="C17">
        <v>26</v>
      </c>
      <c r="D17" s="25">
        <v>1800</v>
      </c>
    </row>
    <row r="18" spans="2:4" x14ac:dyDescent="0.3">
      <c r="B18" s="10" t="s">
        <v>8</v>
      </c>
      <c r="C18" s="8">
        <f>SUM(C14:C17)</f>
        <v>6194</v>
      </c>
      <c r="D18" s="4">
        <f>SUM(D14:D17)</f>
        <v>118918.63</v>
      </c>
    </row>
    <row r="20" spans="2:4" x14ac:dyDescent="0.3">
      <c r="B20" s="29" t="s">
        <v>0</v>
      </c>
      <c r="C20" s="29"/>
      <c r="D20" s="29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0</v>
      </c>
      <c r="D22" s="26">
        <v>0</v>
      </c>
    </row>
    <row r="23" spans="2:4" x14ac:dyDescent="0.3">
      <c r="B23" s="1" t="s">
        <v>5</v>
      </c>
      <c r="C23">
        <v>16</v>
      </c>
      <c r="D23" s="25">
        <v>3041</v>
      </c>
    </row>
    <row r="24" spans="2:4" x14ac:dyDescent="0.3">
      <c r="B24" s="1" t="s">
        <v>6</v>
      </c>
      <c r="C24">
        <v>53</v>
      </c>
      <c r="D24" s="26">
        <v>0</v>
      </c>
    </row>
    <row r="25" spans="2:4" x14ac:dyDescent="0.3">
      <c r="B25" s="5" t="s">
        <v>11</v>
      </c>
      <c r="C25">
        <v>1</v>
      </c>
      <c r="D25" s="26">
        <v>0</v>
      </c>
    </row>
    <row r="26" spans="2:4" x14ac:dyDescent="0.3">
      <c r="B26" s="1" t="s">
        <v>7</v>
      </c>
      <c r="C26">
        <v>303</v>
      </c>
      <c r="D26" s="25">
        <v>3919.04</v>
      </c>
    </row>
    <row r="27" spans="2:4" x14ac:dyDescent="0.3">
      <c r="B27" s="3" t="s">
        <v>8</v>
      </c>
      <c r="C27" s="8">
        <f>SUM(C22:C26)</f>
        <v>373</v>
      </c>
      <c r="D27" s="4">
        <f>SUM(D22:D26)</f>
        <v>6960.04</v>
      </c>
    </row>
    <row r="29" spans="2:4" x14ac:dyDescent="0.3">
      <c r="B29" s="30" t="s">
        <v>9</v>
      </c>
      <c r="C29" s="30"/>
      <c r="D29" s="30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11">
        <v>0</v>
      </c>
      <c r="D31" s="7">
        <v>0</v>
      </c>
    </row>
    <row r="32" spans="2:4" x14ac:dyDescent="0.3">
      <c r="B32" s="9" t="s">
        <v>5</v>
      </c>
      <c r="C32">
        <v>3</v>
      </c>
      <c r="D32" s="25">
        <v>2500</v>
      </c>
    </row>
    <row r="33" spans="2:4" x14ac:dyDescent="0.3">
      <c r="B33" s="9" t="s">
        <v>6</v>
      </c>
      <c r="C33">
        <v>1</v>
      </c>
      <c r="D33" s="26">
        <v>0</v>
      </c>
    </row>
    <row r="34" spans="2:4" x14ac:dyDescent="0.3">
      <c r="B34" s="5" t="s">
        <v>11</v>
      </c>
      <c r="C34" s="7">
        <v>0</v>
      </c>
      <c r="D34" s="7">
        <v>0</v>
      </c>
    </row>
    <row r="35" spans="2:4" x14ac:dyDescent="0.3">
      <c r="B35" s="9" t="s">
        <v>7</v>
      </c>
      <c r="C35">
        <v>167</v>
      </c>
      <c r="D35" s="25">
        <v>1079</v>
      </c>
    </row>
    <row r="36" spans="2:4" x14ac:dyDescent="0.3">
      <c r="B36" s="10" t="s">
        <v>8</v>
      </c>
      <c r="C36" s="8">
        <f>SUM(C31:C35)</f>
        <v>171</v>
      </c>
      <c r="D36" s="4">
        <f>SUM(D31:D35)</f>
        <v>3579</v>
      </c>
    </row>
    <row r="38" spans="2:4" x14ac:dyDescent="0.3">
      <c r="B38" s="29" t="s">
        <v>34</v>
      </c>
      <c r="C38" s="29"/>
      <c r="D38" s="29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1" t="s">
        <v>4</v>
      </c>
      <c r="C40" s="11">
        <v>0</v>
      </c>
      <c r="D40" s="26">
        <v>0</v>
      </c>
    </row>
    <row r="41" spans="2:4" x14ac:dyDescent="0.3">
      <c r="B41" s="1" t="s">
        <v>5</v>
      </c>
      <c r="C41">
        <v>3</v>
      </c>
      <c r="D41" s="26">
        <v>0</v>
      </c>
    </row>
    <row r="42" spans="2:4" x14ac:dyDescent="0.3">
      <c r="B42" s="1" t="s">
        <v>6</v>
      </c>
      <c r="C42">
        <v>32</v>
      </c>
      <c r="D42" s="26">
        <v>0</v>
      </c>
    </row>
    <row r="43" spans="2:4" x14ac:dyDescent="0.3">
      <c r="B43" s="5" t="s">
        <v>11</v>
      </c>
      <c r="C43" s="11">
        <v>0</v>
      </c>
      <c r="D43" s="26">
        <v>0</v>
      </c>
    </row>
    <row r="44" spans="2:4" x14ac:dyDescent="0.3">
      <c r="B44" s="1" t="s">
        <v>7</v>
      </c>
      <c r="C44">
        <v>332</v>
      </c>
      <c r="D44" s="26">
        <v>0</v>
      </c>
    </row>
    <row r="45" spans="2:4" x14ac:dyDescent="0.3">
      <c r="B45" s="3" t="s">
        <v>8</v>
      </c>
      <c r="C45" s="8">
        <f>SUM(C40:C44)</f>
        <v>367</v>
      </c>
      <c r="D45" s="4">
        <f>SUM(D40:D44)</f>
        <v>0</v>
      </c>
    </row>
    <row r="47" spans="2:4" x14ac:dyDescent="0.3">
      <c r="B47" s="29" t="s">
        <v>29</v>
      </c>
      <c r="C47" s="29"/>
      <c r="D47" s="29"/>
    </row>
    <row r="48" spans="2:4" x14ac:dyDescent="0.3">
      <c r="B48" s="2" t="s">
        <v>1</v>
      </c>
      <c r="C48" s="2" t="s">
        <v>2</v>
      </c>
      <c r="D48" s="2" t="s">
        <v>3</v>
      </c>
    </row>
    <row r="49" spans="2:4" x14ac:dyDescent="0.3">
      <c r="B49" s="9" t="s">
        <v>4</v>
      </c>
      <c r="C49" s="26">
        <v>0</v>
      </c>
      <c r="D49" s="26">
        <v>0</v>
      </c>
    </row>
    <row r="50" spans="2:4" x14ac:dyDescent="0.3">
      <c r="B50" s="1" t="s">
        <v>5</v>
      </c>
      <c r="C50">
        <v>3</v>
      </c>
      <c r="D50" s="26">
        <v>0</v>
      </c>
    </row>
    <row r="51" spans="2:4" x14ac:dyDescent="0.3">
      <c r="B51" s="1" t="s">
        <v>6</v>
      </c>
      <c r="C51" s="11">
        <v>0</v>
      </c>
      <c r="D51" s="26">
        <v>0</v>
      </c>
    </row>
    <row r="52" spans="2:4" x14ac:dyDescent="0.3">
      <c r="B52" s="1" t="s">
        <v>7</v>
      </c>
      <c r="C52">
        <v>64</v>
      </c>
      <c r="D52" s="26">
        <v>0</v>
      </c>
    </row>
    <row r="53" spans="2:4" x14ac:dyDescent="0.3">
      <c r="B53" s="3" t="s">
        <v>8</v>
      </c>
      <c r="C53" s="8">
        <f>SUM(C49:C52)</f>
        <v>67</v>
      </c>
      <c r="D53" s="4">
        <f>SUM(D49:D52)</f>
        <v>0</v>
      </c>
    </row>
    <row r="55" spans="2:4" x14ac:dyDescent="0.3">
      <c r="B55" s="12" t="s">
        <v>12</v>
      </c>
      <c r="C55" s="13">
        <f>SUMIF(B:B, "Total general", C:C)</f>
        <v>32476</v>
      </c>
      <c r="D55" s="13">
        <f>SUMIF(B:B, "Total general", D:D)</f>
        <v>294028.23</v>
      </c>
    </row>
  </sheetData>
  <mergeCells count="7">
    <mergeCell ref="B29:D29"/>
    <mergeCell ref="B47:D47"/>
    <mergeCell ref="B12:D12"/>
    <mergeCell ref="B38:D3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9" t="s">
        <v>36</v>
      </c>
      <c r="C1" s="29"/>
      <c r="D1" s="29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4229</v>
      </c>
      <c r="D3" s="14">
        <f>SUMIF('CDC-OLGUIN'!B:B, "Extrajudicial - 0 a 28 semanas de atraso", 'CDC-OLGUIN'!D:D)</f>
        <v>68683.27</v>
      </c>
    </row>
    <row r="4" spans="2:6" x14ac:dyDescent="0.3">
      <c r="B4" s="1" t="s">
        <v>5</v>
      </c>
      <c r="C4" s="6">
        <f>SUMIF('CDC-OLGUIN'!B:B, "Extrajudicial - 29 a 39 semanas de atraso", 'CDC-OLGUIN'!C:C)</f>
        <v>15460</v>
      </c>
      <c r="D4" s="14">
        <f>SUMIF('CDC-OLGUIN'!B:B, "Extrajudicial - 29 a 39 semanas de atraso", 'CDC-OLGUIN'!D:D)</f>
        <v>195945.56</v>
      </c>
    </row>
    <row r="5" spans="2:6" x14ac:dyDescent="0.3">
      <c r="B5" s="1" t="s">
        <v>6</v>
      </c>
      <c r="C5" s="6">
        <f>SUMIF('CDC-OLGUIN'!B:B, "Extrajudicial - 40 a 55 semanas de atraso", 'CDC-OLGUIN'!C:C)</f>
        <v>6237</v>
      </c>
      <c r="D5" s="14">
        <f>SUMIF('CDC-OLGUIN'!B:B, "Extrajudicial - 40 a 55 semanas de atraso", 'CDC-OLGUIN'!D:D)</f>
        <v>20393</v>
      </c>
    </row>
    <row r="6" spans="2:6" x14ac:dyDescent="0.3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3810</v>
      </c>
      <c r="D7" s="6">
        <f>SUMIF('CDC-OLGUIN'!B:B, "Mas 55 semanas de atraso", 'CDC-OLGUIN'!D:D)</f>
        <v>9006.4</v>
      </c>
      <c r="E7" s="14"/>
      <c r="F7" s="7"/>
    </row>
    <row r="8" spans="2:6" x14ac:dyDescent="0.3">
      <c r="B8" s="3" t="s">
        <v>8</v>
      </c>
      <c r="C8" s="8">
        <f>SUM(C3:C7)</f>
        <v>32476</v>
      </c>
      <c r="D8" s="4">
        <f>SUM(D3:D7)</f>
        <v>294028.23000000004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20</v>
      </c>
    </row>
    <row r="3" spans="2:12" x14ac:dyDescent="0.3">
      <c r="B3" s="17" t="s">
        <v>33</v>
      </c>
    </row>
    <row r="5" spans="2:12" x14ac:dyDescent="0.3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3">
      <c r="B6" s="16" t="s">
        <v>31</v>
      </c>
      <c r="C6" s="16" t="s">
        <v>4</v>
      </c>
      <c r="D6" s="23">
        <f>SUMIF('REPORTE DIARIO'!B:B,'EPR 26 JUN'!C6, 'REPORTE DIARIO'!C:C)</f>
        <v>2990</v>
      </c>
      <c r="E6" s="16">
        <f>SUMIF('REPORTE DIARIO'!B:B,'EPR 26 JUN'!C6, 'REPORTE DIARIO'!D:D)</f>
        <v>67184.19</v>
      </c>
      <c r="F6" s="16">
        <f>J6*D6</f>
        <v>187942.85714285713</v>
      </c>
      <c r="G6" s="16">
        <f>+E6-F6</f>
        <v>-120758.66714285713</v>
      </c>
      <c r="H6" s="15">
        <f>ABS(G6/F6)</f>
        <v>0.64252863332319854</v>
      </c>
      <c r="I6" s="16">
        <f>E6/D6</f>
        <v>22.469628762541806</v>
      </c>
      <c r="J6" s="16">
        <f>(220/7)*2</f>
        <v>62.857142857142854</v>
      </c>
      <c r="K6" s="16">
        <f>+I6-J6</f>
        <v>-40.387514094601045</v>
      </c>
      <c r="L6" s="15"/>
    </row>
    <row r="7" spans="2:12" x14ac:dyDescent="0.3">
      <c r="B7" s="16" t="s">
        <v>28</v>
      </c>
      <c r="C7" s="16" t="s">
        <v>5</v>
      </c>
      <c r="D7" s="23">
        <f>SUMIF('REPORTE DIARIO'!B:B,'EPR 26 JUN'!C7, 'REPORTE DIARIO'!C:C)</f>
        <v>15597</v>
      </c>
      <c r="E7" s="16">
        <f>SUMIF('REPORTE DIARIO'!B:B,'EPR 26 JUN'!C7, 'REPORTE DIARIO'!D:D)</f>
        <v>472760.62</v>
      </c>
      <c r="F7" s="16">
        <f>J7*D7</f>
        <v>490191.42857142852</v>
      </c>
      <c r="G7" s="16">
        <f>+E7-F7</f>
        <v>-17430.808571428526</v>
      </c>
      <c r="H7" s="15">
        <f>ABS(G7/F7)</f>
        <v>3.5559186790000322E-2</v>
      </c>
      <c r="I7" s="16">
        <f>E7/D7</f>
        <v>30.310996986599989</v>
      </c>
      <c r="J7" s="16">
        <f>(110/7)*2</f>
        <v>31.428571428571427</v>
      </c>
      <c r="K7" s="16">
        <f t="shared" ref="K7:K9" si="0">+I7-J7</f>
        <v>-1.1175744419714384</v>
      </c>
      <c r="L7" s="15"/>
    </row>
    <row r="8" spans="2:12" x14ac:dyDescent="0.3">
      <c r="B8" s="16" t="s">
        <v>28</v>
      </c>
      <c r="C8" s="16" t="s">
        <v>6</v>
      </c>
      <c r="D8" s="23">
        <f>SUMIF('REPORTE DIARIO'!B:B,'EPR 26 JUN'!C8, 'REPORTE DIARIO'!C:C)</f>
        <v>13168</v>
      </c>
      <c r="E8" s="16">
        <f>SUMIF('REPORTE DIARIO'!B:B,'EPR 26 JUN'!C8, 'REPORTE DIARIO'!D:D)</f>
        <v>133351.57</v>
      </c>
      <c r="F8" s="16">
        <f>J8*D8</f>
        <v>169302.85714285716</v>
      </c>
      <c r="G8" s="16">
        <f>+E8-F8</f>
        <v>-35951.287142857153</v>
      </c>
      <c r="H8" s="15">
        <f>ABS(G8/F8)</f>
        <v>0.21234896888078847</v>
      </c>
      <c r="I8" s="16">
        <f>E8/D8</f>
        <v>10.126941828675578</v>
      </c>
      <c r="J8" s="16">
        <f>(45/7)*2</f>
        <v>12.857142857142858</v>
      </c>
      <c r="K8" s="16">
        <f t="shared" si="0"/>
        <v>-2.7302010284672793</v>
      </c>
      <c r="L8" s="15"/>
    </row>
    <row r="9" spans="2:12" x14ac:dyDescent="0.3">
      <c r="B9" s="16" t="s">
        <v>32</v>
      </c>
      <c r="C9" s="16" t="s">
        <v>7</v>
      </c>
      <c r="D9" s="23">
        <f>SUMIF('REPORTE DIARIO'!B:B,'EPR 26 JUN'!C9, 'REPORTE DIARIO'!C:C)</f>
        <v>67786</v>
      </c>
      <c r="E9" s="16">
        <f>SUMIF('REPORTE DIARIO'!B:B,'EPR 26 JUN'!C9, 'REPORTE DIARIO'!D:D)</f>
        <v>177606.69</v>
      </c>
      <c r="F9" s="16">
        <f>J9*D9</f>
        <v>290511.42857142858</v>
      </c>
      <c r="G9" s="16">
        <f>+E9-F9</f>
        <v>-112904.73857142858</v>
      </c>
      <c r="H9" s="15">
        <f>ABS(G9/F9)</f>
        <v>0.38864129761307648</v>
      </c>
      <c r="I9" s="16">
        <f>E9/D9</f>
        <v>2.6201087245153869</v>
      </c>
      <c r="J9" s="16">
        <f>(15/7)*2</f>
        <v>4.2857142857142856</v>
      </c>
      <c r="K9" s="16">
        <f t="shared" si="0"/>
        <v>-1.6656055611988987</v>
      </c>
    </row>
    <row r="10" spans="2:12" x14ac:dyDescent="0.3">
      <c r="B10" s="16"/>
      <c r="C10" s="19" t="s">
        <v>16</v>
      </c>
      <c r="D10" s="24">
        <f>SUM(D6:D9)</f>
        <v>99541</v>
      </c>
      <c r="E10" s="20">
        <f>SUM(E6:E9)</f>
        <v>850903.07000000007</v>
      </c>
      <c r="F10" s="20">
        <f>SUM(F6:F9)</f>
        <v>1137948.5714285714</v>
      </c>
      <c r="G10" s="20">
        <f>+E10-F10</f>
        <v>-287045.5014285713</v>
      </c>
      <c r="H10" s="21">
        <f>ABS(G10/F10)</f>
        <v>0.25224821985427398</v>
      </c>
      <c r="I10" s="20">
        <f>E10/D10</f>
        <v>8.5482672466621796</v>
      </c>
      <c r="J10" s="20">
        <f>F10/D10</f>
        <v>11.431958403357124</v>
      </c>
      <c r="K10" s="20">
        <f>I10-J10</f>
        <v>-2.8836911566949439</v>
      </c>
    </row>
    <row r="12" spans="2:12" x14ac:dyDescent="0.3">
      <c r="B12" s="22" t="s">
        <v>23</v>
      </c>
      <c r="I12" s="14"/>
    </row>
    <row r="13" spans="2:12" x14ac:dyDescent="0.3">
      <c r="B13" t="s">
        <v>24</v>
      </c>
    </row>
    <row r="14" spans="2:12" x14ac:dyDescent="0.3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2025-09-17T14:00:26Z</cp:lastPrinted>
  <dcterms:created xsi:type="dcterms:W3CDTF">2025-01-27T15:11:28Z</dcterms:created>
  <dcterms:modified xsi:type="dcterms:W3CDTF">2025-09-17T14:02:27Z</dcterms:modified>
</cp:coreProperties>
</file>