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GOS REPORTES\SEMANA 31\31 JUL\NOCHE\"/>
    </mc:Choice>
  </mc:AlternateContent>
  <xr:revisionPtr revIDLastSave="0" documentId="13_ncr:1_{37FE219C-0994-41E9-AAA8-7505FCC597FD}" xr6:coauthVersionLast="47" xr6:coauthVersionMax="47" xr10:uidLastSave="{00000000-0000-0000-0000-000000000000}"/>
  <bookViews>
    <workbookView xWindow="-96" yWindow="0" windowWidth="11712" windowHeight="12336" activeTab="1" xr2:uid="{4DC6C92A-CD8A-4966-829B-0B6A986E825B}"/>
  </bookViews>
  <sheets>
    <sheet name="REPORTE DIARIO" sheetId="1" r:id="rId1"/>
    <sheet name="CDC-OLGUIN" sheetId="5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5" l="1"/>
  <c r="D18" i="5"/>
  <c r="D20" i="5"/>
  <c r="C18" i="5"/>
  <c r="C10" i="5"/>
  <c r="J9" i="3"/>
  <c r="J8" i="3"/>
  <c r="J7" i="3"/>
  <c r="J6" i="3"/>
  <c r="C44" i="1"/>
  <c r="C20" i="5" l="1"/>
  <c r="C28" i="1"/>
  <c r="D28" i="1"/>
  <c r="D19" i="1"/>
  <c r="C19" i="1"/>
  <c r="D6" i="3"/>
  <c r="D52" i="1"/>
  <c r="C52" i="1"/>
  <c r="D44" i="1"/>
  <c r="D57" i="1" l="1"/>
  <c r="C57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<sst xmlns="http://schemas.openxmlformats.org/spreadsheetml/2006/main" count="110" uniqueCount="38">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</sst>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opLeftCell="A26" zoomScaleNormal="100" workbookViewId="0">
      <selection activeCell="C48" sqref="C48:D51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3" spans="2:8" x14ac:dyDescent="0.3">
      <c r="B3" s="28" t="s">
        <v>0</v>
      </c>
      <c r="C3" s="28"/>
      <c r="D3" s="28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6">
        <v>3832</v>
      </c>
      <c r="D5" s="25">
        <v>427944.75</v>
      </c>
    </row>
    <row r="6" spans="2:8" x14ac:dyDescent="0.3">
      <c r="B6" s="1" t="s">
        <v>5</v>
      </c>
      <c r="C6" s="6">
        <v>2991</v>
      </c>
      <c r="D6" s="25">
        <v>271561.44</v>
      </c>
    </row>
    <row r="7" spans="2:8" x14ac:dyDescent="0.3">
      <c r="B7" s="1" t="s">
        <v>6</v>
      </c>
      <c r="C7" s="6">
        <v>5926</v>
      </c>
      <c r="D7" s="25">
        <v>203461.20999999996</v>
      </c>
    </row>
    <row r="8" spans="2:8" x14ac:dyDescent="0.3">
      <c r="B8" s="5" t="s">
        <v>12</v>
      </c>
      <c r="C8" s="7">
        <v>11</v>
      </c>
      <c r="D8" s="26">
        <v>0</v>
      </c>
    </row>
    <row r="9" spans="2:8" x14ac:dyDescent="0.3">
      <c r="B9" s="1" t="s">
        <v>7</v>
      </c>
      <c r="C9" s="6">
        <v>20636</v>
      </c>
      <c r="D9" s="25">
        <v>258926.3</v>
      </c>
      <c r="E9" s="14"/>
      <c r="F9" s="7"/>
    </row>
    <row r="10" spans="2:8" x14ac:dyDescent="0.3">
      <c r="B10" s="3" t="s">
        <v>8</v>
      </c>
      <c r="C10" s="8">
        <f>SUM(C5:C9)</f>
        <v>33396</v>
      </c>
      <c r="D10" s="4">
        <f>SUM(D5:D9)</f>
        <v>1161893.7</v>
      </c>
      <c r="E10" s="11" t="s">
        <v>14</v>
      </c>
    </row>
    <row r="12" spans="2:8" x14ac:dyDescent="0.3">
      <c r="B12" s="27" t="s">
        <v>10</v>
      </c>
      <c r="C12" s="27"/>
      <c r="D12" s="27"/>
    </row>
    <row r="13" spans="2:8" x14ac:dyDescent="0.3">
      <c r="B13" s="4" t="s">
        <v>1</v>
      </c>
      <c r="C13" s="4" t="s">
        <v>2</v>
      </c>
      <c r="D13" s="4" t="s">
        <v>3</v>
      </c>
    </row>
    <row r="14" spans="2:8" x14ac:dyDescent="0.3">
      <c r="B14" s="9" t="s">
        <v>4</v>
      </c>
      <c r="C14" s="6">
        <v>1708</v>
      </c>
      <c r="D14" s="25">
        <v>180102.87</v>
      </c>
    </row>
    <row r="15" spans="2:8" x14ac:dyDescent="0.3">
      <c r="B15" s="9" t="s">
        <v>5</v>
      </c>
      <c r="C15" s="6">
        <v>259</v>
      </c>
      <c r="D15" s="25">
        <v>17931.12</v>
      </c>
    </row>
    <row r="16" spans="2:8" x14ac:dyDescent="0.3">
      <c r="B16" s="9" t="s">
        <v>6</v>
      </c>
      <c r="C16" s="6">
        <v>1328</v>
      </c>
      <c r="D16" s="25">
        <v>37582.959999999999</v>
      </c>
    </row>
    <row r="17" spans="2:4" x14ac:dyDescent="0.3">
      <c r="B17" s="5" t="s">
        <v>12</v>
      </c>
      <c r="C17" s="7">
        <v>1</v>
      </c>
      <c r="D17" s="26">
        <v>0</v>
      </c>
    </row>
    <row r="18" spans="2:4" x14ac:dyDescent="0.3">
      <c r="B18" s="9" t="s">
        <v>7</v>
      </c>
      <c r="C18" s="6">
        <v>12055</v>
      </c>
      <c r="D18" s="25">
        <v>35624.339999999997</v>
      </c>
    </row>
    <row r="19" spans="2:4" x14ac:dyDescent="0.3">
      <c r="B19" s="10" t="s">
        <v>8</v>
      </c>
      <c r="C19" s="8">
        <f>SUM(C14:C18)</f>
        <v>15351</v>
      </c>
      <c r="D19" s="4">
        <f>SUM(D14:D18)</f>
        <v>271241.28999999998</v>
      </c>
    </row>
    <row r="21" spans="2:4" x14ac:dyDescent="0.3">
      <c r="B21" s="28" t="s">
        <v>36</v>
      </c>
      <c r="C21" s="28"/>
      <c r="D21" s="28"/>
    </row>
    <row r="22" spans="2:4" x14ac:dyDescent="0.3">
      <c r="B22" s="2" t="s">
        <v>1</v>
      </c>
      <c r="C22" s="2" t="s">
        <v>2</v>
      </c>
      <c r="D22" s="2" t="s">
        <v>3</v>
      </c>
    </row>
    <row r="23" spans="2:4" x14ac:dyDescent="0.3">
      <c r="B23" s="1" t="s">
        <v>4</v>
      </c>
      <c r="C23" s="6">
        <v>2058</v>
      </c>
      <c r="D23" s="25">
        <v>121629.9</v>
      </c>
    </row>
    <row r="24" spans="2:4" x14ac:dyDescent="0.3">
      <c r="B24" s="1" t="s">
        <v>5</v>
      </c>
      <c r="C24" s="6">
        <v>1427</v>
      </c>
      <c r="D24" s="25">
        <v>27895.17</v>
      </c>
    </row>
    <row r="25" spans="2:4" x14ac:dyDescent="0.3">
      <c r="B25" s="1" t="s">
        <v>6</v>
      </c>
      <c r="C25" s="6">
        <v>3543</v>
      </c>
      <c r="D25" s="25">
        <v>49206</v>
      </c>
    </row>
    <row r="26" spans="2:4" x14ac:dyDescent="0.3">
      <c r="B26" s="5" t="s">
        <v>12</v>
      </c>
      <c r="C26" s="6">
        <v>0</v>
      </c>
      <c r="D26" s="26">
        <v>0</v>
      </c>
    </row>
    <row r="27" spans="2:4" x14ac:dyDescent="0.3">
      <c r="B27" s="1" t="s">
        <v>7</v>
      </c>
      <c r="C27" s="7">
        <v>18138</v>
      </c>
      <c r="D27" s="25">
        <v>52866.04</v>
      </c>
    </row>
    <row r="28" spans="2:4" x14ac:dyDescent="0.3">
      <c r="B28" s="3" t="s">
        <v>8</v>
      </c>
      <c r="C28" s="8">
        <f>SUM(C23:C27)</f>
        <v>25166</v>
      </c>
      <c r="D28" s="4">
        <f>SUM(D23:D27)</f>
        <v>251597.11000000002</v>
      </c>
    </row>
    <row r="30" spans="2:4" x14ac:dyDescent="0.3">
      <c r="B30" s="28" t="s">
        <v>9</v>
      </c>
      <c r="C30" s="28"/>
      <c r="D30" s="28"/>
    </row>
    <row r="31" spans="2:4" x14ac:dyDescent="0.3">
      <c r="B31" s="2" t="s">
        <v>1</v>
      </c>
      <c r="C31" s="2" t="s">
        <v>2</v>
      </c>
      <c r="D31" s="2" t="s">
        <v>3</v>
      </c>
    </row>
    <row r="32" spans="2:4" x14ac:dyDescent="0.3">
      <c r="B32" s="9" t="s">
        <v>4</v>
      </c>
      <c r="C32" s="6">
        <v>496</v>
      </c>
      <c r="D32" s="25">
        <v>112756.07</v>
      </c>
    </row>
    <row r="33" spans="2:4" x14ac:dyDescent="0.3">
      <c r="B33" s="9" t="s">
        <v>5</v>
      </c>
      <c r="C33" s="6">
        <v>462</v>
      </c>
      <c r="D33" s="25">
        <v>72962.52</v>
      </c>
    </row>
    <row r="34" spans="2:4" x14ac:dyDescent="0.3">
      <c r="B34" s="9" t="s">
        <v>6</v>
      </c>
      <c r="C34" s="6">
        <v>272</v>
      </c>
      <c r="D34" s="25">
        <v>19417.510000000002</v>
      </c>
    </row>
    <row r="35" spans="2:4" x14ac:dyDescent="0.3">
      <c r="B35" s="9" t="s">
        <v>7</v>
      </c>
      <c r="C35" s="6">
        <v>596</v>
      </c>
      <c r="D35" s="25">
        <v>5878</v>
      </c>
    </row>
    <row r="36" spans="2:4" x14ac:dyDescent="0.3">
      <c r="B36" s="10" t="s">
        <v>8</v>
      </c>
      <c r="C36" s="8">
        <f>SUM(C32:C35)</f>
        <v>1826</v>
      </c>
      <c r="D36" s="4">
        <f>SUM(D32:D35)</f>
        <v>211014.10000000003</v>
      </c>
    </row>
    <row r="38" spans="2:4" x14ac:dyDescent="0.3">
      <c r="B38" s="28" t="s">
        <v>30</v>
      </c>
      <c r="C38" s="28"/>
      <c r="D38" s="28"/>
    </row>
    <row r="39" spans="2:4" x14ac:dyDescent="0.3">
      <c r="B39" s="2" t="s">
        <v>1</v>
      </c>
      <c r="C39" s="2" t="s">
        <v>2</v>
      </c>
      <c r="D39" s="2" t="s">
        <v>3</v>
      </c>
    </row>
    <row r="40" spans="2:4" x14ac:dyDescent="0.3">
      <c r="B40" s="9" t="s">
        <v>4</v>
      </c>
      <c r="C40" s="6">
        <v>585</v>
      </c>
      <c r="D40" s="25">
        <v>48864</v>
      </c>
    </row>
    <row r="41" spans="2:4" x14ac:dyDescent="0.3">
      <c r="B41" s="1" t="s">
        <v>5</v>
      </c>
      <c r="C41" s="6">
        <v>7</v>
      </c>
      <c r="D41" s="25">
        <v>1926</v>
      </c>
    </row>
    <row r="42" spans="2:4" x14ac:dyDescent="0.3">
      <c r="B42" s="1" t="s">
        <v>6</v>
      </c>
      <c r="C42" s="6">
        <v>533</v>
      </c>
      <c r="D42" s="25">
        <v>2339</v>
      </c>
    </row>
    <row r="43" spans="2:4" x14ac:dyDescent="0.3">
      <c r="B43" s="1" t="s">
        <v>7</v>
      </c>
      <c r="C43" s="6">
        <v>2295</v>
      </c>
      <c r="D43" s="25">
        <v>1816</v>
      </c>
    </row>
    <row r="44" spans="2:4" x14ac:dyDescent="0.3">
      <c r="B44" s="3" t="s">
        <v>8</v>
      </c>
      <c r="C44" s="8">
        <f>SUM(C40:C43)</f>
        <v>3420</v>
      </c>
      <c r="D44" s="4">
        <f>SUM(D40:D43)</f>
        <v>54945</v>
      </c>
    </row>
    <row r="46" spans="2:4" x14ac:dyDescent="0.3">
      <c r="B46" s="28" t="s">
        <v>31</v>
      </c>
      <c r="C46" s="28"/>
      <c r="D46" s="28"/>
    </row>
    <row r="47" spans="2:4" x14ac:dyDescent="0.3">
      <c r="B47" s="2" t="s">
        <v>1</v>
      </c>
      <c r="C47" s="2" t="s">
        <v>2</v>
      </c>
      <c r="D47" s="2" t="s">
        <v>3</v>
      </c>
    </row>
    <row r="48" spans="2:4" x14ac:dyDescent="0.3">
      <c r="B48" s="9" t="s">
        <v>4</v>
      </c>
      <c r="C48" s="6">
        <v>803</v>
      </c>
      <c r="D48" s="25">
        <v>17793.559999999998</v>
      </c>
    </row>
    <row r="49" spans="2:4" x14ac:dyDescent="0.3">
      <c r="B49" s="1" t="s">
        <v>5</v>
      </c>
      <c r="C49" s="6">
        <v>696</v>
      </c>
      <c r="D49" s="25">
        <v>15846</v>
      </c>
    </row>
    <row r="50" spans="2:4" x14ac:dyDescent="0.3">
      <c r="B50" s="1" t="s">
        <v>6</v>
      </c>
      <c r="C50" s="6">
        <v>1002</v>
      </c>
      <c r="D50" s="25">
        <v>7087</v>
      </c>
    </row>
    <row r="51" spans="2:4" x14ac:dyDescent="0.3">
      <c r="B51" s="1" t="s">
        <v>7</v>
      </c>
      <c r="C51" s="6">
        <v>418</v>
      </c>
      <c r="D51" s="25">
        <v>4725</v>
      </c>
    </row>
    <row r="52" spans="2:4" x14ac:dyDescent="0.3">
      <c r="B52" s="3" t="s">
        <v>8</v>
      </c>
      <c r="C52" s="8">
        <f>SUM(C48:C51)</f>
        <v>2919</v>
      </c>
      <c r="D52" s="4">
        <f>SUM(D48:D51)</f>
        <v>45451.56</v>
      </c>
    </row>
    <row r="54" spans="2:4" x14ac:dyDescent="0.3">
      <c r="B54" s="27" t="s">
        <v>11</v>
      </c>
      <c r="C54" s="27"/>
      <c r="D54" s="27"/>
    </row>
    <row r="55" spans="2:4" x14ac:dyDescent="0.3">
      <c r="B55" s="4" t="s">
        <v>1</v>
      </c>
      <c r="C55" s="4" t="s">
        <v>2</v>
      </c>
      <c r="D55" s="4" t="s">
        <v>3</v>
      </c>
    </row>
    <row r="56" spans="2:4" x14ac:dyDescent="0.3">
      <c r="B56" s="9" t="s">
        <v>4</v>
      </c>
      <c r="C56" s="6">
        <v>1440</v>
      </c>
      <c r="D56" s="25">
        <v>23998</v>
      </c>
    </row>
    <row r="57" spans="2:4" x14ac:dyDescent="0.3">
      <c r="B57" s="10" t="s">
        <v>8</v>
      </c>
      <c r="C57" s="8">
        <f>SUM(C56:C56)</f>
        <v>1440</v>
      </c>
      <c r="D57" s="4">
        <f>SUM(D56:D56)</f>
        <v>23998</v>
      </c>
    </row>
    <row r="59" spans="2:4" x14ac:dyDescent="0.3">
      <c r="B59" s="12" t="s">
        <v>13</v>
      </c>
      <c r="C59" s="13">
        <f>SUMIF(B:B, "Total general", C:C)</f>
        <v>83518</v>
      </c>
      <c r="D59" s="13">
        <f>SUMIF(B:B, "Total general", D:D)</f>
        <v>2020140.7600000002</v>
      </c>
    </row>
  </sheetData>
  <mergeCells count="7">
    <mergeCell ref="B54:D54"/>
    <mergeCell ref="B46:D46"/>
    <mergeCell ref="B21:D21"/>
    <mergeCell ref="B38:D38"/>
    <mergeCell ref="B3:D3"/>
    <mergeCell ref="B12:D12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3:H20"/>
  <sheetViews>
    <sheetView showGridLines="0" tabSelected="1" zoomScaleNormal="100" workbookViewId="0">
      <selection activeCell="B9" sqref="B9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3" spans="2:8" x14ac:dyDescent="0.3">
      <c r="B3" s="28" t="s">
        <v>37</v>
      </c>
      <c r="C3" s="28"/>
      <c r="D3" s="28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6">
        <v>10343</v>
      </c>
      <c r="D5" s="25">
        <v>158275.63000000003</v>
      </c>
    </row>
    <row r="6" spans="2:8" x14ac:dyDescent="0.3">
      <c r="B6" s="1" t="s">
        <v>5</v>
      </c>
      <c r="C6" s="6">
        <v>5735</v>
      </c>
      <c r="D6" s="25">
        <v>60646.95</v>
      </c>
    </row>
    <row r="7" spans="2:8" x14ac:dyDescent="0.3">
      <c r="B7" s="1" t="s">
        <v>6</v>
      </c>
      <c r="C7" s="6">
        <v>8946</v>
      </c>
      <c r="D7" s="25">
        <v>15761.08</v>
      </c>
    </row>
    <row r="8" spans="2:8" x14ac:dyDescent="0.3">
      <c r="B8" s="5" t="s">
        <v>12</v>
      </c>
      <c r="C8" s="7">
        <v>2739</v>
      </c>
      <c r="D8" s="25">
        <v>1177</v>
      </c>
    </row>
    <row r="9" spans="2:8" x14ac:dyDescent="0.3">
      <c r="B9" s="1" t="s">
        <v>7</v>
      </c>
      <c r="C9" s="6">
        <v>100295</v>
      </c>
      <c r="D9" s="25">
        <v>53637</v>
      </c>
      <c r="E9" s="14"/>
      <c r="F9" s="7"/>
    </row>
    <row r="10" spans="2:8" x14ac:dyDescent="0.3">
      <c r="B10" s="3" t="s">
        <v>8</v>
      </c>
      <c r="C10" s="8">
        <f>SUM(C5:C9)</f>
        <v>128058</v>
      </c>
      <c r="D10" s="4">
        <f>SUM(D5:D9)</f>
        <v>289497.66000000003</v>
      </c>
      <c r="E10" s="11" t="s">
        <v>14</v>
      </c>
    </row>
    <row r="12" spans="2:8" x14ac:dyDescent="0.3">
      <c r="B12" s="28" t="s">
        <v>31</v>
      </c>
      <c r="C12" s="28"/>
      <c r="D12" s="28"/>
    </row>
    <row r="13" spans="2:8" x14ac:dyDescent="0.3">
      <c r="B13" s="2" t="s">
        <v>1</v>
      </c>
      <c r="C13" s="2" t="s">
        <v>2</v>
      </c>
      <c r="D13" s="2" t="s">
        <v>3</v>
      </c>
    </row>
    <row r="14" spans="2:8" x14ac:dyDescent="0.3">
      <c r="B14" s="9" t="s">
        <v>4</v>
      </c>
      <c r="C14" s="6">
        <v>803</v>
      </c>
      <c r="D14" s="25">
        <v>17793.559999999998</v>
      </c>
    </row>
    <row r="15" spans="2:8" x14ac:dyDescent="0.3">
      <c r="B15" s="1" t="s">
        <v>5</v>
      </c>
      <c r="C15" s="6">
        <v>696</v>
      </c>
      <c r="D15" s="25">
        <v>15846</v>
      </c>
    </row>
    <row r="16" spans="2:8" x14ac:dyDescent="0.3">
      <c r="B16" s="1" t="s">
        <v>6</v>
      </c>
      <c r="C16" s="6">
        <v>1002</v>
      </c>
      <c r="D16" s="25">
        <v>7087</v>
      </c>
    </row>
    <row r="17" spans="2:4" x14ac:dyDescent="0.3">
      <c r="B17" s="1" t="s">
        <v>7</v>
      </c>
      <c r="C17" s="6">
        <v>418</v>
      </c>
      <c r="D17" s="25">
        <v>4725</v>
      </c>
    </row>
    <row r="18" spans="2:4" x14ac:dyDescent="0.3">
      <c r="B18" s="3" t="s">
        <v>8</v>
      </c>
      <c r="C18" s="8">
        <f>SUM(C14:C17)</f>
        <v>2919</v>
      </c>
      <c r="D18" s="4">
        <f>SUM(D14:D17)</f>
        <v>45451.56</v>
      </c>
    </row>
    <row r="20" spans="2:4" x14ac:dyDescent="0.3">
      <c r="B20" s="12" t="s">
        <v>13</v>
      </c>
      <c r="C20" s="13">
        <f>SUMIF(B:B, "Total general", C:C)</f>
        <v>130977</v>
      </c>
      <c r="D20" s="13">
        <f>SUMIF(B:B, "Total general", D:D)</f>
        <v>334949.22000000003</v>
      </c>
    </row>
  </sheetData>
  <mergeCells count="2">
    <mergeCell ref="B3:D3"/>
    <mergeCell ref="B12:D12"/>
  </mergeCells>
  <pageMargins left="0.7" right="0.7" top="0.75" bottom="0.75" header="0.3" footer="0.3"/>
  <pageSetup paperSize="9"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4.4" x14ac:dyDescent="0.3"/>
  <cols>
    <col min="2" max="2" width="19.88671875" customWidth="1"/>
    <col min="3" max="3" width="36.6640625" bestFit="1" customWidth="1"/>
    <col min="4" max="4" width="9" bestFit="1" customWidth="1"/>
    <col min="5" max="5" width="15.109375" bestFit="1" customWidth="1"/>
    <col min="6" max="6" width="12.33203125" bestFit="1" customWidth="1"/>
    <col min="7" max="7" width="11.88671875" bestFit="1" customWidth="1"/>
    <col min="8" max="8" width="7.33203125" bestFit="1" customWidth="1"/>
    <col min="9" max="9" width="5" bestFit="1" customWidth="1"/>
    <col min="10" max="10" width="9.5546875" bestFit="1" customWidth="1"/>
    <col min="11" max="11" width="8.33203125" bestFit="1" customWidth="1"/>
    <col min="12" max="12" width="15.6640625" bestFit="1" customWidth="1"/>
  </cols>
  <sheetData>
    <row r="2" spans="2:12" ht="15.6" x14ac:dyDescent="0.3">
      <c r="B2" s="18" t="s">
        <v>21</v>
      </c>
    </row>
    <row r="3" spans="2:12" x14ac:dyDescent="0.3">
      <c r="B3" s="17" t="s">
        <v>35</v>
      </c>
    </row>
    <row r="5" spans="2:12" x14ac:dyDescent="0.3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3">
      <c r="B6" s="16" t="s">
        <v>33</v>
      </c>
      <c r="C6" s="16" t="s">
        <v>4</v>
      </c>
      <c r="D6" s="23">
        <f>SUMIF('REPORTE DIARIO'!B:B,'EPR 26 JUN'!C6, 'REPORTE DIARIO'!C:C)</f>
        <v>10922</v>
      </c>
      <c r="E6" s="16">
        <f>SUMIF('REPORTE DIARIO'!B:B,'EPR 26 JUN'!C6, 'REPORTE DIARIO'!D:D)</f>
        <v>933089.15000000014</v>
      </c>
      <c r="F6" s="16">
        <f>J6*D6</f>
        <v>686525.7142857142</v>
      </c>
      <c r="G6" s="16">
        <f>+E6-F6</f>
        <v>246563.43571428594</v>
      </c>
      <c r="H6" s="15">
        <f>ABS(G6/F6)</f>
        <v>0.35914668683724299</v>
      </c>
      <c r="I6" s="16">
        <f>E6/D6</f>
        <v>85.43207745834097</v>
      </c>
      <c r="J6" s="16">
        <f>(220/7)*2</f>
        <v>62.857142857142854</v>
      </c>
      <c r="K6" s="16">
        <f>+I6-J6</f>
        <v>22.574934601198116</v>
      </c>
      <c r="L6" s="15"/>
    </row>
    <row r="7" spans="2:12" x14ac:dyDescent="0.3">
      <c r="B7" s="16" t="s">
        <v>29</v>
      </c>
      <c r="C7" s="16" t="s">
        <v>5</v>
      </c>
      <c r="D7" s="23">
        <f>SUMIF('REPORTE DIARIO'!B:B,'EPR 26 JUN'!C7, 'REPORTE DIARIO'!C:C)</f>
        <v>5842</v>
      </c>
      <c r="E7" s="16">
        <f>SUMIF('REPORTE DIARIO'!B:B,'EPR 26 JUN'!C7, 'REPORTE DIARIO'!D:D)</f>
        <v>408122.25</v>
      </c>
      <c r="F7" s="16">
        <f>J7*D7</f>
        <v>183605.71428571429</v>
      </c>
      <c r="G7" s="16">
        <f>+E7-F7</f>
        <v>224516.53571428571</v>
      </c>
      <c r="H7" s="15">
        <f>ABS(G7/F7)</f>
        <v>1.2228188898571473</v>
      </c>
      <c r="I7" s="16">
        <f>E7/D7</f>
        <v>69.860022252653195</v>
      </c>
      <c r="J7" s="16">
        <f>(110/7)*2</f>
        <v>31.428571428571427</v>
      </c>
      <c r="K7" s="16">
        <f t="shared" ref="K7:K9" si="0">+I7-J7</f>
        <v>38.431450824081764</v>
      </c>
      <c r="L7" s="15"/>
    </row>
    <row r="8" spans="2:12" x14ac:dyDescent="0.3">
      <c r="B8" s="16" t="s">
        <v>29</v>
      </c>
      <c r="C8" s="16" t="s">
        <v>6</v>
      </c>
      <c r="D8" s="23">
        <f>SUMIF('REPORTE DIARIO'!B:B,'EPR 26 JUN'!C8, 'REPORTE DIARIO'!C:C)</f>
        <v>12604</v>
      </c>
      <c r="E8" s="16">
        <f>SUMIF('REPORTE DIARIO'!B:B,'EPR 26 JUN'!C8, 'REPORTE DIARIO'!D:D)</f>
        <v>319093.67999999993</v>
      </c>
      <c r="F8" s="16">
        <f>J8*D8</f>
        <v>162051.42857142858</v>
      </c>
      <c r="G8" s="16">
        <f>+E8-F8</f>
        <v>157042.25142857136</v>
      </c>
      <c r="H8" s="15">
        <f>ABS(G8/F8)</f>
        <v>0.96908896646567178</v>
      </c>
      <c r="I8" s="16">
        <f>E8/D8</f>
        <v>25.316858140272924</v>
      </c>
      <c r="J8" s="16">
        <f>(45/7)*2</f>
        <v>12.857142857142858</v>
      </c>
      <c r="K8" s="16">
        <f t="shared" si="0"/>
        <v>12.459715283130066</v>
      </c>
      <c r="L8" s="15"/>
    </row>
    <row r="9" spans="2:12" x14ac:dyDescent="0.3">
      <c r="B9" s="16" t="s">
        <v>34</v>
      </c>
      <c r="C9" s="16" t="s">
        <v>7</v>
      </c>
      <c r="D9" s="23">
        <f>SUMIF('REPORTE DIARIO'!B:B,'EPR 26 JUN'!C9, 'REPORTE DIARIO'!C:C)</f>
        <v>54138</v>
      </c>
      <c r="E9" s="16">
        <f>SUMIF('REPORTE DIARIO'!B:B,'EPR 26 JUN'!C9, 'REPORTE DIARIO'!D:D)</f>
        <v>359835.68</v>
      </c>
      <c r="F9" s="16">
        <f>J9*D9</f>
        <v>232020</v>
      </c>
      <c r="G9" s="16">
        <f>+E9-F9</f>
        <v>127815.67999999999</v>
      </c>
      <c r="H9" s="15">
        <f>ABS(G9/F9)</f>
        <v>0.55088216533057488</v>
      </c>
      <c r="I9" s="16">
        <f>E9/D9</f>
        <v>6.6466378514167497</v>
      </c>
      <c r="J9" s="16">
        <f>(15/7)*2</f>
        <v>4.2857142857142856</v>
      </c>
      <c r="K9" s="16">
        <f t="shared" si="0"/>
        <v>2.3609235657024641</v>
      </c>
    </row>
    <row r="10" spans="2:12" x14ac:dyDescent="0.3">
      <c r="B10" s="16"/>
      <c r="C10" s="19" t="s">
        <v>17</v>
      </c>
      <c r="D10" s="24">
        <f>SUM(D6:D9)</f>
        <v>83506</v>
      </c>
      <c r="E10" s="20">
        <f>SUM(E6:E9)</f>
        <v>2020140.76</v>
      </c>
      <c r="F10" s="20">
        <f>SUM(F6:F9)</f>
        <v>1264202.857142857</v>
      </c>
      <c r="G10" s="20">
        <f>+E10-F10</f>
        <v>755937.90285714297</v>
      </c>
      <c r="H10" s="21">
        <f>ABS(G10/F10)</f>
        <v>0.5979561733989347</v>
      </c>
      <c r="I10" s="20">
        <f>E10/D10</f>
        <v>24.191564198979716</v>
      </c>
      <c r="J10" s="20">
        <f>F10/D10</f>
        <v>15.139066140670815</v>
      </c>
      <c r="K10" s="20">
        <f>I10-J10</f>
        <v>9.0524980583089008</v>
      </c>
    </row>
    <row r="12" spans="2:12" x14ac:dyDescent="0.3">
      <c r="B12" s="22" t="s">
        <v>24</v>
      </c>
      <c r="I12" s="14"/>
    </row>
    <row r="13" spans="2:12" x14ac:dyDescent="0.3">
      <c r="B13" t="s">
        <v>25</v>
      </c>
    </row>
    <row r="14" spans="2:12" x14ac:dyDescent="0.3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CDC-OLGUIN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Emmanuel Lara Hernández</cp:lastModifiedBy>
  <cp:lastPrinted>2025-08-01T03:03:13Z</cp:lastPrinted>
  <dcterms:created xsi:type="dcterms:W3CDTF">2025-01-27T15:11:28Z</dcterms:created>
  <dcterms:modified xsi:type="dcterms:W3CDTF">2025-08-01T03:04:52Z</dcterms:modified>
</cp:coreProperties>
</file>