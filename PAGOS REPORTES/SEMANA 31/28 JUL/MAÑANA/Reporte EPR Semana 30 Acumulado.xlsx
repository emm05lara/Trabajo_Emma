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31\28 JUL\MAÑANA\"/>
    </mc:Choice>
  </mc:AlternateContent>
  <xr:revisionPtr revIDLastSave="0" documentId="13_ncr:1_{B4CD0600-6FAF-43E2-9ED1-8F1C5BCE04DA}" xr6:coauthVersionLast="47" xr6:coauthVersionMax="47" xr10:uidLastSave="{00000000-0000-0000-0000-000000000000}"/>
  <bookViews>
    <workbookView xWindow="9120" yWindow="9120" windowWidth="11130" windowHeight="6570" activeTab="1" xr2:uid="{4DC6C92A-CD8A-4966-829B-0B6A986E825B}"/>
  </bookViews>
  <sheets>
    <sheet name="REPORTE DIARIO" sheetId="1" r:id="rId1"/>
    <sheet name="CDC-OLGUIN" sheetId="5" r:id="rId2"/>
    <sheet name="DATA" sheetId="4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5" l="1"/>
  <c r="D18" i="5"/>
  <c r="D20" i="5"/>
  <c r="C18" i="5"/>
  <c r="C10" i="5"/>
  <c r="J9" i="3"/>
  <c r="J8" i="3"/>
  <c r="J7" i="3"/>
  <c r="J6" i="3"/>
  <c r="C57" i="1"/>
  <c r="C20" i="5" l="1"/>
  <c r="C19" i="1"/>
  <c r="D19" i="1"/>
  <c r="D28" i="1"/>
  <c r="C28" i="1"/>
  <c r="D6" i="3"/>
  <c r="D44" i="1"/>
  <c r="C44" i="1"/>
  <c r="D57" i="1"/>
  <c r="D49" i="1" l="1"/>
  <c r="C49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<sst xmlns="http://schemas.openxmlformats.org/spreadsheetml/2006/main" count="110" uniqueCount="38">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</sst>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opLeftCell="A7" zoomScaleNormal="100" workbookViewId="0">
      <selection activeCell="C40" sqref="C40:D43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3379</v>
      </c>
      <c r="D5" s="25">
        <v>769355.89</v>
      </c>
    </row>
    <row r="6" spans="2:8" x14ac:dyDescent="0.25">
      <c r="B6" s="1" t="s">
        <v>5</v>
      </c>
      <c r="C6" s="6">
        <v>2758</v>
      </c>
      <c r="D6" s="25">
        <v>313282.05</v>
      </c>
    </row>
    <row r="7" spans="2:8" x14ac:dyDescent="0.25">
      <c r="B7" s="1" t="s">
        <v>6</v>
      </c>
      <c r="C7" s="6">
        <v>6004</v>
      </c>
      <c r="D7" s="25">
        <v>270665.64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19903</v>
      </c>
      <c r="D9" s="25">
        <v>781926.83</v>
      </c>
      <c r="E9" s="14"/>
      <c r="F9" s="7"/>
    </row>
    <row r="10" spans="2:8" x14ac:dyDescent="0.25">
      <c r="B10" s="3" t="s">
        <v>8</v>
      </c>
      <c r="C10" s="8">
        <f>SUM(C5:C9)</f>
        <v>32055</v>
      </c>
      <c r="D10" s="4">
        <f>SUM(D5:D9)</f>
        <v>2135230.41</v>
      </c>
      <c r="E10" s="11" t="s">
        <v>14</v>
      </c>
    </row>
    <row r="12" spans="2:8" x14ac:dyDescent="0.25">
      <c r="B12" s="28" t="s">
        <v>36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2084</v>
      </c>
      <c r="D14" s="25">
        <v>256255.77</v>
      </c>
    </row>
    <row r="15" spans="2:8" x14ac:dyDescent="0.25">
      <c r="B15" s="1" t="s">
        <v>5</v>
      </c>
      <c r="C15" s="6">
        <v>1449</v>
      </c>
      <c r="D15" s="25">
        <v>68839.27</v>
      </c>
    </row>
    <row r="16" spans="2:8" x14ac:dyDescent="0.25">
      <c r="B16" s="1" t="s">
        <v>6</v>
      </c>
      <c r="C16" s="6">
        <v>3606</v>
      </c>
      <c r="D16" s="25">
        <v>155134.51</v>
      </c>
    </row>
    <row r="17" spans="2:4" x14ac:dyDescent="0.25">
      <c r="B17" s="5" t="s">
        <v>12</v>
      </c>
      <c r="C17" s="6">
        <v>0</v>
      </c>
      <c r="D17" s="26">
        <v>0</v>
      </c>
    </row>
    <row r="18" spans="2:4" x14ac:dyDescent="0.25">
      <c r="B18" s="1" t="s">
        <v>7</v>
      </c>
      <c r="C18" s="7">
        <v>18144</v>
      </c>
      <c r="D18" s="25">
        <v>172252.91999999998</v>
      </c>
    </row>
    <row r="19" spans="2:4" x14ac:dyDescent="0.25">
      <c r="B19" s="3" t="s">
        <v>8</v>
      </c>
      <c r="C19" s="8">
        <f>SUM(C14:C18)</f>
        <v>25283</v>
      </c>
      <c r="D19" s="4">
        <f>SUM(D14:D18)</f>
        <v>652482.47</v>
      </c>
    </row>
    <row r="21" spans="2:4" x14ac:dyDescent="0.25">
      <c r="B21" s="27" t="s">
        <v>10</v>
      </c>
      <c r="C21" s="27"/>
      <c r="D21" s="27"/>
    </row>
    <row r="22" spans="2:4" x14ac:dyDescent="0.25">
      <c r="B22" s="4" t="s">
        <v>1</v>
      </c>
      <c r="C22" s="4" t="s">
        <v>2</v>
      </c>
      <c r="D22" s="4" t="s">
        <v>3</v>
      </c>
    </row>
    <row r="23" spans="2:4" x14ac:dyDescent="0.25">
      <c r="B23" s="9" t="s">
        <v>4</v>
      </c>
      <c r="C23" s="6">
        <v>1677</v>
      </c>
      <c r="D23" s="25">
        <v>332816.44</v>
      </c>
    </row>
    <row r="24" spans="2:4" x14ac:dyDescent="0.25">
      <c r="B24" s="9" t="s">
        <v>5</v>
      </c>
      <c r="C24" s="6">
        <v>272</v>
      </c>
      <c r="D24" s="25">
        <v>100065.25</v>
      </c>
    </row>
    <row r="25" spans="2:4" x14ac:dyDescent="0.25">
      <c r="B25" s="9" t="s">
        <v>6</v>
      </c>
      <c r="C25" s="6">
        <v>1353</v>
      </c>
      <c r="D25" s="25">
        <v>48767.73</v>
      </c>
    </row>
    <row r="26" spans="2:4" x14ac:dyDescent="0.25">
      <c r="B26" s="5" t="s">
        <v>12</v>
      </c>
      <c r="C26" s="7">
        <v>1</v>
      </c>
      <c r="D26" s="25">
        <v>84</v>
      </c>
    </row>
    <row r="27" spans="2:4" x14ac:dyDescent="0.25">
      <c r="B27" s="9" t="s">
        <v>7</v>
      </c>
      <c r="C27" s="6">
        <v>17454</v>
      </c>
      <c r="D27" s="25">
        <v>136655.22000000003</v>
      </c>
    </row>
    <row r="28" spans="2:4" x14ac:dyDescent="0.25">
      <c r="B28" s="10" t="s">
        <v>8</v>
      </c>
      <c r="C28" s="8">
        <f>SUM(C23:C27)</f>
        <v>20757</v>
      </c>
      <c r="D28" s="4">
        <f>SUM(D23:D27)</f>
        <v>618388.64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700</v>
      </c>
      <c r="D32" s="25">
        <v>103788.2</v>
      </c>
    </row>
    <row r="33" spans="2:4" x14ac:dyDescent="0.25">
      <c r="B33" s="9" t="s">
        <v>5</v>
      </c>
      <c r="C33" s="6">
        <v>633</v>
      </c>
      <c r="D33" s="25">
        <v>165580.54999999999</v>
      </c>
    </row>
    <row r="34" spans="2:4" x14ac:dyDescent="0.25">
      <c r="B34" s="9" t="s">
        <v>6</v>
      </c>
      <c r="C34" s="6">
        <v>809</v>
      </c>
      <c r="D34" s="25">
        <v>38701</v>
      </c>
    </row>
    <row r="35" spans="2:4" x14ac:dyDescent="0.25">
      <c r="B35" s="9" t="s">
        <v>7</v>
      </c>
      <c r="C35" s="6">
        <v>4323</v>
      </c>
      <c r="D35" s="25">
        <v>13794</v>
      </c>
    </row>
    <row r="36" spans="2:4" x14ac:dyDescent="0.25">
      <c r="B36" s="10" t="s">
        <v>8</v>
      </c>
      <c r="C36" s="8">
        <f>SUM(C32:C35)</f>
        <v>6465</v>
      </c>
      <c r="D36" s="4">
        <f>SUM(D32:D35)</f>
        <v>321863.75</v>
      </c>
    </row>
    <row r="38" spans="2:4" x14ac:dyDescent="0.25">
      <c r="B38" s="28" t="s">
        <v>31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805</v>
      </c>
      <c r="D40" s="25">
        <v>125573.08</v>
      </c>
    </row>
    <row r="41" spans="2:4" x14ac:dyDescent="0.25">
      <c r="B41" s="1" t="s">
        <v>5</v>
      </c>
      <c r="C41" s="6">
        <v>696</v>
      </c>
      <c r="D41" s="25">
        <v>50560.9</v>
      </c>
    </row>
    <row r="42" spans="2:4" x14ac:dyDescent="0.25">
      <c r="B42" s="1" t="s">
        <v>6</v>
      </c>
      <c r="C42" s="6">
        <v>1003</v>
      </c>
      <c r="D42" s="25">
        <v>37448.97</v>
      </c>
    </row>
    <row r="43" spans="2:4" x14ac:dyDescent="0.25">
      <c r="B43" s="1" t="s">
        <v>7</v>
      </c>
      <c r="C43" s="6">
        <v>418</v>
      </c>
      <c r="D43" s="25">
        <v>4527</v>
      </c>
    </row>
    <row r="44" spans="2:4" x14ac:dyDescent="0.25">
      <c r="B44" s="3" t="s">
        <v>8</v>
      </c>
      <c r="C44" s="8">
        <f>SUM(C40:C43)</f>
        <v>2922</v>
      </c>
      <c r="D44" s="4">
        <f>SUM(D40:D43)</f>
        <v>218109.95</v>
      </c>
    </row>
    <row r="46" spans="2:4" x14ac:dyDescent="0.25">
      <c r="B46" s="27" t="s">
        <v>11</v>
      </c>
      <c r="C46" s="27"/>
      <c r="D46" s="27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1466</v>
      </c>
      <c r="D48" s="25">
        <v>71586.55</v>
      </c>
    </row>
    <row r="49" spans="2:4" x14ac:dyDescent="0.25">
      <c r="B49" s="10" t="s">
        <v>8</v>
      </c>
      <c r="C49" s="8">
        <f>SUM(C48:C48)</f>
        <v>1466</v>
      </c>
      <c r="D49" s="4">
        <f>SUM(D48:D48)</f>
        <v>71586.55</v>
      </c>
    </row>
    <row r="51" spans="2:4" x14ac:dyDescent="0.25">
      <c r="B51" s="28" t="s">
        <v>30</v>
      </c>
      <c r="C51" s="28"/>
      <c r="D51" s="28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586</v>
      </c>
      <c r="D53" s="25">
        <v>54051.85</v>
      </c>
    </row>
    <row r="54" spans="2:4" x14ac:dyDescent="0.25">
      <c r="B54" s="1" t="s">
        <v>5</v>
      </c>
      <c r="C54" s="6">
        <v>7</v>
      </c>
      <c r="D54" s="25">
        <v>1926</v>
      </c>
    </row>
    <row r="55" spans="2:4" x14ac:dyDescent="0.25">
      <c r="B55" s="1" t="s">
        <v>6</v>
      </c>
      <c r="C55" s="6">
        <v>543</v>
      </c>
      <c r="D55" s="25">
        <v>4023</v>
      </c>
    </row>
    <row r="56" spans="2:4" x14ac:dyDescent="0.25">
      <c r="B56" s="1" t="s">
        <v>7</v>
      </c>
      <c r="C56" s="6">
        <v>2296</v>
      </c>
      <c r="D56" s="25">
        <v>6969</v>
      </c>
    </row>
    <row r="57" spans="2:4" x14ac:dyDescent="0.25">
      <c r="B57" s="3" t="s">
        <v>8</v>
      </c>
      <c r="C57" s="8">
        <f>SUM(C53:C56)</f>
        <v>3432</v>
      </c>
      <c r="D57" s="4">
        <f>SUM(D53:D56)</f>
        <v>66969.850000000006</v>
      </c>
    </row>
    <row r="59" spans="2:4" x14ac:dyDescent="0.25">
      <c r="B59" s="12" t="s">
        <v>13</v>
      </c>
      <c r="C59" s="13">
        <f>SUMIF(B:B, "Total general", C:C)</f>
        <v>92380</v>
      </c>
      <c r="D59" s="13">
        <f>SUMIF(B:B, "Total general", D:D)</f>
        <v>4084631.62</v>
      </c>
    </row>
  </sheetData>
  <mergeCells count="7">
    <mergeCell ref="B46:D46"/>
    <mergeCell ref="B38:D38"/>
    <mergeCell ref="B12:D12"/>
    <mergeCell ref="B51:D51"/>
    <mergeCell ref="B3:D3"/>
    <mergeCell ref="B21:D21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3:H20"/>
  <sheetViews>
    <sheetView showGridLines="0" tabSelected="1" zoomScaleNormal="100" workbookViewId="0">
      <selection activeCell="B3" sqref="B3:D20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37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9478</v>
      </c>
      <c r="D5" s="25">
        <v>263172.64</v>
      </c>
    </row>
    <row r="6" spans="2:8" x14ac:dyDescent="0.25">
      <c r="B6" s="1" t="s">
        <v>5</v>
      </c>
      <c r="C6" s="6">
        <v>5632</v>
      </c>
      <c r="D6" s="25">
        <v>24283.39</v>
      </c>
    </row>
    <row r="7" spans="2:8" x14ac:dyDescent="0.25">
      <c r="B7" s="1" t="s">
        <v>6</v>
      </c>
      <c r="C7" s="6">
        <v>8641</v>
      </c>
      <c r="D7" s="25">
        <v>33605.39</v>
      </c>
    </row>
    <row r="8" spans="2:8" x14ac:dyDescent="0.25">
      <c r="B8" s="5" t="s">
        <v>12</v>
      </c>
      <c r="C8" s="7">
        <v>2739</v>
      </c>
      <c r="D8" s="25">
        <v>250</v>
      </c>
    </row>
    <row r="9" spans="2:8" x14ac:dyDescent="0.25">
      <c r="B9" s="1" t="s">
        <v>7</v>
      </c>
      <c r="C9" s="6">
        <v>112881</v>
      </c>
      <c r="D9" s="25">
        <v>22753</v>
      </c>
      <c r="E9" s="14"/>
      <c r="F9" s="7"/>
    </row>
    <row r="10" spans="2:8" x14ac:dyDescent="0.25">
      <c r="B10" s="3" t="s">
        <v>8</v>
      </c>
      <c r="C10" s="8">
        <f>SUM(C5:C9)</f>
        <v>139371</v>
      </c>
      <c r="D10" s="4">
        <f>SUM(D5:D9)</f>
        <v>344064.42000000004</v>
      </c>
      <c r="E10" s="11" t="s">
        <v>14</v>
      </c>
    </row>
    <row r="12" spans="2:8" x14ac:dyDescent="0.25">
      <c r="B12" s="28" t="s">
        <v>31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 s="6">
        <v>805</v>
      </c>
      <c r="D14" s="25">
        <v>125573.08</v>
      </c>
    </row>
    <row r="15" spans="2:8" x14ac:dyDescent="0.25">
      <c r="B15" s="1" t="s">
        <v>5</v>
      </c>
      <c r="C15" s="6">
        <v>696</v>
      </c>
      <c r="D15" s="25">
        <v>50560.9</v>
      </c>
    </row>
    <row r="16" spans="2:8" x14ac:dyDescent="0.25">
      <c r="B16" s="1" t="s">
        <v>6</v>
      </c>
      <c r="C16" s="6">
        <v>1003</v>
      </c>
      <c r="D16" s="25">
        <v>37448.97</v>
      </c>
    </row>
    <row r="17" spans="2:4" x14ac:dyDescent="0.25">
      <c r="B17" s="1" t="s">
        <v>7</v>
      </c>
      <c r="C17" s="6">
        <v>418</v>
      </c>
      <c r="D17" s="25">
        <v>4527</v>
      </c>
    </row>
    <row r="18" spans="2:4" x14ac:dyDescent="0.25">
      <c r="B18" s="3" t="s">
        <v>8</v>
      </c>
      <c r="C18" s="8">
        <f>SUM(C14:C17)</f>
        <v>2922</v>
      </c>
      <c r="D18" s="4">
        <f>SUM(D14:D17)</f>
        <v>218109.95</v>
      </c>
    </row>
    <row r="20" spans="2:4" x14ac:dyDescent="0.25">
      <c r="B20" s="12" t="s">
        <v>13</v>
      </c>
      <c r="C20" s="13">
        <f>SUMIF(B:B, "Total general", C:C)</f>
        <v>142293</v>
      </c>
      <c r="D20" s="13">
        <f>SUMIF(B:B, "Total general", D:D)</f>
        <v>562174.37000000011</v>
      </c>
    </row>
  </sheetData>
  <mergeCells count="2">
    <mergeCell ref="B3:D3"/>
    <mergeCell ref="B12:D12"/>
  </mergeCells>
  <pageMargins left="0.7" right="0.7" top="0.75" bottom="0.75" header="0.3" footer="0.3"/>
  <pageSetup paperSize="9"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35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33</v>
      </c>
      <c r="C6" s="16" t="s">
        <v>4</v>
      </c>
      <c r="D6" s="23">
        <f>SUMIF('REPORTE DIARIO'!B:B,'EPR 26 JUN'!C6, 'REPORTE DIARIO'!C:C)</f>
        <v>10697</v>
      </c>
      <c r="E6" s="16">
        <f>SUMIF('REPORTE DIARIO'!B:B,'EPR 26 JUN'!C6, 'REPORTE DIARIO'!D:D)</f>
        <v>1713427.7800000003</v>
      </c>
      <c r="F6" s="16">
        <f>J6*D6</f>
        <v>672382.85714285716</v>
      </c>
      <c r="G6" s="16">
        <f>+E6-F6</f>
        <v>1041044.9228571431</v>
      </c>
      <c r="H6" s="15">
        <f>ABS(G6/F6)</f>
        <v>1.5482918872751072</v>
      </c>
      <c r="I6" s="16">
        <f>E6/D6</f>
        <v>160.1783472001496</v>
      </c>
      <c r="J6" s="16">
        <f>(220/7)*2</f>
        <v>62.857142857142854</v>
      </c>
      <c r="K6" s="16">
        <f>+I6-J6</f>
        <v>97.321204343006741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5815</v>
      </c>
      <c r="E7" s="16">
        <f>SUMIF('REPORTE DIARIO'!B:B,'EPR 26 JUN'!C7, 'REPORTE DIARIO'!D:D)</f>
        <v>700254.02</v>
      </c>
      <c r="F7" s="16">
        <f>J7*D7</f>
        <v>182757.14285714284</v>
      </c>
      <c r="G7" s="16">
        <f>+E7-F7</f>
        <v>517496.87714285718</v>
      </c>
      <c r="H7" s="15">
        <f>ABS(G7/F7)</f>
        <v>2.8316095833659038</v>
      </c>
      <c r="I7" s="16">
        <f>E7/D7</f>
        <v>120.4220154772141</v>
      </c>
      <c r="J7" s="16">
        <f>(110/7)*2</f>
        <v>31.428571428571427</v>
      </c>
      <c r="K7" s="16">
        <f t="shared" ref="K7:K9" si="0">+I7-J7</f>
        <v>88.993444048642672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13318</v>
      </c>
      <c r="E8" s="16">
        <f>SUMIF('REPORTE DIARIO'!B:B,'EPR 26 JUN'!C8, 'REPORTE DIARIO'!D:D)</f>
        <v>554740.85</v>
      </c>
      <c r="F8" s="16">
        <f>J8*D8</f>
        <v>171231.42857142858</v>
      </c>
      <c r="G8" s="16">
        <f>+E8-F8</f>
        <v>383509.4214285714</v>
      </c>
      <c r="H8" s="15">
        <f>ABS(G8/F8)</f>
        <v>2.2397139627237985</v>
      </c>
      <c r="I8" s="16">
        <f>E8/D8</f>
        <v>41.653465235020271</v>
      </c>
      <c r="J8" s="16">
        <f>(45/7)*2</f>
        <v>12.857142857142858</v>
      </c>
      <c r="K8" s="16">
        <f t="shared" si="0"/>
        <v>28.796322377877413</v>
      </c>
      <c r="L8" s="15"/>
    </row>
    <row r="9" spans="2:12" x14ac:dyDescent="0.25">
      <c r="B9" s="16" t="s">
        <v>34</v>
      </c>
      <c r="C9" s="16" t="s">
        <v>7</v>
      </c>
      <c r="D9" s="23">
        <f>SUMIF('REPORTE DIARIO'!B:B,'EPR 26 JUN'!C9, 'REPORTE DIARIO'!C:C)</f>
        <v>62538</v>
      </c>
      <c r="E9" s="16">
        <f>SUMIF('REPORTE DIARIO'!B:B,'EPR 26 JUN'!C9, 'REPORTE DIARIO'!D:D)</f>
        <v>1116124.97</v>
      </c>
      <c r="F9" s="16">
        <f>J9*D9</f>
        <v>268020</v>
      </c>
      <c r="G9" s="16">
        <f>+E9-F9</f>
        <v>848104.97</v>
      </c>
      <c r="H9" s="15">
        <f>ABS(G9/F9)</f>
        <v>3.1643346392060292</v>
      </c>
      <c r="I9" s="16">
        <f>E9/D9</f>
        <v>17.847148453740125</v>
      </c>
      <c r="J9" s="16">
        <f>(15/7)*2</f>
        <v>4.2857142857142856</v>
      </c>
      <c r="K9" s="16">
        <f t="shared" si="0"/>
        <v>13.561434168025841</v>
      </c>
    </row>
    <row r="10" spans="2:12" x14ac:dyDescent="0.25">
      <c r="B10" s="16"/>
      <c r="C10" s="19" t="s">
        <v>17</v>
      </c>
      <c r="D10" s="24">
        <f>SUM(D6:D9)</f>
        <v>92368</v>
      </c>
      <c r="E10" s="20">
        <f>SUM(E6:E9)</f>
        <v>4084547.62</v>
      </c>
      <c r="F10" s="20">
        <f>SUM(F6:F9)</f>
        <v>1294391.4285714286</v>
      </c>
      <c r="G10" s="20">
        <f>+E10-F10</f>
        <v>2790156.1914285715</v>
      </c>
      <c r="H10" s="21">
        <f>ABS(G10/F10)</f>
        <v>2.1555737544615559</v>
      </c>
      <c r="I10" s="20">
        <f>E10/D10</f>
        <v>44.220375238177724</v>
      </c>
      <c r="J10" s="20">
        <f>F10/D10</f>
        <v>14.013418376184703</v>
      </c>
      <c r="K10" s="20">
        <f>I10-J10</f>
        <v>30.206956861993021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DATA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2025-06-23T16:20:39Z</cp:lastPrinted>
  <dcterms:created xsi:type="dcterms:W3CDTF">2025-01-27T15:11:28Z</dcterms:created>
  <dcterms:modified xsi:type="dcterms:W3CDTF">2025-07-28T16:08:44Z</dcterms:modified>
</cp:coreProperties>
</file>