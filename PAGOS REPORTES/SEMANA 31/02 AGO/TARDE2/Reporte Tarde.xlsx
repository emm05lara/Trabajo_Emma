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1\02 AGO\TARDE2\"/>
    </mc:Choice>
  </mc:AlternateContent>
  <xr:revisionPtr revIDLastSave="0" documentId="13_ncr:1_{67E070CA-8906-4B25-B96F-87AD37B8006E}" xr6:coauthVersionLast="47" xr6:coauthVersionMax="47" xr10:uidLastSave="{00000000-0000-0000-0000-000000000000}"/>
  <bookViews>
    <workbookView xWindow="-108" yWindow="-108" windowWidth="23256" windowHeight="12456" activeTab="2" xr2:uid="{1D0AA5E2-D038-4E52-86A0-BA79922AF7F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<sst xmlns="http://schemas.openxmlformats.org/spreadsheetml/2006/main" count="107" uniqueCount="19">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</sst>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2223-82C8-4071-B9EC-405B6A953B89}">
  <dimension ref="B2:D50"/>
  <sheetViews>
    <sheetView topLeftCell="A38" workbookViewId="0">
      <selection activeCell="B2" sqref="B2:D50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50912.61</v>
      </c>
    </row>
    <row r="5" spans="2:4" x14ac:dyDescent="0.3">
      <c r="B5" s="2" t="s">
        <v>2</v>
      </c>
      <c r="C5" s="3">
        <v>16045.25</v>
      </c>
    </row>
    <row r="6" spans="2:4" x14ac:dyDescent="0.3">
      <c r="B6" s="2" t="s">
        <v>3</v>
      </c>
      <c r="C6" s="3">
        <v>233318</v>
      </c>
    </row>
    <row r="7" spans="2:4" ht="15" thickBot="1" x14ac:dyDescent="0.35">
      <c r="B7" s="2" t="s">
        <v>4</v>
      </c>
      <c r="C7" s="3">
        <v>91857.12</v>
      </c>
      <c r="D7" s="1" t="s">
        <v>13</v>
      </c>
    </row>
    <row r="8" spans="2:4" ht="15" thickTop="1" x14ac:dyDescent="0.3">
      <c r="B8" s="4" t="s">
        <v>5</v>
      </c>
      <c r="C8" s="5">
        <v>392132.98</v>
      </c>
      <c r="D8" s="5">
        <f>SUMIF(B:B, "Total general", C:C)</f>
        <v>538733.21</v>
      </c>
    </row>
    <row r="10" spans="2:4" x14ac:dyDescent="0.3">
      <c r="B10" s="6" t="s">
        <v>8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26544.940000000002</v>
      </c>
    </row>
    <row r="13" spans="2:4" x14ac:dyDescent="0.3">
      <c r="B13" s="2" t="s">
        <v>2</v>
      </c>
      <c r="C13" s="3">
        <v>6651</v>
      </c>
    </row>
    <row r="14" spans="2:4" x14ac:dyDescent="0.3">
      <c r="B14" s="2" t="s">
        <v>3</v>
      </c>
      <c r="C14" s="3">
        <v>6176</v>
      </c>
    </row>
    <row r="15" spans="2:4" ht="15" thickBot="1" x14ac:dyDescent="0.35">
      <c r="B15" s="2" t="s">
        <v>4</v>
      </c>
      <c r="C15" s="3">
        <v>7603</v>
      </c>
    </row>
    <row r="16" spans="2:4" ht="15" thickTop="1" x14ac:dyDescent="0.3">
      <c r="B16" s="4" t="s">
        <v>5</v>
      </c>
      <c r="C16" s="5">
        <v>46974.94</v>
      </c>
    </row>
    <row r="18" spans="2:3" x14ac:dyDescent="0.3">
      <c r="B18" s="6" t="s">
        <v>7</v>
      </c>
      <c r="C18" s="6"/>
    </row>
    <row r="19" spans="2:3" x14ac:dyDescent="0.3">
      <c r="B19" s="1" t="s">
        <v>14</v>
      </c>
      <c r="C19" s="1" t="s">
        <v>0</v>
      </c>
    </row>
    <row r="20" spans="2:3" x14ac:dyDescent="0.3">
      <c r="B20" s="2" t="s">
        <v>1</v>
      </c>
      <c r="C20" s="3">
        <v>16256</v>
      </c>
    </row>
    <row r="21" spans="2:3" x14ac:dyDescent="0.3">
      <c r="B21" s="2" t="s">
        <v>2</v>
      </c>
      <c r="C21" s="3">
        <v>746</v>
      </c>
    </row>
    <row r="22" spans="2:3" x14ac:dyDescent="0.3">
      <c r="B22" s="2" t="s">
        <v>3</v>
      </c>
      <c r="C22" s="3">
        <v>13415.119999999999</v>
      </c>
    </row>
    <row r="23" spans="2:3" ht="15" thickBot="1" x14ac:dyDescent="0.35">
      <c r="B23" s="2" t="s">
        <v>4</v>
      </c>
      <c r="C23" s="3">
        <v>12441</v>
      </c>
    </row>
    <row r="24" spans="2:3" ht="15" thickTop="1" x14ac:dyDescent="0.3">
      <c r="B24" s="4" t="s">
        <v>5</v>
      </c>
      <c r="C24" s="5">
        <v>42858.119999999995</v>
      </c>
    </row>
    <row r="26" spans="2:3" x14ac:dyDescent="0.3">
      <c r="B26" s="6" t="s">
        <v>12</v>
      </c>
      <c r="C26" s="6"/>
    </row>
    <row r="27" spans="2:3" x14ac:dyDescent="0.3">
      <c r="B27" s="1" t="s">
        <v>14</v>
      </c>
      <c r="C27" s="1" t="s">
        <v>0</v>
      </c>
    </row>
    <row r="28" spans="2:3" x14ac:dyDescent="0.3">
      <c r="B28" s="2" t="s">
        <v>1</v>
      </c>
      <c r="C28" s="3">
        <v>3324.19</v>
      </c>
    </row>
    <row r="29" spans="2:3" x14ac:dyDescent="0.3">
      <c r="B29" s="2" t="s">
        <v>2</v>
      </c>
      <c r="C29" s="3">
        <v>14182.779999999999</v>
      </c>
    </row>
    <row r="30" spans="2:3" x14ac:dyDescent="0.3">
      <c r="B30" s="2" t="s">
        <v>3</v>
      </c>
      <c r="C30" s="3">
        <v>21174.78</v>
      </c>
    </row>
    <row r="31" spans="2:3" ht="15" thickBot="1" x14ac:dyDescent="0.35">
      <c r="B31" s="2" t="s">
        <v>4</v>
      </c>
      <c r="C31" s="3">
        <v>760</v>
      </c>
    </row>
    <row r="32" spans="2:3" ht="15" thickTop="1" x14ac:dyDescent="0.3">
      <c r="B32" s="4" t="s">
        <v>5</v>
      </c>
      <c r="C32" s="5">
        <v>39441.75</v>
      </c>
    </row>
    <row r="34" spans="2:3" x14ac:dyDescent="0.3">
      <c r="B34" s="6" t="s">
        <v>9</v>
      </c>
      <c r="C34" s="6"/>
    </row>
    <row r="35" spans="2:3" x14ac:dyDescent="0.3">
      <c r="B35" s="1" t="s">
        <v>14</v>
      </c>
      <c r="C35" s="1" t="s">
        <v>0</v>
      </c>
    </row>
    <row r="36" spans="2:3" x14ac:dyDescent="0.3">
      <c r="B36" s="2" t="s">
        <v>1</v>
      </c>
      <c r="C36" s="3">
        <v>7243</v>
      </c>
    </row>
    <row r="37" spans="2:3" ht="15" thickBot="1" x14ac:dyDescent="0.35">
      <c r="B37" s="2" t="s">
        <v>4</v>
      </c>
      <c r="C37" s="3">
        <v>3625.42</v>
      </c>
    </row>
    <row r="38" spans="2:3" ht="15" thickTop="1" x14ac:dyDescent="0.3">
      <c r="B38" s="4" t="s">
        <v>5</v>
      </c>
      <c r="C38" s="5">
        <v>10868.42</v>
      </c>
    </row>
    <row r="40" spans="2:3" x14ac:dyDescent="0.3">
      <c r="B40" s="6" t="s">
        <v>11</v>
      </c>
      <c r="C40" s="6"/>
    </row>
    <row r="41" spans="2:3" x14ac:dyDescent="0.3">
      <c r="B41" s="1" t="s">
        <v>14</v>
      </c>
      <c r="C41" s="1" t="s">
        <v>0</v>
      </c>
    </row>
    <row r="42" spans="2:3" x14ac:dyDescent="0.3">
      <c r="B42" s="2" t="s">
        <v>1</v>
      </c>
      <c r="C42" s="3">
        <v>1977</v>
      </c>
    </row>
    <row r="43" spans="2:3" x14ac:dyDescent="0.3">
      <c r="B43" s="2" t="s">
        <v>2</v>
      </c>
      <c r="C43" s="3">
        <v>607</v>
      </c>
    </row>
    <row r="44" spans="2:3" ht="15" thickBot="1" x14ac:dyDescent="0.35">
      <c r="B44" s="2" t="s">
        <v>3</v>
      </c>
      <c r="C44" s="3">
        <v>1900</v>
      </c>
    </row>
    <row r="45" spans="2:3" ht="15" thickTop="1" x14ac:dyDescent="0.3">
      <c r="B45" s="4" t="s">
        <v>5</v>
      </c>
      <c r="C45" s="5">
        <v>4484</v>
      </c>
    </row>
    <row r="47" spans="2:3" x14ac:dyDescent="0.3">
      <c r="B47" s="6" t="s">
        <v>10</v>
      </c>
      <c r="C47" s="6"/>
    </row>
    <row r="48" spans="2:3" x14ac:dyDescent="0.3">
      <c r="B48" s="1" t="s">
        <v>14</v>
      </c>
      <c r="C48" s="1" t="s">
        <v>0</v>
      </c>
    </row>
    <row r="49" spans="2:3" ht="15" thickBot="1" x14ac:dyDescent="0.35">
      <c r="B49" s="2" t="s">
        <v>1</v>
      </c>
      <c r="C49" s="3">
        <v>1973</v>
      </c>
    </row>
    <row r="50" spans="2:3" ht="15" thickTop="1" x14ac:dyDescent="0.3">
      <c r="B50" s="4" t="s">
        <v>5</v>
      </c>
      <c r="C50" s="5">
        <v>1973</v>
      </c>
    </row>
  </sheetData>
  <mergeCells count="7">
    <mergeCell ref="B26:C26"/>
    <mergeCell ref="B2:C2"/>
    <mergeCell ref="B18:C18"/>
    <mergeCell ref="B10:C10"/>
    <mergeCell ref="B34:C34"/>
    <mergeCell ref="B47:C47"/>
    <mergeCell ref="B40:C40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0F95-DB85-4933-8227-6A3959798BAD}">
  <dimension ref="B2:D39"/>
  <sheetViews>
    <sheetView topLeftCell="A39" workbookViewId="0">
      <selection activeCell="B2" sqref="B2:D39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17</v>
      </c>
      <c r="C3" s="1" t="s">
        <v>0</v>
      </c>
    </row>
    <row r="4" spans="2:4" x14ac:dyDescent="0.3">
      <c r="B4" s="2" t="s">
        <v>15</v>
      </c>
      <c r="C4" s="7">
        <v>37884.61</v>
      </c>
      <c r="D4" s="7"/>
    </row>
    <row r="5" spans="2:4" ht="15" thickBot="1" x14ac:dyDescent="0.35">
      <c r="B5" s="2" t="s">
        <v>16</v>
      </c>
      <c r="C5" s="3">
        <v>354248.37</v>
      </c>
      <c r="D5" s="1" t="s">
        <v>13</v>
      </c>
    </row>
    <row r="6" spans="2:4" ht="15" thickTop="1" x14ac:dyDescent="0.3">
      <c r="B6" s="4" t="s">
        <v>5</v>
      </c>
      <c r="C6" s="5">
        <v>392132.98</v>
      </c>
      <c r="D6" s="5">
        <f>SUMIF(B:B, "Total general", C:C)</f>
        <v>538733.21</v>
      </c>
    </row>
    <row r="8" spans="2:4" x14ac:dyDescent="0.3">
      <c r="B8" s="6" t="s">
        <v>8</v>
      </c>
      <c r="C8" s="6"/>
    </row>
    <row r="9" spans="2:4" x14ac:dyDescent="0.3">
      <c r="B9" s="1" t="s">
        <v>17</v>
      </c>
      <c r="C9" s="1" t="s">
        <v>0</v>
      </c>
    </row>
    <row r="10" spans="2:4" ht="15" thickBot="1" x14ac:dyDescent="0.35">
      <c r="B10" s="2" t="s">
        <v>16</v>
      </c>
      <c r="C10" s="3">
        <v>46974.94</v>
      </c>
    </row>
    <row r="11" spans="2:4" ht="15" thickTop="1" x14ac:dyDescent="0.3">
      <c r="B11" s="4" t="s">
        <v>5</v>
      </c>
      <c r="C11" s="5">
        <v>46974.94</v>
      </c>
    </row>
    <row r="13" spans="2:4" x14ac:dyDescent="0.3">
      <c r="B13" s="6" t="s">
        <v>7</v>
      </c>
      <c r="C13" s="6"/>
    </row>
    <row r="14" spans="2:4" x14ac:dyDescent="0.3">
      <c r="B14" s="1" t="s">
        <v>17</v>
      </c>
      <c r="C14" s="1" t="s">
        <v>0</v>
      </c>
    </row>
    <row r="15" spans="2:4" x14ac:dyDescent="0.3">
      <c r="B15" s="2" t="s">
        <v>15</v>
      </c>
      <c r="C15" s="7">
        <v>19361</v>
      </c>
      <c r="D15" s="7"/>
    </row>
    <row r="16" spans="2:4" ht="15" thickBot="1" x14ac:dyDescent="0.35">
      <c r="B16" s="2" t="s">
        <v>16</v>
      </c>
      <c r="C16" s="3">
        <v>23497.119999999999</v>
      </c>
    </row>
    <row r="17" spans="2:4" ht="15" thickTop="1" x14ac:dyDescent="0.3">
      <c r="B17" s="4" t="s">
        <v>5</v>
      </c>
      <c r="C17" s="5">
        <v>42858.119999999995</v>
      </c>
    </row>
    <row r="19" spans="2:4" x14ac:dyDescent="0.3">
      <c r="B19" s="6" t="s">
        <v>12</v>
      </c>
      <c r="C19" s="6"/>
    </row>
    <row r="20" spans="2:4" x14ac:dyDescent="0.3">
      <c r="B20" s="1" t="s">
        <v>17</v>
      </c>
      <c r="C20" s="1" t="s">
        <v>0</v>
      </c>
    </row>
    <row r="21" spans="2:4" ht="15" thickBot="1" x14ac:dyDescent="0.35">
      <c r="B21" s="2" t="s">
        <v>16</v>
      </c>
      <c r="C21" s="3">
        <v>39441.75</v>
      </c>
    </row>
    <row r="22" spans="2:4" ht="15" thickTop="1" x14ac:dyDescent="0.3">
      <c r="B22" s="4" t="s">
        <v>5</v>
      </c>
      <c r="C22" s="5">
        <v>39441.75</v>
      </c>
    </row>
    <row r="24" spans="2:4" x14ac:dyDescent="0.3">
      <c r="B24" s="6" t="s">
        <v>9</v>
      </c>
      <c r="C24" s="6"/>
    </row>
    <row r="25" spans="2:4" x14ac:dyDescent="0.3">
      <c r="B25" s="1" t="s">
        <v>17</v>
      </c>
      <c r="C25" s="1" t="s">
        <v>0</v>
      </c>
    </row>
    <row r="26" spans="2:4" x14ac:dyDescent="0.3">
      <c r="B26" s="2" t="s">
        <v>15</v>
      </c>
      <c r="C26" s="3">
        <v>1000</v>
      </c>
    </row>
    <row r="27" spans="2:4" ht="15" thickBot="1" x14ac:dyDescent="0.35">
      <c r="B27" s="2" t="s">
        <v>16</v>
      </c>
      <c r="C27" s="3">
        <v>9868.42</v>
      </c>
    </row>
    <row r="28" spans="2:4" ht="15" thickTop="1" x14ac:dyDescent="0.3">
      <c r="B28" s="4" t="s">
        <v>5</v>
      </c>
      <c r="C28" s="5">
        <v>10868.42</v>
      </c>
    </row>
    <row r="30" spans="2:4" x14ac:dyDescent="0.3">
      <c r="B30" s="6" t="s">
        <v>11</v>
      </c>
      <c r="C30" s="6"/>
    </row>
    <row r="31" spans="2:4" x14ac:dyDescent="0.3">
      <c r="B31" s="1" t="s">
        <v>17</v>
      </c>
      <c r="C31" s="1" t="s">
        <v>0</v>
      </c>
    </row>
    <row r="32" spans="2:4" x14ac:dyDescent="0.3">
      <c r="B32" s="2" t="s">
        <v>15</v>
      </c>
      <c r="C32" s="7">
        <v>2313</v>
      </c>
      <c r="D32" s="7"/>
    </row>
    <row r="33" spans="2:4" ht="15" thickBot="1" x14ac:dyDescent="0.35">
      <c r="B33" s="2" t="s">
        <v>16</v>
      </c>
      <c r="C33" s="3">
        <v>2171</v>
      </c>
    </row>
    <row r="34" spans="2:4" ht="15" thickTop="1" x14ac:dyDescent="0.3">
      <c r="B34" s="4" t="s">
        <v>5</v>
      </c>
      <c r="C34" s="5">
        <v>4484</v>
      </c>
    </row>
    <row r="36" spans="2:4" x14ac:dyDescent="0.3">
      <c r="B36" s="6" t="s">
        <v>10</v>
      </c>
      <c r="C36" s="6"/>
    </row>
    <row r="37" spans="2:4" x14ac:dyDescent="0.3">
      <c r="B37" s="1" t="s">
        <v>17</v>
      </c>
      <c r="C37" s="1" t="s">
        <v>0</v>
      </c>
    </row>
    <row r="38" spans="2:4" ht="15" thickBot="1" x14ac:dyDescent="0.35">
      <c r="B38" s="2" t="s">
        <v>15</v>
      </c>
      <c r="C38" s="7">
        <v>1973</v>
      </c>
      <c r="D38" s="7"/>
    </row>
    <row r="39" spans="2:4" ht="15" thickTop="1" x14ac:dyDescent="0.3">
      <c r="B39" s="4" t="s">
        <v>5</v>
      </c>
      <c r="C39" s="5">
        <v>1973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8876-C219-45DA-9F23-D7ED26A72CF3}">
  <dimension ref="B2:D15"/>
  <sheetViews>
    <sheetView tabSelected="1" workbookViewId="0">
      <selection activeCell="B2" sqref="B2:D1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18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30641.809999999998</v>
      </c>
    </row>
    <row r="5" spans="2:4" x14ac:dyDescent="0.3">
      <c r="B5" s="2" t="s">
        <v>2</v>
      </c>
      <c r="C5" s="3">
        <v>165</v>
      </c>
    </row>
    <row r="6" spans="2:4" x14ac:dyDescent="0.3">
      <c r="B6" s="2" t="s">
        <v>3</v>
      </c>
      <c r="C6" s="3">
        <v>6860</v>
      </c>
    </row>
    <row r="7" spans="2:4" ht="15" thickBot="1" x14ac:dyDescent="0.35">
      <c r="B7" s="2" t="s">
        <v>4</v>
      </c>
      <c r="C7" s="3">
        <v>910</v>
      </c>
      <c r="D7" s="1" t="s">
        <v>13</v>
      </c>
    </row>
    <row r="8" spans="2:4" ht="15" thickTop="1" x14ac:dyDescent="0.3">
      <c r="B8" s="4" t="s">
        <v>5</v>
      </c>
      <c r="C8" s="5">
        <v>38576.81</v>
      </c>
      <c r="D8" s="5">
        <f>SUMIF(B:B, "Total general", C:C)</f>
        <v>43060.81</v>
      </c>
    </row>
    <row r="10" spans="2:4" x14ac:dyDescent="0.3">
      <c r="B10" s="6" t="s">
        <v>11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</v>
      </c>
      <c r="C12" s="3">
        <v>1977</v>
      </c>
    </row>
    <row r="13" spans="2:4" x14ac:dyDescent="0.3">
      <c r="B13" s="2" t="s">
        <v>2</v>
      </c>
      <c r="C13" s="3">
        <v>607</v>
      </c>
    </row>
    <row r="14" spans="2:4" ht="15" thickBot="1" x14ac:dyDescent="0.35">
      <c r="B14" s="2" t="s">
        <v>3</v>
      </c>
      <c r="C14" s="3">
        <v>1900</v>
      </c>
    </row>
    <row r="15" spans="2:4" ht="15" thickTop="1" x14ac:dyDescent="0.3">
      <c r="B15" s="4" t="s">
        <v>5</v>
      </c>
      <c r="C15" s="5">
        <v>4484</v>
      </c>
    </row>
  </sheetData>
  <mergeCells count="2">
    <mergeCell ref="B2:C2"/>
    <mergeCell ref="B10:C10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2025-08-02T22:11:44Z</cp:lastPrinted>
  <dcterms:created xsi:type="dcterms:W3CDTF">2025-08-02T22:04:44Z</dcterms:created>
  <dcterms:modified xsi:type="dcterms:W3CDTF">2025-08-02T22:11:46Z</dcterms:modified>
</cp:coreProperties>
</file>