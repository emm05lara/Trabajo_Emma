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1\02 AGO\TARDE2\"/>
    </mc:Choice>
  </mc:AlternateContent>
  <xr:revisionPtr revIDLastSave="0" documentId="13_ncr:1_{CBAF5DAC-7127-4880-9BE9-A5B1733CAC26}" xr6:coauthVersionLast="47" xr6:coauthVersionMax="47" xr10:uidLastSave="{00000000-0000-0000-0000-000000000000}"/>
  <bookViews>
    <workbookView xWindow="-96" yWindow="0" windowWidth="11712" windowHeight="12336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52" i="1"/>
  <c r="C20" i="5" l="1"/>
  <c r="C28" i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<sst xmlns="http://schemas.openxmlformats.org/spreadsheetml/2006/main" count="110" uniqueCount="38">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</sst>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3" zoomScaleNormal="100" workbookViewId="0">
      <selection activeCell="B3" sqref="B3:D5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4003</v>
      </c>
      <c r="D5" s="25">
        <v>674747.42</v>
      </c>
    </row>
    <row r="6" spans="2:8" x14ac:dyDescent="0.3">
      <c r="B6" s="1" t="s">
        <v>5</v>
      </c>
      <c r="C6" s="6">
        <v>3121</v>
      </c>
      <c r="D6" s="25">
        <v>336129.73</v>
      </c>
    </row>
    <row r="7" spans="2:8" x14ac:dyDescent="0.3">
      <c r="B7" s="1" t="s">
        <v>6</v>
      </c>
      <c r="C7" s="6">
        <v>6072</v>
      </c>
      <c r="D7" s="25">
        <v>490374.23</v>
      </c>
    </row>
    <row r="8" spans="2:8" x14ac:dyDescent="0.3">
      <c r="B8" s="5" t="s">
        <v>12</v>
      </c>
      <c r="C8" s="7">
        <v>11</v>
      </c>
      <c r="D8" s="26">
        <v>0</v>
      </c>
    </row>
    <row r="9" spans="2:8" x14ac:dyDescent="0.3">
      <c r="B9" s="1" t="s">
        <v>7</v>
      </c>
      <c r="C9" s="6">
        <v>20903</v>
      </c>
      <c r="D9" s="25">
        <v>475707.32</v>
      </c>
      <c r="E9" s="14"/>
      <c r="F9" s="7"/>
    </row>
    <row r="10" spans="2:8" x14ac:dyDescent="0.3">
      <c r="B10" s="3" t="s">
        <v>8</v>
      </c>
      <c r="C10" s="8">
        <f>SUM(C5:C9)</f>
        <v>34110</v>
      </c>
      <c r="D10" s="4">
        <f>SUM(D5:D9)</f>
        <v>1976958.7</v>
      </c>
      <c r="E10" s="11" t="s">
        <v>14</v>
      </c>
    </row>
    <row r="12" spans="2:8" x14ac:dyDescent="0.3">
      <c r="B12" s="27" t="s">
        <v>10</v>
      </c>
      <c r="C12" s="27"/>
      <c r="D12" s="27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1692</v>
      </c>
      <c r="D14" s="25">
        <v>284698.44</v>
      </c>
    </row>
    <row r="15" spans="2:8" x14ac:dyDescent="0.3">
      <c r="B15" s="9" t="s">
        <v>5</v>
      </c>
      <c r="C15" s="6">
        <v>286</v>
      </c>
      <c r="D15" s="25">
        <v>26187.119999999999</v>
      </c>
    </row>
    <row r="16" spans="2:8" x14ac:dyDescent="0.3">
      <c r="B16" s="9" t="s">
        <v>6</v>
      </c>
      <c r="C16" s="6">
        <v>1305</v>
      </c>
      <c r="D16" s="25">
        <v>50981.96</v>
      </c>
    </row>
    <row r="17" spans="2:4" x14ac:dyDescent="0.3">
      <c r="B17" s="5" t="s">
        <v>12</v>
      </c>
      <c r="C17" s="7">
        <v>1</v>
      </c>
      <c r="D17" s="26">
        <v>0</v>
      </c>
    </row>
    <row r="18" spans="2:4" x14ac:dyDescent="0.3">
      <c r="B18" s="9" t="s">
        <v>7</v>
      </c>
      <c r="C18" s="6">
        <v>12057</v>
      </c>
      <c r="D18" s="25">
        <v>57415.259999999995</v>
      </c>
    </row>
    <row r="19" spans="2:4" x14ac:dyDescent="0.3">
      <c r="B19" s="10" t="s">
        <v>8</v>
      </c>
      <c r="C19" s="8">
        <f>SUM(C14:C18)</f>
        <v>15341</v>
      </c>
      <c r="D19" s="4">
        <f>SUM(D14:D18)</f>
        <v>419282.78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2049</v>
      </c>
      <c r="D23" s="25">
        <v>187228.17</v>
      </c>
    </row>
    <row r="24" spans="2:4" x14ac:dyDescent="0.3">
      <c r="B24" s="1" t="s">
        <v>5</v>
      </c>
      <c r="C24" s="6">
        <v>1418</v>
      </c>
      <c r="D24" s="25">
        <v>42611.17</v>
      </c>
    </row>
    <row r="25" spans="2:4" x14ac:dyDescent="0.3">
      <c r="B25" s="1" t="s">
        <v>6</v>
      </c>
      <c r="C25" s="6">
        <v>3541</v>
      </c>
      <c r="D25" s="25">
        <v>80734.239999999991</v>
      </c>
    </row>
    <row r="26" spans="2:4" x14ac:dyDescent="0.3">
      <c r="B26" s="5" t="s">
        <v>12</v>
      </c>
      <c r="C26" s="6">
        <v>0</v>
      </c>
      <c r="D26" s="26">
        <v>0</v>
      </c>
    </row>
    <row r="27" spans="2:4" x14ac:dyDescent="0.3">
      <c r="B27" s="1" t="s">
        <v>7</v>
      </c>
      <c r="C27" s="7">
        <v>18130</v>
      </c>
      <c r="D27" s="25">
        <v>87325.360000000015</v>
      </c>
    </row>
    <row r="28" spans="2:4" x14ac:dyDescent="0.3">
      <c r="B28" s="3" t="s">
        <v>8</v>
      </c>
      <c r="C28" s="8">
        <f>SUM(C23:C27)</f>
        <v>25138</v>
      </c>
      <c r="D28" s="4">
        <f>SUM(D23:D27)</f>
        <v>397898.94000000006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498</v>
      </c>
      <c r="D32" s="25">
        <v>148874.32999999999</v>
      </c>
    </row>
    <row r="33" spans="2:4" x14ac:dyDescent="0.3">
      <c r="B33" s="9" t="s">
        <v>5</v>
      </c>
      <c r="C33" s="6">
        <v>409</v>
      </c>
      <c r="D33" s="25">
        <v>96883.169999999984</v>
      </c>
    </row>
    <row r="34" spans="2:4" x14ac:dyDescent="0.3">
      <c r="B34" s="9" t="s">
        <v>6</v>
      </c>
      <c r="C34" s="6">
        <v>271</v>
      </c>
      <c r="D34" s="25">
        <v>52106.9</v>
      </c>
    </row>
    <row r="35" spans="2:4" x14ac:dyDescent="0.3">
      <c r="B35" s="9" t="s">
        <v>7</v>
      </c>
      <c r="C35" s="6">
        <v>598</v>
      </c>
      <c r="D35" s="25">
        <v>9973</v>
      </c>
    </row>
    <row r="36" spans="2:4" x14ac:dyDescent="0.3">
      <c r="B36" s="10" t="s">
        <v>8</v>
      </c>
      <c r="C36" s="8">
        <f>SUM(C32:C35)</f>
        <v>1776</v>
      </c>
      <c r="D36" s="4">
        <f>SUM(D32:D35)</f>
        <v>307837.39999999997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801</v>
      </c>
      <c r="D40" s="25">
        <v>30405.559999999998</v>
      </c>
    </row>
    <row r="41" spans="2:4" x14ac:dyDescent="0.3">
      <c r="B41" s="1" t="s">
        <v>5</v>
      </c>
      <c r="C41" s="6">
        <v>695</v>
      </c>
      <c r="D41" s="25">
        <v>60171.05</v>
      </c>
    </row>
    <row r="42" spans="2:4" x14ac:dyDescent="0.3">
      <c r="B42" s="1" t="s">
        <v>6</v>
      </c>
      <c r="C42" s="6">
        <v>1002</v>
      </c>
      <c r="D42" s="25">
        <v>17952</v>
      </c>
    </row>
    <row r="43" spans="2:4" x14ac:dyDescent="0.3">
      <c r="B43" s="1" t="s">
        <v>7</v>
      </c>
      <c r="C43" s="6">
        <v>418</v>
      </c>
      <c r="D43" s="25">
        <v>4725</v>
      </c>
    </row>
    <row r="44" spans="2:4" x14ac:dyDescent="0.3">
      <c r="B44" s="3" t="s">
        <v>8</v>
      </c>
      <c r="C44" s="8">
        <f>SUM(C40:C43)</f>
        <v>2916</v>
      </c>
      <c r="D44" s="4">
        <f>SUM(D40:D43)</f>
        <v>113253.61</v>
      </c>
    </row>
    <row r="46" spans="2:4" x14ac:dyDescent="0.3">
      <c r="B46" s="28" t="s">
        <v>30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584</v>
      </c>
      <c r="D48" s="25">
        <v>64322.19</v>
      </c>
    </row>
    <row r="49" spans="2:4" x14ac:dyDescent="0.3">
      <c r="B49" s="1" t="s">
        <v>5</v>
      </c>
      <c r="C49" s="6">
        <v>7</v>
      </c>
      <c r="D49" s="25">
        <v>1926</v>
      </c>
    </row>
    <row r="50" spans="2:4" x14ac:dyDescent="0.3">
      <c r="B50" s="1" t="s">
        <v>6</v>
      </c>
      <c r="C50" s="6">
        <v>533</v>
      </c>
      <c r="D50" s="25">
        <v>4381</v>
      </c>
    </row>
    <row r="51" spans="2:4" x14ac:dyDescent="0.3">
      <c r="B51" s="1" t="s">
        <v>7</v>
      </c>
      <c r="C51" s="6">
        <v>2295</v>
      </c>
      <c r="D51" s="25">
        <v>8406.42</v>
      </c>
    </row>
    <row r="52" spans="2:4" x14ac:dyDescent="0.3">
      <c r="B52" s="3" t="s">
        <v>8</v>
      </c>
      <c r="C52" s="8">
        <f>SUM(C48:C51)</f>
        <v>3419</v>
      </c>
      <c r="D52" s="4">
        <f>SUM(D48:D51)</f>
        <v>79035.61</v>
      </c>
    </row>
    <row r="54" spans="2:4" x14ac:dyDescent="0.3">
      <c r="B54" s="27" t="s">
        <v>11</v>
      </c>
      <c r="C54" s="27"/>
      <c r="D54" s="27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1426</v>
      </c>
      <c r="D56" s="25">
        <v>55648</v>
      </c>
    </row>
    <row r="57" spans="2:4" x14ac:dyDescent="0.3">
      <c r="B57" s="10" t="s">
        <v>8</v>
      </c>
      <c r="C57" s="8">
        <f>SUM(C56:C56)</f>
        <v>1426</v>
      </c>
      <c r="D57" s="4">
        <f>SUM(D56:D56)</f>
        <v>55648</v>
      </c>
    </row>
    <row r="59" spans="2:4" x14ac:dyDescent="0.3">
      <c r="B59" s="12" t="s">
        <v>13</v>
      </c>
      <c r="C59" s="13">
        <f>SUMIF(B:B, "Total general", C:C)</f>
        <v>84126</v>
      </c>
      <c r="D59" s="13">
        <f>SUMIF(B:B, "Total general", D:D)</f>
        <v>3349915.0399999996</v>
      </c>
    </row>
  </sheetData>
  <mergeCells count="7">
    <mergeCell ref="B54:D54"/>
    <mergeCell ref="B38:D38"/>
    <mergeCell ref="B21:D21"/>
    <mergeCell ref="B46:D46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zoomScaleNormal="100" workbookViewId="0">
      <selection activeCell="B9" sqref="B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10343</v>
      </c>
      <c r="D5" s="25">
        <v>158275.63000000003</v>
      </c>
    </row>
    <row r="6" spans="2:8" x14ac:dyDescent="0.3">
      <c r="B6" s="1" t="s">
        <v>5</v>
      </c>
      <c r="C6" s="6">
        <v>5735</v>
      </c>
      <c r="D6" s="25">
        <v>60646.95</v>
      </c>
    </row>
    <row r="7" spans="2:8" x14ac:dyDescent="0.3">
      <c r="B7" s="1" t="s">
        <v>6</v>
      </c>
      <c r="C7" s="6">
        <v>8946</v>
      </c>
      <c r="D7" s="25">
        <v>15761.08</v>
      </c>
    </row>
    <row r="8" spans="2:8" x14ac:dyDescent="0.3">
      <c r="B8" s="5" t="s">
        <v>12</v>
      </c>
      <c r="C8" s="7">
        <v>2739</v>
      </c>
      <c r="D8" s="25">
        <v>1177</v>
      </c>
    </row>
    <row r="9" spans="2:8" x14ac:dyDescent="0.3">
      <c r="B9" s="1" t="s">
        <v>7</v>
      </c>
      <c r="C9" s="6">
        <v>100295</v>
      </c>
      <c r="D9" s="25">
        <v>53637</v>
      </c>
      <c r="E9" s="14"/>
      <c r="F9" s="7"/>
    </row>
    <row r="10" spans="2:8" x14ac:dyDescent="0.3">
      <c r="B10" s="3" t="s">
        <v>8</v>
      </c>
      <c r="C10" s="8">
        <f>SUM(C5:C9)</f>
        <v>128058</v>
      </c>
      <c r="D10" s="4">
        <f>SUM(D5:D9)</f>
        <v>289497.66000000003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6">
        <v>803</v>
      </c>
      <c r="D14" s="25">
        <v>17793.559999999998</v>
      </c>
    </row>
    <row r="15" spans="2:8" x14ac:dyDescent="0.3">
      <c r="B15" s="1" t="s">
        <v>5</v>
      </c>
      <c r="C15" s="6">
        <v>696</v>
      </c>
      <c r="D15" s="25">
        <v>15846</v>
      </c>
    </row>
    <row r="16" spans="2:8" x14ac:dyDescent="0.3">
      <c r="B16" s="1" t="s">
        <v>6</v>
      </c>
      <c r="C16" s="6">
        <v>1002</v>
      </c>
      <c r="D16" s="25">
        <v>7087</v>
      </c>
    </row>
    <row r="17" spans="2:4" x14ac:dyDescent="0.3">
      <c r="B17" s="1" t="s">
        <v>7</v>
      </c>
      <c r="C17" s="6">
        <v>418</v>
      </c>
      <c r="D17" s="25">
        <v>4725</v>
      </c>
    </row>
    <row r="18" spans="2:4" x14ac:dyDescent="0.3">
      <c r="B18" s="3" t="s">
        <v>8</v>
      </c>
      <c r="C18" s="8">
        <f>SUM(C14:C17)</f>
        <v>2919</v>
      </c>
      <c r="D18" s="4">
        <f>SUM(D14:D17)</f>
        <v>45451.56</v>
      </c>
    </row>
    <row r="20" spans="2:4" x14ac:dyDescent="0.3">
      <c r="B20" s="12" t="s">
        <v>13</v>
      </c>
      <c r="C20" s="13">
        <f>SUMIF(B:B, "Total general", C:C)</f>
        <v>130977</v>
      </c>
      <c r="D20" s="13">
        <f>SUMIF(B:B, "Total general", D:D)</f>
        <v>334949.22000000003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11053</v>
      </c>
      <c r="E6" s="16">
        <f>SUMIF('REPORTE DIARIO'!B:B,'EPR 26 JUN'!C6, 'REPORTE DIARIO'!D:D)</f>
        <v>1445924.11</v>
      </c>
      <c r="F6" s="16">
        <f>J6*D6</f>
        <v>694760</v>
      </c>
      <c r="G6" s="16">
        <f>+E6-F6</f>
        <v>751164.1100000001</v>
      </c>
      <c r="H6" s="15">
        <f>ABS(G6/F6)</f>
        <v>1.0811850279233117</v>
      </c>
      <c r="I6" s="16">
        <f>E6/D6</f>
        <v>130.81734461232244</v>
      </c>
      <c r="J6" s="16">
        <f>(220/7)*2</f>
        <v>62.857142857142854</v>
      </c>
      <c r="K6" s="16">
        <f>+I6-J6</f>
        <v>67.960201755179583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5936</v>
      </c>
      <c r="E7" s="16">
        <f>SUMIF('REPORTE DIARIO'!B:B,'EPR 26 JUN'!C7, 'REPORTE DIARIO'!D:D)</f>
        <v>563908.24</v>
      </c>
      <c r="F7" s="16">
        <f>J7*D7</f>
        <v>186560</v>
      </c>
      <c r="G7" s="16">
        <f>+E7-F7</f>
        <v>377348.24</v>
      </c>
      <c r="H7" s="15">
        <f>ABS(G7/F7)</f>
        <v>2.0226642367066896</v>
      </c>
      <c r="I7" s="16">
        <f>E7/D7</f>
        <v>94.998018867924529</v>
      </c>
      <c r="J7" s="16">
        <f>(110/7)*2</f>
        <v>31.428571428571427</v>
      </c>
      <c r="K7" s="16">
        <f t="shared" ref="K7:K9" si="0">+I7-J7</f>
        <v>63.569447439353098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12724</v>
      </c>
      <c r="E8" s="16">
        <f>SUMIF('REPORTE DIARIO'!B:B,'EPR 26 JUN'!C8, 'REPORTE DIARIO'!D:D)</f>
        <v>696530.33</v>
      </c>
      <c r="F8" s="16">
        <f>J8*D8</f>
        <v>163594.28571428571</v>
      </c>
      <c r="G8" s="16">
        <f>+E8-F8</f>
        <v>532936.04428571428</v>
      </c>
      <c r="H8" s="15">
        <f>ABS(G8/F8)</f>
        <v>3.2576690680778233</v>
      </c>
      <c r="I8" s="16">
        <f>E8/D8</f>
        <v>54.741459446714863</v>
      </c>
      <c r="J8" s="16">
        <f>(45/7)*2</f>
        <v>12.857142857142858</v>
      </c>
      <c r="K8" s="16">
        <f t="shared" si="0"/>
        <v>41.884316589572009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54401</v>
      </c>
      <c r="E9" s="16">
        <f>SUMIF('REPORTE DIARIO'!B:B,'EPR 26 JUN'!C9, 'REPORTE DIARIO'!D:D)</f>
        <v>643552.36</v>
      </c>
      <c r="F9" s="16">
        <f>J9*D9</f>
        <v>233147.14285714284</v>
      </c>
      <c r="G9" s="16">
        <f>+E9-F9</f>
        <v>410405.21714285715</v>
      </c>
      <c r="H9" s="15">
        <f>ABS(G9/F9)</f>
        <v>1.7602841369337574</v>
      </c>
      <c r="I9" s="16">
        <f>E9/D9</f>
        <v>11.829789158287531</v>
      </c>
      <c r="J9" s="16">
        <f>(15/7)*2</f>
        <v>4.2857142857142856</v>
      </c>
      <c r="K9" s="16">
        <f t="shared" si="0"/>
        <v>7.5440748725732449</v>
      </c>
    </row>
    <row r="10" spans="2:12" x14ac:dyDescent="0.3">
      <c r="B10" s="16"/>
      <c r="C10" s="19" t="s">
        <v>17</v>
      </c>
      <c r="D10" s="24">
        <f>SUM(D6:D9)</f>
        <v>84114</v>
      </c>
      <c r="E10" s="20">
        <f>SUM(E6:E9)</f>
        <v>3349915.04</v>
      </c>
      <c r="F10" s="20">
        <f>SUM(F6:F9)</f>
        <v>1278061.4285714286</v>
      </c>
      <c r="G10" s="20">
        <f>+E10-F10</f>
        <v>2071853.6114285714</v>
      </c>
      <c r="H10" s="21">
        <f>ABS(G10/F10)</f>
        <v>1.6210907904046641</v>
      </c>
      <c r="I10" s="20">
        <f>E10/D10</f>
        <v>39.825891528164156</v>
      </c>
      <c r="J10" s="20">
        <f>F10/D10</f>
        <v>15.194396040747423</v>
      </c>
      <c r="K10" s="20">
        <f>I10-J10</f>
        <v>24.631495487416736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2025-08-02T22:21:06Z</cp:lastPrinted>
  <dcterms:created xsi:type="dcterms:W3CDTF">2025-01-27T15:11:28Z</dcterms:created>
  <dcterms:modified xsi:type="dcterms:W3CDTF">2025-08-02T22:21:08Z</dcterms:modified>
</cp:coreProperties>
</file>