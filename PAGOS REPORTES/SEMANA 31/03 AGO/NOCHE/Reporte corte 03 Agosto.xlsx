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3 AGO\NOCHE\"/>
    </mc:Choice>
  </mc:AlternateContent>
  <xr:revisionPtr revIDLastSave="0" documentId="8_{D70949A5-E7EA-47B3-A46F-DA5500B29B8B}" xr6:coauthVersionLast="47" xr6:coauthVersionMax="47" xr10:uidLastSave="{00000000-0000-0000-0000-000000000000}"/>
  <bookViews>
    <workbookView xWindow="-120" yWindow="-120" windowWidth="51840" windowHeight="21120" xr2:uid="{80E550A2-AA8C-43C7-9F0C-977A84DD2DE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<sst xmlns="http://schemas.openxmlformats.org/spreadsheetml/2006/main" count="110" uniqueCount="19">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</sst>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469B-A02E-4B4B-A91F-9C4B51989D09}">
  <dimension ref="B2:D52"/>
  <sheetViews>
    <sheetView tabSelected="1" workbookViewId="0">
      <selection activeCell="B2" sqref="B2:D5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132012.66999999998</v>
      </c>
    </row>
    <row r="5" spans="2:4" x14ac:dyDescent="0.25">
      <c r="B5" s="2" t="s">
        <v>2</v>
      </c>
      <c r="C5" s="3">
        <v>64718.71</v>
      </c>
    </row>
    <row r="6" spans="2:4" x14ac:dyDescent="0.25">
      <c r="B6" s="2" t="s">
        <v>3</v>
      </c>
      <c r="C6" s="3">
        <v>59976</v>
      </c>
    </row>
    <row r="7" spans="2:4" ht="15.75" thickBot="1" x14ac:dyDescent="0.3">
      <c r="B7" s="2" t="s">
        <v>4</v>
      </c>
      <c r="C7" s="3">
        <v>64788</v>
      </c>
      <c r="D7" s="1" t="s">
        <v>13</v>
      </c>
    </row>
    <row r="8" spans="2:4" ht="15.75" thickTop="1" x14ac:dyDescent="0.25">
      <c r="B8" s="4" t="s">
        <v>5</v>
      </c>
      <c r="C8" s="5">
        <v>321495.38</v>
      </c>
      <c r="D8" s="5">
        <f>SUMIF(B:B, "Total general", C:C)</f>
        <v>524004.5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25848</v>
      </c>
    </row>
    <row r="13" spans="2:4" x14ac:dyDescent="0.25">
      <c r="B13" s="2" t="s">
        <v>2</v>
      </c>
      <c r="C13" s="3">
        <v>3993.68</v>
      </c>
    </row>
    <row r="14" spans="2:4" x14ac:dyDescent="0.25">
      <c r="B14" s="2" t="s">
        <v>3</v>
      </c>
      <c r="C14" s="3">
        <v>24454</v>
      </c>
    </row>
    <row r="15" spans="2:4" ht="15.75" thickBot="1" x14ac:dyDescent="0.3">
      <c r="B15" s="2" t="s">
        <v>4</v>
      </c>
      <c r="C15" s="3">
        <v>14799</v>
      </c>
    </row>
    <row r="16" spans="2:4" ht="15.75" thickTop="1" x14ac:dyDescent="0.25">
      <c r="B16" s="4" t="s">
        <v>5</v>
      </c>
      <c r="C16" s="5">
        <v>69094.679999999993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19305.680000000004</v>
      </c>
    </row>
    <row r="21" spans="2:3" x14ac:dyDescent="0.25">
      <c r="B21" s="2" t="s">
        <v>2</v>
      </c>
      <c r="C21" s="3">
        <v>9117</v>
      </c>
    </row>
    <row r="22" spans="2:3" x14ac:dyDescent="0.25">
      <c r="B22" s="2" t="s">
        <v>3</v>
      </c>
      <c r="C22" s="3">
        <v>6539</v>
      </c>
    </row>
    <row r="23" spans="2:3" ht="15.75" thickBot="1" x14ac:dyDescent="0.3">
      <c r="B23" s="2" t="s">
        <v>4</v>
      </c>
      <c r="C23" s="3">
        <v>25971</v>
      </c>
    </row>
    <row r="24" spans="2:3" ht="15.75" thickTop="1" x14ac:dyDescent="0.25">
      <c r="B24" s="4" t="s">
        <v>5</v>
      </c>
      <c r="C24" s="5">
        <v>60932.680000000008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18327</v>
      </c>
    </row>
    <row r="29" spans="2:3" x14ac:dyDescent="0.25">
      <c r="B29" s="2" t="s">
        <v>2</v>
      </c>
      <c r="C29" s="3">
        <v>2749</v>
      </c>
    </row>
    <row r="30" spans="2:3" x14ac:dyDescent="0.25">
      <c r="B30" s="2" t="s">
        <v>3</v>
      </c>
      <c r="C30" s="3">
        <v>7053</v>
      </c>
    </row>
    <row r="31" spans="2:3" ht="15.75" thickBot="1" x14ac:dyDescent="0.3">
      <c r="B31" s="2" t="s">
        <v>4</v>
      </c>
      <c r="C31" s="3">
        <v>500</v>
      </c>
    </row>
    <row r="32" spans="2:3" ht="15.75" thickTop="1" x14ac:dyDescent="0.25">
      <c r="B32" s="4" t="s">
        <v>5</v>
      </c>
      <c r="C32" s="5">
        <v>28629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9962.24</v>
      </c>
    </row>
    <row r="37" spans="2:3" x14ac:dyDescent="0.25">
      <c r="B37" s="2" t="s">
        <v>2</v>
      </c>
      <c r="C37" s="3">
        <v>2800</v>
      </c>
    </row>
    <row r="38" spans="2:3" x14ac:dyDescent="0.25">
      <c r="B38" s="2" t="s">
        <v>3</v>
      </c>
      <c r="C38" s="3">
        <v>9972.52</v>
      </c>
    </row>
    <row r="39" spans="2:3" ht="15.75" thickBot="1" x14ac:dyDescent="0.3">
      <c r="B39" s="2" t="s">
        <v>4</v>
      </c>
      <c r="C39" s="3">
        <v>950</v>
      </c>
    </row>
    <row r="40" spans="2:3" ht="15.75" thickTop="1" x14ac:dyDescent="0.25">
      <c r="B40" s="4" t="s">
        <v>5</v>
      </c>
      <c r="C40" s="5">
        <v>23684.760000000002</v>
      </c>
    </row>
    <row r="42" spans="2:3" x14ac:dyDescent="0.25">
      <c r="B42" s="6" t="s">
        <v>9</v>
      </c>
      <c r="C42" s="6"/>
    </row>
    <row r="43" spans="2:3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13686</v>
      </c>
    </row>
    <row r="45" spans="2:3" x14ac:dyDescent="0.25">
      <c r="B45" s="2" t="s">
        <v>3</v>
      </c>
      <c r="C45" s="3">
        <v>318</v>
      </c>
    </row>
    <row r="46" spans="2:3" ht="15.75" thickBot="1" x14ac:dyDescent="0.3">
      <c r="B46" s="2" t="s">
        <v>4</v>
      </c>
      <c r="C46" s="3">
        <v>1184</v>
      </c>
    </row>
    <row r="47" spans="2:3" ht="15.75" thickTop="1" x14ac:dyDescent="0.25">
      <c r="B47" s="4" t="s">
        <v>5</v>
      </c>
      <c r="C47" s="5">
        <v>15188</v>
      </c>
    </row>
    <row r="49" spans="2:3" x14ac:dyDescent="0.25">
      <c r="B49" s="6" t="s">
        <v>10</v>
      </c>
      <c r="C49" s="6"/>
    </row>
    <row r="50" spans="2:3" x14ac:dyDescent="0.25">
      <c r="B50" s="1" t="s">
        <v>14</v>
      </c>
      <c r="C50" s="1" t="s">
        <v>0</v>
      </c>
    </row>
    <row r="51" spans="2:3" ht="15.75" thickBot="1" x14ac:dyDescent="0.3">
      <c r="B51" s="2" t="s">
        <v>1</v>
      </c>
      <c r="C51" s="3">
        <v>4980</v>
      </c>
    </row>
    <row r="52" spans="2:3" ht="15.75" thickTop="1" x14ac:dyDescent="0.25">
      <c r="B52" s="4" t="s">
        <v>5</v>
      </c>
      <c r="C52" s="5">
        <v>4980</v>
      </c>
    </row>
  </sheetData>
  <mergeCells count="7">
    <mergeCell ref="B26:C26"/>
    <mergeCell ref="B2:C2"/>
    <mergeCell ref="B10:C10"/>
    <mergeCell ref="B18:C18"/>
    <mergeCell ref="B42:C42"/>
    <mergeCell ref="B49:C49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330B-7E68-4759-B382-C9A669BFC3D9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43806.44</v>
      </c>
      <c r="D4" s="7"/>
    </row>
    <row r="5" spans="2:4" ht="15.75" thickBot="1" x14ac:dyDescent="0.3">
      <c r="B5" s="2" t="s">
        <v>16</v>
      </c>
      <c r="C5" s="3">
        <v>277688.94</v>
      </c>
      <c r="D5" s="1" t="s">
        <v>13</v>
      </c>
    </row>
    <row r="6" spans="2:4" ht="15.75" thickTop="1" x14ac:dyDescent="0.25">
      <c r="B6" s="4" t="s">
        <v>5</v>
      </c>
      <c r="C6" s="5">
        <v>321495.38</v>
      </c>
      <c r="D6" s="5">
        <f>SUMIF(B:B, "Total general", C:C)</f>
        <v>524004.5</v>
      </c>
    </row>
    <row r="8" spans="2:4" x14ac:dyDescent="0.25">
      <c r="B8" s="6" t="s">
        <v>7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27127</v>
      </c>
      <c r="D10" s="7"/>
    </row>
    <row r="11" spans="2:4" ht="15.75" thickBot="1" x14ac:dyDescent="0.3">
      <c r="B11" s="2" t="s">
        <v>16</v>
      </c>
      <c r="C11" s="3">
        <v>41967.68</v>
      </c>
    </row>
    <row r="12" spans="2:4" ht="15.75" thickTop="1" x14ac:dyDescent="0.25">
      <c r="B12" s="4" t="s">
        <v>5</v>
      </c>
      <c r="C12" s="5">
        <v>69094.679999999993</v>
      </c>
    </row>
    <row r="14" spans="2:4" x14ac:dyDescent="0.25">
      <c r="B14" s="6" t="s">
        <v>8</v>
      </c>
      <c r="C14" s="6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60932.68</v>
      </c>
    </row>
    <row r="17" spans="2:4" ht="15.75" thickTop="1" x14ac:dyDescent="0.25">
      <c r="B17" s="4" t="s">
        <v>5</v>
      </c>
      <c r="C17" s="5">
        <v>60932.68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28629</v>
      </c>
    </row>
    <row r="22" spans="2:4" ht="15.75" thickTop="1" x14ac:dyDescent="0.25">
      <c r="B22" s="4" t="s">
        <v>5</v>
      </c>
      <c r="C22" s="5">
        <v>28629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16990.760000000002</v>
      </c>
      <c r="D26" s="7"/>
    </row>
    <row r="27" spans="2:4" ht="15.75" thickBot="1" x14ac:dyDescent="0.3">
      <c r="B27" s="2" t="s">
        <v>16</v>
      </c>
      <c r="C27" s="3">
        <v>6694</v>
      </c>
    </row>
    <row r="28" spans="2:4" ht="15.75" thickTop="1" x14ac:dyDescent="0.25">
      <c r="B28" s="4" t="s">
        <v>5</v>
      </c>
      <c r="C28" s="5">
        <v>23684.760000000002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2680</v>
      </c>
    </row>
    <row r="33" spans="2:4" ht="15.75" thickBot="1" x14ac:dyDescent="0.3">
      <c r="B33" s="2" t="s">
        <v>16</v>
      </c>
      <c r="C33" s="3">
        <v>12508</v>
      </c>
    </row>
    <row r="34" spans="2:4" ht="15.75" thickTop="1" x14ac:dyDescent="0.25">
      <c r="B34" s="4" t="s">
        <v>5</v>
      </c>
      <c r="C34" s="5">
        <v>15188</v>
      </c>
    </row>
    <row r="36" spans="2:4" x14ac:dyDescent="0.25">
      <c r="B36" s="6" t="s">
        <v>10</v>
      </c>
      <c r="C36" s="6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4980</v>
      </c>
      <c r="D38" s="7"/>
    </row>
    <row r="39" spans="2:4" ht="15.75" thickTop="1" x14ac:dyDescent="0.25">
      <c r="B39" s="4" t="s">
        <v>5</v>
      </c>
      <c r="C39" s="5">
        <v>4980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2020-4588-4841-A538-D418347A6364}">
  <dimension ref="B2:D16"/>
  <sheetViews>
    <sheetView workbookViewId="0">
      <selection activeCell="B3" sqref="B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18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51380.83</v>
      </c>
    </row>
    <row r="5" spans="2:4" x14ac:dyDescent="0.25">
      <c r="B5" s="2" t="s">
        <v>2</v>
      </c>
      <c r="C5" s="3">
        <v>7098</v>
      </c>
    </row>
    <row r="6" spans="2:4" x14ac:dyDescent="0.25">
      <c r="B6" s="2" t="s">
        <v>3</v>
      </c>
      <c r="C6" s="3">
        <v>8468.5</v>
      </c>
    </row>
    <row r="7" spans="2:4" ht="15.75" thickBot="1" x14ac:dyDescent="0.3">
      <c r="B7" s="2" t="s">
        <v>4</v>
      </c>
      <c r="C7" s="3">
        <v>4122</v>
      </c>
      <c r="D7" s="1" t="s">
        <v>13</v>
      </c>
    </row>
    <row r="8" spans="2:4" ht="15.75" thickTop="1" x14ac:dyDescent="0.25">
      <c r="B8" s="4" t="s">
        <v>5</v>
      </c>
      <c r="C8" s="5">
        <v>71069.33</v>
      </c>
      <c r="D8" s="5">
        <f>SUMIF(B:B, "Total general", C:C)</f>
        <v>94754.09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9962.24</v>
      </c>
    </row>
    <row r="13" spans="2:4" x14ac:dyDescent="0.25">
      <c r="B13" s="2" t="s">
        <v>2</v>
      </c>
      <c r="C13" s="3">
        <v>2800</v>
      </c>
    </row>
    <row r="14" spans="2:4" x14ac:dyDescent="0.25">
      <c r="B14" s="2" t="s">
        <v>3</v>
      </c>
      <c r="C14" s="3">
        <v>9972.52</v>
      </c>
    </row>
    <row r="15" spans="2:4" ht="15.75" thickBot="1" x14ac:dyDescent="0.3">
      <c r="B15" s="2" t="s">
        <v>4</v>
      </c>
      <c r="C15" s="3">
        <v>950</v>
      </c>
    </row>
    <row r="16" spans="2:4" ht="15.75" thickTop="1" x14ac:dyDescent="0.25">
      <c r="B16" s="4" t="s">
        <v>5</v>
      </c>
      <c r="C16" s="5">
        <v>23684.760000000002</v>
      </c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2025-08-04T03:32:40Z</dcterms:created>
  <dcterms:modified xsi:type="dcterms:W3CDTF">2025-08-04T03:38:08Z</dcterms:modified>
</cp:coreProperties>
</file>