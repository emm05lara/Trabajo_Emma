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3 AGO\NOCHE\"/>
    </mc:Choice>
  </mc:AlternateContent>
  <xr:revisionPtr revIDLastSave="0" documentId="13_ncr:1_{5173A001-716C-4400-B19E-941247592FE7}" xr6:coauthVersionLast="47" xr6:coauthVersionMax="47" xr10:uidLastSave="{00000000-0000-0000-0000-000000000000}"/>
  <bookViews>
    <workbookView xWindow="18225" yWindow="483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52" i="1"/>
  <c r="C20" i="5" l="1"/>
  <c r="C19" i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<sst xmlns="http://schemas.openxmlformats.org/spreadsheetml/2006/main" count="110" uniqueCount="38">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</sst>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C40" sqref="C40: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4471</v>
      </c>
      <c r="D5" s="25">
        <v>974179.18999999983</v>
      </c>
    </row>
    <row r="6" spans="2:8" x14ac:dyDescent="0.25">
      <c r="B6" s="1" t="s">
        <v>5</v>
      </c>
      <c r="C6" s="6">
        <v>3684</v>
      </c>
      <c r="D6" s="25">
        <v>437716.44</v>
      </c>
    </row>
    <row r="7" spans="2:8" x14ac:dyDescent="0.25">
      <c r="B7" s="1" t="s">
        <v>6</v>
      </c>
      <c r="C7" s="6">
        <v>6486</v>
      </c>
      <c r="D7" s="25">
        <v>613628.23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21044</v>
      </c>
      <c r="D9" s="25">
        <v>588584.19999999995</v>
      </c>
      <c r="E9" s="14"/>
      <c r="F9" s="7"/>
    </row>
    <row r="10" spans="2:8" x14ac:dyDescent="0.25">
      <c r="B10" s="3" t="s">
        <v>8</v>
      </c>
      <c r="C10" s="8">
        <f>SUM(C5:C9)</f>
        <v>35696</v>
      </c>
      <c r="D10" s="4">
        <f>SUM(D5:D9)</f>
        <v>2614108.0599999996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1974</v>
      </c>
      <c r="D14" s="25">
        <v>233504.16999999998</v>
      </c>
    </row>
    <row r="15" spans="2:8" x14ac:dyDescent="0.25">
      <c r="B15" s="1" t="s">
        <v>5</v>
      </c>
      <c r="C15" s="6">
        <v>1336</v>
      </c>
      <c r="D15" s="25">
        <v>50271.85</v>
      </c>
    </row>
    <row r="16" spans="2:8" x14ac:dyDescent="0.25">
      <c r="B16" s="1" t="s">
        <v>6</v>
      </c>
      <c r="C16" s="6">
        <v>3541</v>
      </c>
      <c r="D16" s="25">
        <v>122300.12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18125</v>
      </c>
      <c r="D18" s="25">
        <v>109466.36000000002</v>
      </c>
    </row>
    <row r="19" spans="2:4" x14ac:dyDescent="0.25">
      <c r="B19" s="3" t="s">
        <v>8</v>
      </c>
      <c r="C19" s="8">
        <f>SUM(C14:C18)</f>
        <v>24976</v>
      </c>
      <c r="D19" s="4">
        <f>SUM(D14:D18)</f>
        <v>515542.5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2110</v>
      </c>
      <c r="D23" s="25">
        <v>309004.36000000004</v>
      </c>
    </row>
    <row r="24" spans="2:4" x14ac:dyDescent="0.25">
      <c r="B24" s="9" t="s">
        <v>5</v>
      </c>
      <c r="C24" s="6">
        <v>345</v>
      </c>
      <c r="D24" s="25">
        <v>38162.119999999995</v>
      </c>
    </row>
    <row r="25" spans="2:4" x14ac:dyDescent="0.25">
      <c r="B25" s="9" t="s">
        <v>6</v>
      </c>
      <c r="C25" s="6">
        <v>1296</v>
      </c>
      <c r="D25" s="25">
        <v>61472.959999999999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12062</v>
      </c>
      <c r="D27" s="25">
        <v>91234.26</v>
      </c>
    </row>
    <row r="28" spans="2:4" x14ac:dyDescent="0.25">
      <c r="B28" s="10" t="s">
        <v>8</v>
      </c>
      <c r="C28" s="8">
        <f>SUM(C23:C27)</f>
        <v>15814</v>
      </c>
      <c r="D28" s="4">
        <f>SUM(D23:D27)</f>
        <v>499873.70000000007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495</v>
      </c>
      <c r="D32" s="25">
        <v>172458.33</v>
      </c>
    </row>
    <row r="33" spans="2:4" x14ac:dyDescent="0.25">
      <c r="B33" s="9" t="s">
        <v>5</v>
      </c>
      <c r="C33" s="6">
        <v>337</v>
      </c>
      <c r="D33" s="25">
        <v>103288.89</v>
      </c>
    </row>
    <row r="34" spans="2:4" x14ac:dyDescent="0.25">
      <c r="B34" s="9" t="s">
        <v>6</v>
      </c>
      <c r="C34" s="6">
        <v>272</v>
      </c>
      <c r="D34" s="25">
        <v>64155.8</v>
      </c>
    </row>
    <row r="35" spans="2:4" x14ac:dyDescent="0.25">
      <c r="B35" s="9" t="s">
        <v>7</v>
      </c>
      <c r="C35" s="6">
        <v>598</v>
      </c>
      <c r="D35" s="25">
        <v>11991</v>
      </c>
    </row>
    <row r="36" spans="2:4" x14ac:dyDescent="0.25">
      <c r="B36" s="10" t="s">
        <v>8</v>
      </c>
      <c r="C36" s="8">
        <f>SUM(C32:C35)</f>
        <v>1702</v>
      </c>
      <c r="D36" s="4">
        <f>SUM(D32:D35)</f>
        <v>351894.01999999996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797</v>
      </c>
      <c r="D40" s="25">
        <v>46745.16</v>
      </c>
    </row>
    <row r="41" spans="2:4" x14ac:dyDescent="0.25">
      <c r="B41" s="1" t="s">
        <v>5</v>
      </c>
      <c r="C41" s="6">
        <v>694</v>
      </c>
      <c r="D41" s="25">
        <v>63663.05</v>
      </c>
    </row>
    <row r="42" spans="2:4" x14ac:dyDescent="0.25">
      <c r="B42" s="1" t="s">
        <v>6</v>
      </c>
      <c r="C42" s="6">
        <v>1002</v>
      </c>
      <c r="D42" s="25">
        <v>26424.52</v>
      </c>
    </row>
    <row r="43" spans="2:4" x14ac:dyDescent="0.25">
      <c r="B43" s="1" t="s">
        <v>7</v>
      </c>
      <c r="C43" s="6">
        <v>418</v>
      </c>
      <c r="D43" s="25">
        <v>6525</v>
      </c>
    </row>
    <row r="44" spans="2:4" x14ac:dyDescent="0.25">
      <c r="B44" s="3" t="s">
        <v>8</v>
      </c>
      <c r="C44" s="8">
        <f>SUM(C40:C43)</f>
        <v>2911</v>
      </c>
      <c r="D44" s="4">
        <f>SUM(D40:D43)</f>
        <v>143357.73000000001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579</v>
      </c>
      <c r="D48" s="25">
        <v>81048.19</v>
      </c>
    </row>
    <row r="49" spans="2:4" x14ac:dyDescent="0.25">
      <c r="B49" s="1" t="s">
        <v>5</v>
      </c>
      <c r="C49" s="6">
        <v>6</v>
      </c>
      <c r="D49" s="25">
        <v>1926</v>
      </c>
    </row>
    <row r="50" spans="2:4" x14ac:dyDescent="0.25">
      <c r="B50" s="1" t="s">
        <v>6</v>
      </c>
      <c r="C50" s="6">
        <v>532</v>
      </c>
      <c r="D50" s="25">
        <v>5011</v>
      </c>
    </row>
    <row r="51" spans="2:4" x14ac:dyDescent="0.25">
      <c r="B51" s="1" t="s">
        <v>7</v>
      </c>
      <c r="C51" s="6">
        <v>2295</v>
      </c>
      <c r="D51" s="25">
        <v>10291.42</v>
      </c>
    </row>
    <row r="52" spans="2:4" x14ac:dyDescent="0.25">
      <c r="B52" s="3" t="s">
        <v>8</v>
      </c>
      <c r="C52" s="8">
        <f>SUM(C48:C51)</f>
        <v>3412</v>
      </c>
      <c r="D52" s="4">
        <f>SUM(D48:D51)</f>
        <v>98276.61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1324</v>
      </c>
      <c r="D56" s="25">
        <v>66480</v>
      </c>
    </row>
    <row r="57" spans="2:4" x14ac:dyDescent="0.25">
      <c r="B57" s="10" t="s">
        <v>8</v>
      </c>
      <c r="C57" s="8">
        <f>SUM(C56:C56)</f>
        <v>1324</v>
      </c>
      <c r="D57" s="4">
        <f>SUM(D56:D56)</f>
        <v>66480</v>
      </c>
    </row>
    <row r="59" spans="2:4" x14ac:dyDescent="0.25">
      <c r="B59" s="12" t="s">
        <v>13</v>
      </c>
      <c r="C59" s="13">
        <f>SUMIF(B:B, "Total general", C:C)</f>
        <v>85835</v>
      </c>
      <c r="D59" s="13">
        <f>SUMIF(B:B, "Total general", D:D)</f>
        <v>4289532.62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3" sqref="B3:D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10805</v>
      </c>
      <c r="D5" s="25">
        <v>278621.49</v>
      </c>
    </row>
    <row r="6" spans="2:8" x14ac:dyDescent="0.25">
      <c r="B6" s="1" t="s">
        <v>5</v>
      </c>
      <c r="C6" s="6">
        <v>6588</v>
      </c>
      <c r="D6" s="25">
        <v>74609.95</v>
      </c>
    </row>
    <row r="7" spans="2:8" x14ac:dyDescent="0.25">
      <c r="B7" s="1" t="s">
        <v>6</v>
      </c>
      <c r="C7" s="6">
        <v>9377</v>
      </c>
      <c r="D7" s="25">
        <v>44773.32</v>
      </c>
    </row>
    <row r="8" spans="2:8" x14ac:dyDescent="0.25">
      <c r="B8" s="5" t="s">
        <v>12</v>
      </c>
      <c r="C8" s="7">
        <v>2739</v>
      </c>
      <c r="D8" s="25">
        <v>1177</v>
      </c>
    </row>
    <row r="9" spans="2:8" x14ac:dyDescent="0.25">
      <c r="B9" s="1" t="s">
        <v>7</v>
      </c>
      <c r="C9" s="6">
        <v>100472</v>
      </c>
      <c r="D9" s="25">
        <v>67415</v>
      </c>
      <c r="E9" s="14"/>
      <c r="F9" s="7"/>
    </row>
    <row r="10" spans="2:8" x14ac:dyDescent="0.25">
      <c r="B10" s="3" t="s">
        <v>8</v>
      </c>
      <c r="C10" s="8">
        <f>SUM(C5:C9)</f>
        <v>129981</v>
      </c>
      <c r="D10" s="4">
        <f>SUM(D5:D9)</f>
        <v>466596.76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797</v>
      </c>
      <c r="D14" s="25">
        <v>46745.16</v>
      </c>
    </row>
    <row r="15" spans="2:8" x14ac:dyDescent="0.25">
      <c r="B15" s="1" t="s">
        <v>5</v>
      </c>
      <c r="C15" s="6">
        <v>694</v>
      </c>
      <c r="D15" s="25">
        <v>63663.05</v>
      </c>
    </row>
    <row r="16" spans="2:8" x14ac:dyDescent="0.25">
      <c r="B16" s="1" t="s">
        <v>6</v>
      </c>
      <c r="C16" s="6">
        <v>1002</v>
      </c>
      <c r="D16" s="25">
        <v>26424.52</v>
      </c>
    </row>
    <row r="17" spans="2:4" x14ac:dyDescent="0.25">
      <c r="B17" s="1" t="s">
        <v>7</v>
      </c>
      <c r="C17" s="6">
        <v>418</v>
      </c>
      <c r="D17" s="25">
        <v>6525</v>
      </c>
    </row>
    <row r="18" spans="2:4" x14ac:dyDescent="0.25">
      <c r="B18" s="3" t="s">
        <v>8</v>
      </c>
      <c r="C18" s="8">
        <f>SUM(C14:C17)</f>
        <v>2911</v>
      </c>
      <c r="D18" s="4">
        <f>SUM(D14:D17)</f>
        <v>143357.73000000001</v>
      </c>
    </row>
    <row r="20" spans="2:4" x14ac:dyDescent="0.25">
      <c r="B20" s="12" t="s">
        <v>13</v>
      </c>
      <c r="C20" s="13">
        <f>SUMIF(B:B, "Total general", C:C)</f>
        <v>132892</v>
      </c>
      <c r="D20" s="13">
        <f>SUMIF(B:B, "Total general", D:D)</f>
        <v>609954.49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11750</v>
      </c>
      <c r="E6" s="16">
        <f>SUMIF('REPORTE DIARIO'!B:B,'EPR 26 JUN'!C6, 'REPORTE DIARIO'!D:D)</f>
        <v>1883419.4</v>
      </c>
      <c r="F6" s="16">
        <f>J6*D6</f>
        <v>738571.42857142852</v>
      </c>
      <c r="G6" s="16">
        <f>+E6-F6</f>
        <v>1144847.9714285713</v>
      </c>
      <c r="H6" s="15">
        <f>ABS(G6/F6)</f>
        <v>1.5500842940038684</v>
      </c>
      <c r="I6" s="16">
        <f>E6/D6</f>
        <v>160.29101276595745</v>
      </c>
      <c r="J6" s="16">
        <f>(220/7)*2</f>
        <v>62.857142857142854</v>
      </c>
      <c r="K6" s="16">
        <f>+I6-J6</f>
        <v>97.433869908814586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6402</v>
      </c>
      <c r="E7" s="16">
        <f>SUMIF('REPORTE DIARIO'!B:B,'EPR 26 JUN'!C7, 'REPORTE DIARIO'!D:D)</f>
        <v>695028.35</v>
      </c>
      <c r="F7" s="16">
        <f>J7*D7</f>
        <v>201205.71428571429</v>
      </c>
      <c r="G7" s="16">
        <f>+E7-F7</f>
        <v>493822.63571428566</v>
      </c>
      <c r="H7" s="15">
        <f>ABS(G7/F7)</f>
        <v>2.4543171523103573</v>
      </c>
      <c r="I7" s="16">
        <f>E7/D7</f>
        <v>108.56425335832552</v>
      </c>
      <c r="J7" s="16">
        <f>(110/7)*2</f>
        <v>31.428571428571427</v>
      </c>
      <c r="K7" s="16">
        <f t="shared" ref="K7:K9" si="0">+I7-J7</f>
        <v>77.135681929754085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13129</v>
      </c>
      <c r="E8" s="16">
        <f>SUMIF('REPORTE DIARIO'!B:B,'EPR 26 JUN'!C8, 'REPORTE DIARIO'!D:D)</f>
        <v>892992.63</v>
      </c>
      <c r="F8" s="16">
        <f>J8*D8</f>
        <v>168801.42857142858</v>
      </c>
      <c r="G8" s="16">
        <f>+E8-F8</f>
        <v>724191.20142857148</v>
      </c>
      <c r="H8" s="15">
        <f>ABS(G8/F8)</f>
        <v>4.2901959275903216</v>
      </c>
      <c r="I8" s="16">
        <f>E8/D8</f>
        <v>68.016804783304138</v>
      </c>
      <c r="J8" s="16">
        <f>(45/7)*2</f>
        <v>12.857142857142858</v>
      </c>
      <c r="K8" s="16">
        <f t="shared" si="0"/>
        <v>55.159661926161277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54542</v>
      </c>
      <c r="E9" s="16">
        <f>SUMIF('REPORTE DIARIO'!B:B,'EPR 26 JUN'!C9, 'REPORTE DIARIO'!D:D)</f>
        <v>818092.24</v>
      </c>
      <c r="F9" s="16">
        <f>J9*D9</f>
        <v>233751.42857142855</v>
      </c>
      <c r="G9" s="16">
        <f>+E9-F9</f>
        <v>584340.81142857147</v>
      </c>
      <c r="H9" s="15">
        <f>ABS(G9/F9)</f>
        <v>2.4998384608803006</v>
      </c>
      <c r="I9" s="16">
        <f>E9/D9</f>
        <v>14.999307689487001</v>
      </c>
      <c r="J9" s="16">
        <f>(15/7)*2</f>
        <v>4.2857142857142856</v>
      </c>
      <c r="K9" s="16">
        <f t="shared" si="0"/>
        <v>10.713593403772716</v>
      </c>
    </row>
    <row r="10" spans="2:12" x14ac:dyDescent="0.25">
      <c r="B10" s="16"/>
      <c r="C10" s="19" t="s">
        <v>17</v>
      </c>
      <c r="D10" s="24">
        <f>SUM(D6:D9)</f>
        <v>85823</v>
      </c>
      <c r="E10" s="20">
        <f>SUM(E6:E9)</f>
        <v>4289532.62</v>
      </c>
      <c r="F10" s="20">
        <f>SUM(F6:F9)</f>
        <v>1342330</v>
      </c>
      <c r="G10" s="20">
        <f>+E10-F10</f>
        <v>2947202.62</v>
      </c>
      <c r="H10" s="21">
        <f>ABS(G10/F10)</f>
        <v>2.1955872400974425</v>
      </c>
      <c r="I10" s="20">
        <f>E10/D10</f>
        <v>49.981154469081716</v>
      </c>
      <c r="J10" s="20">
        <f>F10/D10</f>
        <v>15.640679072043625</v>
      </c>
      <c r="K10" s="20">
        <f>I10-J10</f>
        <v>34.340475397038091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2025-08-02T22:21:06Z</cp:lastPrinted>
  <dcterms:created xsi:type="dcterms:W3CDTF">2025-01-27T15:11:28Z</dcterms:created>
  <dcterms:modified xsi:type="dcterms:W3CDTF">2025-08-04T03:47:29Z</dcterms:modified>
</cp:coreProperties>
</file>