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3 AGO\MAÑANA\"/>
    </mc:Choice>
  </mc:AlternateContent>
  <xr:revisionPtr revIDLastSave="0" documentId="13_ncr:1_{D263BFD6-A8FA-491D-8162-FA4329329364}" xr6:coauthVersionLast="47" xr6:coauthVersionMax="47" xr10:uidLastSave="{00000000-0000-0000-0000-000000000000}"/>
  <bookViews>
    <workbookView xWindow="14430" yWindow="1035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2" i="1"/>
  <c r="C20" i="5" l="1"/>
  <c r="C19" i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<sst xmlns="http://schemas.openxmlformats.org/spreadsheetml/2006/main" count="110" uniqueCount="38">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</sst>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37" zoomScaleNormal="100" workbookViewId="0">
      <selection activeCell="C40" sqref="C40: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3977</v>
      </c>
      <c r="D5" s="25">
        <v>854299.61999999988</v>
      </c>
    </row>
    <row r="6" spans="2:8" x14ac:dyDescent="0.25">
      <c r="B6" s="1" t="s">
        <v>5</v>
      </c>
      <c r="C6" s="6">
        <v>3079</v>
      </c>
      <c r="D6" s="25">
        <v>379959.73</v>
      </c>
    </row>
    <row r="7" spans="2:8" x14ac:dyDescent="0.25">
      <c r="B7" s="1" t="s">
        <v>6</v>
      </c>
      <c r="C7" s="6">
        <v>6066</v>
      </c>
      <c r="D7" s="25">
        <v>560553.23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20901</v>
      </c>
      <c r="D9" s="25">
        <v>533830.19999999995</v>
      </c>
      <c r="E9" s="14"/>
      <c r="F9" s="7"/>
    </row>
    <row r="10" spans="2:8" x14ac:dyDescent="0.25">
      <c r="B10" s="3" t="s">
        <v>8</v>
      </c>
      <c r="C10" s="8">
        <f>SUM(C5:C9)</f>
        <v>34034</v>
      </c>
      <c r="D10" s="4">
        <f>SUM(D5:D9)</f>
        <v>2328642.7799999998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1974</v>
      </c>
      <c r="D14" s="25">
        <v>210679.16999999998</v>
      </c>
    </row>
    <row r="15" spans="2:8" x14ac:dyDescent="0.25">
      <c r="B15" s="1" t="s">
        <v>5</v>
      </c>
      <c r="C15" s="6">
        <v>1336</v>
      </c>
      <c r="D15" s="25">
        <v>46912.17</v>
      </c>
    </row>
    <row r="16" spans="2:8" x14ac:dyDescent="0.25">
      <c r="B16" s="1" t="s">
        <v>6</v>
      </c>
      <c r="C16" s="6">
        <v>3541</v>
      </c>
      <c r="D16" s="25">
        <v>98502.12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18125</v>
      </c>
      <c r="D18" s="25">
        <v>97988.360000000015</v>
      </c>
    </row>
    <row r="19" spans="2:4" x14ac:dyDescent="0.25">
      <c r="B19" s="3" t="s">
        <v>8</v>
      </c>
      <c r="C19" s="8">
        <f>SUM(C14:C18)</f>
        <v>24976</v>
      </c>
      <c r="D19" s="4">
        <f>SUM(D14:D18)</f>
        <v>454081.81999999995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1665</v>
      </c>
      <c r="D23" s="25">
        <v>291077.68</v>
      </c>
    </row>
    <row r="24" spans="2:4" x14ac:dyDescent="0.25">
      <c r="B24" s="9" t="s">
        <v>5</v>
      </c>
      <c r="C24" s="6">
        <v>285</v>
      </c>
      <c r="D24" s="25">
        <v>29481.119999999999</v>
      </c>
    </row>
    <row r="25" spans="2:4" x14ac:dyDescent="0.25">
      <c r="B25" s="9" t="s">
        <v>6</v>
      </c>
      <c r="C25" s="6">
        <v>1296</v>
      </c>
      <c r="D25" s="25">
        <v>56715.96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12057</v>
      </c>
      <c r="D27" s="25">
        <v>67734.259999999995</v>
      </c>
    </row>
    <row r="28" spans="2:4" x14ac:dyDescent="0.25">
      <c r="B28" s="10" t="s">
        <v>8</v>
      </c>
      <c r="C28" s="8">
        <f>SUM(C23:C27)</f>
        <v>15304</v>
      </c>
      <c r="D28" s="4">
        <f>SUM(D23:D27)</f>
        <v>445009.02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495</v>
      </c>
      <c r="D32" s="25">
        <v>159131.32999999999</v>
      </c>
    </row>
    <row r="33" spans="2:4" x14ac:dyDescent="0.25">
      <c r="B33" s="9" t="s">
        <v>5</v>
      </c>
      <c r="C33" s="6">
        <v>337</v>
      </c>
      <c r="D33" s="25">
        <v>100634.89</v>
      </c>
    </row>
    <row r="34" spans="2:4" x14ac:dyDescent="0.25">
      <c r="B34" s="9" t="s">
        <v>6</v>
      </c>
      <c r="C34" s="6">
        <v>269</v>
      </c>
      <c r="D34" s="25">
        <v>58204.800000000003</v>
      </c>
    </row>
    <row r="35" spans="2:4" x14ac:dyDescent="0.25">
      <c r="B35" s="9" t="s">
        <v>7</v>
      </c>
      <c r="C35" s="6">
        <v>598</v>
      </c>
      <c r="D35" s="25">
        <v>11991</v>
      </c>
    </row>
    <row r="36" spans="2:4" x14ac:dyDescent="0.25">
      <c r="B36" s="10" t="s">
        <v>8</v>
      </c>
      <c r="C36" s="8">
        <f>SUM(C32:C35)</f>
        <v>1699</v>
      </c>
      <c r="D36" s="4">
        <f>SUM(D32:D35)</f>
        <v>329962.01999999996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796</v>
      </c>
      <c r="D40" s="25">
        <v>38045.920000000006</v>
      </c>
    </row>
    <row r="41" spans="2:4" x14ac:dyDescent="0.25">
      <c r="B41" s="1" t="s">
        <v>5</v>
      </c>
      <c r="C41" s="6">
        <v>694</v>
      </c>
      <c r="D41" s="25">
        <v>60863.05</v>
      </c>
    </row>
    <row r="42" spans="2:4" x14ac:dyDescent="0.25">
      <c r="B42" s="1" t="s">
        <v>6</v>
      </c>
      <c r="C42" s="6">
        <v>1002</v>
      </c>
      <c r="D42" s="25">
        <v>22736.52</v>
      </c>
    </row>
    <row r="43" spans="2:4" x14ac:dyDescent="0.25">
      <c r="B43" s="1" t="s">
        <v>7</v>
      </c>
      <c r="C43" s="6">
        <v>418</v>
      </c>
      <c r="D43" s="25">
        <v>5575</v>
      </c>
    </row>
    <row r="44" spans="2:4" x14ac:dyDescent="0.25">
      <c r="B44" s="3" t="s">
        <v>8</v>
      </c>
      <c r="C44" s="8">
        <f>SUM(C40:C43)</f>
        <v>2910</v>
      </c>
      <c r="D44" s="4">
        <f>SUM(D40:D43)</f>
        <v>127220.49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579</v>
      </c>
      <c r="D48" s="25">
        <v>70661.19</v>
      </c>
    </row>
    <row r="49" spans="2:4" x14ac:dyDescent="0.25">
      <c r="B49" s="1" t="s">
        <v>5</v>
      </c>
      <c r="C49" s="6">
        <v>6</v>
      </c>
      <c r="D49" s="25">
        <v>1926</v>
      </c>
    </row>
    <row r="50" spans="2:4" x14ac:dyDescent="0.25">
      <c r="B50" s="1" t="s">
        <v>6</v>
      </c>
      <c r="C50" s="6">
        <v>532</v>
      </c>
      <c r="D50" s="25">
        <v>4693</v>
      </c>
    </row>
    <row r="51" spans="2:4" x14ac:dyDescent="0.25">
      <c r="B51" s="1" t="s">
        <v>7</v>
      </c>
      <c r="C51" s="6">
        <v>2295</v>
      </c>
      <c r="D51" s="25">
        <v>9435.42</v>
      </c>
    </row>
    <row r="52" spans="2:4" x14ac:dyDescent="0.25">
      <c r="B52" s="3" t="s">
        <v>8</v>
      </c>
      <c r="C52" s="8">
        <f>SUM(C48:C51)</f>
        <v>3412</v>
      </c>
      <c r="D52" s="4">
        <f>SUM(D48:D51)</f>
        <v>86715.61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1325</v>
      </c>
      <c r="D56" s="25">
        <v>62636</v>
      </c>
    </row>
    <row r="57" spans="2:4" x14ac:dyDescent="0.25">
      <c r="B57" s="10" t="s">
        <v>8</v>
      </c>
      <c r="C57" s="8">
        <f>SUM(C56:C56)</f>
        <v>1325</v>
      </c>
      <c r="D57" s="4">
        <f>SUM(D56:D56)</f>
        <v>62636</v>
      </c>
    </row>
    <row r="59" spans="2:4" x14ac:dyDescent="0.25">
      <c r="B59" s="12" t="s">
        <v>13</v>
      </c>
      <c r="C59" s="13">
        <f>SUMIF(B:B, "Total general", C:C)</f>
        <v>83660</v>
      </c>
      <c r="D59" s="13">
        <f>SUMIF(B:B, "Total general", D:D)</f>
        <v>3834267.7399999998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3" sqref="B3:D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10227</v>
      </c>
      <c r="D5" s="25">
        <v>227774.65999999997</v>
      </c>
    </row>
    <row r="6" spans="2:8" x14ac:dyDescent="0.25">
      <c r="B6" s="1" t="s">
        <v>5</v>
      </c>
      <c r="C6" s="6">
        <v>5713</v>
      </c>
      <c r="D6" s="25">
        <v>68461.95</v>
      </c>
    </row>
    <row r="7" spans="2:8" x14ac:dyDescent="0.25">
      <c r="B7" s="1" t="s">
        <v>6</v>
      </c>
      <c r="C7" s="6">
        <v>8933</v>
      </c>
      <c r="D7" s="25">
        <v>37158.82</v>
      </c>
    </row>
    <row r="8" spans="2:8" x14ac:dyDescent="0.25">
      <c r="B8" s="5" t="s">
        <v>12</v>
      </c>
      <c r="C8" s="7">
        <v>2739</v>
      </c>
      <c r="D8" s="25">
        <v>1177</v>
      </c>
    </row>
    <row r="9" spans="2:8" x14ac:dyDescent="0.25">
      <c r="B9" s="1" t="s">
        <v>7</v>
      </c>
      <c r="C9" s="6">
        <v>100419</v>
      </c>
      <c r="D9" s="25">
        <v>63307</v>
      </c>
      <c r="E9" s="14"/>
      <c r="F9" s="7"/>
    </row>
    <row r="10" spans="2:8" x14ac:dyDescent="0.25">
      <c r="B10" s="3" t="s">
        <v>8</v>
      </c>
      <c r="C10" s="8">
        <f>SUM(C5:C9)</f>
        <v>128031</v>
      </c>
      <c r="D10" s="4">
        <f>SUM(D5:D9)</f>
        <v>397879.43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796</v>
      </c>
      <c r="D14" s="25">
        <v>38045.920000000006</v>
      </c>
    </row>
    <row r="15" spans="2:8" x14ac:dyDescent="0.25">
      <c r="B15" s="1" t="s">
        <v>5</v>
      </c>
      <c r="C15" s="6">
        <v>694</v>
      </c>
      <c r="D15" s="25">
        <v>60863.05</v>
      </c>
    </row>
    <row r="16" spans="2:8" x14ac:dyDescent="0.25">
      <c r="B16" s="1" t="s">
        <v>6</v>
      </c>
      <c r="C16" s="6">
        <v>1002</v>
      </c>
      <c r="D16" s="25">
        <v>22736.52</v>
      </c>
    </row>
    <row r="17" spans="2:4" x14ac:dyDescent="0.25">
      <c r="B17" s="1" t="s">
        <v>7</v>
      </c>
      <c r="C17" s="6">
        <v>418</v>
      </c>
      <c r="D17" s="25">
        <v>5575</v>
      </c>
    </row>
    <row r="18" spans="2:4" x14ac:dyDescent="0.25">
      <c r="B18" s="3" t="s">
        <v>8</v>
      </c>
      <c r="C18" s="8">
        <f>SUM(C14:C17)</f>
        <v>2910</v>
      </c>
      <c r="D18" s="4">
        <f>SUM(D14:D17)</f>
        <v>127220.49</v>
      </c>
    </row>
    <row r="20" spans="2:4" x14ac:dyDescent="0.25">
      <c r="B20" s="12" t="s">
        <v>13</v>
      </c>
      <c r="C20" s="13">
        <f>SUMIF(B:B, "Total general", C:C)</f>
        <v>130941</v>
      </c>
      <c r="D20" s="13">
        <f>SUMIF(B:B, "Total general", D:D)</f>
        <v>525099.92000000004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10811</v>
      </c>
      <c r="E6" s="16">
        <f>SUMIF('REPORTE DIARIO'!B:B,'EPR 26 JUN'!C6, 'REPORTE DIARIO'!D:D)</f>
        <v>1686530.9099999997</v>
      </c>
      <c r="F6" s="16">
        <f>J6*D6</f>
        <v>679548.57142857136</v>
      </c>
      <c r="G6" s="16">
        <f>+E6-F6</f>
        <v>1006982.3385714283</v>
      </c>
      <c r="H6" s="15">
        <f>ABS(G6/F6)</f>
        <v>1.481840122854668</v>
      </c>
      <c r="I6" s="16">
        <f>E6/D6</f>
        <v>156.00137915086484</v>
      </c>
      <c r="J6" s="16">
        <f>(220/7)*2</f>
        <v>62.857142857142854</v>
      </c>
      <c r="K6" s="16">
        <f>+I6-J6</f>
        <v>93.144236293721974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5737</v>
      </c>
      <c r="E7" s="16">
        <f>SUMIF('REPORTE DIARIO'!B:B,'EPR 26 JUN'!C7, 'REPORTE DIARIO'!D:D)</f>
        <v>619776.96</v>
      </c>
      <c r="F7" s="16">
        <f>J7*D7</f>
        <v>180305.71428571429</v>
      </c>
      <c r="G7" s="16">
        <f>+E7-F7</f>
        <v>439471.24571428564</v>
      </c>
      <c r="H7" s="15">
        <f>ABS(G7/F7)</f>
        <v>2.4373672651211429</v>
      </c>
      <c r="I7" s="16">
        <f>E7/D7</f>
        <v>108.03154261809307</v>
      </c>
      <c r="J7" s="16">
        <f>(110/7)*2</f>
        <v>31.428571428571427</v>
      </c>
      <c r="K7" s="16">
        <f t="shared" ref="K7:K9" si="0">+I7-J7</f>
        <v>76.602971189521639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12706</v>
      </c>
      <c r="E8" s="16">
        <f>SUMIF('REPORTE DIARIO'!B:B,'EPR 26 JUN'!C8, 'REPORTE DIARIO'!D:D)</f>
        <v>801405.63</v>
      </c>
      <c r="F8" s="16">
        <f>J8*D8</f>
        <v>163362.85714285716</v>
      </c>
      <c r="G8" s="16">
        <f>+E8-F8</f>
        <v>638042.77285714285</v>
      </c>
      <c r="H8" s="15">
        <f>ABS(G8/F8)</f>
        <v>3.9056783409412872</v>
      </c>
      <c r="I8" s="16">
        <f>E8/D8</f>
        <v>63.073007240673697</v>
      </c>
      <c r="J8" s="16">
        <f>(45/7)*2</f>
        <v>12.857142857142858</v>
      </c>
      <c r="K8" s="16">
        <f t="shared" si="0"/>
        <v>50.215864383530842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54394</v>
      </c>
      <c r="E9" s="16">
        <f>SUMIF('REPORTE DIARIO'!B:B,'EPR 26 JUN'!C9, 'REPORTE DIARIO'!D:D)</f>
        <v>726554.24</v>
      </c>
      <c r="F9" s="16">
        <f>J9*D9</f>
        <v>233117.14285714284</v>
      </c>
      <c r="G9" s="16">
        <f>+E9-F9</f>
        <v>493437.09714285715</v>
      </c>
      <c r="H9" s="15">
        <f>ABS(G9/F9)</f>
        <v>2.1166915958868016</v>
      </c>
      <c r="I9" s="16">
        <f>E9/D9</f>
        <v>13.357249696657719</v>
      </c>
      <c r="J9" s="16">
        <f>(15/7)*2</f>
        <v>4.2857142857142856</v>
      </c>
      <c r="K9" s="16">
        <f t="shared" si="0"/>
        <v>9.071535410943433</v>
      </c>
    </row>
    <row r="10" spans="2:12" x14ac:dyDescent="0.25">
      <c r="B10" s="16"/>
      <c r="C10" s="19" t="s">
        <v>17</v>
      </c>
      <c r="D10" s="24">
        <f>SUM(D6:D9)</f>
        <v>83648</v>
      </c>
      <c r="E10" s="20">
        <f>SUM(E6:E9)</f>
        <v>3834267.7399999993</v>
      </c>
      <c r="F10" s="20">
        <f>SUM(F6:F9)</f>
        <v>1256334.2857142857</v>
      </c>
      <c r="G10" s="20">
        <f>+E10-F10</f>
        <v>2577933.4542857138</v>
      </c>
      <c r="H10" s="21">
        <f>ABS(G10/F10)</f>
        <v>2.0519486601609667</v>
      </c>
      <c r="I10" s="20">
        <f>E10/D10</f>
        <v>45.838128108263192</v>
      </c>
      <c r="J10" s="20">
        <f>F10/D10</f>
        <v>15.019298557219368</v>
      </c>
      <c r="K10" s="20">
        <f>I10-J10</f>
        <v>30.818829551043823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2025-08-02T22:21:06Z</cp:lastPrinted>
  <dcterms:created xsi:type="dcterms:W3CDTF">2025-01-27T15:11:28Z</dcterms:created>
  <dcterms:modified xsi:type="dcterms:W3CDTF">2025-08-03T16:22:27Z</dcterms:modified>
</cp:coreProperties>
</file>