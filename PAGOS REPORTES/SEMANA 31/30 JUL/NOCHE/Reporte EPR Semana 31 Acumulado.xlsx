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1\30 JUL\NOCHE\"/>
    </mc:Choice>
  </mc:AlternateContent>
  <xr:revisionPtr revIDLastSave="0" documentId="13_ncr:1_{D125F9C2-560F-4F91-942F-D71D14B3D1A4}" xr6:coauthVersionLast="47" xr6:coauthVersionMax="47" xr10:uidLastSave="{00000000-0000-0000-0000-000000000000}"/>
  <bookViews>
    <workbookView xWindow="13260" yWindow="13260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8" i="5"/>
  <c r="D20" i="5"/>
  <c r="C18" i="5"/>
  <c r="C10" i="5"/>
  <c r="J9" i="3"/>
  <c r="J8" i="3"/>
  <c r="J7" i="3"/>
  <c r="J6" i="3"/>
  <c r="C44" i="1"/>
  <c r="C20" i="5" l="1"/>
  <c r="C28" i="1"/>
  <c r="D28" i="1"/>
  <c r="D19" i="1"/>
  <c r="C19" i="1"/>
  <c r="D6" i="3"/>
  <c r="D52" i="1"/>
  <c r="C52" i="1"/>
  <c r="D44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<sst xmlns="http://schemas.openxmlformats.org/spreadsheetml/2006/main" count="110" uniqueCount="38">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</sst>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37" zoomScaleNormal="100" workbookViewId="0">
      <selection activeCell="C48" sqref="C48:D5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3785</v>
      </c>
      <c r="D5" s="25">
        <v>319482.73999999993</v>
      </c>
    </row>
    <row r="6" spans="2:8" x14ac:dyDescent="0.25">
      <c r="B6" s="1" t="s">
        <v>5</v>
      </c>
      <c r="C6" s="6">
        <v>2912</v>
      </c>
      <c r="D6" s="25">
        <v>154734.58000000002</v>
      </c>
    </row>
    <row r="7" spans="2:8" x14ac:dyDescent="0.25">
      <c r="B7" s="1" t="s">
        <v>6</v>
      </c>
      <c r="C7" s="6">
        <v>5886</v>
      </c>
      <c r="D7" s="25">
        <v>149210.21000000002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20612</v>
      </c>
      <c r="D9" s="25">
        <v>214161.91</v>
      </c>
      <c r="E9" s="14"/>
      <c r="F9" s="7"/>
    </row>
    <row r="10" spans="2:8" x14ac:dyDescent="0.25">
      <c r="B10" s="3" t="s">
        <v>8</v>
      </c>
      <c r="C10" s="8">
        <f>SUM(C5:C9)</f>
        <v>33206</v>
      </c>
      <c r="D10" s="4">
        <f>SUM(D5:D9)</f>
        <v>837589.44000000006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1703</v>
      </c>
      <c r="D14" s="25">
        <v>158885.84</v>
      </c>
    </row>
    <row r="15" spans="2:8" x14ac:dyDescent="0.25">
      <c r="B15" s="9" t="s">
        <v>5</v>
      </c>
      <c r="C15" s="6">
        <v>257</v>
      </c>
      <c r="D15" s="25">
        <v>11768.119999999999</v>
      </c>
    </row>
    <row r="16" spans="2:8" x14ac:dyDescent="0.25">
      <c r="B16" s="9" t="s">
        <v>6</v>
      </c>
      <c r="C16" s="6">
        <v>1332</v>
      </c>
      <c r="D16" s="25">
        <v>28294.489999999998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12052</v>
      </c>
      <c r="D18" s="25">
        <v>29748.34</v>
      </c>
    </row>
    <row r="19" spans="2:4" x14ac:dyDescent="0.25">
      <c r="B19" s="10" t="s">
        <v>8</v>
      </c>
      <c r="C19" s="8">
        <f>SUM(C14:C18)</f>
        <v>15345</v>
      </c>
      <c r="D19" s="4">
        <f>SUM(D14:D18)</f>
        <v>228696.78999999998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2078</v>
      </c>
      <c r="D23" s="25">
        <v>100260.9</v>
      </c>
    </row>
    <row r="24" spans="2:4" x14ac:dyDescent="0.25">
      <c r="B24" s="1" t="s">
        <v>5</v>
      </c>
      <c r="C24" s="6">
        <v>1433</v>
      </c>
      <c r="D24" s="25">
        <v>21855.17</v>
      </c>
    </row>
    <row r="25" spans="2:4" x14ac:dyDescent="0.25">
      <c r="B25" s="1" t="s">
        <v>6</v>
      </c>
      <c r="C25" s="6">
        <v>3543</v>
      </c>
      <c r="D25" s="25">
        <v>30772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18138</v>
      </c>
      <c r="D27" s="25">
        <v>30168</v>
      </c>
    </row>
    <row r="28" spans="2:4" x14ac:dyDescent="0.25">
      <c r="B28" s="3" t="s">
        <v>8</v>
      </c>
      <c r="C28" s="8">
        <f>SUM(C23:C27)</f>
        <v>25192</v>
      </c>
      <c r="D28" s="4">
        <f>SUM(D23:D27)</f>
        <v>183056.07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497</v>
      </c>
      <c r="D32" s="25">
        <v>86645.260000000009</v>
      </c>
    </row>
    <row r="33" spans="2:4" x14ac:dyDescent="0.25">
      <c r="B33" s="9" t="s">
        <v>5</v>
      </c>
      <c r="C33" s="6">
        <v>466</v>
      </c>
      <c r="D33" s="25">
        <v>22336.55</v>
      </c>
    </row>
    <row r="34" spans="2:4" x14ac:dyDescent="0.25">
      <c r="B34" s="9" t="s">
        <v>6</v>
      </c>
      <c r="C34" s="6">
        <v>266</v>
      </c>
      <c r="D34" s="25">
        <v>14671.72</v>
      </c>
    </row>
    <row r="35" spans="2:4" x14ac:dyDescent="0.25">
      <c r="B35" s="9" t="s">
        <v>7</v>
      </c>
      <c r="C35" s="6">
        <v>596</v>
      </c>
      <c r="D35" s="25">
        <v>3878</v>
      </c>
    </row>
    <row r="36" spans="2:4" x14ac:dyDescent="0.25">
      <c r="B36" s="10" t="s">
        <v>8</v>
      </c>
      <c r="C36" s="8">
        <f>SUM(C32:C35)</f>
        <v>1825</v>
      </c>
      <c r="D36" s="4">
        <f>SUM(D32:D35)</f>
        <v>127531.53000000001</v>
      </c>
    </row>
    <row r="38" spans="2:4" x14ac:dyDescent="0.25">
      <c r="B38" s="28" t="s">
        <v>30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586</v>
      </c>
      <c r="D40" s="25">
        <v>40689</v>
      </c>
    </row>
    <row r="41" spans="2:4" x14ac:dyDescent="0.25">
      <c r="B41" s="1" t="s">
        <v>5</v>
      </c>
      <c r="C41" s="6">
        <v>7</v>
      </c>
      <c r="D41" s="25">
        <v>1926</v>
      </c>
    </row>
    <row r="42" spans="2:4" x14ac:dyDescent="0.25">
      <c r="B42" s="1" t="s">
        <v>6</v>
      </c>
      <c r="C42" s="6">
        <v>533</v>
      </c>
      <c r="D42" s="25">
        <v>1369</v>
      </c>
    </row>
    <row r="43" spans="2:4" x14ac:dyDescent="0.25">
      <c r="B43" s="1" t="s">
        <v>7</v>
      </c>
      <c r="C43" s="6">
        <v>2295</v>
      </c>
      <c r="D43" s="25">
        <v>1816</v>
      </c>
    </row>
    <row r="44" spans="2:4" x14ac:dyDescent="0.25">
      <c r="B44" s="3" t="s">
        <v>8</v>
      </c>
      <c r="C44" s="8">
        <f>SUM(C40:C43)</f>
        <v>3421</v>
      </c>
      <c r="D44" s="4">
        <f>SUM(D40:D43)</f>
        <v>45800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804</v>
      </c>
      <c r="D48" s="25">
        <v>12296.03</v>
      </c>
    </row>
    <row r="49" spans="2:4" x14ac:dyDescent="0.25">
      <c r="B49" s="1" t="s">
        <v>5</v>
      </c>
      <c r="C49" s="6">
        <v>696</v>
      </c>
      <c r="D49" s="25">
        <v>11119</v>
      </c>
    </row>
    <row r="50" spans="2:4" x14ac:dyDescent="0.25">
      <c r="B50" s="1" t="s">
        <v>6</v>
      </c>
      <c r="C50" s="6">
        <v>1002</v>
      </c>
      <c r="D50" s="25">
        <v>4586</v>
      </c>
    </row>
    <row r="51" spans="2:4" x14ac:dyDescent="0.25">
      <c r="B51" s="1" t="s">
        <v>7</v>
      </c>
      <c r="C51" s="6">
        <v>418</v>
      </c>
      <c r="D51" s="25">
        <v>2732</v>
      </c>
    </row>
    <row r="52" spans="2:4" x14ac:dyDescent="0.25">
      <c r="B52" s="3" t="s">
        <v>8</v>
      </c>
      <c r="C52" s="8">
        <f>SUM(C48:C51)</f>
        <v>2920</v>
      </c>
      <c r="D52" s="4">
        <f>SUM(D48:D51)</f>
        <v>30733.03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1457</v>
      </c>
      <c r="D56" s="25">
        <v>22207</v>
      </c>
    </row>
    <row r="57" spans="2:4" x14ac:dyDescent="0.25">
      <c r="B57" s="10" t="s">
        <v>8</v>
      </c>
      <c r="C57" s="8">
        <f>SUM(C56:C56)</f>
        <v>1457</v>
      </c>
      <c r="D57" s="4">
        <f>SUM(D56:D56)</f>
        <v>22207</v>
      </c>
    </row>
    <row r="59" spans="2:4" x14ac:dyDescent="0.25">
      <c r="B59" s="12" t="s">
        <v>13</v>
      </c>
      <c r="C59" s="13">
        <f>SUMIF(B:B, "Total general", C:C)</f>
        <v>83366</v>
      </c>
      <c r="D59" s="13">
        <f>SUMIF(B:B, "Total general", D:D)</f>
        <v>1475613.86</v>
      </c>
    </row>
  </sheetData>
  <mergeCells count="7">
    <mergeCell ref="B54:D54"/>
    <mergeCell ref="B46:D46"/>
    <mergeCell ref="B21:D21"/>
    <mergeCell ref="B38:D38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3:H20"/>
  <sheetViews>
    <sheetView showGridLines="0" tabSelected="1" zoomScaleNormal="100" workbookViewId="0">
      <selection activeCell="B3" sqref="B3:D2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10253</v>
      </c>
      <c r="D5" s="25">
        <v>97054.889999999985</v>
      </c>
    </row>
    <row r="6" spans="2:8" x14ac:dyDescent="0.25">
      <c r="B6" s="1" t="s">
        <v>5</v>
      </c>
      <c r="C6" s="6">
        <v>5653</v>
      </c>
      <c r="D6" s="25">
        <v>47478.93</v>
      </c>
    </row>
    <row r="7" spans="2:8" x14ac:dyDescent="0.25">
      <c r="B7" s="1" t="s">
        <v>6</v>
      </c>
      <c r="C7" s="6">
        <v>8914</v>
      </c>
      <c r="D7" s="25">
        <v>10619</v>
      </c>
    </row>
    <row r="8" spans="2:8" x14ac:dyDescent="0.25">
      <c r="B8" s="5" t="s">
        <v>12</v>
      </c>
      <c r="C8" s="7">
        <v>2739</v>
      </c>
      <c r="D8" s="25">
        <v>493</v>
      </c>
    </row>
    <row r="9" spans="2:8" x14ac:dyDescent="0.25">
      <c r="B9" s="1" t="s">
        <v>7</v>
      </c>
      <c r="C9" s="6">
        <v>100288</v>
      </c>
      <c r="D9" s="25">
        <v>67426</v>
      </c>
      <c r="E9" s="14"/>
      <c r="F9" s="7"/>
    </row>
    <row r="10" spans="2:8" x14ac:dyDescent="0.25">
      <c r="B10" s="3" t="s">
        <v>8</v>
      </c>
      <c r="C10" s="8">
        <f>SUM(C5:C9)</f>
        <v>127847</v>
      </c>
      <c r="D10" s="4">
        <f>SUM(D5:D9)</f>
        <v>223071.81999999998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804</v>
      </c>
      <c r="D14" s="25">
        <v>12296.03</v>
      </c>
    </row>
    <row r="15" spans="2:8" x14ac:dyDescent="0.25">
      <c r="B15" s="1" t="s">
        <v>5</v>
      </c>
      <c r="C15" s="6">
        <v>696</v>
      </c>
      <c r="D15" s="25">
        <v>11119</v>
      </c>
    </row>
    <row r="16" spans="2:8" x14ac:dyDescent="0.25">
      <c r="B16" s="1" t="s">
        <v>6</v>
      </c>
      <c r="C16" s="6">
        <v>1002</v>
      </c>
      <c r="D16" s="25">
        <v>4586</v>
      </c>
    </row>
    <row r="17" spans="2:4" x14ac:dyDescent="0.25">
      <c r="B17" s="1" t="s">
        <v>7</v>
      </c>
      <c r="C17" s="6">
        <v>418</v>
      </c>
      <c r="D17" s="25">
        <v>2732</v>
      </c>
    </row>
    <row r="18" spans="2:4" x14ac:dyDescent="0.25">
      <c r="B18" s="3" t="s">
        <v>8</v>
      </c>
      <c r="C18" s="8">
        <f>SUM(C14:C17)</f>
        <v>2920</v>
      </c>
      <c r="D18" s="4">
        <f>SUM(D14:D17)</f>
        <v>30733.03</v>
      </c>
    </row>
    <row r="20" spans="2:4" x14ac:dyDescent="0.25">
      <c r="B20" s="12" t="s">
        <v>13</v>
      </c>
      <c r="C20" s="13">
        <f>SUMIF(B:B, "Total general", C:C)</f>
        <v>130767</v>
      </c>
      <c r="D20" s="13">
        <f>SUMIF(B:B, "Total general", D:D)</f>
        <v>253804.84999999998</v>
      </c>
    </row>
  </sheetData>
  <mergeCells count="2">
    <mergeCell ref="B3:D3"/>
    <mergeCell ref="B12:D12"/>
  </mergeCells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10910</v>
      </c>
      <c r="E6" s="16">
        <f>SUMIF('REPORTE DIARIO'!B:B,'EPR 26 JUN'!C6, 'REPORTE DIARIO'!D:D)</f>
        <v>740466.77</v>
      </c>
      <c r="F6" s="16">
        <f>J6*D6</f>
        <v>685771.42857142852</v>
      </c>
      <c r="G6" s="16">
        <f>+E6-F6</f>
        <v>54695.341428571497</v>
      </c>
      <c r="H6" s="15">
        <f>ABS(G6/F6)</f>
        <v>7.9757393133905619E-2</v>
      </c>
      <c r="I6" s="16">
        <f>E6/D6</f>
        <v>67.870464711274067</v>
      </c>
      <c r="J6" s="16">
        <f>(220/7)*2</f>
        <v>62.857142857142854</v>
      </c>
      <c r="K6" s="16">
        <f>+I6-J6</f>
        <v>5.0133218541312132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5771</v>
      </c>
      <c r="E7" s="16">
        <f>SUMIF('REPORTE DIARIO'!B:B,'EPR 26 JUN'!C7, 'REPORTE DIARIO'!D:D)</f>
        <v>223739.41999999998</v>
      </c>
      <c r="F7" s="16">
        <f>J7*D7</f>
        <v>181374.28571428571</v>
      </c>
      <c r="G7" s="16">
        <f>+E7-F7</f>
        <v>42365.134285714274</v>
      </c>
      <c r="H7" s="15">
        <f>ABS(G7/F7)</f>
        <v>0.23357850380428782</v>
      </c>
      <c r="I7" s="16">
        <f>E7/D7</f>
        <v>38.769610119563332</v>
      </c>
      <c r="J7" s="16">
        <f>(110/7)*2</f>
        <v>31.428571428571427</v>
      </c>
      <c r="K7" s="16">
        <f t="shared" ref="K7:K9" si="0">+I7-J7</f>
        <v>7.3410386909919048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12562</v>
      </c>
      <c r="E8" s="16">
        <f>SUMIF('REPORTE DIARIO'!B:B,'EPR 26 JUN'!C8, 'REPORTE DIARIO'!D:D)</f>
        <v>228903.42</v>
      </c>
      <c r="F8" s="16">
        <f>J8*D8</f>
        <v>161511.42857142858</v>
      </c>
      <c r="G8" s="16">
        <f>+E8-F8</f>
        <v>67391.991428571433</v>
      </c>
      <c r="H8" s="15">
        <f>ABS(G8/F8)</f>
        <v>0.4172583452741071</v>
      </c>
      <c r="I8" s="16">
        <f>E8/D8</f>
        <v>18.221893010667092</v>
      </c>
      <c r="J8" s="16">
        <f>(45/7)*2</f>
        <v>12.857142857142858</v>
      </c>
      <c r="K8" s="16">
        <f t="shared" si="0"/>
        <v>5.3647501535242341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54111</v>
      </c>
      <c r="E9" s="16">
        <f>SUMIF('REPORTE DIARIO'!B:B,'EPR 26 JUN'!C9, 'REPORTE DIARIO'!D:D)</f>
        <v>282504.25</v>
      </c>
      <c r="F9" s="16">
        <f>J9*D9</f>
        <v>231904.28571428571</v>
      </c>
      <c r="G9" s="16">
        <f>+E9-F9</f>
        <v>50599.96428571429</v>
      </c>
      <c r="H9" s="15">
        <f>ABS(G9/F9)</f>
        <v>0.21819331251193536</v>
      </c>
      <c r="I9" s="16">
        <f>E9/D9</f>
        <v>5.2208284821940083</v>
      </c>
      <c r="J9" s="16">
        <f>(15/7)*2</f>
        <v>4.2857142857142856</v>
      </c>
      <c r="K9" s="16">
        <f t="shared" si="0"/>
        <v>0.93511419647972271</v>
      </c>
    </row>
    <row r="10" spans="2:12" x14ac:dyDescent="0.25">
      <c r="B10" s="16"/>
      <c r="C10" s="19" t="s">
        <v>17</v>
      </c>
      <c r="D10" s="24">
        <f>SUM(D6:D9)</f>
        <v>83354</v>
      </c>
      <c r="E10" s="20">
        <f>SUM(E6:E9)</f>
        <v>1475613.8599999999</v>
      </c>
      <c r="F10" s="20">
        <f>SUM(F6:F9)</f>
        <v>1260561.4285714284</v>
      </c>
      <c r="G10" s="20">
        <f>+E10-F10</f>
        <v>215052.43142857146</v>
      </c>
      <c r="H10" s="21">
        <f>ABS(G10/F10)</f>
        <v>0.17060051700319478</v>
      </c>
      <c r="I10" s="20">
        <f>E10/D10</f>
        <v>17.702975981956474</v>
      </c>
      <c r="J10" s="20">
        <f>F10/D10</f>
        <v>15.122986642169883</v>
      </c>
      <c r="K10" s="20">
        <f>I10-J10</f>
        <v>2.5799893397865912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2025-07-31T02:37:50Z</dcterms:modified>
</cp:coreProperties>
</file>