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1 AGOS\MAÑANA\"/>
    </mc:Choice>
  </mc:AlternateContent>
  <xr:revisionPtr revIDLastSave="0" documentId="13_ncr:1_{22CCFD7C-DE53-4D6F-B971-1F3CC9F02744}" xr6:coauthVersionLast="47" xr6:coauthVersionMax="47" xr10:uidLastSave="{00000000-0000-0000-0000-000000000000}"/>
  <bookViews>
    <workbookView xWindow="14295" yWindow="1429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<sst xmlns="http://schemas.openxmlformats.org/spreadsheetml/2006/main" count="110" uniqueCount="38">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</sst>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5" zoomScaleNormal="100" workbookViewId="0">
      <selection activeCell="B38" sqref="B38:D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3832</v>
      </c>
      <c r="D5" s="25">
        <v>442721.95999999996</v>
      </c>
    </row>
    <row r="6" spans="2:8" x14ac:dyDescent="0.25">
      <c r="B6" s="1" t="s">
        <v>5</v>
      </c>
      <c r="C6" s="6">
        <v>2991</v>
      </c>
      <c r="D6" s="25">
        <v>285742.93</v>
      </c>
    </row>
    <row r="7" spans="2:8" x14ac:dyDescent="0.25">
      <c r="B7" s="1" t="s">
        <v>6</v>
      </c>
      <c r="C7" s="6">
        <v>5926</v>
      </c>
      <c r="D7" s="25">
        <v>213432.22999999995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20636</v>
      </c>
      <c r="D9" s="25">
        <v>276154.86999999994</v>
      </c>
      <c r="E9" s="14"/>
      <c r="F9" s="7"/>
    </row>
    <row r="10" spans="2:8" x14ac:dyDescent="0.25">
      <c r="B10" s="3" t="s">
        <v>8</v>
      </c>
      <c r="C10" s="8">
        <f>SUM(C5:C9)</f>
        <v>33396</v>
      </c>
      <c r="D10" s="4">
        <f>SUM(D5:D9)</f>
        <v>1218051.9899999998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1708</v>
      </c>
      <c r="D14" s="25">
        <v>202424.57</v>
      </c>
    </row>
    <row r="15" spans="2:8" x14ac:dyDescent="0.25">
      <c r="B15" s="9" t="s">
        <v>5</v>
      </c>
      <c r="C15" s="6">
        <v>259</v>
      </c>
      <c r="D15" s="25">
        <v>17430.12</v>
      </c>
    </row>
    <row r="16" spans="2:8" x14ac:dyDescent="0.25">
      <c r="B16" s="9" t="s">
        <v>6</v>
      </c>
      <c r="C16" s="6">
        <v>1328</v>
      </c>
      <c r="D16" s="25">
        <v>38065.96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12055</v>
      </c>
      <c r="D18" s="25">
        <v>42232.179999999993</v>
      </c>
    </row>
    <row r="19" spans="2:4" x14ac:dyDescent="0.25">
      <c r="B19" s="10" t="s">
        <v>8</v>
      </c>
      <c r="C19" s="8">
        <f>SUM(C14:C18)</f>
        <v>15351</v>
      </c>
      <c r="D19" s="4">
        <f>SUM(D14:D18)</f>
        <v>300152.82999999996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2058</v>
      </c>
      <c r="D23" s="25">
        <v>128969.09000000001</v>
      </c>
    </row>
    <row r="24" spans="2:4" x14ac:dyDescent="0.25">
      <c r="B24" s="1" t="s">
        <v>5</v>
      </c>
      <c r="C24" s="6">
        <v>1427</v>
      </c>
      <c r="D24" s="25">
        <v>35181.17</v>
      </c>
    </row>
    <row r="25" spans="2:4" x14ac:dyDescent="0.25">
      <c r="B25" s="1" t="s">
        <v>6</v>
      </c>
      <c r="C25" s="6">
        <v>3543</v>
      </c>
      <c r="D25" s="25">
        <v>51465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18138</v>
      </c>
      <c r="D27" s="25">
        <v>56799.040000000001</v>
      </c>
    </row>
    <row r="28" spans="2:4" x14ac:dyDescent="0.25">
      <c r="B28" s="3" t="s">
        <v>8</v>
      </c>
      <c r="C28" s="8">
        <f>SUM(C23:C27)</f>
        <v>25166</v>
      </c>
      <c r="D28" s="4">
        <f>SUM(D23:D27)</f>
        <v>272414.3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496</v>
      </c>
      <c r="D32" s="25">
        <v>119393.58</v>
      </c>
    </row>
    <row r="33" spans="2:4" x14ac:dyDescent="0.25">
      <c r="B33" s="9" t="s">
        <v>5</v>
      </c>
      <c r="C33" s="6">
        <v>462</v>
      </c>
      <c r="D33" s="25">
        <v>74198.92</v>
      </c>
    </row>
    <row r="34" spans="2:4" x14ac:dyDescent="0.25">
      <c r="B34" s="9" t="s">
        <v>6</v>
      </c>
      <c r="C34" s="6">
        <v>272</v>
      </c>
      <c r="D34" s="25">
        <v>24404.120000000003</v>
      </c>
    </row>
    <row r="35" spans="2:4" x14ac:dyDescent="0.25">
      <c r="B35" s="9" t="s">
        <v>7</v>
      </c>
      <c r="C35" s="6">
        <v>596</v>
      </c>
      <c r="D35" s="25">
        <v>4878</v>
      </c>
    </row>
    <row r="36" spans="2:4" x14ac:dyDescent="0.25">
      <c r="B36" s="10" t="s">
        <v>8</v>
      </c>
      <c r="C36" s="8">
        <f>SUM(C32:C35)</f>
        <v>1826</v>
      </c>
      <c r="D36" s="4">
        <f>SUM(D32:D35)</f>
        <v>222874.62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803</v>
      </c>
      <c r="D40" s="25">
        <v>17793.559999999998</v>
      </c>
    </row>
    <row r="41" spans="2:4" x14ac:dyDescent="0.25">
      <c r="B41" s="1" t="s">
        <v>5</v>
      </c>
      <c r="C41" s="6">
        <v>696</v>
      </c>
      <c r="D41" s="25">
        <v>56192.3</v>
      </c>
    </row>
    <row r="42" spans="2:4" x14ac:dyDescent="0.25">
      <c r="B42" s="1" t="s">
        <v>6</v>
      </c>
      <c r="C42" s="6">
        <v>1002</v>
      </c>
      <c r="D42" s="25">
        <v>12552</v>
      </c>
    </row>
    <row r="43" spans="2:4" x14ac:dyDescent="0.25">
      <c r="B43" s="1" t="s">
        <v>7</v>
      </c>
      <c r="C43" s="6">
        <v>418</v>
      </c>
      <c r="D43" s="25">
        <v>4725</v>
      </c>
    </row>
    <row r="44" spans="2:4" x14ac:dyDescent="0.25">
      <c r="B44" s="3" t="s">
        <v>8</v>
      </c>
      <c r="C44" s="8">
        <f>SUM(C40:C43)</f>
        <v>2919</v>
      </c>
      <c r="D44" s="4">
        <f>SUM(D40:D43)</f>
        <v>91262.86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585</v>
      </c>
      <c r="D48" s="25">
        <v>51054.19</v>
      </c>
    </row>
    <row r="49" spans="2:4" x14ac:dyDescent="0.25">
      <c r="B49" s="1" t="s">
        <v>5</v>
      </c>
      <c r="C49" s="6">
        <v>7</v>
      </c>
      <c r="D49" s="25">
        <v>1926</v>
      </c>
    </row>
    <row r="50" spans="2:4" x14ac:dyDescent="0.25">
      <c r="B50" s="1" t="s">
        <v>6</v>
      </c>
      <c r="C50" s="6">
        <v>533</v>
      </c>
      <c r="D50" s="25">
        <v>4240</v>
      </c>
    </row>
    <row r="51" spans="2:4" x14ac:dyDescent="0.25">
      <c r="B51" s="1" t="s">
        <v>7</v>
      </c>
      <c r="C51" s="6">
        <v>2295</v>
      </c>
      <c r="D51" s="25">
        <v>1816</v>
      </c>
    </row>
    <row r="52" spans="2:4" x14ac:dyDescent="0.25">
      <c r="B52" s="3" t="s">
        <v>8</v>
      </c>
      <c r="C52" s="8">
        <f>SUM(C48:C51)</f>
        <v>3420</v>
      </c>
      <c r="D52" s="4">
        <f>SUM(D48:D51)</f>
        <v>59036.19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1440</v>
      </c>
      <c r="D56" s="25">
        <v>24679</v>
      </c>
    </row>
    <row r="57" spans="2:4" x14ac:dyDescent="0.25">
      <c r="B57" s="10" t="s">
        <v>8</v>
      </c>
      <c r="C57" s="8">
        <f>SUM(C56:C56)</f>
        <v>1440</v>
      </c>
      <c r="D57" s="4">
        <f>SUM(D56:D56)</f>
        <v>24679</v>
      </c>
    </row>
    <row r="59" spans="2:4" x14ac:dyDescent="0.25">
      <c r="B59" s="12" t="s">
        <v>13</v>
      </c>
      <c r="C59" s="13">
        <f>SUMIF(B:B, "Total general", C:C)</f>
        <v>83518</v>
      </c>
      <c r="D59" s="13">
        <f>SUMIF(B:B, "Total general", D:D)</f>
        <v>2188471.7899999996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10343</v>
      </c>
      <c r="D5" s="25">
        <v>168059.1</v>
      </c>
    </row>
    <row r="6" spans="2:8" x14ac:dyDescent="0.25">
      <c r="B6" s="1" t="s">
        <v>5</v>
      </c>
      <c r="C6" s="6">
        <v>5735</v>
      </c>
      <c r="D6" s="25">
        <v>60646.95</v>
      </c>
    </row>
    <row r="7" spans="2:8" x14ac:dyDescent="0.25">
      <c r="B7" s="1" t="s">
        <v>6</v>
      </c>
      <c r="C7" s="6">
        <v>8946</v>
      </c>
      <c r="D7" s="25">
        <v>20848.82</v>
      </c>
    </row>
    <row r="8" spans="2:8" x14ac:dyDescent="0.25">
      <c r="B8" s="5" t="s">
        <v>12</v>
      </c>
      <c r="C8" s="7">
        <v>2739</v>
      </c>
      <c r="D8" s="25">
        <v>1177</v>
      </c>
    </row>
    <row r="9" spans="2:8" x14ac:dyDescent="0.25">
      <c r="B9" s="1" t="s">
        <v>7</v>
      </c>
      <c r="C9" s="6">
        <v>100295</v>
      </c>
      <c r="D9" s="25">
        <v>54637</v>
      </c>
      <c r="E9" s="14"/>
      <c r="F9" s="7"/>
    </row>
    <row r="10" spans="2:8" x14ac:dyDescent="0.25">
      <c r="B10" s="3" t="s">
        <v>8</v>
      </c>
      <c r="C10" s="8">
        <f>SUM(C5:C9)</f>
        <v>128058</v>
      </c>
      <c r="D10" s="4">
        <f>SUM(D5:D9)</f>
        <v>305368.87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803</v>
      </c>
      <c r="D14" s="25">
        <v>17793.559999999998</v>
      </c>
    </row>
    <row r="15" spans="2:8" x14ac:dyDescent="0.25">
      <c r="B15" s="1" t="s">
        <v>5</v>
      </c>
      <c r="C15" s="6">
        <v>696</v>
      </c>
      <c r="D15" s="25">
        <v>56192.3</v>
      </c>
    </row>
    <row r="16" spans="2:8" x14ac:dyDescent="0.25">
      <c r="B16" s="1" t="s">
        <v>6</v>
      </c>
      <c r="C16" s="6">
        <v>1002</v>
      </c>
      <c r="D16" s="25">
        <v>12552</v>
      </c>
    </row>
    <row r="17" spans="2:4" x14ac:dyDescent="0.25">
      <c r="B17" s="1" t="s">
        <v>7</v>
      </c>
      <c r="C17" s="6">
        <v>418</v>
      </c>
      <c r="D17" s="25">
        <v>4725</v>
      </c>
    </row>
    <row r="18" spans="2:4" x14ac:dyDescent="0.25">
      <c r="B18" s="3" t="s">
        <v>8</v>
      </c>
      <c r="C18" s="8">
        <f>SUM(C14:C17)</f>
        <v>2919</v>
      </c>
      <c r="D18" s="4">
        <f>SUM(D14:D17)</f>
        <v>91262.86</v>
      </c>
    </row>
    <row r="20" spans="2:4" x14ac:dyDescent="0.25">
      <c r="B20" s="12" t="s">
        <v>13</v>
      </c>
      <c r="C20" s="13">
        <f>SUMIF(B:B, "Total general", C:C)</f>
        <v>130977</v>
      </c>
      <c r="D20" s="13">
        <f>SUMIF(B:B, "Total general", D:D)</f>
        <v>396631.73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10922</v>
      </c>
      <c r="E6" s="16">
        <f>SUMIF('REPORTE DIARIO'!B:B,'EPR 26 JUN'!C6, 'REPORTE DIARIO'!D:D)</f>
        <v>987035.95</v>
      </c>
      <c r="F6" s="16">
        <f>J6*D6</f>
        <v>686525.7142857142</v>
      </c>
      <c r="G6" s="16">
        <f>+E6-F6</f>
        <v>300510.23571428575</v>
      </c>
      <c r="H6" s="15">
        <f>ABS(G6/F6)</f>
        <v>0.43772611784388482</v>
      </c>
      <c r="I6" s="16">
        <f>E6/D6</f>
        <v>90.371355978758459</v>
      </c>
      <c r="J6" s="16">
        <f>(220/7)*2</f>
        <v>62.857142857142854</v>
      </c>
      <c r="K6" s="16">
        <f>+I6-J6</f>
        <v>27.514213121615605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5842</v>
      </c>
      <c r="E7" s="16">
        <f>SUMIF('REPORTE DIARIO'!B:B,'EPR 26 JUN'!C7, 'REPORTE DIARIO'!D:D)</f>
        <v>470671.43999999994</v>
      </c>
      <c r="F7" s="16">
        <f>J7*D7</f>
        <v>183605.71428571429</v>
      </c>
      <c r="G7" s="16">
        <f>+E7-F7</f>
        <v>287065.72571428563</v>
      </c>
      <c r="H7" s="15">
        <f>ABS(G7/F7)</f>
        <v>1.5634901496996665</v>
      </c>
      <c r="I7" s="16">
        <f>E7/D7</f>
        <v>80.566833276275233</v>
      </c>
      <c r="J7" s="16">
        <f>(110/7)*2</f>
        <v>31.428571428571427</v>
      </c>
      <c r="K7" s="16">
        <f t="shared" ref="K7:K9" si="0">+I7-J7</f>
        <v>49.138261847703802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12604</v>
      </c>
      <c r="E8" s="16">
        <f>SUMIF('REPORTE DIARIO'!B:B,'EPR 26 JUN'!C8, 'REPORTE DIARIO'!D:D)</f>
        <v>344159.30999999994</v>
      </c>
      <c r="F8" s="16">
        <f>J8*D8</f>
        <v>162051.42857142858</v>
      </c>
      <c r="G8" s="16">
        <f>+E8-F8</f>
        <v>182107.88142857136</v>
      </c>
      <c r="H8" s="15">
        <f>ABS(G8/F8)</f>
        <v>1.1237659737649419</v>
      </c>
      <c r="I8" s="16">
        <f>E8/D8</f>
        <v>27.305562519834968</v>
      </c>
      <c r="J8" s="16">
        <f>(45/7)*2</f>
        <v>12.857142857142858</v>
      </c>
      <c r="K8" s="16">
        <f t="shared" si="0"/>
        <v>14.44841966269211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54138</v>
      </c>
      <c r="E9" s="16">
        <f>SUMIF('REPORTE DIARIO'!B:B,'EPR 26 JUN'!C9, 'REPORTE DIARIO'!D:D)</f>
        <v>386605.08999999991</v>
      </c>
      <c r="F9" s="16">
        <f>J9*D9</f>
        <v>232020</v>
      </c>
      <c r="G9" s="16">
        <f>+E9-F9</f>
        <v>154585.08999999991</v>
      </c>
      <c r="H9" s="15">
        <f>ABS(G9/F9)</f>
        <v>0.66625760710283555</v>
      </c>
      <c r="I9" s="16">
        <f>E9/D9</f>
        <v>7.1411040304407241</v>
      </c>
      <c r="J9" s="16">
        <f>(15/7)*2</f>
        <v>4.2857142857142856</v>
      </c>
      <c r="K9" s="16">
        <f t="shared" si="0"/>
        <v>2.8553897447264385</v>
      </c>
    </row>
    <row r="10" spans="2:12" x14ac:dyDescent="0.25">
      <c r="B10" s="16"/>
      <c r="C10" s="19" t="s">
        <v>17</v>
      </c>
      <c r="D10" s="24">
        <f>SUM(D6:D9)</f>
        <v>83506</v>
      </c>
      <c r="E10" s="20">
        <f>SUM(E6:E9)</f>
        <v>2188471.7899999996</v>
      </c>
      <c r="F10" s="20">
        <f>SUM(F6:F9)</f>
        <v>1264202.857142857</v>
      </c>
      <c r="G10" s="20">
        <f>+E10-F10</f>
        <v>924268.93285714253</v>
      </c>
      <c r="H10" s="21">
        <f>ABS(G10/F10)</f>
        <v>0.73110808730967658</v>
      </c>
      <c r="I10" s="20">
        <f>E10/D10</f>
        <v>26.20735983043134</v>
      </c>
      <c r="J10" s="20">
        <f>F10/D10</f>
        <v>15.139066140670815</v>
      </c>
      <c r="K10" s="20">
        <f>I10-J10</f>
        <v>11.068293689760525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2025-08-01T03:03:13Z</cp:lastPrinted>
  <dcterms:created xsi:type="dcterms:W3CDTF">2025-01-27T15:11:28Z</dcterms:created>
  <dcterms:modified xsi:type="dcterms:W3CDTF">2025-08-01T16:29:36Z</dcterms:modified>
</cp:coreProperties>
</file>