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1\29 JUL\NOCHE\"/>
    </mc:Choice>
  </mc:AlternateContent>
  <xr:revisionPtr revIDLastSave="0" documentId="13_ncr:1_{298EC0BD-43C0-44F1-B9D4-AFBED68D5CF9}" xr6:coauthVersionLast="47" xr6:coauthVersionMax="47" xr10:uidLastSave="{00000000-0000-0000-0000-000000000000}"/>
  <bookViews>
    <workbookView xWindow="11535" yWindow="11535" windowWidth="11130" windowHeight="6570" activeTab="1" xr2:uid="{4DC6C92A-CD8A-4966-829B-0B6A986E825B}"/>
  </bookViews>
  <sheets>
    <sheet name="REPORTE DIARIO" sheetId="1" r:id="rId1"/>
    <sheet name="CDC-OLGUIN" sheetId="5" r:id="rId2"/>
    <sheet name="DATA" sheetId="4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5" l="1"/>
  <c r="D18" i="5"/>
  <c r="D20" i="5"/>
  <c r="C18" i="5"/>
  <c r="C10" i="5"/>
  <c r="J9" i="3"/>
  <c r="J8" i="3"/>
  <c r="J7" i="3"/>
  <c r="J6" i="3"/>
  <c r="C57" i="1"/>
  <c r="C20" i="5" l="1"/>
  <c r="C28" i="1"/>
  <c r="D28" i="1"/>
  <c r="D19" i="1"/>
  <c r="C19" i="1"/>
  <c r="D6" i="3"/>
  <c r="D49" i="1"/>
  <c r="C49" i="1"/>
  <c r="D57" i="1"/>
  <c r="D41" i="1" l="1"/>
  <c r="C41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<sst xmlns="http://schemas.openxmlformats.org/spreadsheetml/2006/main" count="110" uniqueCount="38">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</sst>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zoomScaleNormal="100" workbookViewId="0">
      <selection activeCell="C45" sqref="C45:D4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3735</v>
      </c>
      <c r="D5" s="25">
        <v>231877.73</v>
      </c>
    </row>
    <row r="6" spans="2:8" x14ac:dyDescent="0.25">
      <c r="B6" s="1" t="s">
        <v>5</v>
      </c>
      <c r="C6" s="6">
        <v>2901</v>
      </c>
      <c r="D6" s="25">
        <v>133368</v>
      </c>
    </row>
    <row r="7" spans="2:8" x14ac:dyDescent="0.25">
      <c r="B7" s="1" t="s">
        <v>6</v>
      </c>
      <c r="C7" s="6">
        <v>6190</v>
      </c>
      <c r="D7" s="25">
        <v>117901.48000000001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20541</v>
      </c>
      <c r="D9" s="25">
        <v>136485.91</v>
      </c>
      <c r="E9" s="14"/>
      <c r="F9" s="7"/>
    </row>
    <row r="10" spans="2:8" x14ac:dyDescent="0.25">
      <c r="B10" s="3" t="s">
        <v>8</v>
      </c>
      <c r="C10" s="8">
        <f>SUM(C5:C9)</f>
        <v>33378</v>
      </c>
      <c r="D10" s="4">
        <f>SUM(D5:D9)</f>
        <v>619633.12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1715</v>
      </c>
      <c r="D14" s="25">
        <v>75808.110000000015</v>
      </c>
    </row>
    <row r="15" spans="2:8" x14ac:dyDescent="0.25">
      <c r="B15" s="9" t="s">
        <v>5</v>
      </c>
      <c r="C15" s="6">
        <v>273</v>
      </c>
      <c r="D15" s="25">
        <v>6973.24</v>
      </c>
    </row>
    <row r="16" spans="2:8" x14ac:dyDescent="0.25">
      <c r="B16" s="9" t="s">
        <v>6</v>
      </c>
      <c r="C16" s="6">
        <v>1339</v>
      </c>
      <c r="D16" s="25">
        <v>23845.489999999998</v>
      </c>
    </row>
    <row r="17" spans="2:4" x14ac:dyDescent="0.25">
      <c r="B17" s="5" t="s">
        <v>12</v>
      </c>
      <c r="C17" s="7">
        <v>1</v>
      </c>
      <c r="D17" s="26">
        <v>0</v>
      </c>
    </row>
    <row r="18" spans="2:4" x14ac:dyDescent="0.25">
      <c r="B18" s="9" t="s">
        <v>7</v>
      </c>
      <c r="C18" s="6">
        <v>17479</v>
      </c>
      <c r="D18" s="25">
        <v>18681.86</v>
      </c>
    </row>
    <row r="19" spans="2:4" x14ac:dyDescent="0.25">
      <c r="B19" s="10" t="s">
        <v>8</v>
      </c>
      <c r="C19" s="8">
        <f>SUM(C14:C18)</f>
        <v>20807</v>
      </c>
      <c r="D19" s="4">
        <f>SUM(D14:D18)</f>
        <v>125308.70000000003</v>
      </c>
    </row>
    <row r="21" spans="2:4" x14ac:dyDescent="0.25">
      <c r="B21" s="28" t="s">
        <v>36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2084</v>
      </c>
      <c r="D23" s="25">
        <v>47623.9</v>
      </c>
    </row>
    <row r="24" spans="2:4" x14ac:dyDescent="0.25">
      <c r="B24" s="1" t="s">
        <v>5</v>
      </c>
      <c r="C24" s="6">
        <v>1449</v>
      </c>
      <c r="D24" s="25">
        <v>16064.17</v>
      </c>
    </row>
    <row r="25" spans="2:4" x14ac:dyDescent="0.25">
      <c r="B25" s="1" t="s">
        <v>6</v>
      </c>
      <c r="C25" s="6">
        <v>3600</v>
      </c>
      <c r="D25" s="25">
        <v>26445</v>
      </c>
    </row>
    <row r="26" spans="2:4" x14ac:dyDescent="0.25">
      <c r="B26" s="5" t="s">
        <v>12</v>
      </c>
      <c r="C26" s="6">
        <v>0</v>
      </c>
      <c r="D26" s="26">
        <v>0</v>
      </c>
    </row>
    <row r="27" spans="2:4" x14ac:dyDescent="0.25">
      <c r="B27" s="1" t="s">
        <v>7</v>
      </c>
      <c r="C27" s="7">
        <v>18142</v>
      </c>
      <c r="D27" s="25">
        <v>22763</v>
      </c>
    </row>
    <row r="28" spans="2:4" x14ac:dyDescent="0.25">
      <c r="B28" s="3" t="s">
        <v>8</v>
      </c>
      <c r="C28" s="8">
        <f>SUM(C23:C27)</f>
        <v>25275</v>
      </c>
      <c r="D28" s="4">
        <f>SUM(D23:D27)</f>
        <v>112896.07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701</v>
      </c>
      <c r="D32" s="25">
        <v>56595.16</v>
      </c>
    </row>
    <row r="33" spans="2:4" x14ac:dyDescent="0.25">
      <c r="B33" s="9" t="s">
        <v>5</v>
      </c>
      <c r="C33" s="6">
        <v>637</v>
      </c>
      <c r="D33" s="25">
        <v>15149.45</v>
      </c>
    </row>
    <row r="34" spans="2:4" x14ac:dyDescent="0.25">
      <c r="B34" s="9" t="s">
        <v>6</v>
      </c>
      <c r="C34" s="6">
        <v>803</v>
      </c>
      <c r="D34" s="25">
        <v>12379.72</v>
      </c>
    </row>
    <row r="35" spans="2:4" x14ac:dyDescent="0.25">
      <c r="B35" s="9" t="s">
        <v>7</v>
      </c>
      <c r="C35" s="6">
        <v>4323</v>
      </c>
      <c r="D35" s="25">
        <v>2398</v>
      </c>
    </row>
    <row r="36" spans="2:4" x14ac:dyDescent="0.25">
      <c r="B36" s="10" t="s">
        <v>8</v>
      </c>
      <c r="C36" s="8">
        <f>SUM(C32:C35)</f>
        <v>6464</v>
      </c>
      <c r="D36" s="4">
        <f>SUM(D32:D35)</f>
        <v>86522.33</v>
      </c>
    </row>
    <row r="38" spans="2:4" x14ac:dyDescent="0.25">
      <c r="B38" s="27" t="s">
        <v>11</v>
      </c>
      <c r="C38" s="27"/>
      <c r="D38" s="27"/>
    </row>
    <row r="39" spans="2:4" x14ac:dyDescent="0.25">
      <c r="B39" s="4" t="s">
        <v>1</v>
      </c>
      <c r="C39" s="4" t="s">
        <v>2</v>
      </c>
      <c r="D39" s="4" t="s">
        <v>3</v>
      </c>
    </row>
    <row r="40" spans="2:4" x14ac:dyDescent="0.25">
      <c r="B40" s="9" t="s">
        <v>4</v>
      </c>
      <c r="C40" s="6">
        <v>1465</v>
      </c>
      <c r="D40" s="25">
        <v>21054</v>
      </c>
    </row>
    <row r="41" spans="2:4" x14ac:dyDescent="0.25">
      <c r="B41" s="10" t="s">
        <v>8</v>
      </c>
      <c r="C41" s="8">
        <f>SUM(C40:C40)</f>
        <v>1465</v>
      </c>
      <c r="D41" s="4">
        <f>SUM(D40:D40)</f>
        <v>21054</v>
      </c>
    </row>
    <row r="43" spans="2:4" x14ac:dyDescent="0.25">
      <c r="B43" s="28" t="s">
        <v>31</v>
      </c>
      <c r="C43" s="28"/>
      <c r="D43" s="28"/>
    </row>
    <row r="44" spans="2:4" x14ac:dyDescent="0.25">
      <c r="B44" s="2" t="s">
        <v>1</v>
      </c>
      <c r="C44" s="2" t="s">
        <v>2</v>
      </c>
      <c r="D44" s="2" t="s">
        <v>3</v>
      </c>
    </row>
    <row r="45" spans="2:4" x14ac:dyDescent="0.25">
      <c r="B45" s="9" t="s">
        <v>4</v>
      </c>
      <c r="C45" s="6">
        <v>804</v>
      </c>
      <c r="D45" s="25">
        <v>7851.81</v>
      </c>
    </row>
    <row r="46" spans="2:4" x14ac:dyDescent="0.25">
      <c r="B46" s="1" t="s">
        <v>5</v>
      </c>
      <c r="C46" s="6">
        <v>696</v>
      </c>
      <c r="D46" s="25">
        <v>8170</v>
      </c>
    </row>
    <row r="47" spans="2:4" x14ac:dyDescent="0.25">
      <c r="B47" s="1" t="s">
        <v>6</v>
      </c>
      <c r="C47" s="6">
        <v>1002</v>
      </c>
      <c r="D47" s="25">
        <v>1361</v>
      </c>
    </row>
    <row r="48" spans="2:4" x14ac:dyDescent="0.25">
      <c r="B48" s="1" t="s">
        <v>7</v>
      </c>
      <c r="C48" s="6">
        <v>418</v>
      </c>
      <c r="D48" s="25">
        <v>2732</v>
      </c>
    </row>
    <row r="49" spans="2:4" x14ac:dyDescent="0.25">
      <c r="B49" s="3" t="s">
        <v>8</v>
      </c>
      <c r="C49" s="8">
        <f>SUM(C45:C48)</f>
        <v>2920</v>
      </c>
      <c r="D49" s="4">
        <f>SUM(D45:D48)</f>
        <v>20114.810000000001</v>
      </c>
    </row>
    <row r="51" spans="2:4" x14ac:dyDescent="0.25">
      <c r="B51" s="28" t="s">
        <v>30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586</v>
      </c>
      <c r="D53" s="25">
        <v>10271</v>
      </c>
    </row>
    <row r="54" spans="2:4" x14ac:dyDescent="0.25">
      <c r="B54" s="1" t="s">
        <v>5</v>
      </c>
      <c r="C54" s="6">
        <v>7</v>
      </c>
      <c r="D54" s="25">
        <v>1926</v>
      </c>
    </row>
    <row r="55" spans="2:4" x14ac:dyDescent="0.25">
      <c r="B55" s="1" t="s">
        <v>6</v>
      </c>
      <c r="C55" s="6">
        <v>538</v>
      </c>
      <c r="D55" s="25">
        <v>1369</v>
      </c>
    </row>
    <row r="56" spans="2:4" x14ac:dyDescent="0.25">
      <c r="B56" s="1" t="s">
        <v>7</v>
      </c>
      <c r="C56" s="6">
        <v>2296</v>
      </c>
      <c r="D56" s="25">
        <v>1816</v>
      </c>
    </row>
    <row r="57" spans="2:4" x14ac:dyDescent="0.25">
      <c r="B57" s="3" t="s">
        <v>8</v>
      </c>
      <c r="C57" s="8">
        <f>SUM(C53:C56)</f>
        <v>3427</v>
      </c>
      <c r="D57" s="4">
        <f>SUM(D53:D56)</f>
        <v>15382</v>
      </c>
    </row>
    <row r="59" spans="2:4" x14ac:dyDescent="0.25">
      <c r="B59" s="12" t="s">
        <v>13</v>
      </c>
      <c r="C59" s="13">
        <f>SUMIF(B:B, "Total general", C:C)</f>
        <v>93736</v>
      </c>
      <c r="D59" s="13">
        <f>SUMIF(B:B, "Total general", D:D)</f>
        <v>1000911.0300000001</v>
      </c>
    </row>
  </sheetData>
  <mergeCells count="7">
    <mergeCell ref="B38:D38"/>
    <mergeCell ref="B43:D43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3:H20"/>
  <sheetViews>
    <sheetView showGridLines="0" tabSelected="1" zoomScaleNormal="100" workbookViewId="0">
      <selection activeCell="C9" sqref="C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37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10200</v>
      </c>
      <c r="D5" s="25">
        <v>53063</v>
      </c>
    </row>
    <row r="6" spans="2:8" x14ac:dyDescent="0.25">
      <c r="B6" s="1" t="s">
        <v>5</v>
      </c>
      <c r="C6" s="6">
        <v>5831</v>
      </c>
      <c r="D6" s="25">
        <v>4577</v>
      </c>
    </row>
    <row r="7" spans="2:8" x14ac:dyDescent="0.25">
      <c r="B7" s="1" t="s">
        <v>6</v>
      </c>
      <c r="C7" s="6">
        <v>8752</v>
      </c>
      <c r="D7" s="25">
        <v>8525</v>
      </c>
    </row>
    <row r="8" spans="2:8" x14ac:dyDescent="0.25">
      <c r="B8" s="5" t="s">
        <v>12</v>
      </c>
      <c r="C8" s="7">
        <v>2739</v>
      </c>
      <c r="D8" s="25">
        <v>493</v>
      </c>
    </row>
    <row r="9" spans="2:8" x14ac:dyDescent="0.25">
      <c r="B9" s="1" t="s">
        <v>7</v>
      </c>
      <c r="C9" s="6">
        <v>113104</v>
      </c>
      <c r="D9" s="25">
        <v>44224</v>
      </c>
      <c r="E9" s="14"/>
      <c r="F9" s="7"/>
    </row>
    <row r="10" spans="2:8" x14ac:dyDescent="0.25">
      <c r="B10" s="3" t="s">
        <v>8</v>
      </c>
      <c r="C10" s="8">
        <f>SUM(C5:C9)</f>
        <v>140626</v>
      </c>
      <c r="D10" s="4">
        <f>SUM(D5:D9)</f>
        <v>110882</v>
      </c>
      <c r="E10" s="11" t="s">
        <v>14</v>
      </c>
    </row>
    <row r="12" spans="2:8" x14ac:dyDescent="0.25">
      <c r="B12" s="28" t="s">
        <v>31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804</v>
      </c>
      <c r="D14" s="25">
        <v>7851.81</v>
      </c>
    </row>
    <row r="15" spans="2:8" x14ac:dyDescent="0.25">
      <c r="B15" s="1" t="s">
        <v>5</v>
      </c>
      <c r="C15" s="6">
        <v>696</v>
      </c>
      <c r="D15" s="25">
        <v>8170</v>
      </c>
    </row>
    <row r="16" spans="2:8" x14ac:dyDescent="0.25">
      <c r="B16" s="1" t="s">
        <v>6</v>
      </c>
      <c r="C16" s="6">
        <v>1002</v>
      </c>
      <c r="D16" s="25">
        <v>1361</v>
      </c>
    </row>
    <row r="17" spans="2:4" x14ac:dyDescent="0.25">
      <c r="B17" s="1" t="s">
        <v>7</v>
      </c>
      <c r="C17" s="6">
        <v>418</v>
      </c>
      <c r="D17" s="25">
        <v>2732</v>
      </c>
    </row>
    <row r="18" spans="2:4" x14ac:dyDescent="0.25">
      <c r="B18" s="3" t="s">
        <v>8</v>
      </c>
      <c r="C18" s="8">
        <f>SUM(C14:C17)</f>
        <v>2920</v>
      </c>
      <c r="D18" s="4">
        <f>SUM(D14:D17)</f>
        <v>20114.810000000001</v>
      </c>
    </row>
    <row r="20" spans="2:4" x14ac:dyDescent="0.25">
      <c r="B20" s="12" t="s">
        <v>13</v>
      </c>
      <c r="C20" s="13">
        <f>SUMIF(B:B, "Total general", C:C)</f>
        <v>143546</v>
      </c>
      <c r="D20" s="13">
        <f>SUMIF(B:B, "Total general", D:D)</f>
        <v>130996.81</v>
      </c>
    </row>
  </sheetData>
  <mergeCells count="2">
    <mergeCell ref="B3:D3"/>
    <mergeCell ref="B12:D12"/>
  </mergeCells>
  <pageMargins left="0.7" right="0.7" top="0.75" bottom="0.75" header="0.3" footer="0.3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11090</v>
      </c>
      <c r="E6" s="16">
        <f>SUMIF('REPORTE DIARIO'!B:B,'EPR 26 JUN'!C6, 'REPORTE DIARIO'!D:D)</f>
        <v>451081.71</v>
      </c>
      <c r="F6" s="16">
        <f>J6*D6</f>
        <v>697085.7142857142</v>
      </c>
      <c r="G6" s="16">
        <f>+E6-F6</f>
        <v>-246004.00428571418</v>
      </c>
      <c r="H6" s="15">
        <f>ABS(G6/F6)</f>
        <v>0.35290352282974002</v>
      </c>
      <c r="I6" s="16">
        <f>E6/D6</f>
        <v>40.674635707844907</v>
      </c>
      <c r="J6" s="16">
        <f>(220/7)*2</f>
        <v>62.857142857142854</v>
      </c>
      <c r="K6" s="16">
        <f>+I6-J6</f>
        <v>-22.182507149297948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5963</v>
      </c>
      <c r="E7" s="16">
        <f>SUMIF('REPORTE DIARIO'!B:B,'EPR 26 JUN'!C7, 'REPORTE DIARIO'!D:D)</f>
        <v>181650.86000000002</v>
      </c>
      <c r="F7" s="16">
        <f>J7*D7</f>
        <v>187408.57142857142</v>
      </c>
      <c r="G7" s="16">
        <f>+E7-F7</f>
        <v>-5757.7114285714051</v>
      </c>
      <c r="H7" s="15">
        <f>ABS(G7/F7)</f>
        <v>3.0722775296144283E-2</v>
      </c>
      <c r="I7" s="16">
        <f>E7/D7</f>
        <v>30.462998490692605</v>
      </c>
      <c r="J7" s="16">
        <f>(110/7)*2</f>
        <v>31.428571428571427</v>
      </c>
      <c r="K7" s="16">
        <f t="shared" ref="K7:K9" si="0">+I7-J7</f>
        <v>-0.96557293787882159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13472</v>
      </c>
      <c r="E8" s="16">
        <f>SUMIF('REPORTE DIARIO'!B:B,'EPR 26 JUN'!C8, 'REPORTE DIARIO'!D:D)</f>
        <v>183301.69</v>
      </c>
      <c r="F8" s="16">
        <f>J8*D8</f>
        <v>173211.42857142858</v>
      </c>
      <c r="G8" s="16">
        <f>+E8-F8</f>
        <v>10090.261428571423</v>
      </c>
      <c r="H8" s="15">
        <f>ABS(G8/F8)</f>
        <v>5.8254016561097875E-2</v>
      </c>
      <c r="I8" s="16">
        <f>E8/D8</f>
        <v>13.606123070071259</v>
      </c>
      <c r="J8" s="16">
        <f>(45/7)*2</f>
        <v>12.857142857142858</v>
      </c>
      <c r="K8" s="16">
        <f t="shared" si="0"/>
        <v>0.74898021292840156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63199</v>
      </c>
      <c r="E9" s="16">
        <f>SUMIF('REPORTE DIARIO'!B:B,'EPR 26 JUN'!C9, 'REPORTE DIARIO'!D:D)</f>
        <v>184876.77000000002</v>
      </c>
      <c r="F9" s="16">
        <f>J9*D9</f>
        <v>270852.85714285716</v>
      </c>
      <c r="G9" s="16">
        <f>+E9-F9</f>
        <v>-85976.087142857141</v>
      </c>
      <c r="H9" s="15">
        <f>ABS(G9/F9)</f>
        <v>0.31742728524185504</v>
      </c>
      <c r="I9" s="16">
        <f>E9/D9</f>
        <v>2.9253116346777643</v>
      </c>
      <c r="J9" s="16">
        <f>(15/7)*2</f>
        <v>4.2857142857142856</v>
      </c>
      <c r="K9" s="16">
        <f t="shared" si="0"/>
        <v>-1.3604026510365212</v>
      </c>
    </row>
    <row r="10" spans="2:12" x14ac:dyDescent="0.25">
      <c r="B10" s="16"/>
      <c r="C10" s="19" t="s">
        <v>17</v>
      </c>
      <c r="D10" s="24">
        <f>SUM(D6:D9)</f>
        <v>93724</v>
      </c>
      <c r="E10" s="20">
        <f>SUM(E6:E9)</f>
        <v>1000911.03</v>
      </c>
      <c r="F10" s="20">
        <f>SUM(F6:F9)</f>
        <v>1328558.5714285714</v>
      </c>
      <c r="G10" s="20">
        <f>+E10-F10</f>
        <v>-327647.54142857133</v>
      </c>
      <c r="H10" s="21">
        <f>ABS(G10/F10)</f>
        <v>0.246618815665958</v>
      </c>
      <c r="I10" s="20">
        <f>E10/D10</f>
        <v>10.679346058640263</v>
      </c>
      <c r="J10" s="20">
        <f>F10/D10</f>
        <v>14.17522269033088</v>
      </c>
      <c r="K10" s="20">
        <f>I10-J10</f>
        <v>-3.4958766316906171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2025-07-30T03:38:18Z</dcterms:modified>
</cp:coreProperties>
</file>