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6 ABRIL\MAÑANA\"/>
    </mc:Choice>
  </mc:AlternateContent>
  <xr:revisionPtr revIDLastSave="0" documentId="13_ncr:1_{051B2465-0C09-4CEE-BE82-A4BFFD0FD599}" xr6:coauthVersionLast="47" xr6:coauthVersionMax="47" xr10:uidLastSave="{00000000-0000-0000-0000-000000000000}"/>
  <bookViews>
    <workbookView xWindow="9315" yWindow="9465" windowWidth="10770" windowHeight="10350" xr2:uid="{4DC6C92A-CD8A-4966-829B-0B6A986E825B}"/>
  </bookViews>
  <sheets>
    <sheet name="REPORTE DIARIO" sheetId="1" r:id="rId1"/>
    <sheet name="DATA" sheetId="4" r:id="rId2"/>
    <sheet name="EPR 1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<sst xmlns="http://schemas.openxmlformats.org/spreadsheetml/2006/main" count="79" uniqueCount="36">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</sst>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7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6628</v>
      </c>
      <c r="D5" s="25">
        <v>174708.26</v>
      </c>
    </row>
    <row r="6" spans="2:8" x14ac:dyDescent="0.25">
      <c r="B6" s="1" t="s">
        <v>5</v>
      </c>
      <c r="C6" s="6">
        <v>5800</v>
      </c>
      <c r="D6" s="25">
        <v>203043.16</v>
      </c>
    </row>
    <row r="7" spans="2:8" x14ac:dyDescent="0.25">
      <c r="B7" s="1" t="s">
        <v>6</v>
      </c>
      <c r="C7" s="6">
        <v>8789</v>
      </c>
      <c r="D7" s="25">
        <v>97444.54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21315</v>
      </c>
      <c r="D9" s="25">
        <v>156567.17000000001</v>
      </c>
      <c r="F9" s="7"/>
    </row>
    <row r="10" spans="2:8" x14ac:dyDescent="0.25">
      <c r="B10" s="3" t="s">
        <v>8</v>
      </c>
      <c r="C10" s="8">
        <f>SUM(C5:C9)</f>
        <v>42553</v>
      </c>
      <c r="D10" s="4">
        <f>SUM(D5:D9)</f>
        <v>631763.13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2019</v>
      </c>
      <c r="D14" s="25">
        <v>168935.89000000004</v>
      </c>
    </row>
    <row r="15" spans="2:8" x14ac:dyDescent="0.25">
      <c r="B15" s="9" t="s">
        <v>5</v>
      </c>
      <c r="C15" s="6">
        <v>2162</v>
      </c>
      <c r="D15" s="25">
        <v>28660.27</v>
      </c>
    </row>
    <row r="16" spans="2:8" x14ac:dyDescent="0.25">
      <c r="B16" s="9" t="s">
        <v>6</v>
      </c>
      <c r="C16" s="6">
        <v>921</v>
      </c>
      <c r="D16" s="25">
        <v>15352.92</v>
      </c>
    </row>
    <row r="17" spans="2:11" x14ac:dyDescent="0.25">
      <c r="B17" s="9" t="s">
        <v>7</v>
      </c>
      <c r="C17" s="6">
        <v>8971</v>
      </c>
      <c r="D17" s="25">
        <v>17971.25</v>
      </c>
    </row>
    <row r="18" spans="2:11" x14ac:dyDescent="0.25">
      <c r="B18" s="10" t="s">
        <v>8</v>
      </c>
      <c r="C18" s="8">
        <f>SUM(C14:C17)</f>
        <v>14073</v>
      </c>
      <c r="D18" s="4">
        <f>SUM(D14:D17)</f>
        <v>230920.33000000005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2380</v>
      </c>
      <c r="D22" s="25">
        <v>72802.049999999988</v>
      </c>
    </row>
    <row r="23" spans="2:11" x14ac:dyDescent="0.25">
      <c r="B23" s="1" t="s">
        <v>5</v>
      </c>
      <c r="C23" s="6">
        <v>1540</v>
      </c>
      <c r="D23" s="25">
        <v>29459.05</v>
      </c>
    </row>
    <row r="24" spans="2:11" x14ac:dyDescent="0.25">
      <c r="B24" s="1" t="s">
        <v>6</v>
      </c>
      <c r="C24" s="6">
        <v>3301</v>
      </c>
      <c r="D24" s="25">
        <v>12630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21224</v>
      </c>
      <c r="D26" s="25">
        <v>42725.97</v>
      </c>
    </row>
    <row r="27" spans="2:11" x14ac:dyDescent="0.25">
      <c r="B27" s="3" t="s">
        <v>8</v>
      </c>
      <c r="C27" s="8">
        <f>SUM(C22:C26)</f>
        <v>28447</v>
      </c>
      <c r="D27" s="4">
        <f>SUM(D22:D26)</f>
        <v>157617.07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1358</v>
      </c>
      <c r="D31" s="25">
        <v>68176.11</v>
      </c>
    </row>
    <row r="32" spans="2:11" x14ac:dyDescent="0.25">
      <c r="B32" s="9" t="s">
        <v>5</v>
      </c>
      <c r="C32" s="6">
        <v>1957</v>
      </c>
      <c r="D32" s="25">
        <v>16687.38</v>
      </c>
    </row>
    <row r="33" spans="2:4" x14ac:dyDescent="0.25">
      <c r="B33" s="9" t="s">
        <v>6</v>
      </c>
      <c r="C33" s="6">
        <v>2732</v>
      </c>
      <c r="D33" s="25">
        <v>2325</v>
      </c>
    </row>
    <row r="34" spans="2:4" x14ac:dyDescent="0.25">
      <c r="B34" s="9" t="s">
        <v>7</v>
      </c>
      <c r="C34" s="6">
        <v>4264</v>
      </c>
      <c r="D34" s="25">
        <v>2465</v>
      </c>
    </row>
    <row r="35" spans="2:4" x14ac:dyDescent="0.25">
      <c r="B35" s="10" t="s">
        <v>8</v>
      </c>
      <c r="C35" s="8">
        <f>SUM(C31:C34)</f>
        <v>10311</v>
      </c>
      <c r="D35" s="4">
        <f>SUM(D31:D34)</f>
        <v>89653.49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2534</v>
      </c>
      <c r="D39" s="25">
        <v>39533.630000000005</v>
      </c>
    </row>
    <row r="40" spans="2:4" x14ac:dyDescent="0.25">
      <c r="B40" s="10" t="s">
        <v>8</v>
      </c>
      <c r="C40" s="8">
        <f>SUM(C39:C39)</f>
        <v>2534</v>
      </c>
      <c r="D40" s="4">
        <f>SUM(D39:D39)</f>
        <v>39533.630000000005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2113</v>
      </c>
    </row>
    <row r="45" spans="2:4" x14ac:dyDescent="0.25">
      <c r="B45" s="1" t="s">
        <v>5</v>
      </c>
      <c r="C45" s="6">
        <v>319</v>
      </c>
      <c r="D45" s="25">
        <v>13300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1931</v>
      </c>
      <c r="D47" s="25">
        <v>6929</v>
      </c>
    </row>
    <row r="48" spans="2:4" x14ac:dyDescent="0.25">
      <c r="B48" s="3" t="s">
        <v>8</v>
      </c>
      <c r="C48" s="8">
        <f>SUM(C44:C47)</f>
        <v>2544</v>
      </c>
      <c r="D48" s="4">
        <f>SUM(D44:D47)</f>
        <v>22342</v>
      </c>
    </row>
    <row r="50" spans="2:4" x14ac:dyDescent="0.25">
      <c r="B50" s="12" t="s">
        <v>13</v>
      </c>
      <c r="C50" s="13">
        <f>SUM(C10+C18+C35+C40+C27+C48)</f>
        <v>100462</v>
      </c>
      <c r="D50" s="13">
        <f>SUM(D10+D18+D35+D40+D27+D48)</f>
        <v>1171829.6500000001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16 ABR'!C6, 'REPORTE DIARIO'!C:C)</f>
        <v>14958</v>
      </c>
      <c r="E6" s="16">
        <f>SUMIF('REPORTE DIARIO'!B:B,'EPR 16 ABR'!C6, 'REPORTE DIARIO'!D:D)</f>
        <v>526268.93999999994</v>
      </c>
      <c r="F6" s="16">
        <f>J6*D6</f>
        <v>1282114.2857142859</v>
      </c>
      <c r="G6" s="16">
        <f>+E6-F6</f>
        <v>-755845.34571428597</v>
      </c>
      <c r="H6" s="15">
        <f>ABS(G6/F6)</f>
        <v>0.58953039844899058</v>
      </c>
      <c r="I6" s="16">
        <f>E6/D6</f>
        <v>35.183108704372238</v>
      </c>
      <c r="J6" s="16">
        <f>(200/7)*3</f>
        <v>85.714285714285722</v>
      </c>
      <c r="K6" s="16">
        <f>+I6-J6</f>
        <v>-50.531177009913485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16 ABR'!C7, 'REPORTE DIARIO'!C:C)</f>
        <v>11778</v>
      </c>
      <c r="E7" s="16">
        <f>SUMIF('REPORTE DIARIO'!B:B,'EPR 16 ABR'!C7, 'REPORTE DIARIO'!D:D)</f>
        <v>291149.86</v>
      </c>
      <c r="F7" s="16">
        <f>J7*D7</f>
        <v>555248.57142857136</v>
      </c>
      <c r="G7" s="16">
        <f>+E7-F7</f>
        <v>-264098.71142857138</v>
      </c>
      <c r="H7" s="15">
        <f>ABS(G7/F7)</f>
        <v>0.47564050592527413</v>
      </c>
      <c r="I7" s="16">
        <f>E7/D7</f>
        <v>24.719804720665646</v>
      </c>
      <c r="J7" s="16">
        <f>(110/7)*3</f>
        <v>47.142857142857139</v>
      </c>
      <c r="K7" s="16">
        <f t="shared" ref="K7:K9" si="0">+I7-J7</f>
        <v>-22.423052422191493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16 ABR'!C8, 'REPORTE DIARIO'!C:C)</f>
        <v>15998</v>
      </c>
      <c r="E8" s="16">
        <f>SUMIF('REPORTE DIARIO'!B:B,'EPR 16 ABR'!C8, 'REPORTE DIARIO'!D:D)</f>
        <v>127752.45999999999</v>
      </c>
      <c r="F8" s="16">
        <f>J8*D8</f>
        <v>308532.8571428571</v>
      </c>
      <c r="G8" s="16">
        <f>+E8-F8</f>
        <v>-180780.39714285711</v>
      </c>
      <c r="H8" s="15">
        <f>ABS(G8/F8)</f>
        <v>0.58593564010316102</v>
      </c>
      <c r="I8" s="16">
        <f>E8/D8</f>
        <v>7.9855269408676079</v>
      </c>
      <c r="J8" s="16">
        <f>(45/7)*3</f>
        <v>19.285714285714285</v>
      </c>
      <c r="K8" s="16">
        <f t="shared" si="0"/>
        <v>-11.300187344846677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16 ABR'!C9, 'REPORTE DIARIO'!C:C)</f>
        <v>57705</v>
      </c>
      <c r="E9" s="16">
        <f>SUMIF('REPORTE DIARIO'!B:B,'EPR 16 ABR'!C9, 'REPORTE DIARIO'!D:D)</f>
        <v>226658.39</v>
      </c>
      <c r="F9" s="16">
        <f>J9*D9</f>
        <v>370960.71428571432</v>
      </c>
      <c r="G9" s="16">
        <f>+E9-F9</f>
        <v>-144302.32428571431</v>
      </c>
      <c r="H9" s="15">
        <f>ABS(G9/F9)</f>
        <v>0.38899624334498262</v>
      </c>
      <c r="I9" s="16">
        <f>E9/D9</f>
        <v>3.9278812927822546</v>
      </c>
      <c r="J9" s="16">
        <f>(15/7)*3</f>
        <v>6.4285714285714288</v>
      </c>
      <c r="K9" s="16">
        <f t="shared" si="0"/>
        <v>-2.5006901357891742</v>
      </c>
    </row>
    <row r="10" spans="2:12" x14ac:dyDescent="0.25">
      <c r="B10" s="16"/>
      <c r="C10" s="19" t="s">
        <v>17</v>
      </c>
      <c r="D10" s="24">
        <f>SUM(D6:D9)</f>
        <v>100439</v>
      </c>
      <c r="E10" s="20">
        <f>SUM(E6:E9)</f>
        <v>1171829.6499999999</v>
      </c>
      <c r="F10" s="20">
        <f>SUM(F6:F9)</f>
        <v>2516856.4285714291</v>
      </c>
      <c r="G10" s="20">
        <f>+E10-F10</f>
        <v>-1345026.7785714292</v>
      </c>
      <c r="H10" s="21">
        <f>ABS(G10/F10)</f>
        <v>0.53440743115206935</v>
      </c>
      <c r="I10" s="20">
        <f>E10/D10</f>
        <v>11.667078027459452</v>
      </c>
      <c r="J10" s="20">
        <f>F10/D10</f>
        <v>25.058557219520594</v>
      </c>
      <c r="K10" s="20">
        <f>I10-J10</f>
        <v>-13.391479192061142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2025-04-16T15:03:59Z</dcterms:modified>
</cp:coreProperties>
</file>