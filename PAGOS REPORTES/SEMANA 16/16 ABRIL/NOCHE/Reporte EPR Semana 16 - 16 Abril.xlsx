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6 ABRIL\NOCHE\"/>
    </mc:Choice>
  </mc:AlternateContent>
  <xr:revisionPtr revIDLastSave="0" documentId="13_ncr:1_{4578741F-D817-4B3A-859D-CD350E29809A}" xr6:coauthVersionLast="47" xr6:coauthVersionMax="47" xr10:uidLastSave="{00000000-0000-0000-0000-000000000000}"/>
  <bookViews>
    <workbookView xWindow="12765" yWindow="10530" windowWidth="10770" windowHeight="10350" xr2:uid="{4DC6C92A-CD8A-4966-829B-0B6A986E825B}"/>
  </bookViews>
  <sheets>
    <sheet name="REPORTE DIARIO" sheetId="1" r:id="rId1"/>
    <sheet name="DATA" sheetId="4" r:id="rId2"/>
    <sheet name="EPR 16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J6" i="3"/>
  <c r="C48" i="1"/>
  <c r="D27" i="1" l="1"/>
  <c r="C27" i="1"/>
  <c r="J9" i="3"/>
  <c r="J8" i="3"/>
  <c r="J7" i="3"/>
  <c r="D6" i="3"/>
  <c r="F6" i="3" s="1"/>
  <c r="D40" i="1"/>
  <c r="C40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<sst xmlns="http://schemas.openxmlformats.org/spreadsheetml/2006/main" count="78" uniqueCount="35">
  <si>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</si>
  <si>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</si>
  <si>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</si>
  <si>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</si>
  <si>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</si>
  <si>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</si>
  <si>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</si>
  <si>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</si>
  <si>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</si>
  <si>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</si>
  <si>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</si>
  <si>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</si>
  <si>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</si>
  <si>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</si>
  <si>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</si>
  <si>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</si>
  <si>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</si>
  <si>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</si>
  <si>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</si>
  <si>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</si>
  <si>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</si>
  <si>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</si>
  <si>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</si>
  <si>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</si>
  <si>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</si>
  <si>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</si>
  <si>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</si>
  <si>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</si>
  <si>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</si>
  <si>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</si>
  <si>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</si>
  <si>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</si>
  <si>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</si>
  <si>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</si>
  <si>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COBRANZA 16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</si>
</sst>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topLeftCell="A16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6607</v>
      </c>
      <c r="D5" s="25">
        <v>69752.489999999991</v>
      </c>
    </row>
    <row r="6" spans="2:8" x14ac:dyDescent="0.25">
      <c r="B6" s="1" t="s">
        <v>5</v>
      </c>
      <c r="C6" s="6">
        <v>5817</v>
      </c>
      <c r="D6" s="25">
        <v>57460.84</v>
      </c>
    </row>
    <row r="7" spans="2:8" x14ac:dyDescent="0.25">
      <c r="B7" s="1" t="s">
        <v>6</v>
      </c>
      <c r="C7" s="6">
        <v>8797</v>
      </c>
      <c r="D7" s="25">
        <v>17893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21216</v>
      </c>
      <c r="D9" s="25">
        <v>52734.450000000012</v>
      </c>
    </row>
    <row r="10" spans="2:8" x14ac:dyDescent="0.25">
      <c r="B10" s="3" t="s">
        <v>8</v>
      </c>
      <c r="C10" s="8">
        <f>SUM(C5:C9)</f>
        <v>42458</v>
      </c>
      <c r="D10" s="4">
        <f>SUM(D5:D9)</f>
        <v>197840.78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2025</v>
      </c>
      <c r="D14" s="25">
        <v>34107.899999999994</v>
      </c>
    </row>
    <row r="15" spans="2:8" x14ac:dyDescent="0.25">
      <c r="B15" s="9" t="s">
        <v>5</v>
      </c>
      <c r="C15" s="6">
        <v>2179</v>
      </c>
      <c r="D15" s="25">
        <v>91363.299999999988</v>
      </c>
    </row>
    <row r="16" spans="2:8" x14ac:dyDescent="0.25">
      <c r="B16" s="9" t="s">
        <v>6</v>
      </c>
      <c r="C16" s="6">
        <v>936</v>
      </c>
      <c r="D16" s="25">
        <v>7228</v>
      </c>
    </row>
    <row r="17" spans="2:11" x14ac:dyDescent="0.25">
      <c r="B17" s="9" t="s">
        <v>7</v>
      </c>
      <c r="C17" s="6">
        <v>9098</v>
      </c>
      <c r="D17" s="25">
        <v>2786</v>
      </c>
    </row>
    <row r="18" spans="2:11" x14ac:dyDescent="0.25">
      <c r="B18" s="10" t="s">
        <v>8</v>
      </c>
      <c r="C18" s="8">
        <f>SUM(C14:C17)</f>
        <v>14238</v>
      </c>
      <c r="D18" s="4">
        <f>SUM(D14:D17)</f>
        <v>135485.19999999998</v>
      </c>
    </row>
    <row r="20" spans="2:11" x14ac:dyDescent="0.25">
      <c r="B20" s="27" t="s">
        <v>31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2399</v>
      </c>
      <c r="D22" s="25">
        <v>33138.559999999998</v>
      </c>
    </row>
    <row r="23" spans="2:11" x14ac:dyDescent="0.25">
      <c r="B23" s="1" t="s">
        <v>5</v>
      </c>
      <c r="C23" s="6">
        <v>1551</v>
      </c>
      <c r="D23" s="25">
        <v>16197</v>
      </c>
    </row>
    <row r="24" spans="2:11" x14ac:dyDescent="0.25">
      <c r="B24" s="1" t="s">
        <v>6</v>
      </c>
      <c r="C24" s="6">
        <v>3315</v>
      </c>
      <c r="D24" s="25">
        <v>5273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21325</v>
      </c>
      <c r="D26" s="25">
        <v>23013.59</v>
      </c>
      <c r="K26" s="7"/>
    </row>
    <row r="27" spans="2:11" x14ac:dyDescent="0.25">
      <c r="B27" s="3" t="s">
        <v>8</v>
      </c>
      <c r="C27" s="8">
        <f>SUM(C22:C26)</f>
        <v>28592</v>
      </c>
      <c r="D27" s="4">
        <f>SUM(D22:D26)</f>
        <v>77622.149999999994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1357</v>
      </c>
      <c r="D31" s="25">
        <v>19890.620000000003</v>
      </c>
    </row>
    <row r="32" spans="2:11" x14ac:dyDescent="0.25">
      <c r="B32" s="9" t="s">
        <v>5</v>
      </c>
      <c r="C32" s="6">
        <v>1957</v>
      </c>
      <c r="D32" s="25">
        <v>12232</v>
      </c>
    </row>
    <row r="33" spans="2:4" x14ac:dyDescent="0.25">
      <c r="B33" s="9" t="s">
        <v>6</v>
      </c>
      <c r="C33" s="6">
        <v>2746</v>
      </c>
      <c r="D33" s="26">
        <v>0</v>
      </c>
    </row>
    <row r="34" spans="2:4" x14ac:dyDescent="0.25">
      <c r="B34" s="9" t="s">
        <v>7</v>
      </c>
      <c r="C34" s="6">
        <v>4265</v>
      </c>
      <c r="D34" s="25">
        <v>1903.29</v>
      </c>
    </row>
    <row r="35" spans="2:4" x14ac:dyDescent="0.25">
      <c r="B35" s="10" t="s">
        <v>8</v>
      </c>
      <c r="C35" s="8">
        <f>SUM(C31:C34)</f>
        <v>10325</v>
      </c>
      <c r="D35" s="4">
        <f>SUM(D31:D34)</f>
        <v>34025.910000000003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2522</v>
      </c>
      <c r="D39" s="25">
        <v>12354.630000000001</v>
      </c>
    </row>
    <row r="40" spans="2:4" x14ac:dyDescent="0.25">
      <c r="B40" s="10" t="s">
        <v>8</v>
      </c>
      <c r="C40" s="8">
        <f>SUM(C39:C39)</f>
        <v>2522</v>
      </c>
      <c r="D40" s="4">
        <f>SUM(D39:D39)</f>
        <v>12354.630000000001</v>
      </c>
    </row>
    <row r="42" spans="2:4" x14ac:dyDescent="0.25">
      <c r="B42" s="27" t="s">
        <v>32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6">
        <v>0</v>
      </c>
    </row>
    <row r="45" spans="2:4" x14ac:dyDescent="0.25">
      <c r="B45" s="1" t="s">
        <v>5</v>
      </c>
      <c r="C45" s="6">
        <v>323</v>
      </c>
      <c r="D45" s="26">
        <v>0</v>
      </c>
    </row>
    <row r="46" spans="2:4" x14ac:dyDescent="0.25">
      <c r="B46" s="1" t="s">
        <v>6</v>
      </c>
      <c r="C46" s="6">
        <v>255</v>
      </c>
      <c r="D46" s="26">
        <v>0</v>
      </c>
    </row>
    <row r="47" spans="2:4" x14ac:dyDescent="0.25">
      <c r="B47" s="1" t="s">
        <v>7</v>
      </c>
      <c r="C47" s="6">
        <v>1931</v>
      </c>
      <c r="D47" s="25">
        <v>944</v>
      </c>
    </row>
    <row r="48" spans="2:4" x14ac:dyDescent="0.25">
      <c r="B48" s="3" t="s">
        <v>8</v>
      </c>
      <c r="C48" s="8">
        <f>SUM(C44:C47)</f>
        <v>2548</v>
      </c>
      <c r="D48" s="4">
        <f>SUM(D44:D47)</f>
        <v>944</v>
      </c>
    </row>
    <row r="50" spans="2:4" x14ac:dyDescent="0.25">
      <c r="B50" s="11" t="s">
        <v>13</v>
      </c>
      <c r="C50" s="12">
        <f>SUM(C10+C35+C18+C40+C27+C48)</f>
        <v>100683</v>
      </c>
      <c r="D50" s="12">
        <f>SUM(D10+D35+D18+D40+D27+D48)</f>
        <v>458272.67000000004</v>
      </c>
    </row>
  </sheetData>
  <mergeCells count="6">
    <mergeCell ref="B3:D3"/>
    <mergeCell ref="B29:D29"/>
    <mergeCell ref="B37:D37"/>
    <mergeCell ref="B42:D42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43" sqref="B43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34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16 ABR'!C6, 'REPORTE DIARIO'!C:C)</f>
        <v>14949</v>
      </c>
      <c r="E6" s="15">
        <f>SUMIF('REPORTE DIARIO'!B:B,'EPR 16 ABR'!C6, 'REPORTE DIARIO'!D:D)</f>
        <v>169244.19999999998</v>
      </c>
      <c r="F6" s="15">
        <f>J6*D6</f>
        <v>427114.28571428574</v>
      </c>
      <c r="G6" s="15">
        <f>+E6-F6</f>
        <v>-257870.08571428576</v>
      </c>
      <c r="H6" s="14">
        <f>ABS(G6/F6)</f>
        <v>0.60374961535888694</v>
      </c>
      <c r="I6" s="15">
        <f>E6/D6</f>
        <v>11.321439561174659</v>
      </c>
      <c r="J6" s="15">
        <f>200/7</f>
        <v>28.571428571428573</v>
      </c>
      <c r="K6" s="15">
        <f>+I6-J6</f>
        <v>-17.249989010253913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16 ABR'!C7, 'REPORTE DIARIO'!C:C)</f>
        <v>11827</v>
      </c>
      <c r="E7" s="15">
        <f>SUMIF('REPORTE DIARIO'!B:B,'EPR 16 ABR'!C7, 'REPORTE DIARIO'!D:D)</f>
        <v>177253.13999999998</v>
      </c>
      <c r="F7" s="15">
        <f>J7*D7</f>
        <v>185852.85714285713</v>
      </c>
      <c r="G7" s="15">
        <f>+E7-F7</f>
        <v>-8599.7171428571455</v>
      </c>
      <c r="H7" s="14">
        <f>ABS(G7/F7)</f>
        <v>4.6271643466029209E-2</v>
      </c>
      <c r="I7" s="15">
        <f>E7/D7</f>
        <v>14.987159888390968</v>
      </c>
      <c r="J7" s="15">
        <f>110/7</f>
        <v>15.714285714285714</v>
      </c>
      <c r="K7" s="15">
        <f t="shared" ref="K7:K9" si="0">+I7-J7</f>
        <v>-0.7271258258947455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16 ABR'!C8, 'REPORTE DIARIO'!C:C)</f>
        <v>16049</v>
      </c>
      <c r="E8" s="15">
        <f>SUMIF('REPORTE DIARIO'!B:B,'EPR 16 ABR'!C8, 'REPORTE DIARIO'!D:D)</f>
        <v>30394</v>
      </c>
      <c r="F8" s="15">
        <f>J8*D8</f>
        <v>103172.14285714286</v>
      </c>
      <c r="G8" s="15">
        <f>+E8-F8</f>
        <v>-72778.142857142855</v>
      </c>
      <c r="H8" s="14">
        <f>ABS(G8/F8)</f>
        <v>0.70540497504171251</v>
      </c>
      <c r="I8" s="15">
        <f>E8/D8</f>
        <v>1.8938251604461338</v>
      </c>
      <c r="J8" s="15">
        <f>45/7</f>
        <v>6.4285714285714288</v>
      </c>
      <c r="K8" s="15">
        <f t="shared" si="0"/>
        <v>-4.5347462681252946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16 ABR'!C9, 'REPORTE DIARIO'!C:C)</f>
        <v>57835</v>
      </c>
      <c r="E9" s="15">
        <f>SUMIF('REPORTE DIARIO'!B:B,'EPR 16 ABR'!C9, 'REPORTE DIARIO'!D:D)</f>
        <v>81381.33</v>
      </c>
      <c r="F9" s="15">
        <f>J9*D9</f>
        <v>123932.14285714286</v>
      </c>
      <c r="G9" s="15">
        <f>+E9-F9</f>
        <v>-42550.812857142853</v>
      </c>
      <c r="H9" s="14">
        <f>ABS(G9/F9)</f>
        <v>0.3433396040459929</v>
      </c>
      <c r="I9" s="15">
        <f>E9/D9</f>
        <v>1.4071294199014437</v>
      </c>
      <c r="J9" s="15">
        <f>15/7</f>
        <v>2.1428571428571428</v>
      </c>
      <c r="K9" s="15">
        <f t="shared" si="0"/>
        <v>-0.7357277229556991</v>
      </c>
    </row>
    <row r="10" spans="2:12" x14ac:dyDescent="0.25">
      <c r="B10" s="15"/>
      <c r="C10" s="18" t="s">
        <v>16</v>
      </c>
      <c r="D10" s="23">
        <f>SUM(D6:D9)</f>
        <v>100660</v>
      </c>
      <c r="E10" s="19">
        <f>SUM(E6:E9)</f>
        <v>458272.67</v>
      </c>
      <c r="F10" s="19">
        <f>SUM(F6:F9)</f>
        <v>840071.42857142852</v>
      </c>
      <c r="G10" s="19">
        <f>+E10-F10</f>
        <v>-381798.75857142854</v>
      </c>
      <c r="H10" s="20">
        <f>ABS(G10/F10)</f>
        <v>0.45448368506079412</v>
      </c>
      <c r="I10" s="19">
        <f>E10/D10</f>
        <v>4.5526790184780443</v>
      </c>
      <c r="J10" s="19">
        <f>F10/D10</f>
        <v>8.3456331072067211</v>
      </c>
      <c r="K10" s="19">
        <f>I10-J10</f>
        <v>-3.7929540887286768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16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2025-04-17T02:16:16Z</dcterms:modified>
</cp:coreProperties>
</file>