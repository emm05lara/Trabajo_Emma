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6 ABRIL\NOCHE\"/>
    </mc:Choice>
  </mc:AlternateContent>
  <xr:revisionPtr revIDLastSave="0" documentId="13_ncr:1_{F04B9E69-97CB-464C-83B6-7E4D549F8A43}" xr6:coauthVersionLast="47" xr6:coauthVersionMax="47" xr10:uidLastSave="{00000000-0000-0000-0000-000000000000}"/>
  <bookViews>
    <workbookView xWindow="5070" yWindow="5070" windowWidth="10770" windowHeight="10350" activeTab="2" xr2:uid="{4DC6C92A-CD8A-4966-829B-0B6A986E825B}"/>
  </bookViews>
  <sheets>
    <sheet name="REPORTE DIARIO" sheetId="1" r:id="rId1"/>
    <sheet name="DATA" sheetId="4" r:id="rId2"/>
    <sheet name="EPR 1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<sst xmlns="http://schemas.openxmlformats.org/spreadsheetml/2006/main" count="79" uniqueCount="36">
  <si>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</si>
  <si>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</si>
  <si>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</si>
  <si>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</si>
  <si>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</si>
  <si>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</si>
  <si>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</si>
  <si>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</si>
  <si>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</si>
  <si>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</si>
  <si>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</si>
  <si>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</si>
  <si>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</si>
  <si>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</si>
  <si>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</si>
  <si>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</si>
  <si>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</si>
  <si>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</si>
  <si>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</si>
  <si>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</si>
  <si>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</si>
  <si>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</si>
  <si>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</si>
  <si>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</si>
  <si>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</si>
  <si>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</si>
  <si>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</si>
  <si>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</si>
  <si>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</si>
  <si>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</si>
  <si>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</si>
  <si>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</si>
  <si>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</si>
  <si>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</si>
  <si>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</si>
  <si>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SALDO ACUMULADO 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</si>
</sst>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zoomScaleNormal="100" workbookViewId="0">
      <selection activeCell="D47" sqref="D4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6607</v>
      </c>
      <c r="D5" s="25">
        <v>244460.75000000003</v>
      </c>
    </row>
    <row r="6" spans="2:8" x14ac:dyDescent="0.25">
      <c r="B6" s="1" t="s">
        <v>5</v>
      </c>
      <c r="C6" s="6">
        <v>5817</v>
      </c>
      <c r="D6" s="25">
        <v>260504</v>
      </c>
    </row>
    <row r="7" spans="2:8" x14ac:dyDescent="0.25">
      <c r="B7" s="1" t="s">
        <v>6</v>
      </c>
      <c r="C7" s="6">
        <v>8797</v>
      </c>
      <c r="D7" s="25">
        <v>114127.54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21216</v>
      </c>
      <c r="D9" s="25">
        <v>207313.38000000003</v>
      </c>
      <c r="F9" s="7"/>
    </row>
    <row r="10" spans="2:8" x14ac:dyDescent="0.25">
      <c r="B10" s="3" t="s">
        <v>8</v>
      </c>
      <c r="C10" s="8">
        <f>SUM(C5:C9)</f>
        <v>42458</v>
      </c>
      <c r="D10" s="4">
        <f>SUM(D5:D9)</f>
        <v>826405.67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2025</v>
      </c>
      <c r="D14" s="25">
        <v>203043.79000000007</v>
      </c>
    </row>
    <row r="15" spans="2:8" x14ac:dyDescent="0.25">
      <c r="B15" s="9" t="s">
        <v>5</v>
      </c>
      <c r="C15" s="6">
        <v>2179</v>
      </c>
      <c r="D15" s="25">
        <v>119799.57</v>
      </c>
    </row>
    <row r="16" spans="2:8" x14ac:dyDescent="0.25">
      <c r="B16" s="9" t="s">
        <v>6</v>
      </c>
      <c r="C16" s="6">
        <v>936</v>
      </c>
      <c r="D16" s="25">
        <v>22580.92</v>
      </c>
    </row>
    <row r="17" spans="2:11" x14ac:dyDescent="0.25">
      <c r="B17" s="9" t="s">
        <v>7</v>
      </c>
      <c r="C17" s="6">
        <v>9098</v>
      </c>
      <c r="D17" s="25">
        <v>20757.25</v>
      </c>
    </row>
    <row r="18" spans="2:11" x14ac:dyDescent="0.25">
      <c r="B18" s="10" t="s">
        <v>8</v>
      </c>
      <c r="C18" s="8">
        <f>SUM(C14:C17)</f>
        <v>14238</v>
      </c>
      <c r="D18" s="4">
        <f>SUM(D14:D17)</f>
        <v>366181.53000000009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2399</v>
      </c>
      <c r="D22" s="25">
        <v>104823.60999999999</v>
      </c>
    </row>
    <row r="23" spans="2:11" x14ac:dyDescent="0.25">
      <c r="B23" s="1" t="s">
        <v>5</v>
      </c>
      <c r="C23" s="6">
        <v>1551</v>
      </c>
      <c r="D23" s="25">
        <v>45656.05</v>
      </c>
    </row>
    <row r="24" spans="2:11" x14ac:dyDescent="0.25">
      <c r="B24" s="1" t="s">
        <v>6</v>
      </c>
      <c r="C24" s="6">
        <v>3315</v>
      </c>
      <c r="D24" s="25">
        <v>17903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21325</v>
      </c>
      <c r="D26" s="25">
        <v>64259.56</v>
      </c>
    </row>
    <row r="27" spans="2:11" x14ac:dyDescent="0.25">
      <c r="B27" s="3" t="s">
        <v>8</v>
      </c>
      <c r="C27" s="8">
        <f>SUM(C22:C26)</f>
        <v>28592</v>
      </c>
      <c r="D27" s="4">
        <f>SUM(D22:D26)</f>
        <v>232642.21999999997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1357</v>
      </c>
      <c r="D31" s="25">
        <v>87254.73</v>
      </c>
    </row>
    <row r="32" spans="2:11" x14ac:dyDescent="0.25">
      <c r="B32" s="9" t="s">
        <v>5</v>
      </c>
      <c r="C32" s="6">
        <v>1957</v>
      </c>
      <c r="D32" s="25">
        <v>28870.38</v>
      </c>
    </row>
    <row r="33" spans="2:4" x14ac:dyDescent="0.25">
      <c r="B33" s="9" t="s">
        <v>6</v>
      </c>
      <c r="C33" s="6">
        <v>2746</v>
      </c>
      <c r="D33" s="25">
        <v>2325</v>
      </c>
    </row>
    <row r="34" spans="2:4" x14ac:dyDescent="0.25">
      <c r="B34" s="9" t="s">
        <v>7</v>
      </c>
      <c r="C34" s="6">
        <v>4265</v>
      </c>
      <c r="D34" s="25">
        <v>4368.29</v>
      </c>
    </row>
    <row r="35" spans="2:4" x14ac:dyDescent="0.25">
      <c r="B35" s="10" t="s">
        <v>8</v>
      </c>
      <c r="C35" s="8">
        <f>SUM(C31:C34)</f>
        <v>10325</v>
      </c>
      <c r="D35" s="4">
        <f>SUM(D31:D34)</f>
        <v>122818.4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2522</v>
      </c>
      <c r="D39" s="25">
        <v>49933.630000000005</v>
      </c>
    </row>
    <row r="40" spans="2:4" x14ac:dyDescent="0.25">
      <c r="B40" s="10" t="s">
        <v>8</v>
      </c>
      <c r="C40" s="8">
        <f>SUM(C39:C39)</f>
        <v>2522</v>
      </c>
      <c r="D40" s="4">
        <f>SUM(D39:D39)</f>
        <v>49933.630000000005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2113</v>
      </c>
    </row>
    <row r="45" spans="2:4" x14ac:dyDescent="0.25">
      <c r="B45" s="1" t="s">
        <v>5</v>
      </c>
      <c r="C45" s="6">
        <v>323</v>
      </c>
      <c r="D45" s="25">
        <v>13300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1931</v>
      </c>
      <c r="D47" s="25">
        <v>7873</v>
      </c>
    </row>
    <row r="48" spans="2:4" x14ac:dyDescent="0.25">
      <c r="B48" s="3" t="s">
        <v>8</v>
      </c>
      <c r="C48" s="8">
        <f>SUM(C44:C47)</f>
        <v>2548</v>
      </c>
      <c r="D48" s="4">
        <f>SUM(D44:D47)</f>
        <v>23286</v>
      </c>
    </row>
    <row r="50" spans="2:4" x14ac:dyDescent="0.25">
      <c r="B50" s="12" t="s">
        <v>13</v>
      </c>
      <c r="C50" s="13">
        <f>SUM(C10+C18+C35+C40+C27+C48)</f>
        <v>100683</v>
      </c>
      <c r="D50" s="13">
        <f>SUM(D10+D18+D35+D40+D27+D48)</f>
        <v>1621267.45</v>
      </c>
    </row>
  </sheetData>
  <mergeCells count="6"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16 ABR'!C6, 'REPORTE DIARIO'!C:C)</f>
        <v>14949</v>
      </c>
      <c r="E6" s="16">
        <f>SUMIF('REPORTE DIARIO'!B:B,'EPR 16 ABR'!C6, 'REPORTE DIARIO'!D:D)</f>
        <v>691629.51000000013</v>
      </c>
      <c r="F6" s="16">
        <f>J6*D6</f>
        <v>1281342.8571428573</v>
      </c>
      <c r="G6" s="16">
        <f>+E6-F6</f>
        <v>-589713.34714285715</v>
      </c>
      <c r="H6" s="15">
        <f>ABS(G6/F6)</f>
        <v>0.46023072111846941</v>
      </c>
      <c r="I6" s="16">
        <f>E6/D6</f>
        <v>46.265938189845485</v>
      </c>
      <c r="J6" s="16">
        <f>(200/7)*3</f>
        <v>85.714285714285722</v>
      </c>
      <c r="K6" s="16">
        <f>+I6-J6</f>
        <v>-39.448347524440237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16 ABR'!C7, 'REPORTE DIARIO'!C:C)</f>
        <v>11827</v>
      </c>
      <c r="E7" s="16">
        <f>SUMIF('REPORTE DIARIO'!B:B,'EPR 16 ABR'!C7, 'REPORTE DIARIO'!D:D)</f>
        <v>468130</v>
      </c>
      <c r="F7" s="16">
        <f>J7*D7</f>
        <v>557558.57142857136</v>
      </c>
      <c r="G7" s="16">
        <f>+E7-F7</f>
        <v>-89428.571428571362</v>
      </c>
      <c r="H7" s="15">
        <f>ABS(G7/F7)</f>
        <v>0.16039314255260809</v>
      </c>
      <c r="I7" s="16">
        <f>E7/D7</f>
        <v>39.581466136805616</v>
      </c>
      <c r="J7" s="16">
        <f>(110/7)*3</f>
        <v>47.142857142857139</v>
      </c>
      <c r="K7" s="16">
        <f t="shared" ref="K7:K9" si="0">+I7-J7</f>
        <v>-7.5613910060515224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16 ABR'!C8, 'REPORTE DIARIO'!C:C)</f>
        <v>16049</v>
      </c>
      <c r="E8" s="16">
        <f>SUMIF('REPORTE DIARIO'!B:B,'EPR 16 ABR'!C8, 'REPORTE DIARIO'!D:D)</f>
        <v>156936.46</v>
      </c>
      <c r="F8" s="16">
        <f>J8*D8</f>
        <v>309516.42857142858</v>
      </c>
      <c r="G8" s="16">
        <f>+E8-F8</f>
        <v>-152579.96857142859</v>
      </c>
      <c r="H8" s="15">
        <f>ABS(G8/F8)</f>
        <v>0.4929624229500858</v>
      </c>
      <c r="I8" s="16">
        <f>E8/D8</f>
        <v>9.7785818431054885</v>
      </c>
      <c r="J8" s="16">
        <f>(45/7)*3</f>
        <v>19.285714285714285</v>
      </c>
      <c r="K8" s="16">
        <f t="shared" si="0"/>
        <v>-9.5071324426087962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16 ABR'!C9, 'REPORTE DIARIO'!C:C)</f>
        <v>57835</v>
      </c>
      <c r="E9" s="16">
        <f>SUMIF('REPORTE DIARIO'!B:B,'EPR 16 ABR'!C9, 'REPORTE DIARIO'!D:D)</f>
        <v>304571.48000000004</v>
      </c>
      <c r="F9" s="16">
        <f>J9*D9</f>
        <v>371796.42857142858</v>
      </c>
      <c r="G9" s="16">
        <f>+E9-F9</f>
        <v>-67224.94857142854</v>
      </c>
      <c r="H9" s="15">
        <f>ABS(G9/F9)</f>
        <v>0.18081117354927323</v>
      </c>
      <c r="I9" s="16">
        <f>E9/D9</f>
        <v>5.2662138843261008</v>
      </c>
      <c r="J9" s="16">
        <f>(15/7)*3</f>
        <v>6.4285714285714288</v>
      </c>
      <c r="K9" s="16">
        <f t="shared" si="0"/>
        <v>-1.162357544245328</v>
      </c>
    </row>
    <row r="10" spans="2:12" x14ac:dyDescent="0.25">
      <c r="B10" s="16"/>
      <c r="C10" s="19" t="s">
        <v>17</v>
      </c>
      <c r="D10" s="24">
        <f>SUM(D6:D9)</f>
        <v>100660</v>
      </c>
      <c r="E10" s="20">
        <f>SUM(E6:E9)</f>
        <v>1621267.4500000002</v>
      </c>
      <c r="F10" s="20">
        <f>SUM(F6:F9)</f>
        <v>2520214.2857142859</v>
      </c>
      <c r="G10" s="20">
        <f>+E10-F10</f>
        <v>-898946.83571428573</v>
      </c>
      <c r="H10" s="21">
        <f>ABS(G10/F10)</f>
        <v>0.35669460363347788</v>
      </c>
      <c r="I10" s="20">
        <f>E10/D10</f>
        <v>16.106372441883572</v>
      </c>
      <c r="J10" s="20">
        <f>F10/D10</f>
        <v>25.036899321620165</v>
      </c>
      <c r="K10" s="20">
        <f>I10-J10</f>
        <v>-8.9305268797365933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2025-04-17T02:20:21Z</dcterms:modified>
</cp:coreProperties>
</file>