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8 ABRIL\MAÑANA\"/>
    </mc:Choice>
  </mc:AlternateContent>
  <xr:revisionPtr revIDLastSave="0" documentId="13_ncr:1_{E69112F9-21F3-4C0D-B347-C6D4A79E8DFE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8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" i="3" l="1"/>
  <c r="L2" i="3" s="1"/>
  <c r="J6" i="3" s="1"/>
  <c r="D48" i="1"/>
  <c r="C48" i="1"/>
  <c r="D27" i="1"/>
  <c r="C27" i="1"/>
  <c r="J9" i="3" l="1"/>
  <c r="J8" i="3"/>
  <c r="J7" i="3"/>
  <c r="D40" i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<sst xmlns="http://schemas.openxmlformats.org/spreadsheetml/2006/main" count="79" uniqueCount="36">
  <si>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</si>
  <si>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</si>
  <si>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</si>
  <si>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</si>
  <si>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</si>
  <si>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</si>
  <si>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</si>
  <si>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</si>
  <si>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</si>
  <si>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</si>
  <si>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</si>
  <si>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</si>
  <si>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</si>
  <si>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</si>
  <si>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</si>
  <si>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</si>
  <si>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</si>
  <si>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</si>
  <si>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</si>
  <si>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</si>
  <si>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</si>
  <si>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</si>
  <si>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</si>
  <si>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</si>
  <si>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</si>
  <si>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</si>
  <si>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</si>
  <si>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</si>
  <si>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</si>
  <si>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</si>
  <si>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</si>
  <si>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</si>
  <si>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</si>
  <si>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</si>
  <si>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Samantha, Samantha 2, Sofia, Edith, Fernando y Federico</t>
  </si>
  <si>
    <t>SALDO ACUMULADO SEMANA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</si>
</sst>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14" fontId="0" fillId="0" borderId="0" xfId="0" applyNumberFormat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zoomScaleNormal="100" workbookViewId="0">
      <selection activeCell="C40" sqref="C4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6568</v>
      </c>
      <c r="D5" s="25">
        <v>311088.08</v>
      </c>
    </row>
    <row r="6" spans="2:8" x14ac:dyDescent="0.25">
      <c r="B6" s="1" t="s">
        <v>5</v>
      </c>
      <c r="C6" s="6">
        <v>5381</v>
      </c>
      <c r="D6" s="25">
        <v>301181.89000000007</v>
      </c>
    </row>
    <row r="7" spans="2:8" x14ac:dyDescent="0.25">
      <c r="B7" s="1" t="s">
        <v>6</v>
      </c>
      <c r="C7" s="6">
        <v>7275</v>
      </c>
      <c r="D7" s="25">
        <v>158866.31000000003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21087</v>
      </c>
      <c r="D9" s="25">
        <v>253767.65</v>
      </c>
      <c r="F9" s="7"/>
    </row>
    <row r="10" spans="2:8" x14ac:dyDescent="0.25">
      <c r="B10" s="3" t="s">
        <v>8</v>
      </c>
      <c r="C10" s="8">
        <f>SUM(C5:C9)</f>
        <v>40332</v>
      </c>
      <c r="D10" s="4">
        <f>SUM(D5:D9)</f>
        <v>1024903.9300000002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2053</v>
      </c>
      <c r="D14" s="25">
        <v>240613.21000000011</v>
      </c>
    </row>
    <row r="15" spans="2:8" x14ac:dyDescent="0.25">
      <c r="B15" s="9" t="s">
        <v>5</v>
      </c>
      <c r="C15" s="6">
        <v>2168</v>
      </c>
      <c r="D15" s="25">
        <v>161971.41999999998</v>
      </c>
    </row>
    <row r="16" spans="2:8" x14ac:dyDescent="0.25">
      <c r="B16" s="9" t="s">
        <v>6</v>
      </c>
      <c r="C16" s="6">
        <v>944</v>
      </c>
      <c r="D16" s="25">
        <v>25034.92</v>
      </c>
    </row>
    <row r="17" spans="2:11" x14ac:dyDescent="0.25">
      <c r="B17" s="9" t="s">
        <v>7</v>
      </c>
      <c r="C17" s="6">
        <v>9105</v>
      </c>
      <c r="D17" s="25">
        <v>31237.25</v>
      </c>
    </row>
    <row r="18" spans="2:11" x14ac:dyDescent="0.25">
      <c r="B18" s="10" t="s">
        <v>8</v>
      </c>
      <c r="C18" s="8">
        <f>SUM(C14:C17)</f>
        <v>14270</v>
      </c>
      <c r="D18" s="4">
        <f>SUM(D14:D17)</f>
        <v>458856.8000000001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2407</v>
      </c>
      <c r="D22" s="25">
        <v>190531.61</v>
      </c>
    </row>
    <row r="23" spans="2:11" x14ac:dyDescent="0.25">
      <c r="B23" s="1" t="s">
        <v>5</v>
      </c>
      <c r="C23" s="6">
        <v>1513</v>
      </c>
      <c r="D23" s="25">
        <v>51406.05</v>
      </c>
    </row>
    <row r="24" spans="2:11" x14ac:dyDescent="0.25">
      <c r="B24" s="1" t="s">
        <v>6</v>
      </c>
      <c r="C24" s="6">
        <v>3294</v>
      </c>
      <c r="D24" s="25">
        <v>24323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21318</v>
      </c>
      <c r="D26" s="25">
        <v>81225.61</v>
      </c>
    </row>
    <row r="27" spans="2:11" x14ac:dyDescent="0.25">
      <c r="B27" s="3" t="s">
        <v>8</v>
      </c>
      <c r="C27" s="8">
        <f>SUM(C22:C26)</f>
        <v>28534</v>
      </c>
      <c r="D27" s="4">
        <f>SUM(D22:D26)</f>
        <v>347486.26999999996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1354</v>
      </c>
      <c r="D31" s="25">
        <v>104255.66</v>
      </c>
    </row>
    <row r="32" spans="2:11" x14ac:dyDescent="0.25">
      <c r="B32" s="9" t="s">
        <v>5</v>
      </c>
      <c r="C32" s="6">
        <v>1940</v>
      </c>
      <c r="D32" s="25">
        <v>64239.69</v>
      </c>
    </row>
    <row r="33" spans="2:4" x14ac:dyDescent="0.25">
      <c r="B33" s="9" t="s">
        <v>6</v>
      </c>
      <c r="C33" s="6">
        <v>2423</v>
      </c>
      <c r="D33" s="25">
        <v>2876</v>
      </c>
    </row>
    <row r="34" spans="2:4" x14ac:dyDescent="0.25">
      <c r="B34" s="9" t="s">
        <v>7</v>
      </c>
      <c r="C34" s="6">
        <v>4264</v>
      </c>
      <c r="D34" s="25">
        <v>4507.29</v>
      </c>
    </row>
    <row r="35" spans="2:4" x14ac:dyDescent="0.25">
      <c r="B35" s="10" t="s">
        <v>8</v>
      </c>
      <c r="C35" s="8">
        <f>SUM(C31:C34)</f>
        <v>9981</v>
      </c>
      <c r="D35" s="4">
        <f>SUM(D31:D34)</f>
        <v>175878.64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1332</v>
      </c>
      <c r="D39" s="25">
        <v>50214.63</v>
      </c>
    </row>
    <row r="40" spans="2:4" x14ac:dyDescent="0.25">
      <c r="B40" s="10" t="s">
        <v>8</v>
      </c>
      <c r="C40" s="8">
        <f>SUM(C39:C39)</f>
        <v>1332</v>
      </c>
      <c r="D40" s="4">
        <f>SUM(D39:D39)</f>
        <v>50214.63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2323</v>
      </c>
    </row>
    <row r="45" spans="2:4" x14ac:dyDescent="0.25">
      <c r="B45" s="1" t="s">
        <v>5</v>
      </c>
      <c r="C45" s="6">
        <v>318</v>
      </c>
      <c r="D45" s="25">
        <v>13700</v>
      </c>
    </row>
    <row r="46" spans="2:4" x14ac:dyDescent="0.25">
      <c r="B46" s="1" t="s">
        <v>6</v>
      </c>
      <c r="C46" s="6">
        <v>255</v>
      </c>
      <c r="D46" s="25">
        <v>546</v>
      </c>
    </row>
    <row r="47" spans="2:4" x14ac:dyDescent="0.25">
      <c r="B47" s="1" t="s">
        <v>7</v>
      </c>
      <c r="C47" s="6">
        <v>1930</v>
      </c>
      <c r="D47" s="25">
        <v>11004</v>
      </c>
    </row>
    <row r="48" spans="2:4" x14ac:dyDescent="0.25">
      <c r="B48" s="3" t="s">
        <v>8</v>
      </c>
      <c r="C48" s="8">
        <f>SUM(C44:C47)</f>
        <v>2542</v>
      </c>
      <c r="D48" s="4">
        <f>SUM(D44:D47)</f>
        <v>27573</v>
      </c>
    </row>
    <row r="50" spans="2:4" x14ac:dyDescent="0.25">
      <c r="B50" s="12" t="s">
        <v>13</v>
      </c>
      <c r="C50" s="13">
        <f>SUM(C10+C18+C35+C40+C27+C48)</f>
        <v>96991</v>
      </c>
      <c r="D50" s="13">
        <f>SUM(D10+D18+D35+D40+D27+D48)</f>
        <v>2084913.27</v>
      </c>
    </row>
  </sheetData>
  <mergeCells count="6"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1:L14"/>
  <sheetViews>
    <sheetView showGridLines="0" tabSelected="1" zoomScale="145" zoomScaleNormal="145" workbookViewId="0">
      <selection activeCell="J8" sqref="J8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1" spans="2:12" x14ac:dyDescent="0.25">
      <c r="L1" s="29">
        <f ca="1">TODAY()</f>
        <v>45765</v>
      </c>
    </row>
    <row r="2" spans="2:12" ht="15.75" x14ac:dyDescent="0.25">
      <c r="B2" s="18" t="s">
        <v>21</v>
      </c>
      <c r="L2">
        <f ca="1">WEEKDAY(L1,2)</f>
        <v>5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18 ABR'!C6, 'REPORTE DIARIO'!C:C)</f>
        <v>13753</v>
      </c>
      <c r="E6" s="16">
        <f>SUMIF('REPORTE DIARIO'!B:B,'EPR 18 ABR'!C6, 'REPORTE DIARIO'!D:D)</f>
        <v>899026.19000000018</v>
      </c>
      <c r="F6" s="16">
        <f ca="1">J6*D6</f>
        <v>1964714.2857142857</v>
      </c>
      <c r="G6" s="16">
        <f ca="1">+E6-F6</f>
        <v>-1065688.0957142855</v>
      </c>
      <c r="H6" s="15">
        <f ca="1">ABS(G6/F6)</f>
        <v>0.54241377663055323</v>
      </c>
      <c r="I6" s="16">
        <f>E6/D6</f>
        <v>65.369460481349535</v>
      </c>
      <c r="J6" s="16">
        <f ca="1">(200/7)*L2</f>
        <v>142.85714285714286</v>
      </c>
      <c r="K6" s="16">
        <f ca="1">+I6-J6</f>
        <v>-77.487682375793327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18 ABR'!C7, 'REPORTE DIARIO'!C:C)</f>
        <v>11320</v>
      </c>
      <c r="E7" s="16">
        <f>SUMIF('REPORTE DIARIO'!B:B,'EPR 18 ABR'!C7, 'REPORTE DIARIO'!D:D)</f>
        <v>592499.05000000005</v>
      </c>
      <c r="F7" s="16">
        <f ca="1">J7*D7</f>
        <v>889428.57142857136</v>
      </c>
      <c r="G7" s="16">
        <f ca="1">+E7-F7</f>
        <v>-296929.52142857132</v>
      </c>
      <c r="H7" s="15">
        <f ca="1">ABS(G7/F7)</f>
        <v>0.33384302120141335</v>
      </c>
      <c r="I7" s="16">
        <f>E7/D7</f>
        <v>52.340905477031804</v>
      </c>
      <c r="J7" s="16">
        <f ca="1">(110/7)*L2</f>
        <v>78.571428571428569</v>
      </c>
      <c r="K7" s="16">
        <f t="shared" ref="K7:K9" ca="1" si="0">+I7-J7</f>
        <v>-26.230523094396766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18 ABR'!C8, 'REPORTE DIARIO'!C:C)</f>
        <v>14191</v>
      </c>
      <c r="E8" s="16">
        <f>SUMIF('REPORTE DIARIO'!B:B,'EPR 18 ABR'!C8, 'REPORTE DIARIO'!D:D)</f>
        <v>211646.23000000004</v>
      </c>
      <c r="F8" s="16">
        <f ca="1">J8*D8</f>
        <v>456139.28571428574</v>
      </c>
      <c r="G8" s="16">
        <f ca="1">+E8-F8</f>
        <v>-244493.0557142857</v>
      </c>
      <c r="H8" s="15">
        <f ca="1">ABS(G8/F8)</f>
        <v>0.53600525841887259</v>
      </c>
      <c r="I8" s="16">
        <f>E8/D8</f>
        <v>14.914116693679095</v>
      </c>
      <c r="J8" s="16">
        <f ca="1">(45/7)*L2</f>
        <v>32.142857142857146</v>
      </c>
      <c r="K8" s="16">
        <f t="shared" ca="1" si="0"/>
        <v>-17.228740449178051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18 ABR'!C9, 'REPORTE DIARIO'!C:C)</f>
        <v>57704</v>
      </c>
      <c r="E9" s="16">
        <f>SUMIF('REPORTE DIARIO'!B:B,'EPR 18 ABR'!C9, 'REPORTE DIARIO'!D:D)</f>
        <v>381741.8</v>
      </c>
      <c r="F9" s="16">
        <f ca="1">J9*D9</f>
        <v>618257.14285714284</v>
      </c>
      <c r="G9" s="16">
        <f ca="1">+E9-F9</f>
        <v>-236515.34285714285</v>
      </c>
      <c r="H9" s="15">
        <f ca="1">ABS(G9/F9)</f>
        <v>0.38255173529275843</v>
      </c>
      <c r="I9" s="16">
        <f>E9/D9</f>
        <v>6.6155171218633022</v>
      </c>
      <c r="J9" s="16">
        <f ca="1">(15/7)*L2</f>
        <v>10.714285714285714</v>
      </c>
      <c r="K9" s="16">
        <f t="shared" ca="1" si="0"/>
        <v>-4.0987685924224113</v>
      </c>
    </row>
    <row r="10" spans="2:12" x14ac:dyDescent="0.25">
      <c r="B10" s="16"/>
      <c r="C10" s="19" t="s">
        <v>17</v>
      </c>
      <c r="D10" s="24">
        <f>SUM(D6:D9)</f>
        <v>96968</v>
      </c>
      <c r="E10" s="20">
        <f>SUM(E6:E9)</f>
        <v>2084913.2700000003</v>
      </c>
      <c r="F10" s="20">
        <f ca="1">SUM(F6:F9)</f>
        <v>3928539.2857142859</v>
      </c>
      <c r="G10" s="20">
        <f ca="1">+E10-F10</f>
        <v>-1843626.0157142857</v>
      </c>
      <c r="H10" s="21">
        <f ca="1">ABS(G10/F10)</f>
        <v>0.46929046183105133</v>
      </c>
      <c r="I10" s="20">
        <f>E10/D10</f>
        <v>21.501044365151394</v>
      </c>
      <c r="J10" s="20">
        <f ca="1">F10/D10</f>
        <v>40.513770374910138</v>
      </c>
      <c r="K10" s="20">
        <f ca="1">I10-J10</f>
        <v>-19.012726009758744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18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2025-04-18T15:55:26Z</dcterms:modified>
</cp:coreProperties>
</file>