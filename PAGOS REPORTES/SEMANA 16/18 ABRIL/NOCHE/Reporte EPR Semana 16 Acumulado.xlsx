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8 ABRIL\NOCHE\"/>
    </mc:Choice>
  </mc:AlternateContent>
  <xr:revisionPtr revIDLastSave="0" documentId="13_ncr:1_{C3638E5E-192F-465C-A596-4773CA979645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8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D56" i="1"/>
  <c r="C56" i="1"/>
  <c r="J9" i="3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10" i="1"/>
  <c r="C10" i="1"/>
  <c r="C58" i="1" s="1"/>
  <c r="D6" i="3"/>
  <c r="F6" i="3" s="1"/>
  <c r="E7" i="3"/>
  <c r="E8" i="3"/>
  <c r="E9" i="3"/>
  <c r="E6" i="3"/>
  <c r="D7" i="3"/>
  <c r="F7" i="3" s="1"/>
  <c r="D8" i="3"/>
  <c r="F8" i="3" s="1"/>
  <c r="D9" i="3"/>
  <c r="F9" i="3" s="1"/>
  <c r="G7" i="3" l="1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<sst xmlns="http://schemas.openxmlformats.org/spreadsheetml/2006/main" count="88" uniqueCount="37">
  <si>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</si>
  <si>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</si>
  <si>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</si>
  <si>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</si>
  <si>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</si>
  <si>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</si>
  <si>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</si>
  <si>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</si>
  <si>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</si>
  <si>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</si>
  <si>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</si>
  <si>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</si>
  <si>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</si>
  <si>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</si>
  <si>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</si>
  <si>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</si>
  <si>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</si>
  <si>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</si>
  <si>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</si>
  <si>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</si>
  <si>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</si>
  <si>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</si>
  <si>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</si>
  <si>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</si>
  <si>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</si>
  <si>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</si>
  <si>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</si>
  <si>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</si>
  <si>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</si>
  <si>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</si>
  <si>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</si>
  <si>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</si>
  <si>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</si>
  <si>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</si>
  <si>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16</t>
  </si>
  <si>
    <t>COBRANZA GENERAL  OLGUIN</t>
  </si>
  <si>
    <t>Samantha, Samantha 2, Sofia, Edith, Fernando, Olguin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</si>
</sst>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zoomScaleNormal="100" workbookViewId="0">
      <selection activeCell="B3" sqref="B3:D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6574</v>
      </c>
      <c r="D5" s="25">
        <v>363947.22000000003</v>
      </c>
    </row>
    <row r="6" spans="2:8" x14ac:dyDescent="0.25">
      <c r="B6" s="1" t="s">
        <v>5</v>
      </c>
      <c r="C6" s="6">
        <v>5393</v>
      </c>
      <c r="D6" s="25">
        <v>328849.89000000007</v>
      </c>
    </row>
    <row r="7" spans="2:8" x14ac:dyDescent="0.25">
      <c r="B7" s="1" t="s">
        <v>6</v>
      </c>
      <c r="C7" s="6">
        <v>7275</v>
      </c>
      <c r="D7" s="25">
        <v>177803.31000000003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21098</v>
      </c>
      <c r="D9" s="25">
        <v>294384.66000000003</v>
      </c>
      <c r="F9" s="7"/>
    </row>
    <row r="10" spans="2:8" x14ac:dyDescent="0.25">
      <c r="B10" s="3" t="s">
        <v>8</v>
      </c>
      <c r="C10" s="8">
        <f>SUM(C5:C9)</f>
        <v>40361</v>
      </c>
      <c r="D10" s="4">
        <f>SUM(D5:D9)</f>
        <v>1164985.08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2061</v>
      </c>
      <c r="D14" s="25">
        <v>272238.4200000001</v>
      </c>
    </row>
    <row r="15" spans="2:8" x14ac:dyDescent="0.25">
      <c r="B15" s="9" t="s">
        <v>5</v>
      </c>
      <c r="C15" s="6">
        <v>2169</v>
      </c>
      <c r="D15" s="25">
        <v>220700.41999999998</v>
      </c>
    </row>
    <row r="16" spans="2:8" x14ac:dyDescent="0.25">
      <c r="B16" s="9" t="s">
        <v>6</v>
      </c>
      <c r="C16" s="6">
        <v>944</v>
      </c>
      <c r="D16" s="25">
        <v>27401.919999999998</v>
      </c>
    </row>
    <row r="17" spans="2:11" x14ac:dyDescent="0.25">
      <c r="B17" s="9" t="s">
        <v>7</v>
      </c>
      <c r="C17" s="6">
        <v>9405</v>
      </c>
      <c r="D17" s="25">
        <v>34970.25</v>
      </c>
    </row>
    <row r="18" spans="2:11" x14ac:dyDescent="0.25">
      <c r="B18" s="10" t="s">
        <v>8</v>
      </c>
      <c r="C18" s="8">
        <f>SUM(C14:C17)</f>
        <v>14579</v>
      </c>
      <c r="D18" s="4">
        <f>SUM(D14:D17)</f>
        <v>555311.01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2417</v>
      </c>
      <c r="D22" s="25">
        <v>207096.61</v>
      </c>
    </row>
    <row r="23" spans="2:11" x14ac:dyDescent="0.25">
      <c r="B23" s="1" t="s">
        <v>5</v>
      </c>
      <c r="C23" s="6">
        <v>1517</v>
      </c>
      <c r="D23" s="25">
        <v>57844.68</v>
      </c>
    </row>
    <row r="24" spans="2:11" x14ac:dyDescent="0.25">
      <c r="B24" s="1" t="s">
        <v>6</v>
      </c>
      <c r="C24" s="6">
        <v>3294</v>
      </c>
      <c r="D24" s="25">
        <v>30712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21610</v>
      </c>
      <c r="D26" s="25">
        <v>90792.61</v>
      </c>
    </row>
    <row r="27" spans="2:11" x14ac:dyDescent="0.25">
      <c r="B27" s="3" t="s">
        <v>8</v>
      </c>
      <c r="C27" s="8">
        <f>SUM(C22:C26)</f>
        <v>28840</v>
      </c>
      <c r="D27" s="4">
        <f>SUM(D22:D26)</f>
        <v>386445.89999999997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1354</v>
      </c>
      <c r="D31" s="25">
        <v>114602.66</v>
      </c>
    </row>
    <row r="32" spans="2:11" x14ac:dyDescent="0.25">
      <c r="B32" s="9" t="s">
        <v>5</v>
      </c>
      <c r="C32" s="6">
        <v>1940</v>
      </c>
      <c r="D32" s="25">
        <v>74139.69</v>
      </c>
    </row>
    <row r="33" spans="2:4" x14ac:dyDescent="0.25">
      <c r="B33" s="9" t="s">
        <v>6</v>
      </c>
      <c r="C33" s="6">
        <v>2423</v>
      </c>
      <c r="D33" s="25">
        <v>4574</v>
      </c>
    </row>
    <row r="34" spans="2:4" x14ac:dyDescent="0.25">
      <c r="B34" s="9" t="s">
        <v>7</v>
      </c>
      <c r="C34" s="6">
        <v>4264</v>
      </c>
      <c r="D34" s="25">
        <v>5237.29</v>
      </c>
    </row>
    <row r="35" spans="2:4" x14ac:dyDescent="0.25">
      <c r="B35" s="10" t="s">
        <v>8</v>
      </c>
      <c r="C35" s="8">
        <f>SUM(C31:C34)</f>
        <v>9981</v>
      </c>
      <c r="D35" s="4">
        <f>SUM(D31:D34)</f>
        <v>198553.64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1332</v>
      </c>
      <c r="D39" s="25">
        <v>54394.63</v>
      </c>
    </row>
    <row r="40" spans="2:4" x14ac:dyDescent="0.25">
      <c r="B40" s="10" t="s">
        <v>8</v>
      </c>
      <c r="C40" s="8">
        <f>SUM(C39:C39)</f>
        <v>1332</v>
      </c>
      <c r="D40" s="4">
        <f>SUM(D39:D39)</f>
        <v>54394.63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2323</v>
      </c>
    </row>
    <row r="45" spans="2:4" x14ac:dyDescent="0.25">
      <c r="B45" s="1" t="s">
        <v>5</v>
      </c>
      <c r="C45" s="6">
        <v>322</v>
      </c>
      <c r="D45" s="25">
        <v>13700</v>
      </c>
    </row>
    <row r="46" spans="2:4" x14ac:dyDescent="0.25">
      <c r="B46" s="1" t="s">
        <v>6</v>
      </c>
      <c r="C46" s="6">
        <v>255</v>
      </c>
      <c r="D46" s="25">
        <v>546</v>
      </c>
    </row>
    <row r="47" spans="2:4" x14ac:dyDescent="0.25">
      <c r="B47" s="1" t="s">
        <v>7</v>
      </c>
      <c r="C47" s="6">
        <v>1930</v>
      </c>
      <c r="D47" s="25">
        <v>11561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28130</v>
      </c>
    </row>
    <row r="50" spans="2:4" x14ac:dyDescent="0.25">
      <c r="B50" s="27" t="s">
        <v>35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36</v>
      </c>
      <c r="D52" s="26">
        <v>0</v>
      </c>
    </row>
    <row r="53" spans="2:4" x14ac:dyDescent="0.25">
      <c r="B53" s="1" t="s">
        <v>5</v>
      </c>
      <c r="C53" s="6">
        <v>60</v>
      </c>
      <c r="D53" s="25">
        <v>1000</v>
      </c>
    </row>
    <row r="54" spans="2:4" x14ac:dyDescent="0.25">
      <c r="B54" s="1" t="s">
        <v>6</v>
      </c>
      <c r="C54" s="6">
        <v>239</v>
      </c>
      <c r="D54" s="26">
        <v>0</v>
      </c>
    </row>
    <row r="55" spans="2:4" x14ac:dyDescent="0.25">
      <c r="B55" s="1" t="s">
        <v>7</v>
      </c>
      <c r="C55" s="6">
        <v>256</v>
      </c>
      <c r="D55" s="26">
        <v>0</v>
      </c>
    </row>
    <row r="56" spans="2:4" x14ac:dyDescent="0.25">
      <c r="B56" s="3" t="s">
        <v>8</v>
      </c>
      <c r="C56" s="8">
        <f>SUM(C52:C55)</f>
        <v>591</v>
      </c>
      <c r="D56" s="4">
        <f>SUM(D52:D55)</f>
        <v>1000</v>
      </c>
    </row>
    <row r="58" spans="2:4" x14ac:dyDescent="0.25">
      <c r="B58" s="12" t="s">
        <v>13</v>
      </c>
      <c r="C58" s="13">
        <f>SUM(C10+C18+C35+C40+C27+C48+C56)</f>
        <v>98230</v>
      </c>
      <c r="D58" s="13">
        <f>SUM(D10+D18+D35+D40+D27+D48+D56)</f>
        <v>2388820.2599999998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18 ABR'!C6, 'REPORTE DIARIO'!C:C)</f>
        <v>13813</v>
      </c>
      <c r="E6" s="16">
        <f>SUMIF('REPORTE DIARIO'!B:B,'EPR 18 ABR'!C6, 'REPORTE DIARIO'!D:D)</f>
        <v>1014602.5400000002</v>
      </c>
      <c r="F6" s="16">
        <f>J6*D6</f>
        <v>1973285.7142857143</v>
      </c>
      <c r="G6" s="16">
        <f>+E6-F6</f>
        <v>-958683.17428571417</v>
      </c>
      <c r="H6" s="15">
        <f>ABS(G6/F6)</f>
        <v>0.48583089987692746</v>
      </c>
      <c r="I6" s="16">
        <f>E6/D6</f>
        <v>73.452728589010363</v>
      </c>
      <c r="J6" s="16">
        <f>(200/7)*5</f>
        <v>142.85714285714286</v>
      </c>
      <c r="K6" s="16">
        <f>+I6-J6</f>
        <v>-69.404414268132498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18 ABR'!C7, 'REPORTE DIARIO'!C:C)</f>
        <v>11401</v>
      </c>
      <c r="E7" s="16">
        <f>SUMIF('REPORTE DIARIO'!B:B,'EPR 18 ABR'!C7, 'REPORTE DIARIO'!D:D)</f>
        <v>696234.68000000017</v>
      </c>
      <c r="F7" s="16">
        <f>J7*D7</f>
        <v>895792.85714285716</v>
      </c>
      <c r="G7" s="16">
        <f>+E7-F7</f>
        <v>-199558.17714285699</v>
      </c>
      <c r="H7" s="15">
        <f>ABS(G7/F7)</f>
        <v>0.22277268182216853</v>
      </c>
      <c r="I7" s="16">
        <f>E7/D7</f>
        <v>61.067860713972472</v>
      </c>
      <c r="J7" s="16">
        <f>(110/7)*5</f>
        <v>78.571428571428569</v>
      </c>
      <c r="K7" s="16">
        <f t="shared" ref="K7:K9" si="0">+I7-J7</f>
        <v>-17.503567857456098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18 ABR'!C8, 'REPORTE DIARIO'!C:C)</f>
        <v>14430</v>
      </c>
      <c r="E8" s="16">
        <f>SUMIF('REPORTE DIARIO'!B:B,'EPR 18 ABR'!C8, 'REPORTE DIARIO'!D:D)</f>
        <v>241037.23000000004</v>
      </c>
      <c r="F8" s="16">
        <f>J8*D8</f>
        <v>463821.42857142864</v>
      </c>
      <c r="G8" s="16">
        <f>+E8-F8</f>
        <v>-222784.1985714286</v>
      </c>
      <c r="H8" s="15">
        <f>ABS(G8/F8)</f>
        <v>0.48032321244321241</v>
      </c>
      <c r="I8" s="16">
        <f>E8/D8</f>
        <v>16.703896742896745</v>
      </c>
      <c r="J8" s="16">
        <f>(45/7)*5</f>
        <v>32.142857142857146</v>
      </c>
      <c r="K8" s="16">
        <f t="shared" si="0"/>
        <v>-15.438960399960401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18 ABR'!C9, 'REPORTE DIARIO'!C:C)</f>
        <v>58563</v>
      </c>
      <c r="E9" s="16">
        <f>SUMIF('REPORTE DIARIO'!B:B,'EPR 18 ABR'!C9, 'REPORTE DIARIO'!D:D)</f>
        <v>436945.81</v>
      </c>
      <c r="F9" s="16">
        <f>J9*D9</f>
        <v>627460.7142857142</v>
      </c>
      <c r="G9" s="16">
        <f>+E9-F9</f>
        <v>-190514.9042857142</v>
      </c>
      <c r="H9" s="15">
        <f>ABS(G9/F9)</f>
        <v>0.30362841839841986</v>
      </c>
      <c r="I9" s="16">
        <f>E9/D9</f>
        <v>7.4611240885883578</v>
      </c>
      <c r="J9" s="16">
        <f>(15/7)*5</f>
        <v>10.714285714285714</v>
      </c>
      <c r="K9" s="16">
        <f t="shared" si="0"/>
        <v>-3.2531616256973557</v>
      </c>
    </row>
    <row r="10" spans="2:12" x14ac:dyDescent="0.25">
      <c r="B10" s="16"/>
      <c r="C10" s="19" t="s">
        <v>17</v>
      </c>
      <c r="D10" s="24">
        <f>SUM(D6:D9)</f>
        <v>98207</v>
      </c>
      <c r="E10" s="20">
        <f>SUM(E6:E9)</f>
        <v>2388820.2600000002</v>
      </c>
      <c r="F10" s="20">
        <f>SUM(F6:F9)</f>
        <v>3960360.7142857141</v>
      </c>
      <c r="G10" s="20">
        <f>+E10-F10</f>
        <v>-1571540.4542857138</v>
      </c>
      <c r="H10" s="21">
        <f>ABS(G10/F10)</f>
        <v>0.39681750417755951</v>
      </c>
      <c r="I10" s="20">
        <f>E10/D10</f>
        <v>24.324337979981063</v>
      </c>
      <c r="J10" s="20">
        <f>F10/D10</f>
        <v>40.326664232546705</v>
      </c>
      <c r="K10" s="20">
        <f>I10-J10</f>
        <v>-16.002326252565641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36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18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2025-04-19T02:23:01Z</dcterms:modified>
</cp:coreProperties>
</file>