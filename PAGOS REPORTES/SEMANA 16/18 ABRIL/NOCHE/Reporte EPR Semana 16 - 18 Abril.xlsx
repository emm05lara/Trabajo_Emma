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6\18 ABRIL\NOCHE\"/>
    </mc:Choice>
  </mc:AlternateContent>
  <xr:revisionPtr revIDLastSave="0" documentId="13_ncr:1_{2A8DFA7E-AC0C-4007-8244-2E03D72CD8AE}" xr6:coauthVersionLast="47" xr6:coauthVersionMax="47" xr10:uidLastSave="{00000000-0000-0000-0000-000000000000}"/>
  <bookViews>
    <workbookView xWindow="12315" yWindow="10530" windowWidth="10770" windowHeight="10350" xr2:uid="{4DC6C92A-CD8A-4966-829B-0B6A986E825B}"/>
  </bookViews>
  <sheets>
    <sheet name="REPORTE DIARIO" sheetId="1" r:id="rId1"/>
    <sheet name="DATA" sheetId="4" r:id="rId2"/>
    <sheet name="EPR 18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1" l="1"/>
  <c r="J6" i="3"/>
  <c r="C48" i="1"/>
  <c r="D27" i="1" l="1"/>
  <c r="C27" i="1"/>
  <c r="J9" i="3"/>
  <c r="J8" i="3"/>
  <c r="J7" i="3"/>
  <c r="D6" i="3"/>
  <c r="F6" i="3" s="1"/>
  <c r="D40" i="1"/>
  <c r="C40" i="1"/>
  <c r="D18" i="1"/>
  <c r="C18" i="1"/>
  <c r="D35" i="1"/>
  <c r="C35" i="1"/>
  <c r="D10" i="1"/>
  <c r="C10" i="1"/>
  <c r="E7" i="3"/>
  <c r="E8" i="3"/>
  <c r="E9" i="3"/>
  <c r="E6" i="3"/>
  <c r="D7" i="3"/>
  <c r="F7" i="3" s="1"/>
  <c r="D8" i="3"/>
  <c r="F8" i="3" s="1"/>
  <c r="D9" i="3"/>
  <c r="F9" i="3" s="1"/>
  <c r="C50" i="1" l="1"/>
  <c r="D50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<sst xmlns="http://schemas.openxmlformats.org/spreadsheetml/2006/main" count="78" uniqueCount="35">
  <si>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</si>
  <si>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</si>
  <si>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</si>
  <si>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</si>
  <si>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</si>
  <si>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</si>
  <si>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</si>
  <si>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</si>
  <si>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</si>
  <si>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</si>
  <si>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</si>
  <si>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</si>
  <si>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</si>
  <si>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</si>
  <si>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</si>
  <si>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</si>
  <si>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</si>
  <si>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</si>
  <si>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</si>
  <si>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</si>
  <si>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</si>
  <si>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</si>
  <si>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</si>
  <si>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</si>
  <si>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</si>
  <si>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</si>
  <si>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</si>
  <si>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</si>
  <si>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</si>
  <si>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</si>
  <si>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</si>
  <si>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</si>
  <si>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</si>
  <si>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Samantha, Samantha 2, Sofia, Edith, Fernando y Federico</t>
  </si>
  <si>
    <t>COBRANZA 18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</si>
</sst>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0"/>
  <sheetViews>
    <sheetView showGridLines="0" tabSelected="1" workbookViewId="0">
      <selection activeCell="C48" sqref="C4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6574</v>
      </c>
      <c r="D5" s="25">
        <v>53193.14</v>
      </c>
    </row>
    <row r="6" spans="2:8" x14ac:dyDescent="0.25">
      <c r="B6" s="1" t="s">
        <v>5</v>
      </c>
      <c r="C6" s="6">
        <v>5393</v>
      </c>
      <c r="D6" s="25">
        <v>28211</v>
      </c>
    </row>
    <row r="7" spans="2:8" x14ac:dyDescent="0.25">
      <c r="B7" s="1" t="s">
        <v>6</v>
      </c>
      <c r="C7" s="6">
        <v>7275</v>
      </c>
      <c r="D7" s="25">
        <v>18937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21098</v>
      </c>
      <c r="D9" s="25">
        <v>40617.020000000004</v>
      </c>
    </row>
    <row r="10" spans="2:8" x14ac:dyDescent="0.25">
      <c r="B10" s="3" t="s">
        <v>8</v>
      </c>
      <c r="C10" s="8">
        <f>SUM(C5:C9)</f>
        <v>40361</v>
      </c>
      <c r="D10" s="4">
        <f>SUM(D5:D9)</f>
        <v>140958.16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2061</v>
      </c>
      <c r="D14" s="25">
        <v>31711.21</v>
      </c>
    </row>
    <row r="15" spans="2:8" x14ac:dyDescent="0.25">
      <c r="B15" s="9" t="s">
        <v>5</v>
      </c>
      <c r="C15" s="6">
        <v>2169</v>
      </c>
      <c r="D15" s="25">
        <v>88911</v>
      </c>
    </row>
    <row r="16" spans="2:8" x14ac:dyDescent="0.25">
      <c r="B16" s="9" t="s">
        <v>6</v>
      </c>
      <c r="C16" s="6">
        <v>944</v>
      </c>
      <c r="D16" s="25">
        <v>2367</v>
      </c>
    </row>
    <row r="17" spans="2:11" x14ac:dyDescent="0.25">
      <c r="B17" s="9" t="s">
        <v>7</v>
      </c>
      <c r="C17" s="6">
        <v>9405</v>
      </c>
      <c r="D17" s="25">
        <v>3733</v>
      </c>
    </row>
    <row r="18" spans="2:11" x14ac:dyDescent="0.25">
      <c r="B18" s="10" t="s">
        <v>8</v>
      </c>
      <c r="C18" s="8">
        <f>SUM(C14:C17)</f>
        <v>14579</v>
      </c>
      <c r="D18" s="4">
        <f>SUM(D14:D17)</f>
        <v>126722.20999999999</v>
      </c>
    </row>
    <row r="20" spans="2:11" x14ac:dyDescent="0.25">
      <c r="B20" s="27" t="s">
        <v>31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2417</v>
      </c>
      <c r="D22" s="25">
        <v>16565</v>
      </c>
    </row>
    <row r="23" spans="2:11" x14ac:dyDescent="0.25">
      <c r="B23" s="1" t="s">
        <v>5</v>
      </c>
      <c r="C23" s="6">
        <v>1517</v>
      </c>
      <c r="D23" s="25">
        <v>6438.63</v>
      </c>
    </row>
    <row r="24" spans="2:11" x14ac:dyDescent="0.25">
      <c r="B24" s="1" t="s">
        <v>6</v>
      </c>
      <c r="C24" s="6">
        <v>3294</v>
      </c>
      <c r="D24" s="25">
        <v>6389</v>
      </c>
    </row>
    <row r="25" spans="2:11" x14ac:dyDescent="0.25">
      <c r="B25" s="5" t="s">
        <v>12</v>
      </c>
      <c r="C25" s="7">
        <v>2</v>
      </c>
      <c r="D25" s="24">
        <v>0</v>
      </c>
    </row>
    <row r="26" spans="2:11" x14ac:dyDescent="0.25">
      <c r="B26" s="1" t="s">
        <v>7</v>
      </c>
      <c r="C26" s="6">
        <v>21610</v>
      </c>
      <c r="D26" s="25">
        <v>9567</v>
      </c>
      <c r="K26" s="7"/>
    </row>
    <row r="27" spans="2:11" x14ac:dyDescent="0.25">
      <c r="B27" s="3" t="s">
        <v>8</v>
      </c>
      <c r="C27" s="8">
        <f>SUM(C22:C26)</f>
        <v>28840</v>
      </c>
      <c r="D27" s="4">
        <f>SUM(D22:D26)</f>
        <v>38959.630000000005</v>
      </c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1354</v>
      </c>
      <c r="D31" s="25">
        <v>10347</v>
      </c>
    </row>
    <row r="32" spans="2:11" x14ac:dyDescent="0.25">
      <c r="B32" s="9" t="s">
        <v>5</v>
      </c>
      <c r="C32" s="6">
        <v>1940</v>
      </c>
      <c r="D32" s="25">
        <v>9900</v>
      </c>
    </row>
    <row r="33" spans="2:4" x14ac:dyDescent="0.25">
      <c r="B33" s="9" t="s">
        <v>6</v>
      </c>
      <c r="C33" s="6">
        <v>2423</v>
      </c>
      <c r="D33" s="25">
        <v>1698</v>
      </c>
    </row>
    <row r="34" spans="2:4" x14ac:dyDescent="0.25">
      <c r="B34" s="9" t="s">
        <v>7</v>
      </c>
      <c r="C34" s="6">
        <v>4264</v>
      </c>
      <c r="D34" s="25">
        <v>730</v>
      </c>
    </row>
    <row r="35" spans="2:4" x14ac:dyDescent="0.25">
      <c r="B35" s="10" t="s">
        <v>8</v>
      </c>
      <c r="C35" s="8">
        <f>SUM(C31:C34)</f>
        <v>9981</v>
      </c>
      <c r="D35" s="4">
        <f>SUM(D31:D34)</f>
        <v>22675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1332</v>
      </c>
      <c r="D39" s="25">
        <v>4180</v>
      </c>
    </row>
    <row r="40" spans="2:4" x14ac:dyDescent="0.25">
      <c r="B40" s="10" t="s">
        <v>8</v>
      </c>
      <c r="C40" s="8">
        <f>SUM(C39:C39)</f>
        <v>1332</v>
      </c>
      <c r="D40" s="4">
        <f>SUM(D39:D39)</f>
        <v>4180</v>
      </c>
    </row>
    <row r="42" spans="2:4" x14ac:dyDescent="0.25">
      <c r="B42" s="27" t="s">
        <v>32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6">
        <v>0</v>
      </c>
    </row>
    <row r="45" spans="2:4" x14ac:dyDescent="0.25">
      <c r="B45" s="1" t="s">
        <v>5</v>
      </c>
      <c r="C45" s="6">
        <v>322</v>
      </c>
      <c r="D45" s="26">
        <v>0</v>
      </c>
    </row>
    <row r="46" spans="2:4" x14ac:dyDescent="0.25">
      <c r="B46" s="1" t="s">
        <v>6</v>
      </c>
      <c r="C46" s="6">
        <v>255</v>
      </c>
      <c r="D46" s="26">
        <v>0</v>
      </c>
    </row>
    <row r="47" spans="2:4" x14ac:dyDescent="0.25">
      <c r="B47" s="1" t="s">
        <v>7</v>
      </c>
      <c r="C47" s="6">
        <v>1930</v>
      </c>
      <c r="D47" s="25">
        <v>557</v>
      </c>
    </row>
    <row r="48" spans="2:4" x14ac:dyDescent="0.25">
      <c r="B48" s="3" t="s">
        <v>8</v>
      </c>
      <c r="C48" s="8">
        <f>SUM(C44:C47)</f>
        <v>2546</v>
      </c>
      <c r="D48" s="4">
        <f>SUM(D44:D47)</f>
        <v>557</v>
      </c>
    </row>
    <row r="50" spans="2:4" x14ac:dyDescent="0.25">
      <c r="B50" s="11" t="s">
        <v>13</v>
      </c>
      <c r="C50" s="12">
        <f>SUM(C10+C35+C18+C40+C27+C48)</f>
        <v>97639</v>
      </c>
      <c r="D50" s="12">
        <f>SUM(D10+D35+D18+D40+D27+D48)</f>
        <v>334052</v>
      </c>
    </row>
  </sheetData>
  <mergeCells count="6">
    <mergeCell ref="B3:D3"/>
    <mergeCell ref="B29:D29"/>
    <mergeCell ref="B37:D37"/>
    <mergeCell ref="B42:D42"/>
    <mergeCell ref="B20:D20"/>
    <mergeCell ref="B12:D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B4" sqref="B4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34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28</v>
      </c>
      <c r="C6" s="1" t="s">
        <v>4</v>
      </c>
      <c r="D6" s="22">
        <f>SUMIF('REPORTE DIARIO'!B:B,'EPR 18 ABR'!C6, 'REPORTE DIARIO'!C:C)</f>
        <v>13777</v>
      </c>
      <c r="E6" s="15">
        <f>SUMIF('REPORTE DIARIO'!B:B,'EPR 18 ABR'!C6, 'REPORTE DIARIO'!D:D)</f>
        <v>115996.35</v>
      </c>
      <c r="F6" s="15">
        <f>J6*D6</f>
        <v>393628.57142857148</v>
      </c>
      <c r="G6" s="15">
        <f>+E6-F6</f>
        <v>-277632.2214285715</v>
      </c>
      <c r="H6" s="14">
        <f>ABS(G6/F6)</f>
        <v>0.70531521739130443</v>
      </c>
      <c r="I6" s="15">
        <f>E6/D6</f>
        <v>8.4195652173913054</v>
      </c>
      <c r="J6" s="15">
        <f>200/7</f>
        <v>28.571428571428573</v>
      </c>
      <c r="K6" s="15">
        <f>+I6-J6</f>
        <v>-20.151863354037268</v>
      </c>
      <c r="L6" s="14"/>
    </row>
    <row r="7" spans="2:12" x14ac:dyDescent="0.25">
      <c r="B7" s="15" t="s">
        <v>29</v>
      </c>
      <c r="C7" s="1" t="s">
        <v>5</v>
      </c>
      <c r="D7" s="22">
        <f>SUMIF('REPORTE DIARIO'!B:B,'EPR 18 ABR'!C7, 'REPORTE DIARIO'!C:C)</f>
        <v>11341</v>
      </c>
      <c r="E7" s="15">
        <f>SUMIF('REPORTE DIARIO'!B:B,'EPR 18 ABR'!C7, 'REPORTE DIARIO'!D:D)</f>
        <v>133460.63</v>
      </c>
      <c r="F7" s="15">
        <f>J7*D7</f>
        <v>178215.71428571429</v>
      </c>
      <c r="G7" s="15">
        <f>+E7-F7</f>
        <v>-44755.084285714285</v>
      </c>
      <c r="H7" s="14">
        <f>ABS(G7/F7)</f>
        <v>0.25112872041105883</v>
      </c>
      <c r="I7" s="15">
        <f>E7/D7</f>
        <v>11.767977250683362</v>
      </c>
      <c r="J7" s="15">
        <f>110/7</f>
        <v>15.714285714285714</v>
      </c>
      <c r="K7" s="15">
        <f t="shared" ref="K7:K9" si="0">+I7-J7</f>
        <v>-3.9463084636023513</v>
      </c>
      <c r="L7" s="14"/>
    </row>
    <row r="8" spans="2:12" x14ac:dyDescent="0.25">
      <c r="B8" s="15" t="s">
        <v>29</v>
      </c>
      <c r="C8" s="1" t="s">
        <v>6</v>
      </c>
      <c r="D8" s="22">
        <f>SUMIF('REPORTE DIARIO'!B:B,'EPR 18 ABR'!C8, 'REPORTE DIARIO'!C:C)</f>
        <v>14191</v>
      </c>
      <c r="E8" s="15">
        <f>SUMIF('REPORTE DIARIO'!B:B,'EPR 18 ABR'!C8, 'REPORTE DIARIO'!D:D)</f>
        <v>29391</v>
      </c>
      <c r="F8" s="15">
        <f>J8*D8</f>
        <v>91227.857142857145</v>
      </c>
      <c r="G8" s="15">
        <f>+E8-F8</f>
        <v>-61836.857142857145</v>
      </c>
      <c r="H8" s="14">
        <f>ABS(G8/F8)</f>
        <v>0.67782867075376418</v>
      </c>
      <c r="I8" s="15">
        <f>E8/D8</f>
        <v>2.0711014022972307</v>
      </c>
      <c r="J8" s="15">
        <f>45/7</f>
        <v>6.4285714285714288</v>
      </c>
      <c r="K8" s="15">
        <f t="shared" si="0"/>
        <v>-4.3574700262741981</v>
      </c>
      <c r="L8" s="14"/>
    </row>
    <row r="9" spans="2:12" x14ac:dyDescent="0.25">
      <c r="B9" s="15" t="s">
        <v>30</v>
      </c>
      <c r="C9" s="1" t="s">
        <v>7</v>
      </c>
      <c r="D9" s="22">
        <f>SUMIF('REPORTE DIARIO'!B:B,'EPR 18 ABR'!C9, 'REPORTE DIARIO'!C:C)</f>
        <v>58307</v>
      </c>
      <c r="E9" s="15">
        <f>SUMIF('REPORTE DIARIO'!B:B,'EPR 18 ABR'!C9, 'REPORTE DIARIO'!D:D)</f>
        <v>55204.020000000004</v>
      </c>
      <c r="F9" s="15">
        <f>J9*D9</f>
        <v>124943.57142857142</v>
      </c>
      <c r="G9" s="15">
        <f>+E9-F9</f>
        <v>-69739.551428571416</v>
      </c>
      <c r="H9" s="14">
        <f>ABS(G9/F9)</f>
        <v>0.55816838458504114</v>
      </c>
      <c r="I9" s="15">
        <f>E9/D9</f>
        <v>0.94678203303205455</v>
      </c>
      <c r="J9" s="15">
        <f>15/7</f>
        <v>2.1428571428571428</v>
      </c>
      <c r="K9" s="15">
        <f t="shared" si="0"/>
        <v>-1.1960751098250881</v>
      </c>
    </row>
    <row r="10" spans="2:12" x14ac:dyDescent="0.25">
      <c r="B10" s="15"/>
      <c r="C10" s="18" t="s">
        <v>16</v>
      </c>
      <c r="D10" s="23">
        <f>SUM(D6:D9)</f>
        <v>97616</v>
      </c>
      <c r="E10" s="19">
        <f>SUM(E6:E9)</f>
        <v>334052</v>
      </c>
      <c r="F10" s="19">
        <f>SUM(F6:F9)</f>
        <v>788015.71428571432</v>
      </c>
      <c r="G10" s="19">
        <f>+E10-F10</f>
        <v>-453963.71428571432</v>
      </c>
      <c r="H10" s="20">
        <f>ABS(G10/F10)</f>
        <v>0.57608459584743599</v>
      </c>
      <c r="I10" s="19">
        <f>E10/D10</f>
        <v>3.4221029339452547</v>
      </c>
      <c r="J10" s="19">
        <f>F10/D10</f>
        <v>8.0726081204486384</v>
      </c>
      <c r="K10" s="19">
        <f>I10-J10</f>
        <v>-4.6505051865033842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18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2025-04-19T02:16:39Z</dcterms:modified>
</cp:coreProperties>
</file>