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8 ABRIL\TARDE1\"/>
    </mc:Choice>
  </mc:AlternateContent>
  <xr:revisionPtr revIDLastSave="0" documentId="13_ncr:1_{8C9B8988-A528-4536-8382-CB7726EBD875}" xr6:coauthVersionLast="47" xr6:coauthVersionMax="47" xr10:uidLastSave="{00000000-0000-0000-0000-000000000000}"/>
  <bookViews>
    <workbookView xWindow="-120" yWindow="-120" windowWidth="51840" windowHeight="21120" activeTab="1" xr2:uid="{87AF11B0-5A0C-449B-B6B9-C8F0AA55525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<sst xmlns="http://schemas.openxmlformats.org/spreadsheetml/2006/main" count="74" uniqueCount="21">
  <si>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</si>
  <si>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</si>
  <si>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</si>
  <si>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</si>
  <si>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</si>
  <si>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</si>
  <si>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</si>
  <si>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</si>
  <si>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</si>
  <si>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</si>
  <si>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SOFIA</t>
  </si>
  <si>
    <t>TOTAL COBRADO</t>
  </si>
  <si>
    <t>Segmento</t>
  </si>
  <si>
    <t>TOR</t>
  </si>
  <si>
    <t>CONSUMO</t>
  </si>
  <si>
    <t>CREDIMAX</t>
  </si>
  <si>
    <t>ITALIKA</t>
  </si>
  <si>
    <t>REESTRUCTURA</t>
  </si>
  <si>
    <t>SALDOS ALTOS ITALIKA</t>
  </si>
  <si>
    <t>SALDOSALTOS_BN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</si>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</sst>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7A16-C1B5-4309-B7E3-25F2350E0F98}">
  <dimension ref="B2:D37"/>
  <sheetViews>
    <sheetView workbookViewId="0">
      <selection activeCell="B2" sqref="B2:C3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29391.21</v>
      </c>
    </row>
    <row r="5" spans="2:4" x14ac:dyDescent="0.25">
      <c r="B5" s="2" t="s">
        <v>2</v>
      </c>
      <c r="C5" s="3">
        <v>64036</v>
      </c>
    </row>
    <row r="6" spans="2:4" x14ac:dyDescent="0.25">
      <c r="B6" s="2" t="s">
        <v>3</v>
      </c>
      <c r="C6" s="3">
        <v>200</v>
      </c>
    </row>
    <row r="7" spans="2:4" ht="16.5" thickBot="1" x14ac:dyDescent="0.3">
      <c r="B7" s="2" t="s">
        <v>4</v>
      </c>
      <c r="C7" s="3">
        <v>1164</v>
      </c>
      <c r="D7" s="1" t="s">
        <v>11</v>
      </c>
    </row>
    <row r="8" spans="2:4" ht="16.5" thickTop="1" x14ac:dyDescent="0.25">
      <c r="B8" s="4" t="s">
        <v>5</v>
      </c>
      <c r="C8" s="5">
        <v>94791.209999999992</v>
      </c>
      <c r="D8" s="5">
        <f>SUMIF(B:B, "Total general", C:C)</f>
        <v>189665.53</v>
      </c>
    </row>
    <row r="10" spans="2:4" ht="15.75" x14ac:dyDescent="0.25">
      <c r="B10" s="6" t="s">
        <v>6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25185.3</v>
      </c>
    </row>
    <row r="13" spans="2:4" x14ac:dyDescent="0.25">
      <c r="B13" s="2" t="s">
        <v>2</v>
      </c>
      <c r="C13" s="3">
        <v>12095</v>
      </c>
    </row>
    <row r="14" spans="2:4" x14ac:dyDescent="0.25">
      <c r="B14" s="2" t="s">
        <v>3</v>
      </c>
      <c r="C14" s="3">
        <v>7216</v>
      </c>
    </row>
    <row r="15" spans="2:4" ht="15.75" thickBot="1" x14ac:dyDescent="0.3">
      <c r="B15" s="2" t="s">
        <v>4</v>
      </c>
      <c r="C15" s="3">
        <v>19267.02</v>
      </c>
    </row>
    <row r="16" spans="2:4" ht="16.5" thickTop="1" x14ac:dyDescent="0.25">
      <c r="B16" s="4" t="s">
        <v>5</v>
      </c>
      <c r="C16" s="5">
        <v>63763.320000000007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11021</v>
      </c>
    </row>
    <row r="21" spans="2:3" x14ac:dyDescent="0.25">
      <c r="B21" s="2" t="s">
        <v>2</v>
      </c>
      <c r="C21" s="3">
        <v>3710</v>
      </c>
    </row>
    <row r="22" spans="2:3" x14ac:dyDescent="0.25">
      <c r="B22" s="2" t="s">
        <v>3</v>
      </c>
      <c r="C22" s="3">
        <v>3709</v>
      </c>
    </row>
    <row r="23" spans="2:3" ht="15.75" thickBot="1" x14ac:dyDescent="0.3">
      <c r="B23" s="2" t="s">
        <v>4</v>
      </c>
      <c r="C23" s="3">
        <v>3693</v>
      </c>
    </row>
    <row r="24" spans="2:3" ht="16.5" thickTop="1" x14ac:dyDescent="0.25">
      <c r="B24" s="4" t="s">
        <v>5</v>
      </c>
      <c r="C24" s="5">
        <v>22133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4156</v>
      </c>
    </row>
    <row r="29" spans="2:3" x14ac:dyDescent="0.25">
      <c r="B29" s="2" t="s">
        <v>2</v>
      </c>
      <c r="C29" s="3">
        <v>2158</v>
      </c>
    </row>
    <row r="30" spans="2:3" x14ac:dyDescent="0.25">
      <c r="B30" s="2" t="s">
        <v>3</v>
      </c>
      <c r="C30" s="3">
        <v>1000</v>
      </c>
    </row>
    <row r="31" spans="2:3" ht="15.75" thickBot="1" x14ac:dyDescent="0.3">
      <c r="B31" s="2" t="s">
        <v>4</v>
      </c>
      <c r="C31" s="3">
        <v>0</v>
      </c>
    </row>
    <row r="32" spans="2:3" ht="16.5" thickTop="1" x14ac:dyDescent="0.25">
      <c r="B32" s="4" t="s">
        <v>5</v>
      </c>
      <c r="C32" s="5">
        <v>7314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1664</v>
      </c>
    </row>
    <row r="37" spans="2:3" ht="16.5" thickTop="1" x14ac:dyDescent="0.25">
      <c r="B37" s="4" t="s">
        <v>5</v>
      </c>
      <c r="C37" s="5">
        <v>1664</v>
      </c>
    </row>
  </sheetData>
  <mergeCells count="5">
    <mergeCell ref="B10:C10"/>
    <mergeCell ref="B18:C18"/>
    <mergeCell ref="B2:C2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8453-93AC-4E13-A99E-F1F65446E0AC}">
  <dimension ref="B2:D35"/>
  <sheetViews>
    <sheetView tabSelected="1" workbookViewId="0">
      <selection activeCell="A32" sqref="A3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20</v>
      </c>
      <c r="C3" s="1" t="s">
        <v>0</v>
      </c>
    </row>
    <row r="4" spans="2:4" ht="16.5" thickBot="1" x14ac:dyDescent="0.3">
      <c r="B4" s="2" t="s">
        <v>13</v>
      </c>
      <c r="C4" s="3">
        <v>94791.209999999992</v>
      </c>
      <c r="D4" s="1" t="s">
        <v>11</v>
      </c>
    </row>
    <row r="5" spans="2:4" ht="16.5" thickTop="1" x14ac:dyDescent="0.25">
      <c r="B5" s="4" t="s">
        <v>5</v>
      </c>
      <c r="C5" s="5">
        <v>94791.209999999992</v>
      </c>
      <c r="D5" s="5">
        <f>SUMIF(B:B, "Total general", C:C)</f>
        <v>189665.53</v>
      </c>
    </row>
    <row r="7" spans="2:4" ht="15.75" x14ac:dyDescent="0.25">
      <c r="B7" s="6" t="s">
        <v>6</v>
      </c>
      <c r="C7" s="6"/>
    </row>
    <row r="8" spans="2:4" ht="15.75" x14ac:dyDescent="0.25">
      <c r="B8" s="1" t="s">
        <v>20</v>
      </c>
      <c r="C8" s="1" t="s">
        <v>0</v>
      </c>
    </row>
    <row r="9" spans="2:4" x14ac:dyDescent="0.25">
      <c r="B9" s="2" t="s">
        <v>14</v>
      </c>
      <c r="C9" s="3">
        <v>1396</v>
      </c>
    </row>
    <row r="10" spans="2:4" x14ac:dyDescent="0.25">
      <c r="B10" s="2" t="s">
        <v>15</v>
      </c>
      <c r="C10" s="3">
        <v>2160</v>
      </c>
    </row>
    <row r="11" spans="2:4" x14ac:dyDescent="0.25">
      <c r="B11" s="2" t="s">
        <v>16</v>
      </c>
      <c r="C11" s="3">
        <v>1852</v>
      </c>
    </row>
    <row r="12" spans="2:4" x14ac:dyDescent="0.25">
      <c r="B12" s="2" t="s">
        <v>17</v>
      </c>
      <c r="C12" s="3">
        <v>3100</v>
      </c>
    </row>
    <row r="13" spans="2:4" x14ac:dyDescent="0.25">
      <c r="B13" s="2" t="s">
        <v>18</v>
      </c>
      <c r="C13" s="3">
        <v>5354</v>
      </c>
    </row>
    <row r="14" spans="2:4" x14ac:dyDescent="0.25">
      <c r="B14" s="2" t="s">
        <v>19</v>
      </c>
      <c r="C14" s="3">
        <v>2453</v>
      </c>
    </row>
    <row r="15" spans="2:4" ht="15.75" thickBot="1" x14ac:dyDescent="0.3">
      <c r="B15" s="2" t="s">
        <v>13</v>
      </c>
      <c r="C15" s="3">
        <v>47448.32</v>
      </c>
    </row>
    <row r="16" spans="2:4" ht="16.5" thickTop="1" x14ac:dyDescent="0.25">
      <c r="B16" s="4" t="s">
        <v>5</v>
      </c>
      <c r="C16" s="5">
        <v>63763.32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20</v>
      </c>
      <c r="C19" s="1" t="s">
        <v>0</v>
      </c>
    </row>
    <row r="20" spans="2:3" x14ac:dyDescent="0.25">
      <c r="B20" s="2" t="s">
        <v>14</v>
      </c>
      <c r="C20" s="3">
        <v>7273</v>
      </c>
    </row>
    <row r="21" spans="2:3" x14ac:dyDescent="0.25">
      <c r="B21" s="2" t="s">
        <v>17</v>
      </c>
      <c r="C21" s="3">
        <v>2600</v>
      </c>
    </row>
    <row r="22" spans="2:3" x14ac:dyDescent="0.25">
      <c r="B22" s="2" t="s">
        <v>19</v>
      </c>
      <c r="C22" s="3">
        <v>4773</v>
      </c>
    </row>
    <row r="23" spans="2:3" ht="15.75" thickBot="1" x14ac:dyDescent="0.3">
      <c r="B23" s="2" t="s">
        <v>13</v>
      </c>
      <c r="C23" s="3">
        <v>7487</v>
      </c>
    </row>
    <row r="24" spans="2:3" ht="16.5" thickTop="1" x14ac:dyDescent="0.25">
      <c r="B24" s="4" t="s">
        <v>5</v>
      </c>
      <c r="C24" s="5">
        <v>22133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20</v>
      </c>
      <c r="C27" s="1" t="s">
        <v>0</v>
      </c>
    </row>
    <row r="28" spans="2:3" ht="15.75" thickBot="1" x14ac:dyDescent="0.3">
      <c r="B28" s="2" t="s">
        <v>13</v>
      </c>
      <c r="C28" s="3">
        <v>7314</v>
      </c>
    </row>
    <row r="29" spans="2:3" ht="16.5" thickTop="1" x14ac:dyDescent="0.25">
      <c r="B29" s="4" t="s">
        <v>5</v>
      </c>
      <c r="C29" s="5">
        <v>7314</v>
      </c>
    </row>
    <row r="31" spans="2:3" ht="15.75" x14ac:dyDescent="0.25">
      <c r="B31" s="6" t="s">
        <v>9</v>
      </c>
      <c r="C31" s="6"/>
    </row>
    <row r="32" spans="2:3" ht="15.75" x14ac:dyDescent="0.25">
      <c r="B32" s="1" t="s">
        <v>20</v>
      </c>
      <c r="C32" s="1" t="s">
        <v>0</v>
      </c>
    </row>
    <row r="33" spans="2:3" x14ac:dyDescent="0.25">
      <c r="B33" s="2" t="s">
        <v>14</v>
      </c>
      <c r="C33" s="3">
        <v>1354</v>
      </c>
    </row>
    <row r="34" spans="2:3" ht="15.75" thickBot="1" x14ac:dyDescent="0.3">
      <c r="B34" s="2" t="s">
        <v>15</v>
      </c>
      <c r="C34" s="3">
        <v>310</v>
      </c>
    </row>
    <row r="35" spans="2:3" ht="16.5" thickTop="1" x14ac:dyDescent="0.25">
      <c r="B35" s="4" t="s">
        <v>5</v>
      </c>
      <c r="C35" s="5">
        <v>1664</v>
      </c>
    </row>
  </sheetData>
  <mergeCells count="5">
    <mergeCell ref="B2:C2"/>
    <mergeCell ref="B7:C7"/>
    <mergeCell ref="B18:C18"/>
    <mergeCell ref="B26:C26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2025-04-18T21:03:58Z</dcterms:created>
  <dcterms:modified xsi:type="dcterms:W3CDTF">2025-04-18T21:08:51Z</dcterms:modified>
</cp:coreProperties>
</file>