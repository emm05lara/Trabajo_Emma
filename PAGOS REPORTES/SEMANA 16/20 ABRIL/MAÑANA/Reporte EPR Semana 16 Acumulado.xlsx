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20 ABRIL\MAÑANA\"/>
    </mc:Choice>
  </mc:AlternateContent>
  <xr:revisionPtr revIDLastSave="0" documentId="13_ncr:1_{E08BBA4F-2051-4DD9-B372-0D09815B0EC7}" xr6:coauthVersionLast="47" xr6:coauthVersionMax="47" xr10:uidLastSave="{00000000-0000-0000-0000-000000000000}"/>
  <bookViews>
    <workbookView xWindow="5580" yWindow="5580" windowWidth="10770" windowHeight="10350" xr2:uid="{4DC6C92A-CD8A-4966-829B-0B6A986E825B}"/>
  </bookViews>
  <sheets>
    <sheet name="REPORTE DIARIO" sheetId="1" r:id="rId1"/>
    <sheet name="DATA" sheetId="4" r:id="rId2"/>
    <sheet name="EPR 20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6" i="1"/>
  <c r="C56" i="1"/>
  <c r="D48" i="1"/>
  <c r="C48" i="1"/>
  <c r="D27" i="1"/>
  <c r="C27" i="1"/>
  <c r="D40" i="1" l="1"/>
  <c r="C40" i="1"/>
  <c r="D35" i="1"/>
  <c r="C35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<sst xmlns="http://schemas.openxmlformats.org/spreadsheetml/2006/main" count="88" uniqueCount="37">
  <si>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</si>
  <si>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</si>
  <si>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</si>
  <si>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</si>
  <si>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</si>
  <si>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</si>
  <si>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</si>
  <si>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</si>
  <si>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</si>
  <si>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</si>
  <si>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</si>
  <si>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</si>
  <si>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</si>
  <si>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</si>
  <si>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</si>
  <si>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</si>
  <si>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</si>
  <si>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</si>
  <si>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</si>
  <si>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</si>
  <si>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</si>
  <si>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</si>
  <si>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</si>
  <si>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</si>
  <si>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</si>
  <si>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</si>
  <si>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</si>
  <si>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</si>
  <si>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</si>
  <si>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</si>
  <si>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</si>
  <si>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</si>
  <si>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</si>
  <si>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</si>
  <si>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SALDO ACUMULADO SEMANA 16</t>
  </si>
  <si>
    <t>COBRANZA GENERAL  OLGUIN</t>
  </si>
  <si>
    <t>Samantha, Samantha 2, Sofia, Edith, Fernando, Olguin y Federico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</si>
</sst>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19" zoomScaleNormal="100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6559</v>
      </c>
      <c r="D5" s="25">
        <v>478736.82000000018</v>
      </c>
    </row>
    <row r="6" spans="2:8" x14ac:dyDescent="0.25">
      <c r="B6" s="1" t="s">
        <v>5</v>
      </c>
      <c r="C6" s="6">
        <v>5198</v>
      </c>
      <c r="D6" s="25">
        <v>439573.94</v>
      </c>
    </row>
    <row r="7" spans="2:8" x14ac:dyDescent="0.25">
      <c r="B7" s="1" t="s">
        <v>6</v>
      </c>
      <c r="C7" s="6">
        <v>7237</v>
      </c>
      <c r="D7" s="25">
        <v>221736.58000000002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21099</v>
      </c>
      <c r="D9" s="25">
        <v>379246.64999999997</v>
      </c>
      <c r="F9" s="7"/>
    </row>
    <row r="10" spans="2:8" x14ac:dyDescent="0.25">
      <c r="B10" s="3" t="s">
        <v>8</v>
      </c>
      <c r="C10" s="8">
        <f>SUM(C5:C9)</f>
        <v>40114</v>
      </c>
      <c r="D10" s="4">
        <f>SUM(D5:D9)</f>
        <v>1519293.9900000002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2042</v>
      </c>
      <c r="D14" s="25">
        <v>307801.81</v>
      </c>
    </row>
    <row r="15" spans="2:8" x14ac:dyDescent="0.25">
      <c r="B15" s="9" t="s">
        <v>5</v>
      </c>
      <c r="C15" s="6">
        <v>2287</v>
      </c>
      <c r="D15" s="25">
        <v>213312.32</v>
      </c>
    </row>
    <row r="16" spans="2:8" x14ac:dyDescent="0.25">
      <c r="B16" s="9" t="s">
        <v>6</v>
      </c>
      <c r="C16" s="6">
        <v>986</v>
      </c>
      <c r="D16" s="25">
        <v>38876.92</v>
      </c>
    </row>
    <row r="17" spans="2:11" x14ac:dyDescent="0.25">
      <c r="B17" s="9" t="s">
        <v>7</v>
      </c>
      <c r="C17" s="6">
        <v>9408</v>
      </c>
      <c r="D17" s="25">
        <v>43000.25</v>
      </c>
    </row>
    <row r="18" spans="2:11" x14ac:dyDescent="0.25">
      <c r="B18" s="10" t="s">
        <v>8</v>
      </c>
      <c r="C18" s="8">
        <f>SUM(C14:C17)</f>
        <v>14723</v>
      </c>
      <c r="D18" s="4">
        <f>SUM(D14:D17)</f>
        <v>602991.30000000005</v>
      </c>
    </row>
    <row r="20" spans="2:11" x14ac:dyDescent="0.25">
      <c r="B20" s="27" t="s">
        <v>32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2401</v>
      </c>
      <c r="D22" s="25">
        <v>269105.17</v>
      </c>
    </row>
    <row r="23" spans="2:11" x14ac:dyDescent="0.25">
      <c r="B23" s="1" t="s">
        <v>5</v>
      </c>
      <c r="C23" s="6">
        <v>1567</v>
      </c>
      <c r="D23" s="25">
        <v>76311.679999999993</v>
      </c>
    </row>
    <row r="24" spans="2:11" x14ac:dyDescent="0.25">
      <c r="B24" s="1" t="s">
        <v>6</v>
      </c>
      <c r="C24" s="6">
        <v>3282</v>
      </c>
      <c r="D24" s="25">
        <v>55057</v>
      </c>
    </row>
    <row r="25" spans="2:11" x14ac:dyDescent="0.25">
      <c r="B25" s="5" t="s">
        <v>12</v>
      </c>
      <c r="C25" s="6">
        <v>2</v>
      </c>
      <c r="D25" s="26">
        <v>0</v>
      </c>
    </row>
    <row r="26" spans="2:11" x14ac:dyDescent="0.25">
      <c r="B26" s="1" t="s">
        <v>7</v>
      </c>
      <c r="C26" s="7">
        <v>21627</v>
      </c>
      <c r="D26" s="25">
        <v>130144.61</v>
      </c>
    </row>
    <row r="27" spans="2:11" x14ac:dyDescent="0.25">
      <c r="B27" s="3" t="s">
        <v>8</v>
      </c>
      <c r="C27" s="8">
        <f>SUM(C22:C26)</f>
        <v>28879</v>
      </c>
      <c r="D27" s="4">
        <f>SUM(D22:D26)</f>
        <v>530618.46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1351</v>
      </c>
      <c r="D31" s="25">
        <v>131367.03</v>
      </c>
    </row>
    <row r="32" spans="2:11" x14ac:dyDescent="0.25">
      <c r="B32" s="9" t="s">
        <v>5</v>
      </c>
      <c r="C32" s="6">
        <v>1929</v>
      </c>
      <c r="D32" s="25">
        <v>85601.09</v>
      </c>
    </row>
    <row r="33" spans="2:4" x14ac:dyDescent="0.25">
      <c r="B33" s="9" t="s">
        <v>6</v>
      </c>
      <c r="C33" s="6">
        <v>2466</v>
      </c>
      <c r="D33" s="25">
        <v>11318</v>
      </c>
    </row>
    <row r="34" spans="2:4" x14ac:dyDescent="0.25">
      <c r="B34" s="9" t="s">
        <v>7</v>
      </c>
      <c r="C34" s="6">
        <v>4264</v>
      </c>
      <c r="D34" s="25">
        <v>5731.29</v>
      </c>
    </row>
    <row r="35" spans="2:4" x14ac:dyDescent="0.25">
      <c r="B35" s="10" t="s">
        <v>8</v>
      </c>
      <c r="C35" s="8">
        <f>SUM(C31:C34)</f>
        <v>10010</v>
      </c>
      <c r="D35" s="4">
        <f>SUM(D31:D34)</f>
        <v>234017.41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1327</v>
      </c>
      <c r="D39" s="25">
        <v>73299.63</v>
      </c>
    </row>
    <row r="40" spans="2:4" x14ac:dyDescent="0.25">
      <c r="B40" s="10" t="s">
        <v>8</v>
      </c>
      <c r="C40" s="8">
        <f>SUM(C39:C39)</f>
        <v>1327</v>
      </c>
      <c r="D40" s="4">
        <f>SUM(D39:D39)</f>
        <v>73299.63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3583</v>
      </c>
    </row>
    <row r="45" spans="2:4" x14ac:dyDescent="0.25">
      <c r="B45" s="1" t="s">
        <v>5</v>
      </c>
      <c r="C45" s="6">
        <v>318</v>
      </c>
      <c r="D45" s="25">
        <v>18963</v>
      </c>
    </row>
    <row r="46" spans="2:4" x14ac:dyDescent="0.25">
      <c r="B46" s="1" t="s">
        <v>6</v>
      </c>
      <c r="C46" s="6">
        <v>255</v>
      </c>
      <c r="D46" s="25">
        <v>546</v>
      </c>
    </row>
    <row r="47" spans="2:4" x14ac:dyDescent="0.25">
      <c r="B47" s="1" t="s">
        <v>7</v>
      </c>
      <c r="C47" s="6">
        <v>1930</v>
      </c>
      <c r="D47" s="25">
        <v>15021</v>
      </c>
    </row>
    <row r="48" spans="2:4" x14ac:dyDescent="0.25">
      <c r="B48" s="3" t="s">
        <v>8</v>
      </c>
      <c r="C48" s="8">
        <f>SUM(C44:C47)</f>
        <v>2542</v>
      </c>
      <c r="D48" s="4">
        <f>SUM(D44:D47)</f>
        <v>38113</v>
      </c>
    </row>
    <row r="50" spans="2:4" x14ac:dyDescent="0.25">
      <c r="B50" s="27" t="s">
        <v>35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44</v>
      </c>
      <c r="D52" s="26">
        <v>0</v>
      </c>
    </row>
    <row r="53" spans="2:4" x14ac:dyDescent="0.25">
      <c r="B53" s="1" t="s">
        <v>5</v>
      </c>
      <c r="C53" s="6">
        <v>66</v>
      </c>
      <c r="D53" s="25">
        <v>1000</v>
      </c>
    </row>
    <row r="54" spans="2:4" x14ac:dyDescent="0.25">
      <c r="B54" s="1" t="s">
        <v>6</v>
      </c>
      <c r="C54" s="6">
        <v>257</v>
      </c>
      <c r="D54" s="25">
        <v>1000</v>
      </c>
    </row>
    <row r="55" spans="2:4" x14ac:dyDescent="0.25">
      <c r="B55" s="1" t="s">
        <v>7</v>
      </c>
      <c r="C55" s="6">
        <v>383</v>
      </c>
      <c r="D55" s="26">
        <v>0</v>
      </c>
    </row>
    <row r="56" spans="2:4" x14ac:dyDescent="0.25">
      <c r="B56" s="3" t="s">
        <v>8</v>
      </c>
      <c r="C56" s="8">
        <f>SUM(C52:C55)</f>
        <v>750</v>
      </c>
      <c r="D56" s="4">
        <f>SUM(D52:D55)</f>
        <v>2000</v>
      </c>
    </row>
    <row r="58" spans="2:4" x14ac:dyDescent="0.25">
      <c r="B58" s="12" t="s">
        <v>13</v>
      </c>
      <c r="C58" s="13">
        <f>SUM(C10+C18+C35+C40+C27+C48+C56)</f>
        <v>98345</v>
      </c>
      <c r="D58" s="13">
        <f>SUM(D10+D18+D35+D40+D27+D48+D56)</f>
        <v>3000333.79</v>
      </c>
    </row>
  </sheetData>
  <mergeCells count="7">
    <mergeCell ref="B50:D50"/>
    <mergeCell ref="B20:D20"/>
    <mergeCell ref="B42:D42"/>
    <mergeCell ref="B3:D3"/>
    <mergeCell ref="B12:D12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20 ABR'!C6, 'REPORTE DIARIO'!C:C)</f>
        <v>13763</v>
      </c>
      <c r="E6" s="16">
        <f>SUMIF('REPORTE DIARIO'!B:B,'EPR 20 ABR'!C6, 'REPORTE DIARIO'!D:D)</f>
        <v>1263893.46</v>
      </c>
      <c r="F6" s="16">
        <f>J6*D6</f>
        <v>2752600</v>
      </c>
      <c r="G6" s="16">
        <f>+E6-F6</f>
        <v>-1488706.54</v>
      </c>
      <c r="H6" s="15">
        <f>ABS(G6/F6)</f>
        <v>0.54083649640340048</v>
      </c>
      <c r="I6" s="16">
        <f>E6/D6</f>
        <v>91.832700719319917</v>
      </c>
      <c r="J6" s="16">
        <f>(200/7)*7</f>
        <v>200</v>
      </c>
      <c r="K6" s="16">
        <f>+I6-J6</f>
        <v>-108.16729928068008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20 ABR'!C7, 'REPORTE DIARIO'!C:C)</f>
        <v>11365</v>
      </c>
      <c r="E7" s="16">
        <f>SUMIF('REPORTE DIARIO'!B:B,'EPR 20 ABR'!C7, 'REPORTE DIARIO'!D:D)</f>
        <v>834762.02999999991</v>
      </c>
      <c r="F7" s="16">
        <f>J7*D7</f>
        <v>1250150</v>
      </c>
      <c r="G7" s="16">
        <f>+E7-F7</f>
        <v>-415387.97000000009</v>
      </c>
      <c r="H7" s="15">
        <f>ABS(G7/F7)</f>
        <v>0.33227050353957532</v>
      </c>
      <c r="I7" s="16">
        <f>E7/D7</f>
        <v>73.45024461064672</v>
      </c>
      <c r="J7" s="16">
        <f>(110/7)*7</f>
        <v>110</v>
      </c>
      <c r="K7" s="16">
        <f t="shared" ref="K7:K9" si="0">+I7-J7</f>
        <v>-36.54975538935328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20 ABR'!C8, 'REPORTE DIARIO'!C:C)</f>
        <v>14483</v>
      </c>
      <c r="E8" s="16">
        <f>SUMIF('REPORTE DIARIO'!B:B,'EPR 20 ABR'!C8, 'REPORTE DIARIO'!D:D)</f>
        <v>328534.5</v>
      </c>
      <c r="F8" s="16">
        <f>J8*D8</f>
        <v>651735</v>
      </c>
      <c r="G8" s="16">
        <f>+E8-F8</f>
        <v>-323200.5</v>
      </c>
      <c r="H8" s="15">
        <f>ABS(G8/F8)</f>
        <v>0.49590784598034476</v>
      </c>
      <c r="I8" s="16">
        <f>E8/D8</f>
        <v>22.684146930884484</v>
      </c>
      <c r="J8" s="16">
        <f>(45/7)*7</f>
        <v>45</v>
      </c>
      <c r="K8" s="16">
        <f t="shared" si="0"/>
        <v>-22.315853069115516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20 ABR'!C9, 'REPORTE DIARIO'!C:C)</f>
        <v>58711</v>
      </c>
      <c r="E9" s="16">
        <f>SUMIF('REPORTE DIARIO'!B:B,'EPR 20 ABR'!C9, 'REPORTE DIARIO'!D:D)</f>
        <v>573143.80000000005</v>
      </c>
      <c r="F9" s="16">
        <f>J9*D9</f>
        <v>880665</v>
      </c>
      <c r="G9" s="16">
        <f>+E9-F9</f>
        <v>-307521.19999999995</v>
      </c>
      <c r="H9" s="15">
        <f>ABS(G9/F9)</f>
        <v>0.34919203102201174</v>
      </c>
      <c r="I9" s="16">
        <f>E9/D9</f>
        <v>9.7621195346698233</v>
      </c>
      <c r="J9" s="16">
        <f>(15/7)*7</f>
        <v>15</v>
      </c>
      <c r="K9" s="16">
        <f t="shared" si="0"/>
        <v>-5.2378804653301767</v>
      </c>
    </row>
    <row r="10" spans="2:12" x14ac:dyDescent="0.25">
      <c r="B10" s="16"/>
      <c r="C10" s="19" t="s">
        <v>17</v>
      </c>
      <c r="D10" s="24">
        <f>SUM(D6:D9)</f>
        <v>98322</v>
      </c>
      <c r="E10" s="20">
        <f>SUM(E6:E9)</f>
        <v>3000333.79</v>
      </c>
      <c r="F10" s="20">
        <f>SUM(F6:F9)</f>
        <v>5535150</v>
      </c>
      <c r="G10" s="20">
        <f>+E10-F10</f>
        <v>-2534816.21</v>
      </c>
      <c r="H10" s="21">
        <f>ABS(G10/F10)</f>
        <v>0.45794896434604299</v>
      </c>
      <c r="I10" s="20">
        <f>E10/D10</f>
        <v>30.515386078395476</v>
      </c>
      <c r="J10" s="20">
        <f>F10/D10</f>
        <v>56.296149386708976</v>
      </c>
      <c r="K10" s="20">
        <f>I10-J10</f>
        <v>-25.780763308313499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36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20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2025-04-20T15:02:48Z</dcterms:modified>
</cp:coreProperties>
</file>