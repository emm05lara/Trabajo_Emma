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6\20 ABRIL\NOCHE\"/>
    </mc:Choice>
  </mc:AlternateContent>
  <xr:revisionPtr revIDLastSave="0" documentId="13_ncr:1_{2F6E51BB-0C2A-4BC1-9F9C-583A08DE0C69}" xr6:coauthVersionLast="47" xr6:coauthVersionMax="47" xr10:uidLastSave="{00000000-0000-0000-0000-000000000000}"/>
  <bookViews>
    <workbookView xWindow="8685" yWindow="8685" windowWidth="10770" windowHeight="10350" xr2:uid="{4DC6C92A-CD8A-4966-829B-0B6A986E825B}"/>
  </bookViews>
  <sheets>
    <sheet name="REPORTE DIARIO" sheetId="1" r:id="rId1"/>
    <sheet name="DATA" sheetId="4" r:id="rId2"/>
    <sheet name="EPR 20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<sst xmlns="http://schemas.openxmlformats.org/spreadsheetml/2006/main" count="88" uniqueCount="37">
  <si>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</si>
  <si>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</si>
  <si>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</si>
  <si>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</si>
  <si>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</si>
  <si>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</si>
  <si>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</si>
  <si>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</si>
  <si>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</si>
  <si>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</si>
  <si>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</si>
  <si>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</si>
  <si>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</si>
  <si>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</si>
  <si>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</si>
  <si>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</si>
  <si>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</si>
  <si>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</si>
  <si>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</si>
  <si>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</si>
  <si>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</si>
  <si>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</si>
  <si>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</si>
  <si>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</si>
  <si>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</si>
  <si>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</si>
  <si>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</si>
  <si>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</si>
  <si>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</si>
  <si>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</si>
  <si>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</si>
  <si>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</si>
  <si>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</si>
  <si>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</si>
  <si>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SALDO ACUMULADO SEMANA 16</t>
  </si>
  <si>
    <t>COBRANZA GENERAL  OLGUIN</t>
  </si>
  <si>
    <t>Samantha, Samantha 2, Sofia, Edith, Fernando, Olguin y 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</si>
</sst>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topLeftCell="A25" zoomScaleNormal="100" workbookViewId="0">
      <selection activeCell="D53" sqref="D5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6579</v>
      </c>
      <c r="D5" s="25">
        <v>581912.7100000002</v>
      </c>
    </row>
    <row r="6" spans="2:8" x14ac:dyDescent="0.25">
      <c r="B6" s="1" t="s">
        <v>5</v>
      </c>
      <c r="C6" s="6">
        <v>5219</v>
      </c>
      <c r="D6" s="25">
        <v>535066.79</v>
      </c>
    </row>
    <row r="7" spans="2:8" x14ac:dyDescent="0.25">
      <c r="B7" s="1" t="s">
        <v>6</v>
      </c>
      <c r="C7" s="6">
        <v>7241</v>
      </c>
      <c r="D7" s="25">
        <v>259281.58000000002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21101</v>
      </c>
      <c r="D9" s="25">
        <v>430944.64999999997</v>
      </c>
      <c r="F9" s="7"/>
    </row>
    <row r="10" spans="2:8" x14ac:dyDescent="0.25">
      <c r="B10" s="3" t="s">
        <v>8</v>
      </c>
      <c r="C10" s="8">
        <f>SUM(C5:C9)</f>
        <v>40161</v>
      </c>
      <c r="D10" s="4">
        <f>SUM(D5:D9)</f>
        <v>1807205.7300000002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2052</v>
      </c>
      <c r="D14" s="25">
        <v>335601.28</v>
      </c>
    </row>
    <row r="15" spans="2:8" x14ac:dyDescent="0.25">
      <c r="B15" s="9" t="s">
        <v>5</v>
      </c>
      <c r="C15" s="6">
        <v>2299</v>
      </c>
      <c r="D15" s="25">
        <v>228252.95</v>
      </c>
    </row>
    <row r="16" spans="2:8" x14ac:dyDescent="0.25">
      <c r="B16" s="9" t="s">
        <v>6</v>
      </c>
      <c r="C16" s="6">
        <v>1039</v>
      </c>
      <c r="D16" s="25">
        <v>43122.92</v>
      </c>
    </row>
    <row r="17" spans="2:11" x14ac:dyDescent="0.25">
      <c r="B17" s="9" t="s">
        <v>7</v>
      </c>
      <c r="C17" s="6">
        <v>9411</v>
      </c>
      <c r="D17" s="25">
        <v>47073.25</v>
      </c>
    </row>
    <row r="18" spans="2:11" x14ac:dyDescent="0.25">
      <c r="B18" s="10" t="s">
        <v>8</v>
      </c>
      <c r="C18" s="8">
        <f>SUM(C14:C17)</f>
        <v>14801</v>
      </c>
      <c r="D18" s="4">
        <f>SUM(D14:D17)</f>
        <v>654050.4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2425</v>
      </c>
      <c r="D22" s="25">
        <v>307862.68</v>
      </c>
    </row>
    <row r="23" spans="2:11" x14ac:dyDescent="0.25">
      <c r="B23" s="1" t="s">
        <v>5</v>
      </c>
      <c r="C23" s="6">
        <v>1591</v>
      </c>
      <c r="D23" s="25">
        <v>115405.62999999999</v>
      </c>
    </row>
    <row r="24" spans="2:11" x14ac:dyDescent="0.25">
      <c r="B24" s="1" t="s">
        <v>6</v>
      </c>
      <c r="C24" s="6">
        <v>3336</v>
      </c>
      <c r="D24" s="25">
        <v>65090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21636</v>
      </c>
      <c r="D26" s="25">
        <v>162538.60999999999</v>
      </c>
    </row>
    <row r="27" spans="2:11" x14ac:dyDescent="0.25">
      <c r="B27" s="3" t="s">
        <v>8</v>
      </c>
      <c r="C27" s="8">
        <f>SUM(C22:C26)</f>
        <v>28990</v>
      </c>
      <c r="D27" s="4">
        <f>SUM(D22:D26)</f>
        <v>650896.91999999993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1351</v>
      </c>
      <c r="D31" s="25">
        <v>145166.03</v>
      </c>
    </row>
    <row r="32" spans="2:11" x14ac:dyDescent="0.25">
      <c r="B32" s="9" t="s">
        <v>5</v>
      </c>
      <c r="C32" s="6">
        <v>1929</v>
      </c>
      <c r="D32" s="25">
        <v>120882.78</v>
      </c>
    </row>
    <row r="33" spans="2:4" x14ac:dyDescent="0.25">
      <c r="B33" s="9" t="s">
        <v>6</v>
      </c>
      <c r="C33" s="6">
        <v>2518</v>
      </c>
      <c r="D33" s="25">
        <v>12270</v>
      </c>
    </row>
    <row r="34" spans="2:4" x14ac:dyDescent="0.25">
      <c r="B34" s="9" t="s">
        <v>7</v>
      </c>
      <c r="C34" s="6">
        <v>4264</v>
      </c>
      <c r="D34" s="25">
        <v>6086.29</v>
      </c>
    </row>
    <row r="35" spans="2:4" x14ac:dyDescent="0.25">
      <c r="B35" s="10" t="s">
        <v>8</v>
      </c>
      <c r="C35" s="8">
        <f>SUM(C31:C34)</f>
        <v>10062</v>
      </c>
      <c r="D35" s="4">
        <f>SUM(D31:D34)</f>
        <v>284405.09999999998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1327</v>
      </c>
      <c r="D39" s="25">
        <v>79748.87000000001</v>
      </c>
    </row>
    <row r="40" spans="2:4" x14ac:dyDescent="0.25">
      <c r="B40" s="10" t="s">
        <v>8</v>
      </c>
      <c r="C40" s="8">
        <f>SUM(C39:C39)</f>
        <v>1327</v>
      </c>
      <c r="D40" s="4">
        <f>SUM(D39:D39)</f>
        <v>79748.87000000001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3613</v>
      </c>
    </row>
    <row r="45" spans="2:4" x14ac:dyDescent="0.25">
      <c r="B45" s="1" t="s">
        <v>5</v>
      </c>
      <c r="C45" s="6">
        <v>322</v>
      </c>
      <c r="D45" s="25">
        <v>19213</v>
      </c>
    </row>
    <row r="46" spans="2:4" x14ac:dyDescent="0.25">
      <c r="B46" s="1" t="s">
        <v>6</v>
      </c>
      <c r="C46" s="6">
        <v>255</v>
      </c>
      <c r="D46" s="25">
        <v>546</v>
      </c>
    </row>
    <row r="47" spans="2:4" x14ac:dyDescent="0.25">
      <c r="B47" s="1" t="s">
        <v>7</v>
      </c>
      <c r="C47" s="6">
        <v>1930</v>
      </c>
      <c r="D47" s="25">
        <v>15971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39343</v>
      </c>
    </row>
    <row r="50" spans="2:4" x14ac:dyDescent="0.25">
      <c r="B50" s="27" t="s">
        <v>35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59</v>
      </c>
      <c r="D52" s="26">
        <v>0</v>
      </c>
    </row>
    <row r="53" spans="2:4" x14ac:dyDescent="0.25">
      <c r="B53" s="1" t="s">
        <v>5</v>
      </c>
      <c r="C53" s="6">
        <v>75</v>
      </c>
      <c r="D53" s="25">
        <v>2000</v>
      </c>
    </row>
    <row r="54" spans="2:4" x14ac:dyDescent="0.25">
      <c r="B54" s="1" t="s">
        <v>6</v>
      </c>
      <c r="C54" s="6">
        <v>323</v>
      </c>
      <c r="D54" s="25">
        <v>1000</v>
      </c>
    </row>
    <row r="55" spans="2:4" x14ac:dyDescent="0.25">
      <c r="B55" s="1" t="s">
        <v>7</v>
      </c>
      <c r="C55" s="6">
        <v>463</v>
      </c>
      <c r="D55" s="25">
        <v>1500</v>
      </c>
    </row>
    <row r="56" spans="2:4" x14ac:dyDescent="0.25">
      <c r="B56" s="3" t="s">
        <v>8</v>
      </c>
      <c r="C56" s="8">
        <f>SUM(C52:C55)</f>
        <v>920</v>
      </c>
      <c r="D56" s="4">
        <f>SUM(D52:D55)</f>
        <v>4500</v>
      </c>
    </row>
    <row r="58" spans="2:4" x14ac:dyDescent="0.25">
      <c r="B58" s="12" t="s">
        <v>13</v>
      </c>
      <c r="C58" s="13">
        <f>SUM(C10+C18+C35+C40+C27+C48+C56)</f>
        <v>98807</v>
      </c>
      <c r="D58" s="13">
        <f>SUM(D10+D18+D35+D40+D27+D48+D56)</f>
        <v>3520150.0200000005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34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20 ABR'!C6, 'REPORTE DIARIO'!C:C)</f>
        <v>13832</v>
      </c>
      <c r="E6" s="16">
        <f>SUMIF('REPORTE DIARIO'!B:B,'EPR 20 ABR'!C6, 'REPORTE DIARIO'!D:D)</f>
        <v>1453904.5700000003</v>
      </c>
      <c r="F6" s="16">
        <f>J6*D6</f>
        <v>2766400</v>
      </c>
      <c r="G6" s="16">
        <f>+E6-F6</f>
        <v>-1312495.4299999997</v>
      </c>
      <c r="H6" s="15">
        <f>ABS(G6/F6)</f>
        <v>0.47444166787160197</v>
      </c>
      <c r="I6" s="16">
        <f>E6/D6</f>
        <v>105.1116664256796</v>
      </c>
      <c r="J6" s="16">
        <f>(200/7)*7</f>
        <v>200</v>
      </c>
      <c r="K6" s="16">
        <f>+I6-J6</f>
        <v>-94.888333574320399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20 ABR'!C7, 'REPORTE DIARIO'!C:C)</f>
        <v>11435</v>
      </c>
      <c r="E7" s="16">
        <f>SUMIF('REPORTE DIARIO'!B:B,'EPR 20 ABR'!C7, 'REPORTE DIARIO'!D:D)</f>
        <v>1020821.15</v>
      </c>
      <c r="F7" s="16">
        <f>J7*D7</f>
        <v>1257850</v>
      </c>
      <c r="G7" s="16">
        <f>+E7-F7</f>
        <v>-237028.84999999998</v>
      </c>
      <c r="H7" s="15">
        <f>ABS(G7/F7)</f>
        <v>0.18843967881702903</v>
      </c>
      <c r="I7" s="16">
        <f>E7/D7</f>
        <v>89.271635330126799</v>
      </c>
      <c r="J7" s="16">
        <f>(110/7)*7</f>
        <v>110</v>
      </c>
      <c r="K7" s="16">
        <f t="shared" ref="K7:K9" si="0">+I7-J7</f>
        <v>-20.728364669873201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20 ABR'!C8, 'REPORTE DIARIO'!C:C)</f>
        <v>14712</v>
      </c>
      <c r="E8" s="16">
        <f>SUMIF('REPORTE DIARIO'!B:B,'EPR 20 ABR'!C8, 'REPORTE DIARIO'!D:D)</f>
        <v>381310.5</v>
      </c>
      <c r="F8" s="16">
        <f>J8*D8</f>
        <v>662040</v>
      </c>
      <c r="G8" s="16">
        <f>+E8-F8</f>
        <v>-280729.5</v>
      </c>
      <c r="H8" s="15">
        <f>ABS(G8/F8)</f>
        <v>0.42403706724669205</v>
      </c>
      <c r="I8" s="16">
        <f>E8/D8</f>
        <v>25.918331973898859</v>
      </c>
      <c r="J8" s="16">
        <f>(45/7)*7</f>
        <v>45</v>
      </c>
      <c r="K8" s="16">
        <f t="shared" si="0"/>
        <v>-19.081668026101141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20 ABR'!C9, 'REPORTE DIARIO'!C:C)</f>
        <v>58805</v>
      </c>
      <c r="E9" s="16">
        <f>SUMIF('REPORTE DIARIO'!B:B,'EPR 20 ABR'!C9, 'REPORTE DIARIO'!D:D)</f>
        <v>664113.80000000005</v>
      </c>
      <c r="F9" s="16">
        <f>J9*D9</f>
        <v>882075</v>
      </c>
      <c r="G9" s="16">
        <f>+E9-F9</f>
        <v>-217961.19999999995</v>
      </c>
      <c r="H9" s="15">
        <f>ABS(G9/F9)</f>
        <v>0.24710053000028337</v>
      </c>
      <c r="I9" s="16">
        <f>E9/D9</f>
        <v>11.29349204999575</v>
      </c>
      <c r="J9" s="16">
        <f>(15/7)*7</f>
        <v>15</v>
      </c>
      <c r="K9" s="16">
        <f t="shared" si="0"/>
        <v>-3.7065079500042497</v>
      </c>
    </row>
    <row r="10" spans="2:12" x14ac:dyDescent="0.25">
      <c r="B10" s="16"/>
      <c r="C10" s="19" t="s">
        <v>17</v>
      </c>
      <c r="D10" s="24">
        <f>SUM(D6:D9)</f>
        <v>98784</v>
      </c>
      <c r="E10" s="20">
        <f>SUM(E6:E9)</f>
        <v>3520150.0200000005</v>
      </c>
      <c r="F10" s="20">
        <f>SUM(F6:F9)</f>
        <v>5568365</v>
      </c>
      <c r="G10" s="20">
        <f>+E10-F10</f>
        <v>-2048214.9799999995</v>
      </c>
      <c r="H10" s="21">
        <f>ABS(G10/F10)</f>
        <v>0.3678305894099973</v>
      </c>
      <c r="I10" s="20">
        <f>E10/D10</f>
        <v>35.634819606413998</v>
      </c>
      <c r="J10" s="20">
        <f>F10/D10</f>
        <v>56.369098234531911</v>
      </c>
      <c r="K10" s="20">
        <f>I10-J10</f>
        <v>-20.734278628117913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36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20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2025-04-21T01:49:17Z</dcterms:modified>
</cp:coreProperties>
</file>