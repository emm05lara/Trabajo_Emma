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7 ABRIL\NOCHE\"/>
    </mc:Choice>
  </mc:AlternateContent>
  <xr:revisionPtr revIDLastSave="0" documentId="13_ncr:1_{414926C0-749E-4A54-B79E-EFC49E487B0D}" xr6:coauthVersionLast="47" xr6:coauthVersionMax="47" xr10:uidLastSave="{00000000-0000-0000-0000-000000000000}"/>
  <bookViews>
    <workbookView xWindow="7140" yWindow="7140" windowWidth="10770" windowHeight="10350" xr2:uid="{4DC6C92A-CD8A-4966-829B-0B6A986E825B}"/>
  </bookViews>
  <sheets>
    <sheet name="REPORTE DIARIO" sheetId="1" r:id="rId1"/>
    <sheet name="DATA" sheetId="4" r:id="rId2"/>
    <sheet name="EPR 17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J6" i="3"/>
  <c r="C43" i="1"/>
  <c r="D19" i="1" l="1"/>
  <c r="C19" i="1"/>
  <c r="J9" i="3"/>
  <c r="J8" i="3"/>
  <c r="J7" i="3"/>
  <c r="D6" i="3"/>
  <c r="F6" i="3" s="1"/>
  <c r="D48" i="1"/>
  <c r="C48" i="1"/>
  <c r="D27" i="1"/>
  <c r="C27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0" i="1" l="1"/>
  <c r="D50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<sst xmlns="http://schemas.openxmlformats.org/spreadsheetml/2006/main" count="78" uniqueCount="35">
  <si>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</si>
  <si>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</si>
  <si>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</si>
  <si>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</si>
  <si>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</si>
  <si>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</si>
  <si>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</si>
  <si>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</si>
  <si>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</si>
  <si>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</si>
  <si>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</si>
  <si>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</si>
  <si>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</si>
  <si>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</si>
  <si>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</si>
  <si>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</si>
  <si>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</si>
  <si>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</si>
  <si>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</si>
  <si>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</si>
  <si>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</si>
  <si>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</si>
  <si>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</si>
  <si>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</si>
  <si>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</si>
  <si>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</si>
  <si>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</si>
  <si>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</si>
  <si>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</si>
  <si>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</si>
  <si>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</si>
  <si>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</si>
  <si>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</si>
  <si>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Samantha, Samantha 2, Sofia, Edith, Fernando y Federico</t>
  </si>
  <si>
    <t>COBRANZA 17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</si>
</sst>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0"/>
  <sheetViews>
    <sheetView showGridLines="0" tabSelected="1" workbookViewId="0">
      <selection activeCell="C48" sqref="C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6750</v>
      </c>
      <c r="D5" s="25">
        <v>37428.730000000003</v>
      </c>
    </row>
    <row r="6" spans="2:8" x14ac:dyDescent="0.25">
      <c r="B6" s="1" t="s">
        <v>5</v>
      </c>
      <c r="C6" s="6">
        <v>5523</v>
      </c>
      <c r="D6" s="25">
        <v>28165.89</v>
      </c>
    </row>
    <row r="7" spans="2:8" x14ac:dyDescent="0.25">
      <c r="B7" s="1" t="s">
        <v>6</v>
      </c>
      <c r="C7" s="6">
        <v>8481</v>
      </c>
      <c r="D7" s="25">
        <v>39972.769999999997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21089</v>
      </c>
      <c r="D9" s="25">
        <v>35543</v>
      </c>
    </row>
    <row r="10" spans="2:8" x14ac:dyDescent="0.25">
      <c r="B10" s="3" t="s">
        <v>8</v>
      </c>
      <c r="C10" s="8">
        <f>SUM(C5:C9)</f>
        <v>41864</v>
      </c>
      <c r="D10" s="4">
        <f>SUM(D5:D9)</f>
        <v>141110.38999999998</v>
      </c>
    </row>
    <row r="12" spans="2:8" x14ac:dyDescent="0.25">
      <c r="B12" s="27" t="s">
        <v>31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2409</v>
      </c>
      <c r="D14" s="25">
        <v>83307.7</v>
      </c>
    </row>
    <row r="15" spans="2:8" x14ac:dyDescent="0.25">
      <c r="B15" s="1" t="s">
        <v>5</v>
      </c>
      <c r="C15" s="6">
        <v>1515</v>
      </c>
      <c r="D15" s="25">
        <v>2749</v>
      </c>
    </row>
    <row r="16" spans="2:8" x14ac:dyDescent="0.25">
      <c r="B16" s="1" t="s">
        <v>6</v>
      </c>
      <c r="C16" s="6">
        <v>3355</v>
      </c>
      <c r="D16" s="25">
        <v>4913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21327</v>
      </c>
      <c r="D18" s="25">
        <v>11761</v>
      </c>
    </row>
    <row r="19" spans="2:11" x14ac:dyDescent="0.25">
      <c r="B19" s="3" t="s">
        <v>8</v>
      </c>
      <c r="C19" s="8">
        <f>SUM(C14:C18)</f>
        <v>28608</v>
      </c>
      <c r="D19" s="4">
        <f>SUM(D14:D18)</f>
        <v>102730.7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2058</v>
      </c>
      <c r="D23" s="25">
        <v>33093.67</v>
      </c>
    </row>
    <row r="24" spans="2:11" x14ac:dyDescent="0.25">
      <c r="B24" s="9" t="s">
        <v>5</v>
      </c>
      <c r="C24" s="6">
        <v>2170</v>
      </c>
      <c r="D24" s="25">
        <v>9629.2900000000009</v>
      </c>
    </row>
    <row r="25" spans="2:11" x14ac:dyDescent="0.25">
      <c r="B25" s="9" t="s">
        <v>6</v>
      </c>
      <c r="C25" s="6">
        <v>990</v>
      </c>
      <c r="D25" s="25">
        <v>1598</v>
      </c>
    </row>
    <row r="26" spans="2:11" x14ac:dyDescent="0.25">
      <c r="B26" s="9" t="s">
        <v>7</v>
      </c>
      <c r="C26" s="6">
        <v>9105</v>
      </c>
      <c r="D26" s="25">
        <v>9303</v>
      </c>
      <c r="K26" s="7"/>
    </row>
    <row r="27" spans="2:11" x14ac:dyDescent="0.25">
      <c r="B27" s="10" t="s">
        <v>8</v>
      </c>
      <c r="C27" s="8">
        <f>SUM(C23:C26)</f>
        <v>14323</v>
      </c>
      <c r="D27" s="4">
        <f>SUM(D23:D26)</f>
        <v>53623.96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1355</v>
      </c>
      <c r="D31" s="25">
        <v>15030.460000000001</v>
      </c>
    </row>
    <row r="32" spans="2:11" x14ac:dyDescent="0.25">
      <c r="B32" s="9" t="s">
        <v>5</v>
      </c>
      <c r="C32" s="6">
        <v>1942</v>
      </c>
      <c r="D32" s="25">
        <v>33455.630000000005</v>
      </c>
    </row>
    <row r="33" spans="2:4" x14ac:dyDescent="0.25">
      <c r="B33" s="9" t="s">
        <v>6</v>
      </c>
      <c r="C33" s="6">
        <v>2795</v>
      </c>
      <c r="D33" s="26">
        <v>0</v>
      </c>
    </row>
    <row r="34" spans="2:4" x14ac:dyDescent="0.25">
      <c r="B34" s="9" t="s">
        <v>7</v>
      </c>
      <c r="C34" s="6">
        <v>4265</v>
      </c>
      <c r="D34" s="25">
        <v>139</v>
      </c>
    </row>
    <row r="35" spans="2:4" x14ac:dyDescent="0.25">
      <c r="B35" s="10" t="s">
        <v>8</v>
      </c>
      <c r="C35" s="8">
        <f>SUM(C31:C34)</f>
        <v>10357</v>
      </c>
      <c r="D35" s="4">
        <f>SUM(D31:D34)</f>
        <v>48625.090000000004</v>
      </c>
    </row>
    <row r="37" spans="2:4" x14ac:dyDescent="0.25">
      <c r="B37" s="27" t="s">
        <v>32</v>
      </c>
      <c r="C37" s="27"/>
      <c r="D37" s="27"/>
    </row>
    <row r="38" spans="2:4" x14ac:dyDescent="0.25">
      <c r="B38" s="2" t="s">
        <v>1</v>
      </c>
      <c r="C38" s="2" t="s">
        <v>2</v>
      </c>
      <c r="D38" s="2" t="s">
        <v>3</v>
      </c>
    </row>
    <row r="39" spans="2:4" x14ac:dyDescent="0.25">
      <c r="B39" s="9" t="s">
        <v>4</v>
      </c>
      <c r="C39" s="6">
        <v>39</v>
      </c>
      <c r="D39" s="25">
        <v>210</v>
      </c>
    </row>
    <row r="40" spans="2:4" x14ac:dyDescent="0.25">
      <c r="B40" s="1" t="s">
        <v>5</v>
      </c>
      <c r="C40" s="6">
        <v>322</v>
      </c>
      <c r="D40" s="25">
        <v>400</v>
      </c>
    </row>
    <row r="41" spans="2:4" x14ac:dyDescent="0.25">
      <c r="B41" s="1" t="s">
        <v>6</v>
      </c>
      <c r="C41" s="6">
        <v>255</v>
      </c>
      <c r="D41" s="25">
        <v>546</v>
      </c>
    </row>
    <row r="42" spans="2:4" x14ac:dyDescent="0.25">
      <c r="B42" s="1" t="s">
        <v>7</v>
      </c>
      <c r="C42" s="6">
        <v>1930</v>
      </c>
      <c r="D42" s="25">
        <v>3131</v>
      </c>
    </row>
    <row r="43" spans="2:4" x14ac:dyDescent="0.25">
      <c r="B43" s="3" t="s">
        <v>8</v>
      </c>
      <c r="C43" s="8">
        <f>SUM(C39:C42)</f>
        <v>2546</v>
      </c>
      <c r="D43" s="4">
        <f>SUM(D39:D42)</f>
        <v>4287</v>
      </c>
    </row>
    <row r="45" spans="2:4" x14ac:dyDescent="0.25">
      <c r="B45" s="28" t="s">
        <v>11</v>
      </c>
      <c r="C45" s="28"/>
      <c r="D45" s="28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6">
        <v>1333</v>
      </c>
      <c r="D47" s="25">
        <v>2305</v>
      </c>
    </row>
    <row r="48" spans="2:4" x14ac:dyDescent="0.25">
      <c r="B48" s="10" t="s">
        <v>8</v>
      </c>
      <c r="C48" s="8">
        <f>SUM(C47:C47)</f>
        <v>1333</v>
      </c>
      <c r="D48" s="4">
        <f>SUM(D47:D47)</f>
        <v>2305</v>
      </c>
    </row>
    <row r="50" spans="2:4" x14ac:dyDescent="0.25">
      <c r="B50" s="11" t="s">
        <v>13</v>
      </c>
      <c r="C50" s="12">
        <f>SUM(C10+C35+C27+C48+C19+C43)</f>
        <v>99031</v>
      </c>
      <c r="D50" s="12">
        <f>SUM(D10+D35+D27+D48+D19+D43)</f>
        <v>352682.13999999996</v>
      </c>
    </row>
  </sheetData>
  <mergeCells count="6">
    <mergeCell ref="B3:D3"/>
    <mergeCell ref="B29:D29"/>
    <mergeCell ref="B45:D45"/>
    <mergeCell ref="B37:D37"/>
    <mergeCell ref="B12:D12"/>
    <mergeCell ref="B21:D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3" sqref="B3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34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17 ABR'!C6, 'REPORTE DIARIO'!C:C)</f>
        <v>13944</v>
      </c>
      <c r="E6" s="15">
        <f>SUMIF('REPORTE DIARIO'!B:B,'EPR 17 ABR'!C6, 'REPORTE DIARIO'!D:D)</f>
        <v>171375.55999999997</v>
      </c>
      <c r="F6" s="15">
        <f>J6*D6</f>
        <v>398400</v>
      </c>
      <c r="G6" s="15">
        <f>+E6-F6</f>
        <v>-227024.44000000003</v>
      </c>
      <c r="H6" s="14">
        <f>ABS(G6/F6)</f>
        <v>0.56984046184738968</v>
      </c>
      <c r="I6" s="15">
        <f>E6/D6</f>
        <v>12.29027251864601</v>
      </c>
      <c r="J6" s="15">
        <f>200/7</f>
        <v>28.571428571428573</v>
      </c>
      <c r="K6" s="15">
        <f>+I6-J6</f>
        <v>-16.281156052782563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17 ABR'!C7, 'REPORTE DIARIO'!C:C)</f>
        <v>11472</v>
      </c>
      <c r="E7" s="15">
        <f>SUMIF('REPORTE DIARIO'!B:B,'EPR 17 ABR'!C7, 'REPORTE DIARIO'!D:D)</f>
        <v>74399.81</v>
      </c>
      <c r="F7" s="15">
        <f>J7*D7</f>
        <v>180274.28571428571</v>
      </c>
      <c r="G7" s="15">
        <f>+E7-F7</f>
        <v>-105874.47571428571</v>
      </c>
      <c r="H7" s="14">
        <f>ABS(G7/F7)</f>
        <v>0.58729660358818314</v>
      </c>
      <c r="I7" s="15">
        <f>E7/D7</f>
        <v>6.4853390864714084</v>
      </c>
      <c r="J7" s="15">
        <f>110/7</f>
        <v>15.714285714285714</v>
      </c>
      <c r="K7" s="15">
        <f t="shared" ref="K7:K9" si="0">+I7-J7</f>
        <v>-9.228946627814306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17 ABR'!C8, 'REPORTE DIARIO'!C:C)</f>
        <v>15876</v>
      </c>
      <c r="E8" s="15">
        <f>SUMIF('REPORTE DIARIO'!B:B,'EPR 17 ABR'!C8, 'REPORTE DIARIO'!D:D)</f>
        <v>47029.77</v>
      </c>
      <c r="F8" s="15">
        <f>J8*D8</f>
        <v>102060</v>
      </c>
      <c r="G8" s="15">
        <f>+E8-F8</f>
        <v>-55030.23</v>
      </c>
      <c r="H8" s="14">
        <f>ABS(G8/F8)</f>
        <v>0.53919488536155202</v>
      </c>
      <c r="I8" s="15">
        <f>E8/D8</f>
        <v>2.9623185941043082</v>
      </c>
      <c r="J8" s="15">
        <f>45/7</f>
        <v>6.4285714285714288</v>
      </c>
      <c r="K8" s="15">
        <f t="shared" si="0"/>
        <v>-3.4662528344671206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17 ABR'!C9, 'REPORTE DIARIO'!C:C)</f>
        <v>57716</v>
      </c>
      <c r="E9" s="15">
        <f>SUMIF('REPORTE DIARIO'!B:B,'EPR 17 ABR'!C9, 'REPORTE DIARIO'!D:D)</f>
        <v>59877</v>
      </c>
      <c r="F9" s="15">
        <f>J9*D9</f>
        <v>123677.14285714286</v>
      </c>
      <c r="G9" s="15">
        <f>+E9-F9</f>
        <v>-63800.142857142855</v>
      </c>
      <c r="H9" s="14">
        <f>ABS(G9/F9)</f>
        <v>0.51586041998752508</v>
      </c>
      <c r="I9" s="15">
        <f>E9/D9</f>
        <v>1.037441957169589</v>
      </c>
      <c r="J9" s="15">
        <f>15/7</f>
        <v>2.1428571428571428</v>
      </c>
      <c r="K9" s="15">
        <f t="shared" si="0"/>
        <v>-1.1054151856875538</v>
      </c>
    </row>
    <row r="10" spans="2:12" x14ac:dyDescent="0.25">
      <c r="B10" s="15"/>
      <c r="C10" s="18" t="s">
        <v>16</v>
      </c>
      <c r="D10" s="23">
        <f>SUM(D6:D9)</f>
        <v>99008</v>
      </c>
      <c r="E10" s="19">
        <f>SUM(E6:E9)</f>
        <v>352682.13999999996</v>
      </c>
      <c r="F10" s="19">
        <f>SUM(F6:F9)</f>
        <v>804411.42857142852</v>
      </c>
      <c r="G10" s="19">
        <f>+E10-F10</f>
        <v>-451729.28857142857</v>
      </c>
      <c r="H10" s="20">
        <f>ABS(G10/F10)</f>
        <v>0.56156498096212315</v>
      </c>
      <c r="I10" s="19">
        <f>E10/D10</f>
        <v>3.5621580074337422</v>
      </c>
      <c r="J10" s="19">
        <f>F10/D10</f>
        <v>8.1247114230307496</v>
      </c>
      <c r="K10" s="19">
        <f>I10-J10</f>
        <v>-4.5625534155970069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17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2025-04-18T02:07:52Z</dcterms:modified>
</cp:coreProperties>
</file>