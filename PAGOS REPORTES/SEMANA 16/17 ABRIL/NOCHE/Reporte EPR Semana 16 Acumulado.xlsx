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6\17 ABRIL\NOCHE\"/>
    </mc:Choice>
  </mc:AlternateContent>
  <xr:revisionPtr revIDLastSave="0" documentId="13_ncr:1_{44C075B3-F5D3-4BBD-BD17-7D5637599A62}" xr6:coauthVersionLast="47" xr6:coauthVersionMax="47" xr10:uidLastSave="{00000000-0000-0000-0000-000000000000}"/>
  <bookViews>
    <workbookView xWindow="7485" yWindow="7485" windowWidth="10770" windowHeight="10350" activeTab="2" xr2:uid="{4DC6C92A-CD8A-4966-829B-0B6A986E825B}"/>
  </bookViews>
  <sheets>
    <sheet name="REPORTE DIARIO" sheetId="1" r:id="rId1"/>
    <sheet name="DATA" sheetId="4" r:id="rId2"/>
    <sheet name="EPR 17 AB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D48" i="1"/>
  <c r="C48" i="1"/>
  <c r="D27" i="1"/>
  <c r="C27" i="1"/>
  <c r="D40" i="1" l="1"/>
  <c r="C40" i="1"/>
  <c r="D35" i="1"/>
  <c r="C35" i="1"/>
  <c r="D18" i="1"/>
  <c r="C18" i="1"/>
  <c r="D10" i="1"/>
  <c r="C10" i="1"/>
  <c r="D6" i="3"/>
  <c r="F6" i="3" s="1"/>
  <c r="E7" i="3"/>
  <c r="E8" i="3"/>
  <c r="E9" i="3"/>
  <c r="E6" i="3"/>
  <c r="D7" i="3"/>
  <c r="F7" i="3" s="1"/>
  <c r="D8" i="3"/>
  <c r="F8" i="3" s="1"/>
  <c r="D9" i="3"/>
  <c r="F9" i="3" s="1"/>
  <c r="C50" i="1" l="1"/>
  <c r="D50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<sst xmlns="http://schemas.openxmlformats.org/spreadsheetml/2006/main" count="79" uniqueCount="36">
  <si>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</si>
  <si>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</si>
  <si>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</si>
  <si>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</si>
  <si>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</si>
  <si>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</si>
  <si>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</si>
  <si>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</si>
  <si>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</si>
  <si>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</si>
  <si>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</si>
  <si>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</si>
  <si>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</si>
  <si>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</si>
  <si>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</si>
  <si>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</si>
  <si>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</si>
  <si>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</si>
  <si>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</si>
  <si>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</si>
  <si>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</si>
  <si>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</si>
  <si>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</si>
  <si>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</si>
  <si>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</si>
  <si>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</si>
  <si>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</si>
  <si>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</si>
  <si>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</si>
  <si>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Samatha y Zareth</t>
  </si>
  <si>
    <t>Gabriel</t>
  </si>
  <si>
    <t>Fernando</t>
  </si>
  <si>
    <t>COBRANZA GENERAL  SAMANTHA 2</t>
  </si>
  <si>
    <t>COBRANZA GENERAL  FEDERICO</t>
  </si>
  <si>
    <t>Samantha, Samantha 2, Sofia, Edith, Fernando y Federico</t>
  </si>
  <si>
    <t>SALDO ACUMULADO SEMANA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</si>
</sst>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50"/>
  <sheetViews>
    <sheetView showGridLines="0" zoomScaleNormal="100" workbookViewId="0">
      <selection activeCell="D47" sqref="D47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7" t="s">
        <v>0</v>
      </c>
      <c r="C3" s="27"/>
      <c r="D3" s="27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6750</v>
      </c>
      <c r="D5" s="25">
        <v>298454.48</v>
      </c>
    </row>
    <row r="6" spans="2:8" x14ac:dyDescent="0.25">
      <c r="B6" s="1" t="s">
        <v>5</v>
      </c>
      <c r="C6" s="6">
        <v>5523</v>
      </c>
      <c r="D6" s="25">
        <v>297847.89</v>
      </c>
    </row>
    <row r="7" spans="2:8" x14ac:dyDescent="0.25">
      <c r="B7" s="1" t="s">
        <v>6</v>
      </c>
      <c r="C7" s="6">
        <v>8481</v>
      </c>
      <c r="D7" s="25">
        <v>157219.31000000003</v>
      </c>
    </row>
    <row r="8" spans="2:8" x14ac:dyDescent="0.25">
      <c r="B8" s="5" t="s">
        <v>12</v>
      </c>
      <c r="C8" s="7">
        <v>21</v>
      </c>
      <c r="D8" s="26">
        <v>0</v>
      </c>
    </row>
    <row r="9" spans="2:8" x14ac:dyDescent="0.25">
      <c r="B9" s="1" t="s">
        <v>7</v>
      </c>
      <c r="C9" s="6">
        <v>21089</v>
      </c>
      <c r="D9" s="25">
        <v>249087.14</v>
      </c>
      <c r="F9" s="7"/>
    </row>
    <row r="10" spans="2:8" x14ac:dyDescent="0.25">
      <c r="B10" s="3" t="s">
        <v>8</v>
      </c>
      <c r="C10" s="8">
        <f>SUM(C5:C9)</f>
        <v>41864</v>
      </c>
      <c r="D10" s="4">
        <f>SUM(D5:D9)</f>
        <v>1002608.8200000001</v>
      </c>
      <c r="E10" s="11" t="s">
        <v>14</v>
      </c>
    </row>
    <row r="12" spans="2:8" x14ac:dyDescent="0.25">
      <c r="B12" s="28" t="s">
        <v>10</v>
      </c>
      <c r="C12" s="28"/>
      <c r="D12" s="28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2058</v>
      </c>
      <c r="D14" s="25">
        <v>237932.46000000008</v>
      </c>
    </row>
    <row r="15" spans="2:8" x14ac:dyDescent="0.25">
      <c r="B15" s="9" t="s">
        <v>5</v>
      </c>
      <c r="C15" s="6">
        <v>2170</v>
      </c>
      <c r="D15" s="25">
        <v>131205.41999999998</v>
      </c>
    </row>
    <row r="16" spans="2:8" x14ac:dyDescent="0.25">
      <c r="B16" s="9" t="s">
        <v>6</v>
      </c>
      <c r="C16" s="6">
        <v>990</v>
      </c>
      <c r="D16" s="25">
        <v>25034.92</v>
      </c>
    </row>
    <row r="17" spans="2:11" x14ac:dyDescent="0.25">
      <c r="B17" s="9" t="s">
        <v>7</v>
      </c>
      <c r="C17" s="6">
        <v>9105</v>
      </c>
      <c r="D17" s="25">
        <v>31237.25</v>
      </c>
    </row>
    <row r="18" spans="2:11" x14ac:dyDescent="0.25">
      <c r="B18" s="10" t="s">
        <v>8</v>
      </c>
      <c r="C18" s="8">
        <f>SUM(C14:C17)</f>
        <v>14323</v>
      </c>
      <c r="D18" s="4">
        <f>SUM(D14:D17)</f>
        <v>425410.05000000005</v>
      </c>
    </row>
    <row r="20" spans="2:11" x14ac:dyDescent="0.25">
      <c r="B20" s="27" t="s">
        <v>32</v>
      </c>
      <c r="C20" s="27"/>
      <c r="D20" s="27"/>
    </row>
    <row r="21" spans="2:11" x14ac:dyDescent="0.25">
      <c r="B21" s="2" t="s">
        <v>1</v>
      </c>
      <c r="C21" s="2" t="s">
        <v>2</v>
      </c>
      <c r="D21" s="2" t="s">
        <v>3</v>
      </c>
    </row>
    <row r="22" spans="2:11" x14ac:dyDescent="0.25">
      <c r="B22" s="1" t="s">
        <v>4</v>
      </c>
      <c r="C22" s="6">
        <v>2409</v>
      </c>
      <c r="D22" s="25">
        <v>187922.61</v>
      </c>
    </row>
    <row r="23" spans="2:11" x14ac:dyDescent="0.25">
      <c r="B23" s="1" t="s">
        <v>5</v>
      </c>
      <c r="C23" s="6">
        <v>1515</v>
      </c>
      <c r="D23" s="25">
        <v>49806.05</v>
      </c>
    </row>
    <row r="24" spans="2:11" x14ac:dyDescent="0.25">
      <c r="B24" s="1" t="s">
        <v>6</v>
      </c>
      <c r="C24" s="6">
        <v>3355</v>
      </c>
      <c r="D24" s="25">
        <v>23470</v>
      </c>
    </row>
    <row r="25" spans="2:11" x14ac:dyDescent="0.25">
      <c r="B25" s="5" t="s">
        <v>12</v>
      </c>
      <c r="C25" s="7">
        <v>2</v>
      </c>
      <c r="D25" s="26">
        <v>0</v>
      </c>
    </row>
    <row r="26" spans="2:11" x14ac:dyDescent="0.25">
      <c r="B26" s="1" t="s">
        <v>7</v>
      </c>
      <c r="C26" s="6">
        <v>21327</v>
      </c>
      <c r="D26" s="25">
        <v>79113.61</v>
      </c>
    </row>
    <row r="27" spans="2:11" x14ac:dyDescent="0.25">
      <c r="B27" s="3" t="s">
        <v>8</v>
      </c>
      <c r="C27" s="8">
        <f>SUM(C22:C26)</f>
        <v>28608</v>
      </c>
      <c r="D27" s="4">
        <f>SUM(D22:D26)</f>
        <v>340312.26999999996</v>
      </c>
      <c r="K27" s="7"/>
    </row>
    <row r="29" spans="2:11" x14ac:dyDescent="0.25">
      <c r="B29" s="27" t="s">
        <v>9</v>
      </c>
      <c r="C29" s="27"/>
      <c r="D29" s="27"/>
    </row>
    <row r="30" spans="2:11" x14ac:dyDescent="0.25">
      <c r="B30" s="2" t="s">
        <v>1</v>
      </c>
      <c r="C30" s="2" t="s">
        <v>2</v>
      </c>
      <c r="D30" s="2" t="s">
        <v>3</v>
      </c>
    </row>
    <row r="31" spans="2:11" x14ac:dyDescent="0.25">
      <c r="B31" s="9" t="s">
        <v>4</v>
      </c>
      <c r="C31" s="6">
        <v>1355</v>
      </c>
      <c r="D31" s="25">
        <v>105266.65999999999</v>
      </c>
    </row>
    <row r="32" spans="2:11" x14ac:dyDescent="0.25">
      <c r="B32" s="9" t="s">
        <v>5</v>
      </c>
      <c r="C32" s="6">
        <v>1942</v>
      </c>
      <c r="D32" s="25">
        <v>62570.69</v>
      </c>
    </row>
    <row r="33" spans="2:4" x14ac:dyDescent="0.25">
      <c r="B33" s="9" t="s">
        <v>6</v>
      </c>
      <c r="C33" s="6">
        <v>2795</v>
      </c>
      <c r="D33" s="25">
        <v>2325</v>
      </c>
    </row>
    <row r="34" spans="2:4" x14ac:dyDescent="0.25">
      <c r="B34" s="9" t="s">
        <v>7</v>
      </c>
      <c r="C34" s="6">
        <v>4265</v>
      </c>
      <c r="D34" s="25">
        <v>4507.29</v>
      </c>
    </row>
    <row r="35" spans="2:4" x14ac:dyDescent="0.25">
      <c r="B35" s="10" t="s">
        <v>8</v>
      </c>
      <c r="C35" s="8">
        <f>SUM(C31:C34)</f>
        <v>10357</v>
      </c>
      <c r="D35" s="4">
        <f>SUM(D31:D34)</f>
        <v>174669.63999999998</v>
      </c>
    </row>
    <row r="37" spans="2:4" x14ac:dyDescent="0.25">
      <c r="B37" s="28" t="s">
        <v>11</v>
      </c>
      <c r="C37" s="28"/>
      <c r="D37" s="28"/>
    </row>
    <row r="38" spans="2:4" x14ac:dyDescent="0.25">
      <c r="B38" s="4" t="s">
        <v>1</v>
      </c>
      <c r="C38" s="4" t="s">
        <v>2</v>
      </c>
      <c r="D38" s="4" t="s">
        <v>3</v>
      </c>
    </row>
    <row r="39" spans="2:4" x14ac:dyDescent="0.25">
      <c r="B39" s="9" t="s">
        <v>4</v>
      </c>
      <c r="C39" s="6">
        <v>1333</v>
      </c>
      <c r="D39" s="25">
        <v>50238.63</v>
      </c>
    </row>
    <row r="40" spans="2:4" x14ac:dyDescent="0.25">
      <c r="B40" s="10" t="s">
        <v>8</v>
      </c>
      <c r="C40" s="8">
        <f>SUM(C39:C39)</f>
        <v>1333</v>
      </c>
      <c r="D40" s="4">
        <f>SUM(D39:D39)</f>
        <v>50238.63</v>
      </c>
    </row>
    <row r="42" spans="2:4" x14ac:dyDescent="0.25">
      <c r="B42" s="27" t="s">
        <v>33</v>
      </c>
      <c r="C42" s="27"/>
      <c r="D42" s="27"/>
    </row>
    <row r="43" spans="2:4" x14ac:dyDescent="0.25">
      <c r="B43" s="2" t="s">
        <v>1</v>
      </c>
      <c r="C43" s="2" t="s">
        <v>2</v>
      </c>
      <c r="D43" s="2" t="s">
        <v>3</v>
      </c>
    </row>
    <row r="44" spans="2:4" x14ac:dyDescent="0.25">
      <c r="B44" s="9" t="s">
        <v>4</v>
      </c>
      <c r="C44" s="6">
        <v>39</v>
      </c>
      <c r="D44" s="25">
        <v>2323</v>
      </c>
    </row>
    <row r="45" spans="2:4" x14ac:dyDescent="0.25">
      <c r="B45" s="1" t="s">
        <v>5</v>
      </c>
      <c r="C45" s="6">
        <v>322</v>
      </c>
      <c r="D45" s="25">
        <v>13700</v>
      </c>
    </row>
    <row r="46" spans="2:4" x14ac:dyDescent="0.25">
      <c r="B46" s="1" t="s">
        <v>6</v>
      </c>
      <c r="C46" s="6">
        <v>255</v>
      </c>
      <c r="D46" s="25">
        <v>546</v>
      </c>
    </row>
    <row r="47" spans="2:4" x14ac:dyDescent="0.25">
      <c r="B47" s="1" t="s">
        <v>7</v>
      </c>
      <c r="C47" s="6">
        <v>1930</v>
      </c>
      <c r="D47" s="25">
        <v>11004</v>
      </c>
    </row>
    <row r="48" spans="2:4" x14ac:dyDescent="0.25">
      <c r="B48" s="3" t="s">
        <v>8</v>
      </c>
      <c r="C48" s="8">
        <f>SUM(C44:C47)</f>
        <v>2546</v>
      </c>
      <c r="D48" s="4">
        <f>SUM(D44:D47)</f>
        <v>27573</v>
      </c>
    </row>
    <row r="50" spans="2:4" x14ac:dyDescent="0.25">
      <c r="B50" s="12" t="s">
        <v>13</v>
      </c>
      <c r="C50" s="13">
        <f>SUM(C10+C18+C35+C40+C27+C48)</f>
        <v>99031</v>
      </c>
      <c r="D50" s="13">
        <f>SUM(D10+D18+D35+D40+D27+D48)</f>
        <v>2020812.41</v>
      </c>
    </row>
  </sheetData>
  <mergeCells count="6">
    <mergeCell ref="B20:D20"/>
    <mergeCell ref="B42:D42"/>
    <mergeCell ref="B3:D3"/>
    <mergeCell ref="B12:D12"/>
    <mergeCell ref="B29:D29"/>
    <mergeCell ref="B37:D3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tabSelected="1" zoomScale="145" zoomScaleNormal="145" workbookViewId="0">
      <selection activeCell="B2" sqref="B2:K14"/>
    </sheetView>
  </sheetViews>
  <sheetFormatPr baseColWidth="10" defaultRowHeight="15" x14ac:dyDescent="0.25"/>
  <cols>
    <col min="2" max="2" width="18.140625" customWidth="1"/>
    <col min="3" max="3" width="34.4257812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35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29</v>
      </c>
      <c r="C6" s="16" t="s">
        <v>4</v>
      </c>
      <c r="D6" s="23">
        <f>SUMIF('REPORTE DIARIO'!B:B,'EPR 17 ABR'!C6, 'REPORTE DIARIO'!C:C)</f>
        <v>13944</v>
      </c>
      <c r="E6" s="16">
        <f>SUMIF('REPORTE DIARIO'!B:B,'EPR 17 ABR'!C6, 'REPORTE DIARIO'!D:D)</f>
        <v>882137.84000000008</v>
      </c>
      <c r="F6" s="16">
        <f>J6*D6</f>
        <v>1195200</v>
      </c>
      <c r="G6" s="16">
        <f>+E6-F6</f>
        <v>-313062.15999999992</v>
      </c>
      <c r="H6" s="15">
        <f>ABS(G6/F6)</f>
        <v>0.26193286479250327</v>
      </c>
      <c r="I6" s="16">
        <f>E6/D6</f>
        <v>63.26289730349972</v>
      </c>
      <c r="J6" s="16">
        <f>(200/7)*3</f>
        <v>85.714285714285722</v>
      </c>
      <c r="K6" s="16">
        <f>+I6-J6</f>
        <v>-22.451388410786002</v>
      </c>
      <c r="L6" s="15"/>
    </row>
    <row r="7" spans="2:12" x14ac:dyDescent="0.25">
      <c r="B7" s="16" t="s">
        <v>30</v>
      </c>
      <c r="C7" s="16" t="s">
        <v>5</v>
      </c>
      <c r="D7" s="23">
        <f>SUMIF('REPORTE DIARIO'!B:B,'EPR 17 ABR'!C7, 'REPORTE DIARIO'!C:C)</f>
        <v>11472</v>
      </c>
      <c r="E7" s="16">
        <f>SUMIF('REPORTE DIARIO'!B:B,'EPR 17 ABR'!C7, 'REPORTE DIARIO'!D:D)</f>
        <v>555130.05000000005</v>
      </c>
      <c r="F7" s="16">
        <f>J7*D7</f>
        <v>540822.85714285704</v>
      </c>
      <c r="G7" s="16">
        <f>+E7-F7</f>
        <v>14307.192857143003</v>
      </c>
      <c r="H7" s="15">
        <f>ABS(G7/F7)</f>
        <v>2.6454489983517456E-2</v>
      </c>
      <c r="I7" s="16">
        <f>E7/D7</f>
        <v>48.389997384937246</v>
      </c>
      <c r="J7" s="16">
        <f>(110/7)*3</f>
        <v>47.142857142857139</v>
      </c>
      <c r="K7" s="16">
        <f t="shared" ref="K7:K9" si="0">+I7-J7</f>
        <v>1.247140242080107</v>
      </c>
      <c r="L7" s="15"/>
    </row>
    <row r="8" spans="2:12" x14ac:dyDescent="0.25">
      <c r="B8" s="16" t="s">
        <v>30</v>
      </c>
      <c r="C8" s="16" t="s">
        <v>6</v>
      </c>
      <c r="D8" s="23">
        <f>SUMIF('REPORTE DIARIO'!B:B,'EPR 17 ABR'!C8, 'REPORTE DIARIO'!C:C)</f>
        <v>15876</v>
      </c>
      <c r="E8" s="16">
        <f>SUMIF('REPORTE DIARIO'!B:B,'EPR 17 ABR'!C8, 'REPORTE DIARIO'!D:D)</f>
        <v>208595.23000000004</v>
      </c>
      <c r="F8" s="16">
        <f>J8*D8</f>
        <v>306180</v>
      </c>
      <c r="G8" s="16">
        <f>+E8-F8</f>
        <v>-97584.76999999996</v>
      </c>
      <c r="H8" s="15">
        <f>ABS(G8/F8)</f>
        <v>0.31871699653798408</v>
      </c>
      <c r="I8" s="16">
        <f>E8/D8</f>
        <v>13.139029352481735</v>
      </c>
      <c r="J8" s="16">
        <f>(45/7)*3</f>
        <v>19.285714285714285</v>
      </c>
      <c r="K8" s="16">
        <f t="shared" si="0"/>
        <v>-6.1466849332325495</v>
      </c>
      <c r="L8" s="15"/>
    </row>
    <row r="9" spans="2:12" x14ac:dyDescent="0.25">
      <c r="B9" s="16" t="s">
        <v>31</v>
      </c>
      <c r="C9" s="16" t="s">
        <v>7</v>
      </c>
      <c r="D9" s="23">
        <f>SUMIF('REPORTE DIARIO'!B:B,'EPR 17 ABR'!C9, 'REPORTE DIARIO'!C:C)</f>
        <v>57716</v>
      </c>
      <c r="E9" s="16">
        <f>SUMIF('REPORTE DIARIO'!B:B,'EPR 17 ABR'!C9, 'REPORTE DIARIO'!D:D)</f>
        <v>374949.29</v>
      </c>
      <c r="F9" s="16">
        <f>J9*D9</f>
        <v>371031.42857142858</v>
      </c>
      <c r="G9" s="16">
        <f>+E9-F9</f>
        <v>3917.8614285713993</v>
      </c>
      <c r="H9" s="15">
        <f>ABS(G9/F9)</f>
        <v>1.0559378874334786E-2</v>
      </c>
      <c r="I9" s="16">
        <f>E9/D9</f>
        <v>6.4964531499064382</v>
      </c>
      <c r="J9" s="16">
        <f>(15/7)*3</f>
        <v>6.4285714285714288</v>
      </c>
      <c r="K9" s="16">
        <f t="shared" si="0"/>
        <v>6.788172133500936E-2</v>
      </c>
    </row>
    <row r="10" spans="2:12" x14ac:dyDescent="0.25">
      <c r="B10" s="16"/>
      <c r="C10" s="19" t="s">
        <v>17</v>
      </c>
      <c r="D10" s="24">
        <f>SUM(D6:D9)</f>
        <v>99008</v>
      </c>
      <c r="E10" s="20">
        <f>SUM(E6:E9)</f>
        <v>2020812.4100000001</v>
      </c>
      <c r="F10" s="20">
        <f>SUM(F6:F9)</f>
        <v>2413234.2857142854</v>
      </c>
      <c r="G10" s="20">
        <f>+E10-F10</f>
        <v>-392421.8757142853</v>
      </c>
      <c r="H10" s="21">
        <f>ABS(G10/F10)</f>
        <v>0.16261242351698713</v>
      </c>
      <c r="I10" s="20">
        <f>E10/D10</f>
        <v>20.410597224466713</v>
      </c>
      <c r="J10" s="20">
        <f>F10/D10</f>
        <v>24.374134269092249</v>
      </c>
      <c r="K10" s="20">
        <f>I10-J10</f>
        <v>-3.9635370446255358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34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17 ABR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2025-04-13T02:12:51Z</cp:lastPrinted>
  <dcterms:created xsi:type="dcterms:W3CDTF">2025-01-27T15:11:28Z</dcterms:created>
  <dcterms:modified xsi:type="dcterms:W3CDTF">2025-04-18T02:12:08Z</dcterms:modified>
</cp:coreProperties>
</file>