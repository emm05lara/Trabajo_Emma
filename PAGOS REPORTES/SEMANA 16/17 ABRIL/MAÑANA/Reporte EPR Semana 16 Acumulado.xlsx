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7 ABRIL\MAÑANA\"/>
    </mc:Choice>
  </mc:AlternateContent>
  <xr:revisionPtr revIDLastSave="0" documentId="13_ncr:1_{BDBDE92E-307D-4DC1-A313-071A4913F932}" xr6:coauthVersionLast="47" xr6:coauthVersionMax="47" xr10:uidLastSave="{00000000-0000-0000-0000-000000000000}"/>
  <bookViews>
    <workbookView xWindow="5070" yWindow="5070" windowWidth="10770" windowHeight="10350" xr2:uid="{4DC6C92A-CD8A-4966-829B-0B6A986E825B}"/>
  </bookViews>
  <sheets>
    <sheet name="REPORTE DIARIO" sheetId="1" r:id="rId1"/>
    <sheet name="DATA" sheetId="4" r:id="rId2"/>
    <sheet name="EPR 17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27" i="1"/>
  <c r="C27" i="1"/>
  <c r="D40" i="1" l="1"/>
  <c r="C40" i="1"/>
  <c r="D35" i="1"/>
  <c r="C35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0" i="1" l="1"/>
  <c r="D50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<sst xmlns="http://schemas.openxmlformats.org/spreadsheetml/2006/main" count="79" uniqueCount="36">
  <si>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</si>
  <si>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</si>
  <si>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</si>
  <si>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</si>
  <si>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</si>
  <si>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</si>
  <si>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</si>
  <si>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</si>
  <si>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</si>
  <si>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</si>
  <si>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</si>
  <si>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</si>
  <si>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</si>
  <si>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</si>
  <si>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</si>
  <si>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</si>
  <si>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</si>
  <si>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</si>
  <si>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</si>
  <si>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</si>
  <si>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</si>
  <si>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</si>
  <si>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</si>
  <si>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</si>
  <si>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</si>
  <si>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</si>
  <si>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</si>
  <si>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</si>
  <si>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</si>
  <si>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</si>
  <si>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</si>
  <si>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</si>
  <si>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</si>
  <si>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</si>
  <si>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Samantha, Samantha 2, Sofia, Edith, Fernando y Federico</t>
  </si>
  <si>
    <t>SALDO ACUMULADO SEMANA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</si>
</sst>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0"/>
  <sheetViews>
    <sheetView showGridLines="0" tabSelected="1" zoomScaleNormal="100" workbookViewId="0">
      <selection activeCell="C48" sqref="C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6597</v>
      </c>
      <c r="D5" s="25">
        <v>261037.75</v>
      </c>
    </row>
    <row r="6" spans="2:8" x14ac:dyDescent="0.25">
      <c r="B6" s="1" t="s">
        <v>5</v>
      </c>
      <c r="C6" s="6">
        <v>5728</v>
      </c>
      <c r="D6" s="25">
        <v>280894.89</v>
      </c>
    </row>
    <row r="7" spans="2:8" x14ac:dyDescent="0.25">
      <c r="B7" s="1" t="s">
        <v>6</v>
      </c>
      <c r="C7" s="6">
        <v>8792</v>
      </c>
      <c r="D7" s="25">
        <v>136478.14000000001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21214</v>
      </c>
      <c r="D9" s="25">
        <v>213544.14</v>
      </c>
      <c r="F9" s="7"/>
    </row>
    <row r="10" spans="2:8" x14ac:dyDescent="0.25">
      <c r="B10" s="3" t="s">
        <v>8</v>
      </c>
      <c r="C10" s="8">
        <f>SUM(C5:C9)</f>
        <v>42352</v>
      </c>
      <c r="D10" s="4">
        <f>SUM(D5:D9)</f>
        <v>891954.92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2015</v>
      </c>
      <c r="D14" s="25">
        <v>204838.79000000007</v>
      </c>
    </row>
    <row r="15" spans="2:8" x14ac:dyDescent="0.25">
      <c r="B15" s="9" t="s">
        <v>5</v>
      </c>
      <c r="C15" s="6">
        <v>2160</v>
      </c>
      <c r="D15" s="25">
        <v>121770.12999999999</v>
      </c>
    </row>
    <row r="16" spans="2:8" x14ac:dyDescent="0.25">
      <c r="B16" s="9" t="s">
        <v>6</v>
      </c>
      <c r="C16" s="6">
        <v>932</v>
      </c>
      <c r="D16" s="25">
        <v>23436.92</v>
      </c>
    </row>
    <row r="17" spans="2:11" x14ac:dyDescent="0.25">
      <c r="B17" s="9" t="s">
        <v>7</v>
      </c>
      <c r="C17" s="6">
        <v>9096</v>
      </c>
      <c r="D17" s="25">
        <v>21934.25</v>
      </c>
    </row>
    <row r="18" spans="2:11" x14ac:dyDescent="0.25">
      <c r="B18" s="10" t="s">
        <v>8</v>
      </c>
      <c r="C18" s="8">
        <f>SUM(C14:C17)</f>
        <v>14203</v>
      </c>
      <c r="D18" s="4">
        <f>SUM(D14:D17)</f>
        <v>371980.09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2359</v>
      </c>
      <c r="D22" s="25">
        <v>104614.91</v>
      </c>
    </row>
    <row r="23" spans="2:11" x14ac:dyDescent="0.25">
      <c r="B23" s="1" t="s">
        <v>5</v>
      </c>
      <c r="C23" s="6">
        <v>1509</v>
      </c>
      <c r="D23" s="25">
        <v>47057.05</v>
      </c>
    </row>
    <row r="24" spans="2:11" x14ac:dyDescent="0.25">
      <c r="B24" s="1" t="s">
        <v>6</v>
      </c>
      <c r="C24" s="6">
        <v>3312</v>
      </c>
      <c r="D24" s="25">
        <v>18557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21315</v>
      </c>
      <c r="D26" s="25">
        <v>67352.61</v>
      </c>
    </row>
    <row r="27" spans="2:11" x14ac:dyDescent="0.25">
      <c r="B27" s="3" t="s">
        <v>8</v>
      </c>
      <c r="C27" s="8">
        <f>SUM(C22:C26)</f>
        <v>28497</v>
      </c>
      <c r="D27" s="4">
        <f>SUM(D22:D26)</f>
        <v>237581.57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1355</v>
      </c>
      <c r="D31" s="25">
        <v>92136.2</v>
      </c>
    </row>
    <row r="32" spans="2:11" x14ac:dyDescent="0.25">
      <c r="B32" s="9" t="s">
        <v>5</v>
      </c>
      <c r="C32" s="6">
        <v>1941</v>
      </c>
      <c r="D32" s="25">
        <v>29115.06</v>
      </c>
    </row>
    <row r="33" spans="2:4" x14ac:dyDescent="0.25">
      <c r="B33" s="9" t="s">
        <v>6</v>
      </c>
      <c r="C33" s="6">
        <v>2738</v>
      </c>
      <c r="D33" s="25">
        <v>2325</v>
      </c>
    </row>
    <row r="34" spans="2:4" x14ac:dyDescent="0.25">
      <c r="B34" s="9" t="s">
        <v>7</v>
      </c>
      <c r="C34" s="6">
        <v>4265</v>
      </c>
      <c r="D34" s="25">
        <v>4368.29</v>
      </c>
    </row>
    <row r="35" spans="2:4" x14ac:dyDescent="0.25">
      <c r="B35" s="10" t="s">
        <v>8</v>
      </c>
      <c r="C35" s="8">
        <f>SUM(C31:C34)</f>
        <v>10299</v>
      </c>
      <c r="D35" s="4">
        <f>SUM(D31:D34)</f>
        <v>127944.54999999999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2516</v>
      </c>
      <c r="D39" s="25">
        <v>48252.63</v>
      </c>
    </row>
    <row r="40" spans="2:4" x14ac:dyDescent="0.25">
      <c r="B40" s="10" t="s">
        <v>8</v>
      </c>
      <c r="C40" s="8">
        <f>SUM(C39:C39)</f>
        <v>2516</v>
      </c>
      <c r="D40" s="4">
        <f>SUM(D39:D39)</f>
        <v>48252.63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2113</v>
      </c>
    </row>
    <row r="45" spans="2:4" x14ac:dyDescent="0.25">
      <c r="B45" s="1" t="s">
        <v>5</v>
      </c>
      <c r="C45" s="6">
        <v>319</v>
      </c>
      <c r="D45" s="25">
        <v>13300</v>
      </c>
    </row>
    <row r="46" spans="2:4" x14ac:dyDescent="0.25">
      <c r="B46" s="1" t="s">
        <v>6</v>
      </c>
      <c r="C46" s="6">
        <v>255</v>
      </c>
      <c r="D46" s="26">
        <v>0</v>
      </c>
    </row>
    <row r="47" spans="2:4" x14ac:dyDescent="0.25">
      <c r="B47" s="1" t="s">
        <v>7</v>
      </c>
      <c r="C47" s="6">
        <v>1930</v>
      </c>
      <c r="D47" s="25">
        <v>7873</v>
      </c>
    </row>
    <row r="48" spans="2:4" x14ac:dyDescent="0.25">
      <c r="B48" s="3" t="s">
        <v>8</v>
      </c>
      <c r="C48" s="8">
        <f>SUM(C44:C47)</f>
        <v>2543</v>
      </c>
      <c r="D48" s="4">
        <f>SUM(D44:D47)</f>
        <v>23286</v>
      </c>
    </row>
    <row r="50" spans="2:4" x14ac:dyDescent="0.25">
      <c r="B50" s="12" t="s">
        <v>13</v>
      </c>
      <c r="C50" s="13">
        <f>SUM(C10+C18+C35+C40+C27+C48)</f>
        <v>100410</v>
      </c>
      <c r="D50" s="13">
        <f>SUM(D10+D18+D35+D40+D27+D48)</f>
        <v>1700999.76</v>
      </c>
    </row>
  </sheetData>
  <mergeCells count="6"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17 ABR'!C6, 'REPORTE DIARIO'!C:C)</f>
        <v>14881</v>
      </c>
      <c r="E6" s="16">
        <f>SUMIF('REPORTE DIARIO'!B:B,'EPR 17 ABR'!C6, 'REPORTE DIARIO'!D:D)</f>
        <v>712993.28000000003</v>
      </c>
      <c r="F6" s="16">
        <f>J6*D6</f>
        <v>1700685.7142857143</v>
      </c>
      <c r="G6" s="16">
        <f>+E6-F6</f>
        <v>-987692.43428571429</v>
      </c>
      <c r="H6" s="15">
        <f>ABS(G6/F6)</f>
        <v>0.58076129292386258</v>
      </c>
      <c r="I6" s="16">
        <f>E6/D6</f>
        <v>47.912995094415699</v>
      </c>
      <c r="J6" s="16">
        <f>(200/7)*4</f>
        <v>114.28571428571429</v>
      </c>
      <c r="K6" s="16">
        <f>+I6-J6</f>
        <v>-66.372719191298586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17 ABR'!C7, 'REPORTE DIARIO'!C:C)</f>
        <v>11657</v>
      </c>
      <c r="E7" s="16">
        <f>SUMIF('REPORTE DIARIO'!B:B,'EPR 17 ABR'!C7, 'REPORTE DIARIO'!D:D)</f>
        <v>492137.13</v>
      </c>
      <c r="F7" s="16">
        <f>J7*D7</f>
        <v>732725.7142857142</v>
      </c>
      <c r="G7" s="16">
        <f>+E7-F7</f>
        <v>-240588.5842857142</v>
      </c>
      <c r="H7" s="15">
        <f>ABS(G7/F7)</f>
        <v>0.32834740148330688</v>
      </c>
      <c r="I7" s="16">
        <f>E7/D7</f>
        <v>42.218163335334992</v>
      </c>
      <c r="J7" s="16">
        <f>(110/7)*4</f>
        <v>62.857142857142854</v>
      </c>
      <c r="K7" s="16">
        <f t="shared" ref="K7:K9" si="0">+I7-J7</f>
        <v>-20.638979521807862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17 ABR'!C8, 'REPORTE DIARIO'!C:C)</f>
        <v>16029</v>
      </c>
      <c r="E8" s="16">
        <f>SUMIF('REPORTE DIARIO'!B:B,'EPR 17 ABR'!C8, 'REPORTE DIARIO'!D:D)</f>
        <v>180797.06</v>
      </c>
      <c r="F8" s="16">
        <f>J8*D8</f>
        <v>412174.28571428574</v>
      </c>
      <c r="G8" s="16">
        <f>+E8-F8</f>
        <v>-231377.22571428574</v>
      </c>
      <c r="H8" s="15">
        <f>ABS(G8/F8)</f>
        <v>0.56135774048426124</v>
      </c>
      <c r="I8" s="16">
        <f>E8/D8</f>
        <v>11.27937238754757</v>
      </c>
      <c r="J8" s="16">
        <f>(45/7)*4</f>
        <v>25.714285714285715</v>
      </c>
      <c r="K8" s="16">
        <f t="shared" si="0"/>
        <v>-14.434913326738146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17 ABR'!C9, 'REPORTE DIARIO'!C:C)</f>
        <v>57820</v>
      </c>
      <c r="E9" s="16">
        <f>SUMIF('REPORTE DIARIO'!B:B,'EPR 17 ABR'!C9, 'REPORTE DIARIO'!D:D)</f>
        <v>315072.28999999998</v>
      </c>
      <c r="F9" s="16">
        <f>J9*D9</f>
        <v>495600</v>
      </c>
      <c r="G9" s="16">
        <f>+E9-F9</f>
        <v>-180527.71000000002</v>
      </c>
      <c r="H9" s="15">
        <f>ABS(G9/F9)</f>
        <v>0.36426091606133981</v>
      </c>
      <c r="I9" s="16">
        <f>E9/D9</f>
        <v>5.4491921480456584</v>
      </c>
      <c r="J9" s="16">
        <f>(15/7)*4</f>
        <v>8.5714285714285712</v>
      </c>
      <c r="K9" s="16">
        <f t="shared" si="0"/>
        <v>-3.1222364233829127</v>
      </c>
    </row>
    <row r="10" spans="2:12" x14ac:dyDescent="0.25">
      <c r="B10" s="16"/>
      <c r="C10" s="19" t="s">
        <v>17</v>
      </c>
      <c r="D10" s="24">
        <f>SUM(D6:D9)</f>
        <v>100387</v>
      </c>
      <c r="E10" s="20">
        <f>SUM(E6:E9)</f>
        <v>1700999.7600000002</v>
      </c>
      <c r="F10" s="20">
        <f>SUM(F6:F9)</f>
        <v>3341185.7142857146</v>
      </c>
      <c r="G10" s="20">
        <f>+E10-F10</f>
        <v>-1640185.9542857143</v>
      </c>
      <c r="H10" s="21">
        <f>ABS(G10/F10)</f>
        <v>0.49089936763253417</v>
      </c>
      <c r="I10" s="20">
        <f>E10/D10</f>
        <v>16.944422684212103</v>
      </c>
      <c r="J10" s="20">
        <f>F10/D10</f>
        <v>33.283051732651785</v>
      </c>
      <c r="K10" s="20">
        <f>I10-J10</f>
        <v>-16.338629048439682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17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2025-04-17T15:33:30Z</dcterms:modified>
</cp:coreProperties>
</file>