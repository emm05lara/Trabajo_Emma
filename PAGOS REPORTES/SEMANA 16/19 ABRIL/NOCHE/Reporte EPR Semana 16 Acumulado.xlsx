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9 ABRIL\NOCHE\"/>
    </mc:Choice>
  </mc:AlternateContent>
  <xr:revisionPtr revIDLastSave="0" documentId="13_ncr:1_{73F6A6A0-5098-4960-9F14-1F4071E6BF48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<sst xmlns="http://schemas.openxmlformats.org/spreadsheetml/2006/main" count="88" uniqueCount="37">
  <si>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</si>
  <si>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</si>
  <si>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</si>
  <si>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</si>
  <si>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</si>
  <si>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</si>
  <si>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</si>
  <si>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</si>
  <si>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</si>
  <si>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</si>
  <si>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</si>
  <si>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</si>
  <si>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</si>
  <si>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</si>
  <si>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</si>
  <si>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</si>
  <si>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</si>
  <si>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</si>
  <si>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</si>
  <si>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</si>
  <si>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</si>
  <si>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</si>
  <si>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</si>
  <si>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</si>
  <si>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</si>
  <si>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</si>
  <si>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</si>
  <si>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</si>
  <si>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</si>
  <si>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</si>
  <si>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</si>
  <si>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</si>
  <si>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</si>
  <si>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</si>
  <si>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16</t>
  </si>
  <si>
    <t>COBRANZA GENERAL  OLGUIN</t>
  </si>
  <si>
    <t>Samantha, Samantha 2, Sofia, Edith, Fernando, Olguin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</si>
</sst>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0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6570</v>
      </c>
      <c r="D5" s="25">
        <v>453559.22000000009</v>
      </c>
    </row>
    <row r="6" spans="2:8" x14ac:dyDescent="0.25">
      <c r="B6" s="1" t="s">
        <v>5</v>
      </c>
      <c r="C6" s="6">
        <v>5350</v>
      </c>
      <c r="D6" s="25">
        <v>412483.77000000008</v>
      </c>
    </row>
    <row r="7" spans="2:8" x14ac:dyDescent="0.25">
      <c r="B7" s="1" t="s">
        <v>6</v>
      </c>
      <c r="C7" s="6">
        <v>7246</v>
      </c>
      <c r="D7" s="25">
        <v>211079.58000000002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21099</v>
      </c>
      <c r="D9" s="25">
        <v>369463.64999999997</v>
      </c>
      <c r="F9" s="7"/>
    </row>
    <row r="10" spans="2:8" x14ac:dyDescent="0.25">
      <c r="B10" s="3" t="s">
        <v>8</v>
      </c>
      <c r="C10" s="8">
        <f>SUM(C5:C9)</f>
        <v>40286</v>
      </c>
      <c r="D10" s="4">
        <f>SUM(D5:D9)</f>
        <v>1446586.2200000002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2047</v>
      </c>
      <c r="D14" s="25">
        <v>312231.81</v>
      </c>
    </row>
    <row r="15" spans="2:8" x14ac:dyDescent="0.25">
      <c r="B15" s="9" t="s">
        <v>5</v>
      </c>
      <c r="C15" s="6">
        <v>2301</v>
      </c>
      <c r="D15" s="25">
        <v>212953.31999999998</v>
      </c>
    </row>
    <row r="16" spans="2:8" x14ac:dyDescent="0.25">
      <c r="B16" s="9" t="s">
        <v>6</v>
      </c>
      <c r="C16" s="6">
        <v>986</v>
      </c>
      <c r="D16" s="25">
        <v>35421.919999999998</v>
      </c>
    </row>
    <row r="17" spans="2:11" x14ac:dyDescent="0.25">
      <c r="B17" s="9" t="s">
        <v>7</v>
      </c>
      <c r="C17" s="6">
        <v>9409</v>
      </c>
      <c r="D17" s="25">
        <v>41137.25</v>
      </c>
    </row>
    <row r="18" spans="2:11" x14ac:dyDescent="0.25">
      <c r="B18" s="10" t="s">
        <v>8</v>
      </c>
      <c r="C18" s="8">
        <f>SUM(C14:C17)</f>
        <v>14743</v>
      </c>
      <c r="D18" s="4">
        <f>SUM(D14:D17)</f>
        <v>601744.30000000005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2418</v>
      </c>
      <c r="D22" s="25">
        <v>261172.16999999998</v>
      </c>
    </row>
    <row r="23" spans="2:11" x14ac:dyDescent="0.25">
      <c r="B23" s="1" t="s">
        <v>5</v>
      </c>
      <c r="C23" s="6">
        <v>1589</v>
      </c>
      <c r="D23" s="25">
        <v>72288.679999999993</v>
      </c>
    </row>
    <row r="24" spans="2:11" x14ac:dyDescent="0.25">
      <c r="B24" s="1" t="s">
        <v>6</v>
      </c>
      <c r="C24" s="6">
        <v>3293</v>
      </c>
      <c r="D24" s="25">
        <v>51854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21633</v>
      </c>
      <c r="D26" s="25">
        <v>127007.61</v>
      </c>
    </row>
    <row r="27" spans="2:11" x14ac:dyDescent="0.25">
      <c r="B27" s="3" t="s">
        <v>8</v>
      </c>
      <c r="C27" s="8">
        <f>SUM(C22:C26)</f>
        <v>28935</v>
      </c>
      <c r="D27" s="4">
        <f>SUM(D22:D26)</f>
        <v>512322.45999999996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1351</v>
      </c>
      <c r="D31" s="25">
        <v>124907.14</v>
      </c>
    </row>
    <row r="32" spans="2:11" x14ac:dyDescent="0.25">
      <c r="B32" s="9" t="s">
        <v>5</v>
      </c>
      <c r="C32" s="6">
        <v>1936</v>
      </c>
      <c r="D32" s="25">
        <v>83986.09</v>
      </c>
    </row>
    <row r="33" spans="2:4" x14ac:dyDescent="0.25">
      <c r="B33" s="9" t="s">
        <v>6</v>
      </c>
      <c r="C33" s="6">
        <v>2466</v>
      </c>
      <c r="D33" s="25">
        <v>10951</v>
      </c>
    </row>
    <row r="34" spans="2:4" x14ac:dyDescent="0.25">
      <c r="B34" s="9" t="s">
        <v>7</v>
      </c>
      <c r="C34" s="6">
        <v>4264</v>
      </c>
      <c r="D34" s="25">
        <v>5731.29</v>
      </c>
    </row>
    <row r="35" spans="2:4" x14ac:dyDescent="0.25">
      <c r="B35" s="10" t="s">
        <v>8</v>
      </c>
      <c r="C35" s="8">
        <f>SUM(C31:C34)</f>
        <v>10017</v>
      </c>
      <c r="D35" s="4">
        <f>SUM(D31:D34)</f>
        <v>225575.52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1331</v>
      </c>
      <c r="D39" s="25">
        <v>72937.63</v>
      </c>
    </row>
    <row r="40" spans="2:4" x14ac:dyDescent="0.25">
      <c r="B40" s="10" t="s">
        <v>8</v>
      </c>
      <c r="C40" s="8">
        <f>SUM(C39:C39)</f>
        <v>1331</v>
      </c>
      <c r="D40" s="4">
        <f>SUM(D39:D39)</f>
        <v>72937.63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3583</v>
      </c>
    </row>
    <row r="45" spans="2:4" x14ac:dyDescent="0.25">
      <c r="B45" s="1" t="s">
        <v>5</v>
      </c>
      <c r="C45" s="6">
        <v>322</v>
      </c>
      <c r="D45" s="25">
        <v>17900</v>
      </c>
    </row>
    <row r="46" spans="2:4" x14ac:dyDescent="0.25">
      <c r="B46" s="1" t="s">
        <v>6</v>
      </c>
      <c r="C46" s="6">
        <v>255</v>
      </c>
      <c r="D46" s="25">
        <v>546</v>
      </c>
    </row>
    <row r="47" spans="2:4" x14ac:dyDescent="0.25">
      <c r="B47" s="1" t="s">
        <v>7</v>
      </c>
      <c r="C47" s="6">
        <v>1930</v>
      </c>
      <c r="D47" s="25">
        <v>13798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35827</v>
      </c>
    </row>
    <row r="50" spans="2:4" x14ac:dyDescent="0.25">
      <c r="B50" s="27" t="s">
        <v>35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44</v>
      </c>
      <c r="D52" s="26">
        <v>0</v>
      </c>
    </row>
    <row r="53" spans="2:4" x14ac:dyDescent="0.25">
      <c r="B53" s="1" t="s">
        <v>5</v>
      </c>
      <c r="C53" s="6">
        <v>66</v>
      </c>
      <c r="D53" s="25">
        <v>1000</v>
      </c>
    </row>
    <row r="54" spans="2:4" x14ac:dyDescent="0.25">
      <c r="B54" s="1" t="s">
        <v>6</v>
      </c>
      <c r="C54" s="6">
        <v>257</v>
      </c>
      <c r="D54" s="25">
        <v>1000</v>
      </c>
    </row>
    <row r="55" spans="2:4" x14ac:dyDescent="0.25">
      <c r="B55" s="1" t="s">
        <v>7</v>
      </c>
      <c r="C55" s="6">
        <v>405</v>
      </c>
      <c r="D55" s="26">
        <v>0</v>
      </c>
    </row>
    <row r="56" spans="2:4" x14ac:dyDescent="0.25">
      <c r="B56" s="3" t="s">
        <v>8</v>
      </c>
      <c r="C56" s="8">
        <f>SUM(C52:C55)</f>
        <v>772</v>
      </c>
      <c r="D56" s="4">
        <f>SUM(D52:D55)</f>
        <v>2000</v>
      </c>
    </row>
    <row r="58" spans="2:4" x14ac:dyDescent="0.25">
      <c r="B58" s="12" t="s">
        <v>13</v>
      </c>
      <c r="C58" s="13">
        <f>SUM(C10+C18+C35+C40+C27+C48+C56)</f>
        <v>98630</v>
      </c>
      <c r="D58" s="13">
        <f>SUM(D10+D18+D35+D40+D27+D48+D56)</f>
        <v>2896993.13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19 ABR'!C6, 'REPORTE DIARIO'!C:C)</f>
        <v>13800</v>
      </c>
      <c r="E6" s="16">
        <f>SUMIF('REPORTE DIARIO'!B:B,'EPR 19 ABR'!C6, 'REPORTE DIARIO'!D:D)</f>
        <v>1228390.9699999997</v>
      </c>
      <c r="F6" s="16">
        <f>J6*D6</f>
        <v>2365714.2857142859</v>
      </c>
      <c r="G6" s="16">
        <f>+E6-F6</f>
        <v>-1137323.3157142862</v>
      </c>
      <c r="H6" s="15">
        <f>ABS(G6/F6)</f>
        <v>0.48075260929951708</v>
      </c>
      <c r="I6" s="16">
        <f>E6/D6</f>
        <v>89.013838405797088</v>
      </c>
      <c r="J6" s="16">
        <f>(200/7)*6</f>
        <v>171.42857142857144</v>
      </c>
      <c r="K6" s="16">
        <f>+I6-J6</f>
        <v>-82.414733022774357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19 ABR'!C7, 'REPORTE DIARIO'!C:C)</f>
        <v>11564</v>
      </c>
      <c r="E7" s="16">
        <f>SUMIF('REPORTE DIARIO'!B:B,'EPR 19 ABR'!C7, 'REPORTE DIARIO'!D:D)</f>
        <v>800611.86</v>
      </c>
      <c r="F7" s="16">
        <f>J7*D7</f>
        <v>1090320</v>
      </c>
      <c r="G7" s="16">
        <f>+E7-F7</f>
        <v>-289708.14</v>
      </c>
      <c r="H7" s="15">
        <f>ABS(G7/F7)</f>
        <v>0.2657092780101255</v>
      </c>
      <c r="I7" s="16">
        <f>E7/D7</f>
        <v>69.233125216188171</v>
      </c>
      <c r="J7" s="16">
        <f>(110/7)*6</f>
        <v>94.285714285714278</v>
      </c>
      <c r="K7" s="16">
        <f t="shared" ref="K7:K9" si="0">+I7-J7</f>
        <v>-25.052589069526107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19 ABR'!C8, 'REPORTE DIARIO'!C:C)</f>
        <v>14503</v>
      </c>
      <c r="E8" s="16">
        <f>SUMIF('REPORTE DIARIO'!B:B,'EPR 19 ABR'!C8, 'REPORTE DIARIO'!D:D)</f>
        <v>310852.5</v>
      </c>
      <c r="F8" s="16">
        <f>J8*D8</f>
        <v>559401.42857142852</v>
      </c>
      <c r="G8" s="16">
        <f>+E8-F8</f>
        <v>-248548.92857142852</v>
      </c>
      <c r="H8" s="15">
        <f>ABS(G8/F8)</f>
        <v>0.44431228787913607</v>
      </c>
      <c r="I8" s="16">
        <f>E8/D8</f>
        <v>21.433668896090463</v>
      </c>
      <c r="J8" s="16">
        <f>(45/7)*6</f>
        <v>38.571428571428569</v>
      </c>
      <c r="K8" s="16">
        <f t="shared" si="0"/>
        <v>-17.137759675338106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19 ABR'!C9, 'REPORTE DIARIO'!C:C)</f>
        <v>58740</v>
      </c>
      <c r="E9" s="16">
        <f>SUMIF('REPORTE DIARIO'!B:B,'EPR 19 ABR'!C9, 'REPORTE DIARIO'!D:D)</f>
        <v>557137.80000000005</v>
      </c>
      <c r="F9" s="16">
        <f>J9*D9</f>
        <v>755228.57142857148</v>
      </c>
      <c r="G9" s="16">
        <f>+E9-F9</f>
        <v>-198090.77142857143</v>
      </c>
      <c r="H9" s="15">
        <f>ABS(G9/F9)</f>
        <v>0.2622924753149472</v>
      </c>
      <c r="I9" s="16">
        <f>E9/D9</f>
        <v>9.4848110316649645</v>
      </c>
      <c r="J9" s="16">
        <f>(15/7)*6</f>
        <v>12.857142857142858</v>
      </c>
      <c r="K9" s="16">
        <f t="shared" si="0"/>
        <v>-3.3723318254778931</v>
      </c>
    </row>
    <row r="10" spans="2:12" x14ac:dyDescent="0.25">
      <c r="B10" s="16"/>
      <c r="C10" s="19" t="s">
        <v>17</v>
      </c>
      <c r="D10" s="24">
        <f>SUM(D6:D9)</f>
        <v>98607</v>
      </c>
      <c r="E10" s="20">
        <f>SUM(E6:E9)</f>
        <v>2896993.13</v>
      </c>
      <c r="F10" s="20">
        <f>SUM(F6:F9)</f>
        <v>4770664.2857142864</v>
      </c>
      <c r="G10" s="20">
        <f>+E10-F10</f>
        <v>-1873671.1557142865</v>
      </c>
      <c r="H10" s="21">
        <f>ABS(G10/F10)</f>
        <v>0.39274848186760464</v>
      </c>
      <c r="I10" s="20">
        <f>E10/D10</f>
        <v>29.379183323699127</v>
      </c>
      <c r="J10" s="20">
        <f>F10/D10</f>
        <v>48.380584397804277</v>
      </c>
      <c r="K10" s="20">
        <f>I10-J10</f>
        <v>-19.00140107410515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36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2025-04-20T02:14:47Z</dcterms:modified>
</cp:coreProperties>
</file>