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9 ABRIL\NOCHE\"/>
    </mc:Choice>
  </mc:AlternateContent>
  <xr:revisionPtr revIDLastSave="0" documentId="13_ncr:1_{C0EDA09E-8DA9-4D92-99D3-26ED717053B8}" xr6:coauthVersionLast="47" xr6:coauthVersionMax="47" xr10:uidLastSave="{00000000-0000-0000-0000-000000000000}"/>
  <bookViews>
    <workbookView xWindow="5235" yWindow="5235" windowWidth="10770" windowHeight="10350" activeTab="2" xr2:uid="{4DC6C92A-CD8A-4966-829B-0B6A986E825B}"/>
  </bookViews>
  <sheets>
    <sheet name="REPORTE DIARIO" sheetId="1" r:id="rId1"/>
    <sheet name="DATA" sheetId="4" r:id="rId2"/>
    <sheet name="EPR 1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48" i="1"/>
  <c r="J6" i="3"/>
  <c r="C48" i="1"/>
  <c r="D19" i="1" l="1"/>
  <c r="C19" i="1"/>
  <c r="J9" i="3"/>
  <c r="J8" i="3"/>
  <c r="J7" i="3"/>
  <c r="D6" i="3"/>
  <c r="F6" i="3" s="1"/>
  <c r="D40" i="1"/>
  <c r="C40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<sst xmlns="http://schemas.openxmlformats.org/spreadsheetml/2006/main" count="87" uniqueCount="36">
  <si>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</si>
  <si>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</si>
  <si>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</si>
  <si>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</si>
  <si>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</si>
  <si>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</si>
  <si>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</si>
  <si>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</si>
  <si>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</si>
  <si>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</si>
  <si>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</si>
  <si>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</si>
  <si>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</si>
  <si>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</si>
  <si>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</si>
  <si>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</si>
  <si>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</si>
  <si>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</si>
  <si>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</si>
  <si>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</si>
  <si>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</si>
  <si>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</si>
  <si>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</si>
  <si>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</si>
  <si>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</si>
  <si>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</si>
  <si>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</si>
  <si>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</si>
  <si>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</si>
  <si>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</si>
  <si>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</si>
  <si>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</si>
  <si>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</si>
  <si>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19 ABRIL</t>
  </si>
  <si>
    <t>COBRANZA GENERAL  OLGUIN</t>
  </si>
  <si>
    <t>Samantha, Samantha 2, Sofia, Edith, Fernando, Olguin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</si>
</sst>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7" workbookViewId="0">
      <selection activeCell="F54" sqref="F5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6570</v>
      </c>
      <c r="D5" s="25">
        <v>78295.22</v>
      </c>
    </row>
    <row r="6" spans="2:8" x14ac:dyDescent="0.25">
      <c r="B6" s="1" t="s">
        <v>5</v>
      </c>
      <c r="C6" s="6">
        <v>5350</v>
      </c>
      <c r="D6" s="25">
        <v>76869.88</v>
      </c>
    </row>
    <row r="7" spans="2:8" x14ac:dyDescent="0.25">
      <c r="B7" s="1" t="s">
        <v>6</v>
      </c>
      <c r="C7" s="6">
        <v>7246</v>
      </c>
      <c r="D7" s="25">
        <v>25860.27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21099</v>
      </c>
      <c r="D9" s="25">
        <v>68686</v>
      </c>
    </row>
    <row r="10" spans="2:8" x14ac:dyDescent="0.25">
      <c r="B10" s="3" t="s">
        <v>8</v>
      </c>
      <c r="C10" s="8">
        <f>SUM(C5:C9)</f>
        <v>40286</v>
      </c>
      <c r="D10" s="4">
        <f>SUM(D5:D9)</f>
        <v>249711.37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2418</v>
      </c>
      <c r="D14" s="25">
        <v>53277.56</v>
      </c>
    </row>
    <row r="15" spans="2:8" x14ac:dyDescent="0.25">
      <c r="B15" s="1" t="s">
        <v>5</v>
      </c>
      <c r="C15" s="6">
        <v>1589</v>
      </c>
      <c r="D15" s="25">
        <v>13348</v>
      </c>
    </row>
    <row r="16" spans="2:8" x14ac:dyDescent="0.25">
      <c r="B16" s="1" t="s">
        <v>6</v>
      </c>
      <c r="C16" s="6">
        <v>3293</v>
      </c>
      <c r="D16" s="25">
        <v>21142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21633</v>
      </c>
      <c r="D18" s="25">
        <v>35351</v>
      </c>
    </row>
    <row r="19" spans="2:11" x14ac:dyDescent="0.25">
      <c r="B19" s="3" t="s">
        <v>8</v>
      </c>
      <c r="C19" s="8">
        <f>SUM(C14:C18)</f>
        <v>28935</v>
      </c>
      <c r="D19" s="4">
        <f>SUM(D14:D18)</f>
        <v>123118.56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2047</v>
      </c>
      <c r="D23" s="25">
        <v>33968.65</v>
      </c>
    </row>
    <row r="24" spans="2:11" x14ac:dyDescent="0.25">
      <c r="B24" s="9" t="s">
        <v>5</v>
      </c>
      <c r="C24" s="6">
        <v>2301</v>
      </c>
      <c r="D24" s="25">
        <v>18627</v>
      </c>
    </row>
    <row r="25" spans="2:11" x14ac:dyDescent="0.25">
      <c r="B25" s="9" t="s">
        <v>6</v>
      </c>
      <c r="C25" s="6">
        <v>986</v>
      </c>
      <c r="D25" s="25">
        <v>7700</v>
      </c>
    </row>
    <row r="26" spans="2:11" x14ac:dyDescent="0.25">
      <c r="B26" s="9" t="s">
        <v>7</v>
      </c>
      <c r="C26" s="6">
        <v>9409</v>
      </c>
      <c r="D26" s="25">
        <v>4193</v>
      </c>
      <c r="K26" s="7"/>
    </row>
    <row r="27" spans="2:11" x14ac:dyDescent="0.25">
      <c r="B27" s="10" t="s">
        <v>8</v>
      </c>
      <c r="C27" s="8">
        <f>SUM(C23:C26)</f>
        <v>14743</v>
      </c>
      <c r="D27" s="4">
        <f>SUM(D23:D26)</f>
        <v>64488.65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1351</v>
      </c>
      <c r="D31" s="25">
        <v>8748.48</v>
      </c>
    </row>
    <row r="32" spans="2:11" x14ac:dyDescent="0.25">
      <c r="B32" s="9" t="s">
        <v>5</v>
      </c>
      <c r="C32" s="6">
        <v>1936</v>
      </c>
      <c r="D32" s="25">
        <v>7628.4</v>
      </c>
    </row>
    <row r="33" spans="2:4" x14ac:dyDescent="0.25">
      <c r="B33" s="9" t="s">
        <v>6</v>
      </c>
      <c r="C33" s="6">
        <v>2466</v>
      </c>
      <c r="D33" s="25">
        <v>6377</v>
      </c>
    </row>
    <row r="34" spans="2:4" x14ac:dyDescent="0.25">
      <c r="B34" s="9" t="s">
        <v>7</v>
      </c>
      <c r="C34" s="6">
        <v>4264</v>
      </c>
      <c r="D34" s="25">
        <v>494</v>
      </c>
    </row>
    <row r="35" spans="2:4" x14ac:dyDescent="0.25">
      <c r="B35" s="10" t="s">
        <v>8</v>
      </c>
      <c r="C35" s="8">
        <f>SUM(C31:C34)</f>
        <v>10017</v>
      </c>
      <c r="D35" s="4">
        <f>SUM(D31:D34)</f>
        <v>23247.879999999997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1331</v>
      </c>
      <c r="D39" s="25">
        <v>18103</v>
      </c>
    </row>
    <row r="40" spans="2:4" x14ac:dyDescent="0.25">
      <c r="B40" s="10" t="s">
        <v>8</v>
      </c>
      <c r="C40" s="8">
        <f>SUM(C39:C39)</f>
        <v>1331</v>
      </c>
      <c r="D40" s="4">
        <f>SUM(D39:D39)</f>
        <v>18103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1260</v>
      </c>
    </row>
    <row r="45" spans="2:4" x14ac:dyDescent="0.25">
      <c r="B45" s="1" t="s">
        <v>5</v>
      </c>
      <c r="C45" s="6">
        <v>322</v>
      </c>
      <c r="D45" s="25">
        <v>3000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1930</v>
      </c>
      <c r="D47" s="25">
        <v>1760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6020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44</v>
      </c>
      <c r="D52" s="26">
        <v>0</v>
      </c>
    </row>
    <row r="53" spans="2:4" x14ac:dyDescent="0.25">
      <c r="B53" s="1" t="s">
        <v>5</v>
      </c>
      <c r="C53" s="6">
        <v>66</v>
      </c>
      <c r="D53" s="26">
        <v>0</v>
      </c>
    </row>
    <row r="54" spans="2:4" x14ac:dyDescent="0.25">
      <c r="B54" s="1" t="s">
        <v>6</v>
      </c>
      <c r="C54" s="6">
        <v>257</v>
      </c>
      <c r="D54" s="25">
        <v>1000</v>
      </c>
    </row>
    <row r="55" spans="2:4" x14ac:dyDescent="0.25">
      <c r="B55" s="1" t="s">
        <v>7</v>
      </c>
      <c r="C55" s="6">
        <v>405</v>
      </c>
      <c r="D55" s="26">
        <v>0</v>
      </c>
    </row>
    <row r="56" spans="2:4" x14ac:dyDescent="0.25">
      <c r="B56" s="3" t="s">
        <v>8</v>
      </c>
      <c r="C56" s="8">
        <f>SUM(C52:C55)</f>
        <v>772</v>
      </c>
      <c r="D56" s="4">
        <f>SUM(D52:D55)</f>
        <v>1000</v>
      </c>
    </row>
    <row r="58" spans="2:4" x14ac:dyDescent="0.25">
      <c r="B58" s="11" t="s">
        <v>13</v>
      </c>
      <c r="C58" s="12">
        <f>SUM(C10+C35+C27+C40+C19+C48+C56)</f>
        <v>98630</v>
      </c>
      <c r="D58" s="12">
        <f>SUM(D10+D35+D27+D40+D19+D48+D56)</f>
        <v>485689.46</v>
      </c>
    </row>
  </sheetData>
  <mergeCells count="7">
    <mergeCell ref="B50:D50"/>
    <mergeCell ref="B3:D3"/>
    <mergeCell ref="B29:D29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33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19 ABR'!C6, 'REPORTE DIARIO'!C:C)</f>
        <v>13800</v>
      </c>
      <c r="E6" s="15">
        <f>SUMIF('REPORTE DIARIO'!B:B,'EPR 19 ABR'!C6, 'REPORTE DIARIO'!D:D)</f>
        <v>193652.91</v>
      </c>
      <c r="F6" s="15">
        <f>J6*D6</f>
        <v>394285.71428571432</v>
      </c>
      <c r="G6" s="15">
        <f>+E6-F6</f>
        <v>-200632.80428571432</v>
      </c>
      <c r="H6" s="14">
        <f>ABS(G6/F6)</f>
        <v>0.50885131521739135</v>
      </c>
      <c r="I6" s="15">
        <f>E6/D6</f>
        <v>14.032819565217391</v>
      </c>
      <c r="J6" s="15">
        <f>200/7</f>
        <v>28.571428571428573</v>
      </c>
      <c r="K6" s="15">
        <f>+I6-J6</f>
        <v>-14.538609006211182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19 ABR'!C7, 'REPORTE DIARIO'!C:C)</f>
        <v>11564</v>
      </c>
      <c r="E7" s="15">
        <f>SUMIF('REPORTE DIARIO'!B:B,'EPR 19 ABR'!C7, 'REPORTE DIARIO'!D:D)</f>
        <v>119473.28</v>
      </c>
      <c r="F7" s="15">
        <f>J7*D7</f>
        <v>181720</v>
      </c>
      <c r="G7" s="15">
        <f>+E7-F7</f>
        <v>-62246.720000000001</v>
      </c>
      <c r="H7" s="14">
        <f>ABS(G7/F7)</f>
        <v>0.34254193264362759</v>
      </c>
      <c r="I7" s="15">
        <f>E7/D7</f>
        <v>10.331483915600138</v>
      </c>
      <c r="J7" s="15">
        <f>110/7</f>
        <v>15.714285714285714</v>
      </c>
      <c r="K7" s="15">
        <f t="shared" ref="K7:K9" si="0">+I7-J7</f>
        <v>-5.3828017986855752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19 ABR'!C8, 'REPORTE DIARIO'!C:C)</f>
        <v>14503</v>
      </c>
      <c r="E8" s="15">
        <f>SUMIF('REPORTE DIARIO'!B:B,'EPR 19 ABR'!C8, 'REPORTE DIARIO'!D:D)</f>
        <v>62079.270000000004</v>
      </c>
      <c r="F8" s="15">
        <f>J8*D8</f>
        <v>93233.571428571435</v>
      </c>
      <c r="G8" s="15">
        <f>+E8-F8</f>
        <v>-31154.301428571431</v>
      </c>
      <c r="H8" s="14">
        <f>ABS(G8/F8)</f>
        <v>0.33415325564825671</v>
      </c>
      <c r="I8" s="15">
        <f>E8/D8</f>
        <v>4.2804433565469218</v>
      </c>
      <c r="J8" s="15">
        <f>45/7</f>
        <v>6.4285714285714288</v>
      </c>
      <c r="K8" s="15">
        <f t="shared" si="0"/>
        <v>-2.1481280720245071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19 ABR'!C9, 'REPORTE DIARIO'!C:C)</f>
        <v>58740</v>
      </c>
      <c r="E9" s="15">
        <f>SUMIF('REPORTE DIARIO'!B:B,'EPR 19 ABR'!C9, 'REPORTE DIARIO'!D:D)</f>
        <v>110484</v>
      </c>
      <c r="F9" s="15">
        <f>J9*D9</f>
        <v>125871.42857142857</v>
      </c>
      <c r="G9" s="15">
        <f>+E9-F9</f>
        <v>-15387.428571428565</v>
      </c>
      <c r="H9" s="14">
        <f>ABS(G9/F9)</f>
        <v>0.12224719101123591</v>
      </c>
      <c r="I9" s="15">
        <f>E9/D9</f>
        <v>1.8808988764044945</v>
      </c>
      <c r="J9" s="15">
        <f>15/7</f>
        <v>2.1428571428571428</v>
      </c>
      <c r="K9" s="15">
        <f t="shared" si="0"/>
        <v>-0.2619582664526483</v>
      </c>
    </row>
    <row r="10" spans="2:12" x14ac:dyDescent="0.25">
      <c r="B10" s="15"/>
      <c r="C10" s="18" t="s">
        <v>16</v>
      </c>
      <c r="D10" s="23">
        <f>SUM(D6:D9)</f>
        <v>98607</v>
      </c>
      <c r="E10" s="19">
        <f>SUM(E6:E9)</f>
        <v>485689.46</v>
      </c>
      <c r="F10" s="19">
        <f>SUM(F6:F9)</f>
        <v>795110.71428571432</v>
      </c>
      <c r="G10" s="19">
        <f>+E10-F10</f>
        <v>-309421.2542857143</v>
      </c>
      <c r="H10" s="20">
        <f>ABS(G10/F10)</f>
        <v>0.38915492990643713</v>
      </c>
      <c r="I10" s="19">
        <f>E10/D10</f>
        <v>4.9255069112740477</v>
      </c>
      <c r="J10" s="19">
        <f>F10/D10</f>
        <v>8.0634307329673796</v>
      </c>
      <c r="K10" s="19">
        <f>I10-J10</f>
        <v>-3.1379238216933318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2025-04-20T02:10:59Z</dcterms:modified>
</cp:coreProperties>
</file>