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9 ABRIL\MAÑANA\"/>
    </mc:Choice>
  </mc:AlternateContent>
  <xr:revisionPtr revIDLastSave="0" documentId="13_ncr:1_{DD8DAD7A-4CA5-4530-9A89-0B38272FE241}" xr6:coauthVersionLast="47" xr6:coauthVersionMax="47" xr10:uidLastSave="{00000000-0000-0000-0000-000000000000}"/>
  <bookViews>
    <workbookView xWindow="12315" yWindow="10530" windowWidth="10770" windowHeight="10350" xr2:uid="{4DC6C92A-CD8A-4966-829B-0B6A986E825B}"/>
  </bookViews>
  <sheets>
    <sheet name="REPORTE DIARIO" sheetId="1" r:id="rId1"/>
    <sheet name="DATA" sheetId="4" r:id="rId2"/>
    <sheet name="EPR 1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C58" i="1" s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<sst xmlns="http://schemas.openxmlformats.org/spreadsheetml/2006/main" count="88" uniqueCount="37">
  <si>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</si>
  <si>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</si>
  <si>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</si>
  <si>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</si>
  <si>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</si>
  <si>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</si>
  <si>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</si>
  <si>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</si>
  <si>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</si>
  <si>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</si>
  <si>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</si>
  <si>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</si>
  <si>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</si>
  <si>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</si>
  <si>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</si>
  <si>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</si>
  <si>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</si>
  <si>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</si>
  <si>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</si>
  <si>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</si>
  <si>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</si>
  <si>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</si>
  <si>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</si>
  <si>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</si>
  <si>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</si>
  <si>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</si>
  <si>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</si>
  <si>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</si>
  <si>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</si>
  <si>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</si>
  <si>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</si>
  <si>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</si>
  <si>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</si>
  <si>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</si>
  <si>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16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</si>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</sst>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3" zoomScaleNormal="100" workbookViewId="0">
      <selection activeCell="D49" sqref="D4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6574</v>
      </c>
      <c r="D5" s="25">
        <v>376463.99999999994</v>
      </c>
    </row>
    <row r="6" spans="2:8" x14ac:dyDescent="0.25">
      <c r="B6" s="1" t="s">
        <v>5</v>
      </c>
      <c r="C6" s="6">
        <v>5393</v>
      </c>
      <c r="D6" s="25">
        <v>336994.88999999996</v>
      </c>
    </row>
    <row r="7" spans="2:8" x14ac:dyDescent="0.25">
      <c r="B7" s="1" t="s">
        <v>6</v>
      </c>
      <c r="C7" s="6">
        <v>7275</v>
      </c>
      <c r="D7" s="25">
        <v>185219.31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21098</v>
      </c>
      <c r="D9" s="25">
        <v>301823.64999999997</v>
      </c>
      <c r="F9" s="7"/>
    </row>
    <row r="10" spans="2:8" x14ac:dyDescent="0.25">
      <c r="B10" s="3" t="s">
        <v>8</v>
      </c>
      <c r="C10" s="8">
        <f>SUM(C5:C9)</f>
        <v>40361</v>
      </c>
      <c r="D10" s="4">
        <f>SUM(D5:D9)</f>
        <v>1200501.8499999999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2061</v>
      </c>
      <c r="D14" s="25">
        <v>284428.15999999997</v>
      </c>
    </row>
    <row r="15" spans="2:8" x14ac:dyDescent="0.25">
      <c r="B15" s="9" t="s">
        <v>5</v>
      </c>
      <c r="C15" s="6">
        <v>2169</v>
      </c>
      <c r="D15" s="25">
        <v>196598.31999999998</v>
      </c>
    </row>
    <row r="16" spans="2:8" x14ac:dyDescent="0.25">
      <c r="B16" s="9" t="s">
        <v>6</v>
      </c>
      <c r="C16" s="6">
        <v>944</v>
      </c>
      <c r="D16" s="25">
        <v>27920.92</v>
      </c>
    </row>
    <row r="17" spans="2:11" x14ac:dyDescent="0.25">
      <c r="B17" s="9" t="s">
        <v>7</v>
      </c>
      <c r="C17" s="6">
        <v>9405</v>
      </c>
      <c r="D17" s="25">
        <v>36944.25</v>
      </c>
    </row>
    <row r="18" spans="2:11" x14ac:dyDescent="0.25">
      <c r="B18" s="10" t="s">
        <v>8</v>
      </c>
      <c r="C18" s="8">
        <f>SUM(C14:C17)</f>
        <v>14579</v>
      </c>
      <c r="D18" s="4">
        <f>SUM(D14:D17)</f>
        <v>545891.64999999991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2417</v>
      </c>
      <c r="D22" s="25">
        <v>207894.61</v>
      </c>
    </row>
    <row r="23" spans="2:11" x14ac:dyDescent="0.25">
      <c r="B23" s="1" t="s">
        <v>5</v>
      </c>
      <c r="C23" s="6">
        <v>1517</v>
      </c>
      <c r="D23" s="25">
        <v>58940.68</v>
      </c>
    </row>
    <row r="24" spans="2:11" x14ac:dyDescent="0.25">
      <c r="B24" s="1" t="s">
        <v>6</v>
      </c>
      <c r="C24" s="6">
        <v>3294</v>
      </c>
      <c r="D24" s="25">
        <v>30712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21610</v>
      </c>
      <c r="D26" s="25">
        <v>91656.61</v>
      </c>
    </row>
    <row r="27" spans="2:11" x14ac:dyDescent="0.25">
      <c r="B27" s="3" t="s">
        <v>8</v>
      </c>
      <c r="C27" s="8">
        <f>SUM(C22:C26)</f>
        <v>28840</v>
      </c>
      <c r="D27" s="4">
        <f>SUM(D22:D26)</f>
        <v>389203.89999999997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1354</v>
      </c>
      <c r="D31" s="25">
        <v>116158.66</v>
      </c>
    </row>
    <row r="32" spans="2:11" x14ac:dyDescent="0.25">
      <c r="B32" s="9" t="s">
        <v>5</v>
      </c>
      <c r="C32" s="6">
        <v>1940</v>
      </c>
      <c r="D32" s="25">
        <v>76357.69</v>
      </c>
    </row>
    <row r="33" spans="2:4" x14ac:dyDescent="0.25">
      <c r="B33" s="9" t="s">
        <v>6</v>
      </c>
      <c r="C33" s="6">
        <v>2423</v>
      </c>
      <c r="D33" s="25">
        <v>4574</v>
      </c>
    </row>
    <row r="34" spans="2:4" x14ac:dyDescent="0.25">
      <c r="B34" s="9" t="s">
        <v>7</v>
      </c>
      <c r="C34" s="6">
        <v>4264</v>
      </c>
      <c r="D34" s="25">
        <v>5237.29</v>
      </c>
    </row>
    <row r="35" spans="2:4" x14ac:dyDescent="0.25">
      <c r="B35" s="10" t="s">
        <v>8</v>
      </c>
      <c r="C35" s="8">
        <f>SUM(C31:C34)</f>
        <v>9981</v>
      </c>
      <c r="D35" s="4">
        <f>SUM(D31:D34)</f>
        <v>202327.64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1332</v>
      </c>
      <c r="D39" s="25">
        <v>54834.63</v>
      </c>
    </row>
    <row r="40" spans="2:4" x14ac:dyDescent="0.25">
      <c r="B40" s="10" t="s">
        <v>8</v>
      </c>
      <c r="C40" s="8">
        <f>SUM(C39:C39)</f>
        <v>1332</v>
      </c>
      <c r="D40" s="4">
        <f>SUM(D39:D39)</f>
        <v>54834.63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2323</v>
      </c>
    </row>
    <row r="45" spans="2:4" x14ac:dyDescent="0.25">
      <c r="B45" s="1" t="s">
        <v>5</v>
      </c>
      <c r="C45" s="6">
        <v>322</v>
      </c>
      <c r="D45" s="25">
        <v>14900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12038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29807</v>
      </c>
    </row>
    <row r="50" spans="2:4" x14ac:dyDescent="0.25">
      <c r="B50" s="27" t="s">
        <v>35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36</v>
      </c>
      <c r="D52" s="26">
        <v>0</v>
      </c>
    </row>
    <row r="53" spans="2:4" x14ac:dyDescent="0.25">
      <c r="B53" s="1" t="s">
        <v>5</v>
      </c>
      <c r="C53" s="6">
        <v>60</v>
      </c>
      <c r="D53" s="25">
        <v>1000</v>
      </c>
    </row>
    <row r="54" spans="2:4" x14ac:dyDescent="0.25">
      <c r="B54" s="1" t="s">
        <v>6</v>
      </c>
      <c r="C54" s="6">
        <v>239</v>
      </c>
      <c r="D54" s="26">
        <v>0</v>
      </c>
    </row>
    <row r="55" spans="2:4" x14ac:dyDescent="0.25">
      <c r="B55" s="1" t="s">
        <v>7</v>
      </c>
      <c r="C55" s="6">
        <v>256</v>
      </c>
      <c r="D55" s="26">
        <v>0</v>
      </c>
    </row>
    <row r="56" spans="2:4" x14ac:dyDescent="0.25">
      <c r="B56" s="3" t="s">
        <v>8</v>
      </c>
      <c r="C56" s="8">
        <f>SUM(C52:C55)</f>
        <v>591</v>
      </c>
      <c r="D56" s="4">
        <f>SUM(D52:D55)</f>
        <v>1000</v>
      </c>
    </row>
    <row r="58" spans="2:4" x14ac:dyDescent="0.25">
      <c r="B58" s="12" t="s">
        <v>13</v>
      </c>
      <c r="C58" s="13">
        <f>SUM(C10+C18+C35+C40+C27+C48+C56)</f>
        <v>98230</v>
      </c>
      <c r="D58" s="13">
        <f>SUM(D10+D18+D35+D40+D27+D48+D56)</f>
        <v>2423566.6699999995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19 ABR'!C6, 'REPORTE DIARIO'!C:C)</f>
        <v>13813</v>
      </c>
      <c r="E6" s="16">
        <f>SUMIF('REPORTE DIARIO'!B:B,'EPR 19 ABR'!C6, 'REPORTE DIARIO'!D:D)</f>
        <v>1042103.0599999999</v>
      </c>
      <c r="F6" s="16">
        <f>J6*D6</f>
        <v>2367942.8571428573</v>
      </c>
      <c r="G6" s="16">
        <f>+E6-F6</f>
        <v>-1325839.7971428572</v>
      </c>
      <c r="H6" s="15">
        <f>ABS(G6/F6)</f>
        <v>0.55991207437438162</v>
      </c>
      <c r="I6" s="16">
        <f>E6/D6</f>
        <v>75.443644392963151</v>
      </c>
      <c r="J6" s="16">
        <f>(200/7)*6</f>
        <v>171.42857142857144</v>
      </c>
      <c r="K6" s="16">
        <f>+I6-J6</f>
        <v>-95.984927035608294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19 ABR'!C7, 'REPORTE DIARIO'!C:C)</f>
        <v>11401</v>
      </c>
      <c r="E7" s="16">
        <f>SUMIF('REPORTE DIARIO'!B:B,'EPR 19 ABR'!C7, 'REPORTE DIARIO'!D:D)</f>
        <v>684791.58000000007</v>
      </c>
      <c r="F7" s="16">
        <f>J7*D7</f>
        <v>1074951.4285714284</v>
      </c>
      <c r="G7" s="16">
        <f>+E7-F7</f>
        <v>-390159.84857142833</v>
      </c>
      <c r="H7" s="15">
        <f>ABS(G7/F7)</f>
        <v>0.36295579335146022</v>
      </c>
      <c r="I7" s="16">
        <f>E7/D7</f>
        <v>60.06416805543374</v>
      </c>
      <c r="J7" s="16">
        <f>(110/7)*6</f>
        <v>94.285714285714278</v>
      </c>
      <c r="K7" s="16">
        <f t="shared" ref="K7:K9" si="0">+I7-J7</f>
        <v>-34.221546230280538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19 ABR'!C8, 'REPORTE DIARIO'!C:C)</f>
        <v>14430</v>
      </c>
      <c r="E8" s="16">
        <f>SUMIF('REPORTE DIARIO'!B:B,'EPR 19 ABR'!C8, 'REPORTE DIARIO'!D:D)</f>
        <v>248972.22999999998</v>
      </c>
      <c r="F8" s="16">
        <f>J8*D8</f>
        <v>556585.7142857142</v>
      </c>
      <c r="G8" s="16">
        <f>+E8-F8</f>
        <v>-307613.48428571422</v>
      </c>
      <c r="H8" s="15">
        <f>ABS(G8/F8)</f>
        <v>0.55267944611277942</v>
      </c>
      <c r="I8" s="16">
        <f>E8/D8</f>
        <v>17.25379279279279</v>
      </c>
      <c r="J8" s="16">
        <f>(45/7)*6</f>
        <v>38.571428571428569</v>
      </c>
      <c r="K8" s="16">
        <f t="shared" si="0"/>
        <v>-21.317635778635779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19 ABR'!C9, 'REPORTE DIARIO'!C:C)</f>
        <v>58563</v>
      </c>
      <c r="E9" s="16">
        <f>SUMIF('REPORTE DIARIO'!B:B,'EPR 19 ABR'!C9, 'REPORTE DIARIO'!D:D)</f>
        <v>447699.79999999993</v>
      </c>
      <c r="F9" s="16">
        <f>J9*D9</f>
        <v>752952.85714285716</v>
      </c>
      <c r="G9" s="16">
        <f>+E9-F9</f>
        <v>-305253.05714285723</v>
      </c>
      <c r="H9" s="15">
        <f>ABS(G9/F9)</f>
        <v>0.40540792726541419</v>
      </c>
      <c r="I9" s="16">
        <f>E9/D9</f>
        <v>7.6447552208732468</v>
      </c>
      <c r="J9" s="16">
        <f>(15/7)*6</f>
        <v>12.857142857142858</v>
      </c>
      <c r="K9" s="16">
        <f t="shared" si="0"/>
        <v>-5.2123876362696109</v>
      </c>
    </row>
    <row r="10" spans="2:12" x14ac:dyDescent="0.25">
      <c r="B10" s="16"/>
      <c r="C10" s="19" t="s">
        <v>17</v>
      </c>
      <c r="D10" s="24">
        <f>SUM(D6:D9)</f>
        <v>98207</v>
      </c>
      <c r="E10" s="20">
        <f>SUM(E6:E9)</f>
        <v>2423566.67</v>
      </c>
      <c r="F10" s="20">
        <f>SUM(F6:F9)</f>
        <v>4752432.8571428563</v>
      </c>
      <c r="G10" s="20">
        <f>+E10-F10</f>
        <v>-2328866.1871428564</v>
      </c>
      <c r="H10" s="21">
        <f>ABS(G10/F10)</f>
        <v>0.49003663116304635</v>
      </c>
      <c r="I10" s="20">
        <f>E10/D10</f>
        <v>24.678145855183438</v>
      </c>
      <c r="J10" s="20">
        <f>F10/D10</f>
        <v>48.39199707905604</v>
      </c>
      <c r="K10" s="20">
        <f>I10-J10</f>
        <v>-23.713851223872602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2025-04-19T15:16:49Z</dcterms:modified>
</cp:coreProperties>
</file>