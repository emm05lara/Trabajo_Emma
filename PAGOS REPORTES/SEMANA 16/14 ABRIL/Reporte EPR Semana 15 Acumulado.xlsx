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6\14 ABRIL\"/>
    </mc:Choice>
  </mc:AlternateContent>
  <xr:revisionPtr revIDLastSave="0" documentId="13_ncr:1_{D159E046-4852-401D-B9F0-9CE1C377E478}" xr6:coauthVersionLast="47" xr6:coauthVersionMax="47" xr10:uidLastSave="{00000000-0000-0000-0000-000000000000}"/>
  <bookViews>
    <workbookView xWindow="6900" yWindow="7050" windowWidth="10770" windowHeight="10350" xr2:uid="{4DC6C92A-CD8A-4966-829B-0B6A986E825B}"/>
  </bookViews>
  <sheets>
    <sheet name="REPORTE DIARIO" sheetId="1" r:id="rId1"/>
    <sheet name="DATA" sheetId="4" r:id="rId2"/>
    <sheet name="EPR 13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3" l="1"/>
  <c r="J9" i="3"/>
  <c r="J8" i="3"/>
  <c r="J7" i="3"/>
  <c r="D48" i="1"/>
  <c r="C48" i="1"/>
  <c r="D19" i="1"/>
  <c r="C19" i="1"/>
  <c r="D40" i="1" l="1"/>
  <c r="C40" i="1"/>
  <c r="D35" i="1"/>
  <c r="C35" i="1"/>
  <c r="D27" i="1"/>
  <c r="C27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0" i="1" l="1"/>
  <c r="D50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<sst xmlns="http://schemas.openxmlformats.org/spreadsheetml/2006/main" count="79" uniqueCount="36">
  <si>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</si>
  <si>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</si>
  <si>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</si>
  <si>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</si>
  <si>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</si>
  <si>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</si>
  <si>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</si>
  <si>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</si>
  <si>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</si>
  <si>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</si>
  <si>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</si>
  <si>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</si>
  <si>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</si>
  <si>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</si>
  <si>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</si>
  <si>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</si>
  <si>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</si>
  <si>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</si>
  <si>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</si>
  <si>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</si>
  <si>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</si>
  <si>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</si>
  <si>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</si>
  <si>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</si>
  <si>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</si>
  <si>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</si>
  <si>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</si>
  <si>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</si>
  <si>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</si>
  <si>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</si>
  <si>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</si>
  <si>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</si>
  <si>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</si>
  <si>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</si>
  <si>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SALDO ACUMULADO SEMANA 15</t>
  </si>
  <si>
    <t>Samantha, Samantha 2, Sofia, Edith, Fernando y Federico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</si>
</sst>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0"/>
  <sheetViews>
    <sheetView showGridLines="0" tabSelected="1" zoomScaleNormal="100" workbookViewId="0">
      <selection activeCell="C48" sqref="C4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6452</v>
      </c>
      <c r="D5" s="25">
        <v>679222.02999999991</v>
      </c>
    </row>
    <row r="6" spans="2:8" x14ac:dyDescent="0.25">
      <c r="B6" s="1" t="s">
        <v>5</v>
      </c>
      <c r="C6" s="6">
        <v>5762</v>
      </c>
      <c r="D6" s="25">
        <v>373069.5</v>
      </c>
    </row>
    <row r="7" spans="2:8" x14ac:dyDescent="0.25">
      <c r="B7" s="1" t="s">
        <v>6</v>
      </c>
      <c r="C7" s="6">
        <v>8765</v>
      </c>
      <c r="D7" s="25">
        <v>311496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21263</v>
      </c>
      <c r="D9" s="25">
        <v>435168.26</v>
      </c>
      <c r="F9" s="7"/>
    </row>
    <row r="10" spans="2:8" x14ac:dyDescent="0.25">
      <c r="B10" s="3" t="s">
        <v>8</v>
      </c>
      <c r="C10" s="8">
        <f>SUM(C5:C9)</f>
        <v>42263</v>
      </c>
      <c r="D10" s="4">
        <f>SUM(D5:D9)</f>
        <v>1798955.7899999998</v>
      </c>
      <c r="E10" s="11" t="s">
        <v>14</v>
      </c>
    </row>
    <row r="12" spans="2:8" x14ac:dyDescent="0.25">
      <c r="B12" s="27" t="s">
        <v>32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2411</v>
      </c>
      <c r="D14" s="25">
        <v>223648.75</v>
      </c>
    </row>
    <row r="15" spans="2:8" x14ac:dyDescent="0.25">
      <c r="B15" s="1" t="s">
        <v>5</v>
      </c>
      <c r="C15" s="6">
        <v>1495</v>
      </c>
      <c r="D15" s="25">
        <v>111103.01</v>
      </c>
    </row>
    <row r="16" spans="2:8" x14ac:dyDescent="0.25">
      <c r="B16" s="1" t="s">
        <v>6</v>
      </c>
      <c r="C16" s="6">
        <v>3281</v>
      </c>
      <c r="D16" s="25">
        <v>58219.619999999995</v>
      </c>
    </row>
    <row r="17" spans="2:11" x14ac:dyDescent="0.25">
      <c r="B17" s="5" t="s">
        <v>12</v>
      </c>
      <c r="C17" s="7">
        <v>2</v>
      </c>
      <c r="D17" s="26">
        <v>0</v>
      </c>
    </row>
    <row r="18" spans="2:11" x14ac:dyDescent="0.25">
      <c r="B18" s="1" t="s">
        <v>7</v>
      </c>
      <c r="C18" s="6">
        <v>21209</v>
      </c>
      <c r="D18" s="25">
        <v>158550</v>
      </c>
    </row>
    <row r="19" spans="2:11" x14ac:dyDescent="0.25">
      <c r="B19" s="3" t="s">
        <v>8</v>
      </c>
      <c r="C19" s="8">
        <f>SUM(C14:C18)</f>
        <v>28398</v>
      </c>
      <c r="D19" s="4">
        <f>SUM(D14:D18)</f>
        <v>551521.38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1997</v>
      </c>
      <c r="D23" s="25">
        <v>286028.14</v>
      </c>
    </row>
    <row r="24" spans="2:11" x14ac:dyDescent="0.25">
      <c r="B24" s="9" t="s">
        <v>5</v>
      </c>
      <c r="C24" s="6">
        <v>2127</v>
      </c>
      <c r="D24" s="25">
        <v>137433.70000000001</v>
      </c>
    </row>
    <row r="25" spans="2:11" x14ac:dyDescent="0.25">
      <c r="B25" s="9" t="s">
        <v>6</v>
      </c>
      <c r="C25" s="6">
        <v>900</v>
      </c>
      <c r="D25" s="25">
        <v>28062</v>
      </c>
    </row>
    <row r="26" spans="2:11" x14ac:dyDescent="0.25">
      <c r="B26" s="9" t="s">
        <v>7</v>
      </c>
      <c r="C26" s="6">
        <v>8911</v>
      </c>
      <c r="D26" s="25">
        <v>40539.93</v>
      </c>
    </row>
    <row r="27" spans="2:11" x14ac:dyDescent="0.25">
      <c r="B27" s="10" t="s">
        <v>8</v>
      </c>
      <c r="C27" s="8">
        <f>SUM(C23:C26)</f>
        <v>13935</v>
      </c>
      <c r="D27" s="4">
        <f>SUM(D23:D26)</f>
        <v>492063.77</v>
      </c>
      <c r="K27" s="7"/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1362</v>
      </c>
      <c r="D31" s="25">
        <v>125384.45</v>
      </c>
    </row>
    <row r="32" spans="2:11" x14ac:dyDescent="0.25">
      <c r="B32" s="9" t="s">
        <v>5</v>
      </c>
      <c r="C32" s="6">
        <v>1938</v>
      </c>
      <c r="D32" s="25">
        <v>84175.86</v>
      </c>
    </row>
    <row r="33" spans="2:4" x14ac:dyDescent="0.25">
      <c r="B33" s="9" t="s">
        <v>6</v>
      </c>
      <c r="C33" s="6">
        <v>2794</v>
      </c>
      <c r="D33" s="25">
        <v>16472.22</v>
      </c>
    </row>
    <row r="34" spans="2:4" x14ac:dyDescent="0.25">
      <c r="B34" s="9" t="s">
        <v>7</v>
      </c>
      <c r="C34" s="6">
        <v>4264</v>
      </c>
      <c r="D34" s="25">
        <v>3595</v>
      </c>
    </row>
    <row r="35" spans="2:4" x14ac:dyDescent="0.25">
      <c r="B35" s="10" t="s">
        <v>8</v>
      </c>
      <c r="C35" s="8">
        <f>SUM(C31:C34)</f>
        <v>10358</v>
      </c>
      <c r="D35" s="4">
        <f>SUM(D31:D34)</f>
        <v>229627.53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2471</v>
      </c>
      <c r="D39" s="25">
        <v>176893</v>
      </c>
    </row>
    <row r="40" spans="2:4" x14ac:dyDescent="0.25">
      <c r="B40" s="10" t="s">
        <v>8</v>
      </c>
      <c r="C40" s="8">
        <f>SUM(C39:C39)</f>
        <v>2471</v>
      </c>
      <c r="D40" s="4">
        <f>SUM(D39:D39)</f>
        <v>176893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5">
        <v>28583</v>
      </c>
    </row>
    <row r="45" spans="2:4" x14ac:dyDescent="0.25">
      <c r="B45" s="1" t="s">
        <v>5</v>
      </c>
      <c r="C45" s="6">
        <v>280</v>
      </c>
      <c r="D45" s="25">
        <v>1010</v>
      </c>
    </row>
    <row r="46" spans="2:4" x14ac:dyDescent="0.25">
      <c r="B46" s="1" t="s">
        <v>6</v>
      </c>
      <c r="C46" s="6">
        <v>235</v>
      </c>
      <c r="D46" s="25">
        <v>546</v>
      </c>
    </row>
    <row r="47" spans="2:4" x14ac:dyDescent="0.25">
      <c r="B47" s="1" t="s">
        <v>7</v>
      </c>
      <c r="C47" s="6">
        <v>1918</v>
      </c>
      <c r="D47" s="25">
        <v>13216</v>
      </c>
    </row>
    <row r="48" spans="2:4" x14ac:dyDescent="0.25">
      <c r="B48" s="3" t="s">
        <v>8</v>
      </c>
      <c r="C48" s="8">
        <f>SUM(C44:C47)</f>
        <v>2472</v>
      </c>
      <c r="D48" s="4">
        <f>SUM(D44:D47)</f>
        <v>43355</v>
      </c>
    </row>
    <row r="50" spans="2:4" x14ac:dyDescent="0.25">
      <c r="B50" s="12" t="s">
        <v>13</v>
      </c>
      <c r="C50" s="13">
        <f>SUM(C10+C27+C35+C40+C19+C48)</f>
        <v>99897</v>
      </c>
      <c r="D50" s="13">
        <f>SUM(D10+D27+D35+D40+D19+D48)</f>
        <v>3292416.4699999993</v>
      </c>
    </row>
  </sheetData>
  <mergeCells count="6">
    <mergeCell ref="B12:D12"/>
    <mergeCell ref="B42:D42"/>
    <mergeCell ref="B3:D3"/>
    <mergeCell ref="B21:D21"/>
    <mergeCell ref="B29:D29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9" sqref="J9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34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13 ABR'!C6, 'REPORTE DIARIO'!C:C)</f>
        <v>14732</v>
      </c>
      <c r="E6" s="16">
        <f>SUMIF('REPORTE DIARIO'!B:B,'EPR 13 ABR'!C6, 'REPORTE DIARIO'!D:D)</f>
        <v>1519759.3699999999</v>
      </c>
      <c r="F6" s="16">
        <f>J6*D6</f>
        <v>2946400</v>
      </c>
      <c r="G6" s="16">
        <f>+E6-F6</f>
        <v>-1426640.6300000001</v>
      </c>
      <c r="H6" s="15">
        <f>ABS(G6/F6)</f>
        <v>0.4841978787673093</v>
      </c>
      <c r="I6" s="16">
        <f>E6/D6</f>
        <v>103.16042424653814</v>
      </c>
      <c r="J6" s="16">
        <f>(200/7)*7</f>
        <v>200</v>
      </c>
      <c r="K6" s="16">
        <f>+I6-J6</f>
        <v>-96.839575753461858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13 ABR'!C7, 'REPORTE DIARIO'!C:C)</f>
        <v>11602</v>
      </c>
      <c r="E7" s="16">
        <f>SUMIF('REPORTE DIARIO'!B:B,'EPR 13 ABR'!C7, 'REPORTE DIARIO'!D:D)</f>
        <v>706792.07</v>
      </c>
      <c r="F7" s="16">
        <f>J7*D7</f>
        <v>1276220</v>
      </c>
      <c r="G7" s="16">
        <f>+E7-F7</f>
        <v>-569427.93000000005</v>
      </c>
      <c r="H7" s="15">
        <f>ABS(G7/F7)</f>
        <v>0.44618320509003156</v>
      </c>
      <c r="I7" s="16">
        <f>E7/D7</f>
        <v>60.919847440096532</v>
      </c>
      <c r="J7" s="16">
        <f>(110/7)*7</f>
        <v>110</v>
      </c>
      <c r="K7" s="16">
        <f t="shared" ref="K7:K9" si="0">+I7-J7</f>
        <v>-49.080152559903468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13 ABR'!C8, 'REPORTE DIARIO'!C:C)</f>
        <v>15975</v>
      </c>
      <c r="E8" s="16">
        <f>SUMIF('REPORTE DIARIO'!B:B,'EPR 13 ABR'!C8, 'REPORTE DIARIO'!D:D)</f>
        <v>414795.83999999997</v>
      </c>
      <c r="F8" s="16">
        <f>J8*D8</f>
        <v>718875</v>
      </c>
      <c r="G8" s="16">
        <f>+E8-F8</f>
        <v>-304079.16000000003</v>
      </c>
      <c r="H8" s="15">
        <f>ABS(G8/F8)</f>
        <v>0.42299309337506524</v>
      </c>
      <c r="I8" s="16">
        <f>E8/D8</f>
        <v>25.965310798122065</v>
      </c>
      <c r="J8" s="16">
        <f>(45/7)*7</f>
        <v>45</v>
      </c>
      <c r="K8" s="16">
        <f t="shared" si="0"/>
        <v>-19.034689201877935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13 ABR'!C9, 'REPORTE DIARIO'!C:C)</f>
        <v>57565</v>
      </c>
      <c r="E9" s="16">
        <f>SUMIF('REPORTE DIARIO'!B:B,'EPR 13 ABR'!C9, 'REPORTE DIARIO'!D:D)</f>
        <v>651069.19000000006</v>
      </c>
      <c r="F9" s="16">
        <f>J9*D9</f>
        <v>863475</v>
      </c>
      <c r="G9" s="16">
        <f>+E9-F9</f>
        <v>-212405.80999999994</v>
      </c>
      <c r="H9" s="15">
        <f>ABS(G9/F9)</f>
        <v>0.24598953067546825</v>
      </c>
      <c r="I9" s="16">
        <f>E9/D9</f>
        <v>11.310157039867976</v>
      </c>
      <c r="J9" s="16">
        <f>(15/7)*7</f>
        <v>15</v>
      </c>
      <c r="K9" s="16">
        <f t="shared" si="0"/>
        <v>-3.6898429601320242</v>
      </c>
    </row>
    <row r="10" spans="2:12" x14ac:dyDescent="0.25">
      <c r="B10" s="16"/>
      <c r="C10" s="19" t="s">
        <v>17</v>
      </c>
      <c r="D10" s="24">
        <f>SUM(D6:D9)</f>
        <v>99874</v>
      </c>
      <c r="E10" s="20">
        <f>SUM(E6:E9)</f>
        <v>3292416.4699999997</v>
      </c>
      <c r="F10" s="20">
        <f>SUM(F6:F9)</f>
        <v>5804970</v>
      </c>
      <c r="G10" s="20">
        <f>+E10-F10</f>
        <v>-2512553.5300000003</v>
      </c>
      <c r="H10" s="21">
        <f>ABS(G10/F10)</f>
        <v>0.43282799566578301</v>
      </c>
      <c r="I10" s="20">
        <f>E10/D10</f>
        <v>32.965701483869672</v>
      </c>
      <c r="J10" s="20">
        <f>F10/D10</f>
        <v>58.122934897971447</v>
      </c>
      <c r="K10" s="20">
        <f>I10-J10</f>
        <v>-25.157233414101775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35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13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2025-04-14T14:44:14Z</dcterms:modified>
</cp:coreProperties>
</file>