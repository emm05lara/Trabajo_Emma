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5 ABRIL\NOCHE\"/>
    </mc:Choice>
  </mc:AlternateContent>
  <xr:revisionPtr revIDLastSave="0" documentId="13_ncr:1_{2D5FB8B3-ADEF-4BFF-9E65-5F9544024F26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J6" i="3"/>
  <c r="C48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<sst xmlns="http://schemas.openxmlformats.org/spreadsheetml/2006/main" count="78" uniqueCount="35">
  <si>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</si>
  <si>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</si>
  <si>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</si>
  <si>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</si>
  <si>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</si>
  <si>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</si>
  <si>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</si>
  <si>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</si>
  <si>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</si>
  <si>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</si>
  <si>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</si>
  <si>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</si>
  <si>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</si>
  <si>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</si>
  <si>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</si>
  <si>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</si>
  <si>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</si>
  <si>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</si>
  <si>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</si>
  <si>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</si>
  <si>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</si>
  <si>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</si>
  <si>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</si>
  <si>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</si>
  <si>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</si>
  <si>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</si>
  <si>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</si>
  <si>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</si>
  <si>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</si>
  <si>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</si>
  <si>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</si>
  <si>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</si>
  <si>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</si>
  <si>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</si>
  <si>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COBRANZA 15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</si>
</sst>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4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6640</v>
      </c>
      <c r="D5" s="25">
        <v>44706.26</v>
      </c>
    </row>
    <row r="6" spans="2:8" x14ac:dyDescent="0.25">
      <c r="B6" s="1" t="s">
        <v>5</v>
      </c>
      <c r="C6" s="6">
        <v>5870</v>
      </c>
      <c r="D6" s="25">
        <v>55123</v>
      </c>
    </row>
    <row r="7" spans="2:8" x14ac:dyDescent="0.25">
      <c r="B7" s="1" t="s">
        <v>6</v>
      </c>
      <c r="C7" s="6">
        <v>8851</v>
      </c>
      <c r="D7" s="25">
        <v>54468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21315</v>
      </c>
      <c r="D9" s="25">
        <v>94026.599999999991</v>
      </c>
    </row>
    <row r="10" spans="2:8" x14ac:dyDescent="0.25">
      <c r="B10" s="3" t="s">
        <v>8</v>
      </c>
      <c r="C10" s="8">
        <f>SUM(C5:C9)</f>
        <v>42697</v>
      </c>
      <c r="D10" s="4">
        <f>SUM(D5:D9)</f>
        <v>248323.86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2023</v>
      </c>
      <c r="D14" s="25">
        <v>107823.84000000001</v>
      </c>
    </row>
    <row r="15" spans="2:8" x14ac:dyDescent="0.25">
      <c r="B15" s="9" t="s">
        <v>5</v>
      </c>
      <c r="C15" s="6">
        <v>2166</v>
      </c>
      <c r="D15" s="25">
        <v>8515</v>
      </c>
    </row>
    <row r="16" spans="2:8" x14ac:dyDescent="0.25">
      <c r="B16" s="9" t="s">
        <v>6</v>
      </c>
      <c r="C16" s="6">
        <v>935</v>
      </c>
      <c r="D16" s="25">
        <v>3501</v>
      </c>
    </row>
    <row r="17" spans="2:11" x14ac:dyDescent="0.25">
      <c r="B17" s="9" t="s">
        <v>7</v>
      </c>
      <c r="C17" s="6">
        <v>8971</v>
      </c>
      <c r="D17" s="25">
        <v>9423.75</v>
      </c>
    </row>
    <row r="18" spans="2:11" x14ac:dyDescent="0.25">
      <c r="B18" s="10" t="s">
        <v>8</v>
      </c>
      <c r="C18" s="8">
        <f>SUM(C14:C17)</f>
        <v>14095</v>
      </c>
      <c r="D18" s="4">
        <f>SUM(D14:D17)</f>
        <v>129263.59000000001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2404</v>
      </c>
      <c r="D22" s="25">
        <v>27541.77</v>
      </c>
    </row>
    <row r="23" spans="2:11" x14ac:dyDescent="0.25">
      <c r="B23" s="1" t="s">
        <v>5</v>
      </c>
      <c r="C23" s="6">
        <v>1546</v>
      </c>
      <c r="D23" s="25">
        <v>13293</v>
      </c>
    </row>
    <row r="24" spans="2:11" x14ac:dyDescent="0.25">
      <c r="B24" s="1" t="s">
        <v>6</v>
      </c>
      <c r="C24" s="6">
        <v>3309</v>
      </c>
      <c r="D24" s="25">
        <v>3456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21226</v>
      </c>
      <c r="D26" s="25">
        <v>15377</v>
      </c>
      <c r="K26" s="7"/>
    </row>
    <row r="27" spans="2:11" x14ac:dyDescent="0.25">
      <c r="B27" s="3" t="s">
        <v>8</v>
      </c>
      <c r="C27" s="8">
        <f>SUM(C22:C26)</f>
        <v>28487</v>
      </c>
      <c r="D27" s="4">
        <f>SUM(D22:D26)</f>
        <v>59667.770000000004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1361</v>
      </c>
      <c r="D31" s="25">
        <v>21405.41</v>
      </c>
    </row>
    <row r="32" spans="2:11" x14ac:dyDescent="0.25">
      <c r="B32" s="9" t="s">
        <v>5</v>
      </c>
      <c r="C32" s="6">
        <v>1957</v>
      </c>
      <c r="D32" s="25">
        <v>10550</v>
      </c>
    </row>
    <row r="33" spans="2:4" x14ac:dyDescent="0.25">
      <c r="B33" s="9" t="s">
        <v>6</v>
      </c>
      <c r="C33" s="6">
        <v>2828</v>
      </c>
      <c r="D33" s="26">
        <v>0</v>
      </c>
    </row>
    <row r="34" spans="2:4" x14ac:dyDescent="0.25">
      <c r="B34" s="9" t="s">
        <v>7</v>
      </c>
      <c r="C34" s="6">
        <v>4264</v>
      </c>
      <c r="D34" s="25">
        <v>2368</v>
      </c>
    </row>
    <row r="35" spans="2:4" x14ac:dyDescent="0.25">
      <c r="B35" s="10" t="s">
        <v>8</v>
      </c>
      <c r="C35" s="8">
        <f>SUM(C31:C34)</f>
        <v>10410</v>
      </c>
      <c r="D35" s="4">
        <f>SUM(D31:D34)</f>
        <v>34323.410000000003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2535</v>
      </c>
      <c r="D39" s="25">
        <v>9515</v>
      </c>
    </row>
    <row r="40" spans="2:4" x14ac:dyDescent="0.25">
      <c r="B40" s="10" t="s">
        <v>8</v>
      </c>
      <c r="C40" s="8">
        <f>SUM(C39:C39)</f>
        <v>2535</v>
      </c>
      <c r="D40" s="4">
        <f>SUM(D39:D39)</f>
        <v>9515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323</v>
      </c>
      <c r="D45" s="25">
        <v>100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1931</v>
      </c>
      <c r="D47" s="25">
        <v>1483</v>
      </c>
    </row>
    <row r="48" spans="2:4" x14ac:dyDescent="0.25">
      <c r="B48" s="3" t="s">
        <v>8</v>
      </c>
      <c r="C48" s="8">
        <f>SUM(C44:C47)</f>
        <v>2548</v>
      </c>
      <c r="D48" s="4">
        <f>SUM(D44:D47)</f>
        <v>1583</v>
      </c>
    </row>
    <row r="50" spans="2:4" x14ac:dyDescent="0.25">
      <c r="B50" s="11" t="s">
        <v>13</v>
      </c>
      <c r="C50" s="12">
        <f>SUM(C10+C35+C18+C40+C27+C48)</f>
        <v>100772</v>
      </c>
      <c r="D50" s="12">
        <f>SUM(D10+D35+D18+D40+D27+D48)</f>
        <v>482676.63000000006</v>
      </c>
    </row>
  </sheetData>
  <mergeCells count="6"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7" sqref="J7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34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15 ABR'!C6, 'REPORTE DIARIO'!C:C)</f>
        <v>15002</v>
      </c>
      <c r="E6" s="15">
        <f>SUMIF('REPORTE DIARIO'!B:B,'EPR 15 ABR'!C6, 'REPORTE DIARIO'!D:D)</f>
        <v>210992.28</v>
      </c>
      <c r="F6" s="15">
        <f>J6*D6</f>
        <v>428628.57142857148</v>
      </c>
      <c r="G6" s="15">
        <f>+E6-F6</f>
        <v>-217636.29142857148</v>
      </c>
      <c r="H6" s="14">
        <f>ABS(G6/F6)</f>
        <v>0.50775031329156117</v>
      </c>
      <c r="I6" s="15">
        <f>E6/D6</f>
        <v>14.064276763098254</v>
      </c>
      <c r="J6" s="15">
        <f>200/7</f>
        <v>28.571428571428573</v>
      </c>
      <c r="K6" s="15">
        <f>+I6-J6</f>
        <v>-14.507151808330319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15 ABR'!C7, 'REPORTE DIARIO'!C:C)</f>
        <v>11862</v>
      </c>
      <c r="E7" s="15">
        <f>SUMIF('REPORTE DIARIO'!B:B,'EPR 15 ABR'!C7, 'REPORTE DIARIO'!D:D)</f>
        <v>87581</v>
      </c>
      <c r="F7" s="15">
        <f>J7*D7</f>
        <v>186402.85714285713</v>
      </c>
      <c r="G7" s="15">
        <f>+E7-F7</f>
        <v>-98821.85714285713</v>
      </c>
      <c r="H7" s="14">
        <f>ABS(G7/F7)</f>
        <v>0.53015205162397872</v>
      </c>
      <c r="I7" s="15">
        <f>E7/D7</f>
        <v>7.3833249030517623</v>
      </c>
      <c r="J7" s="15">
        <f>110/7</f>
        <v>15.714285714285714</v>
      </c>
      <c r="K7" s="15">
        <f t="shared" ref="K7:K9" si="0">+I7-J7</f>
        <v>-8.3309608112339504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15 ABR'!C8, 'REPORTE DIARIO'!C:C)</f>
        <v>16178</v>
      </c>
      <c r="E8" s="15">
        <f>SUMIF('REPORTE DIARIO'!B:B,'EPR 15 ABR'!C8, 'REPORTE DIARIO'!D:D)</f>
        <v>61425</v>
      </c>
      <c r="F8" s="15">
        <f>J8*D8</f>
        <v>104001.42857142858</v>
      </c>
      <c r="G8" s="15">
        <f>+E8-F8</f>
        <v>-42576.42857142858</v>
      </c>
      <c r="H8" s="14">
        <f>ABS(G8/F8)</f>
        <v>0.40938311286932877</v>
      </c>
      <c r="I8" s="15">
        <f>E8/D8</f>
        <v>3.7968228458400297</v>
      </c>
      <c r="J8" s="15">
        <f>45/7</f>
        <v>6.4285714285714288</v>
      </c>
      <c r="K8" s="15">
        <f t="shared" si="0"/>
        <v>-2.6317485827313991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15 ABR'!C9, 'REPORTE DIARIO'!C:C)</f>
        <v>57707</v>
      </c>
      <c r="E9" s="15">
        <f>SUMIF('REPORTE DIARIO'!B:B,'EPR 15 ABR'!C9, 'REPORTE DIARIO'!D:D)</f>
        <v>122678.34999999999</v>
      </c>
      <c r="F9" s="15">
        <f>J9*D9</f>
        <v>123657.85714285714</v>
      </c>
      <c r="G9" s="15">
        <f>+E9-F9</f>
        <v>-979.50714285715367</v>
      </c>
      <c r="H9" s="14">
        <f>ABS(G9/F9)</f>
        <v>7.9211072024769676E-3</v>
      </c>
      <c r="I9" s="15">
        <f>E9/D9</f>
        <v>2.125883341708978</v>
      </c>
      <c r="J9" s="15">
        <f>15/7</f>
        <v>2.1428571428571428</v>
      </c>
      <c r="K9" s="15">
        <f t="shared" si="0"/>
        <v>-1.6973801148164824E-2</v>
      </c>
    </row>
    <row r="10" spans="2:12" x14ac:dyDescent="0.25">
      <c r="B10" s="15"/>
      <c r="C10" s="18" t="s">
        <v>16</v>
      </c>
      <c r="D10" s="23">
        <f>SUM(D6:D9)</f>
        <v>100749</v>
      </c>
      <c r="E10" s="19">
        <f>SUM(E6:E9)</f>
        <v>482676.63</v>
      </c>
      <c r="F10" s="19">
        <f>SUM(F6:F9)</f>
        <v>842690.71428571444</v>
      </c>
      <c r="G10" s="19">
        <f>+E10-F10</f>
        <v>-360014.08428571443</v>
      </c>
      <c r="H10" s="20">
        <f>ABS(G10/F10)</f>
        <v>0.42721971202788356</v>
      </c>
      <c r="I10" s="19">
        <f>E10/D10</f>
        <v>4.7908825894053537</v>
      </c>
      <c r="J10" s="19">
        <f>F10/D10</f>
        <v>8.3642588441147243</v>
      </c>
      <c r="K10" s="19">
        <f>I10-J10</f>
        <v>-3.5733762547093706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2025-04-16T01:49:03Z</dcterms:modified>
</cp:coreProperties>
</file>