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5 ABRIL\NOCHE\"/>
    </mc:Choice>
  </mc:AlternateContent>
  <xr:revisionPtr revIDLastSave="0" documentId="13_ncr:1_{792B1605-46F8-489E-B04F-49E66895CB04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<sst xmlns="http://schemas.openxmlformats.org/spreadsheetml/2006/main" count="79" uniqueCount="36">
  <si>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</si>
  <si>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</si>
  <si>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</si>
  <si>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</si>
  <si>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</si>
  <si>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</si>
  <si>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</si>
  <si>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</si>
  <si>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</si>
  <si>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</si>
  <si>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</si>
  <si>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</si>
  <si>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</si>
  <si>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</si>
  <si>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</si>
  <si>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</si>
  <si>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</si>
  <si>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</si>
  <si>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</si>
  <si>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</si>
  <si>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</si>
  <si>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</si>
  <si>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</si>
  <si>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</si>
  <si>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</si>
  <si>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</si>
  <si>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</si>
  <si>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</si>
  <si>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</si>
  <si>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</si>
  <si>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</si>
  <si>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</si>
  <si>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</si>
  <si>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</si>
  <si>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</si>
  <si>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SALDO ACUMULADO 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</si>
</sst>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zoomScaleNormal="100" workbookViewId="0">
      <selection activeCell="B13" sqref="B1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6640</v>
      </c>
      <c r="D5" s="25">
        <v>140990.41000000003</v>
      </c>
    </row>
    <row r="6" spans="2:8" x14ac:dyDescent="0.25">
      <c r="B6" s="1" t="s">
        <v>5</v>
      </c>
      <c r="C6" s="6">
        <v>5870</v>
      </c>
      <c r="D6" s="25">
        <v>182056.97</v>
      </c>
    </row>
    <row r="7" spans="2:8" x14ac:dyDescent="0.25">
      <c r="B7" s="1" t="s">
        <v>6</v>
      </c>
      <c r="C7" s="6">
        <v>8851</v>
      </c>
      <c r="D7" s="25">
        <v>85753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21315</v>
      </c>
      <c r="D9" s="25">
        <v>149357.72999999998</v>
      </c>
      <c r="F9" s="7"/>
    </row>
    <row r="10" spans="2:8" x14ac:dyDescent="0.25">
      <c r="B10" s="3" t="s">
        <v>8</v>
      </c>
      <c r="C10" s="8">
        <f>SUM(C5:C9)</f>
        <v>42697</v>
      </c>
      <c r="D10" s="4">
        <f>SUM(D5:D9)</f>
        <v>558158.11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2023</v>
      </c>
      <c r="D14" s="25">
        <v>137614.06999999998</v>
      </c>
    </row>
    <row r="15" spans="2:8" x14ac:dyDescent="0.25">
      <c r="B15" s="9" t="s">
        <v>5</v>
      </c>
      <c r="C15" s="6">
        <v>2166</v>
      </c>
      <c r="D15" s="25">
        <v>25923.77</v>
      </c>
    </row>
    <row r="16" spans="2:8" x14ac:dyDescent="0.25">
      <c r="B16" s="9" t="s">
        <v>6</v>
      </c>
      <c r="C16" s="6">
        <v>935</v>
      </c>
      <c r="D16" s="25">
        <v>13938</v>
      </c>
    </row>
    <row r="17" spans="2:11" x14ac:dyDescent="0.25">
      <c r="B17" s="9" t="s">
        <v>7</v>
      </c>
      <c r="C17" s="6">
        <v>8971</v>
      </c>
      <c r="D17" s="25">
        <v>16171.25</v>
      </c>
    </row>
    <row r="18" spans="2:11" x14ac:dyDescent="0.25">
      <c r="B18" s="10" t="s">
        <v>8</v>
      </c>
      <c r="C18" s="8">
        <f>SUM(C14:C17)</f>
        <v>14095</v>
      </c>
      <c r="D18" s="4">
        <f>SUM(D14:D17)</f>
        <v>193647.08999999997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2404</v>
      </c>
      <c r="D22" s="25">
        <v>60730.84</v>
      </c>
    </row>
    <row r="23" spans="2:11" x14ac:dyDescent="0.25">
      <c r="B23" s="1" t="s">
        <v>5</v>
      </c>
      <c r="C23" s="6">
        <v>1546</v>
      </c>
      <c r="D23" s="25">
        <v>27686.05</v>
      </c>
    </row>
    <row r="24" spans="2:11" x14ac:dyDescent="0.25">
      <c r="B24" s="1" t="s">
        <v>6</v>
      </c>
      <c r="C24" s="6">
        <v>3309</v>
      </c>
      <c r="D24" s="25">
        <v>11533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21226</v>
      </c>
      <c r="D26" s="25">
        <v>31699</v>
      </c>
    </row>
    <row r="27" spans="2:11" x14ac:dyDescent="0.25">
      <c r="B27" s="3" t="s">
        <v>8</v>
      </c>
      <c r="C27" s="8">
        <f>SUM(C22:C26)</f>
        <v>28487</v>
      </c>
      <c r="D27" s="4">
        <f>SUM(D22:D26)</f>
        <v>131648.89000000001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1361</v>
      </c>
      <c r="D31" s="25">
        <v>64520.920000000006</v>
      </c>
    </row>
    <row r="32" spans="2:11" x14ac:dyDescent="0.25">
      <c r="B32" s="9" t="s">
        <v>5</v>
      </c>
      <c r="C32" s="6">
        <v>1957</v>
      </c>
      <c r="D32" s="25">
        <v>14753.380000000001</v>
      </c>
    </row>
    <row r="33" spans="2:4" x14ac:dyDescent="0.25">
      <c r="B33" s="9" t="s">
        <v>6</v>
      </c>
      <c r="C33" s="6">
        <v>2828</v>
      </c>
      <c r="D33" s="25">
        <v>2325</v>
      </c>
    </row>
    <row r="34" spans="2:4" x14ac:dyDescent="0.25">
      <c r="B34" s="9" t="s">
        <v>7</v>
      </c>
      <c r="C34" s="6">
        <v>4264</v>
      </c>
      <c r="D34" s="25">
        <v>2465</v>
      </c>
    </row>
    <row r="35" spans="2:4" x14ac:dyDescent="0.25">
      <c r="B35" s="10" t="s">
        <v>8</v>
      </c>
      <c r="C35" s="8">
        <f>SUM(C31:C34)</f>
        <v>10410</v>
      </c>
      <c r="D35" s="4">
        <f>SUM(D31:D34)</f>
        <v>84064.3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2535</v>
      </c>
      <c r="D39" s="25">
        <v>30261</v>
      </c>
    </row>
    <row r="40" spans="2:4" x14ac:dyDescent="0.25">
      <c r="B40" s="10" t="s">
        <v>8</v>
      </c>
      <c r="C40" s="8">
        <f>SUM(C39:C39)</f>
        <v>2535</v>
      </c>
      <c r="D40" s="4">
        <f>SUM(D39:D39)</f>
        <v>30261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2113</v>
      </c>
    </row>
    <row r="45" spans="2:4" x14ac:dyDescent="0.25">
      <c r="B45" s="1" t="s">
        <v>5</v>
      </c>
      <c r="C45" s="6">
        <v>323</v>
      </c>
      <c r="D45" s="25">
        <v>13300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1931</v>
      </c>
      <c r="D47" s="25">
        <v>6658</v>
      </c>
    </row>
    <row r="48" spans="2:4" x14ac:dyDescent="0.25">
      <c r="B48" s="3" t="s">
        <v>8</v>
      </c>
      <c r="C48" s="8">
        <f>SUM(C44:C47)</f>
        <v>2548</v>
      </c>
      <c r="D48" s="4">
        <f>SUM(D44:D47)</f>
        <v>22071</v>
      </c>
    </row>
    <row r="50" spans="2:4" x14ac:dyDescent="0.25">
      <c r="B50" s="12" t="s">
        <v>13</v>
      </c>
      <c r="C50" s="13">
        <f>SUM(C10+C18+C35+C40+C27+C48)</f>
        <v>100772</v>
      </c>
      <c r="D50" s="13">
        <f>SUM(D10+D18+D35+D40+D27+D48)</f>
        <v>1019850.39</v>
      </c>
    </row>
  </sheetData>
  <mergeCells count="6"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D15" sqref="D15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15 ABR'!C6, 'REPORTE DIARIO'!C:C)</f>
        <v>15002</v>
      </c>
      <c r="E6" s="16">
        <f>SUMIF('REPORTE DIARIO'!B:B,'EPR 15 ABR'!C6, 'REPORTE DIARIO'!D:D)</f>
        <v>436230.23999999993</v>
      </c>
      <c r="F6" s="16">
        <f>J6*D6</f>
        <v>857257.14285714296</v>
      </c>
      <c r="G6" s="16">
        <f>+E6-F6</f>
        <v>-421026.90285714302</v>
      </c>
      <c r="H6" s="15">
        <f>ABS(G6/F6)</f>
        <v>0.49113256899080138</v>
      </c>
      <c r="I6" s="16">
        <f>E6/D6</f>
        <v>29.078138914811355</v>
      </c>
      <c r="J6" s="16">
        <f>(200/7)*2</f>
        <v>57.142857142857146</v>
      </c>
      <c r="K6" s="16">
        <f>+I6-J6</f>
        <v>-28.064718228045791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15 ABR'!C7, 'REPORTE DIARIO'!C:C)</f>
        <v>11862</v>
      </c>
      <c r="E7" s="16">
        <f>SUMIF('REPORTE DIARIO'!B:B,'EPR 15 ABR'!C7, 'REPORTE DIARIO'!D:D)</f>
        <v>263720.17</v>
      </c>
      <c r="F7" s="16">
        <f>J7*D7</f>
        <v>372805.71428571426</v>
      </c>
      <c r="G7" s="16">
        <f>+E7-F7</f>
        <v>-109085.54428571428</v>
      </c>
      <c r="H7" s="15">
        <f>ABS(G7/F7)</f>
        <v>0.29260695344951793</v>
      </c>
      <c r="I7" s="16">
        <f>E7/D7</f>
        <v>22.232352891586579</v>
      </c>
      <c r="J7" s="16">
        <f>(110/7)*2</f>
        <v>31.428571428571427</v>
      </c>
      <c r="K7" s="16">
        <f t="shared" ref="K7:K9" si="0">+I7-J7</f>
        <v>-9.1962185369848477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15 ABR'!C8, 'REPORTE DIARIO'!C:C)</f>
        <v>16178</v>
      </c>
      <c r="E8" s="16">
        <f>SUMIF('REPORTE DIARIO'!B:B,'EPR 15 ABR'!C8, 'REPORTE DIARIO'!D:D)</f>
        <v>113549</v>
      </c>
      <c r="F8" s="16">
        <f>J8*D8</f>
        <v>208002.85714285716</v>
      </c>
      <c r="G8" s="16">
        <f>+E8-F8</f>
        <v>-94453.857142857159</v>
      </c>
      <c r="H8" s="15">
        <f>ABS(G8/F8)</f>
        <v>0.45409884479608803</v>
      </c>
      <c r="I8" s="16">
        <f>E8/D8</f>
        <v>7.0187291383360115</v>
      </c>
      <c r="J8" s="16">
        <f>(45/7)*2</f>
        <v>12.857142857142858</v>
      </c>
      <c r="K8" s="16">
        <f t="shared" si="0"/>
        <v>-5.8384137188068461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15 ABR'!C9, 'REPORTE DIARIO'!C:C)</f>
        <v>57707</v>
      </c>
      <c r="E9" s="16">
        <f>SUMIF('REPORTE DIARIO'!B:B,'EPR 15 ABR'!C9, 'REPORTE DIARIO'!D:D)</f>
        <v>206350.97999999998</v>
      </c>
      <c r="F9" s="16">
        <f>J9*D9</f>
        <v>247315.71428571429</v>
      </c>
      <c r="G9" s="16">
        <f>+E9-F9</f>
        <v>-40964.734285714308</v>
      </c>
      <c r="H9" s="15">
        <f>ABS(G9/F9)</f>
        <v>0.16563740967300336</v>
      </c>
      <c r="I9" s="16">
        <f>E9/D9</f>
        <v>3.5758396728299857</v>
      </c>
      <c r="J9" s="16">
        <f>(15/7)*2</f>
        <v>4.2857142857142856</v>
      </c>
      <c r="K9" s="16">
        <f t="shared" si="0"/>
        <v>-0.70987461288429987</v>
      </c>
    </row>
    <row r="10" spans="2:12" x14ac:dyDescent="0.25">
      <c r="B10" s="16"/>
      <c r="C10" s="19" t="s">
        <v>17</v>
      </c>
      <c r="D10" s="24">
        <f>SUM(D6:D9)</f>
        <v>100749</v>
      </c>
      <c r="E10" s="20">
        <f>SUM(E6:E9)</f>
        <v>1019850.3899999999</v>
      </c>
      <c r="F10" s="20">
        <f>SUM(F6:F9)</f>
        <v>1685381.4285714289</v>
      </c>
      <c r="G10" s="20">
        <f>+E10-F10</f>
        <v>-665531.03857142897</v>
      </c>
      <c r="H10" s="21">
        <f>ABS(G10/F10)</f>
        <v>0.39488452126563989</v>
      </c>
      <c r="I10" s="20">
        <f>E10/D10</f>
        <v>10.122684989429175</v>
      </c>
      <c r="J10" s="20">
        <f>F10/D10</f>
        <v>16.728517688229449</v>
      </c>
      <c r="K10" s="20">
        <f>I10-J10</f>
        <v>-6.605832698800274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2025-04-16T01:56:34Z</dcterms:modified>
</cp:coreProperties>
</file>