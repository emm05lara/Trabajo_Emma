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5 ABRIL\MAÑANA\"/>
    </mc:Choice>
  </mc:AlternateContent>
  <xr:revisionPtr revIDLastSave="0" documentId="13_ncr:1_{A9BD0BA7-45BF-441D-8BA8-DE01B99AB9F8}" xr6:coauthVersionLast="47" xr6:coauthVersionMax="47" xr10:uidLastSave="{00000000-0000-0000-0000-000000000000}"/>
  <bookViews>
    <workbookView xWindow="6900" yWindow="7050" windowWidth="10770" windowHeight="10350" xr2:uid="{4DC6C92A-CD8A-4966-829B-0B6A986E825B}"/>
  </bookViews>
  <sheets>
    <sheet name="REPORTE DIARIO" sheetId="1" r:id="rId1"/>
    <sheet name="DATA" sheetId="4" r:id="rId2"/>
    <sheet name="EPR 1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<sst xmlns="http://schemas.openxmlformats.org/spreadsheetml/2006/main" count="79" uniqueCount="36">
  <si>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</si>
  <si>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</si>
  <si>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</si>
  <si>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</si>
  <si>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</si>
  <si>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</si>
  <si>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</si>
  <si>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</si>
  <si>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</si>
  <si>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</si>
  <si>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</si>
  <si>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</si>
  <si>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</si>
  <si>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</si>
  <si>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</si>
  <si>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</si>
  <si>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</si>
  <si>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</si>
  <si>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</si>
  <si>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</si>
  <si>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</si>
  <si>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</si>
  <si>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</si>
  <si>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</si>
  <si>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</si>
  <si>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</si>
  <si>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</si>
  <si>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</si>
  <si>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</si>
  <si>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</si>
  <si>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</si>
  <si>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</si>
  <si>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</si>
  <si>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</si>
  <si>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15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</si>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</sst>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22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6616</v>
      </c>
      <c r="D5" s="25">
        <v>97308.150000000009</v>
      </c>
    </row>
    <row r="6" spans="2:8" x14ac:dyDescent="0.25">
      <c r="B6" s="1" t="s">
        <v>5</v>
      </c>
      <c r="C6" s="6">
        <v>5826</v>
      </c>
      <c r="D6" s="25">
        <v>126933.97</v>
      </c>
    </row>
    <row r="7" spans="2:8" x14ac:dyDescent="0.25">
      <c r="B7" s="1" t="s">
        <v>6</v>
      </c>
      <c r="C7" s="6">
        <v>8841</v>
      </c>
      <c r="D7" s="25">
        <v>34396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21314</v>
      </c>
      <c r="D9" s="25">
        <v>59013.93</v>
      </c>
      <c r="F9" s="7"/>
    </row>
    <row r="10" spans="2:8" x14ac:dyDescent="0.25">
      <c r="B10" s="3" t="s">
        <v>8</v>
      </c>
      <c r="C10" s="8">
        <f>SUM(C5:C9)</f>
        <v>42618</v>
      </c>
      <c r="D10" s="4">
        <f>SUM(D5:D9)</f>
        <v>317652.05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2383</v>
      </c>
      <c r="D14" s="25">
        <v>34746.07</v>
      </c>
    </row>
    <row r="15" spans="2:8" x14ac:dyDescent="0.25">
      <c r="B15" s="1" t="s">
        <v>5</v>
      </c>
      <c r="C15" s="6">
        <v>1523</v>
      </c>
      <c r="D15" s="25">
        <v>14393.05</v>
      </c>
    </row>
    <row r="16" spans="2:8" x14ac:dyDescent="0.25">
      <c r="B16" s="1" t="s">
        <v>6</v>
      </c>
      <c r="C16" s="6">
        <v>3292</v>
      </c>
      <c r="D16" s="25">
        <v>8077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21218</v>
      </c>
      <c r="D18" s="25">
        <v>16788</v>
      </c>
    </row>
    <row r="19" spans="2:11" x14ac:dyDescent="0.25">
      <c r="B19" s="3" t="s">
        <v>8</v>
      </c>
      <c r="C19" s="8">
        <f>SUM(C14:C18)</f>
        <v>28418</v>
      </c>
      <c r="D19" s="4">
        <f>SUM(D14:D18)</f>
        <v>74004.12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2005</v>
      </c>
      <c r="D23" s="25">
        <v>32938.699999999997</v>
      </c>
    </row>
    <row r="24" spans="2:11" x14ac:dyDescent="0.25">
      <c r="B24" s="9" t="s">
        <v>5</v>
      </c>
      <c r="C24" s="6">
        <v>2146</v>
      </c>
      <c r="D24" s="25">
        <v>17408.77</v>
      </c>
    </row>
    <row r="25" spans="2:11" x14ac:dyDescent="0.25">
      <c r="B25" s="9" t="s">
        <v>6</v>
      </c>
      <c r="C25" s="6">
        <v>921</v>
      </c>
      <c r="D25" s="25">
        <v>10437</v>
      </c>
    </row>
    <row r="26" spans="2:11" x14ac:dyDescent="0.25">
      <c r="B26" s="9" t="s">
        <v>7</v>
      </c>
      <c r="C26" s="6">
        <v>8970</v>
      </c>
      <c r="D26" s="25">
        <v>6947.5</v>
      </c>
    </row>
    <row r="27" spans="2:11" x14ac:dyDescent="0.25">
      <c r="B27" s="10" t="s">
        <v>8</v>
      </c>
      <c r="C27" s="8">
        <f>SUM(C23:C26)</f>
        <v>14042</v>
      </c>
      <c r="D27" s="4">
        <f>SUM(D23:D26)</f>
        <v>67731.97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1360</v>
      </c>
      <c r="D31" s="25">
        <v>43313.51</v>
      </c>
    </row>
    <row r="32" spans="2:11" x14ac:dyDescent="0.25">
      <c r="B32" s="9" t="s">
        <v>5</v>
      </c>
      <c r="C32" s="6">
        <v>1957</v>
      </c>
      <c r="D32" s="25">
        <v>5203.38</v>
      </c>
    </row>
    <row r="33" spans="2:4" x14ac:dyDescent="0.25">
      <c r="B33" s="9" t="s">
        <v>6</v>
      </c>
      <c r="C33" s="6">
        <v>2815</v>
      </c>
      <c r="D33" s="25">
        <v>2325</v>
      </c>
    </row>
    <row r="34" spans="2:4" x14ac:dyDescent="0.25">
      <c r="B34" s="9" t="s">
        <v>7</v>
      </c>
      <c r="C34" s="6">
        <v>4264</v>
      </c>
      <c r="D34" s="25">
        <v>97</v>
      </c>
    </row>
    <row r="35" spans="2:4" x14ac:dyDescent="0.25">
      <c r="B35" s="10" t="s">
        <v>8</v>
      </c>
      <c r="C35" s="8">
        <f>SUM(C31:C34)</f>
        <v>10396</v>
      </c>
      <c r="D35" s="4">
        <f>SUM(D31:D34)</f>
        <v>50938.89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2535</v>
      </c>
      <c r="D39" s="25">
        <v>20746</v>
      </c>
    </row>
    <row r="40" spans="2:4" x14ac:dyDescent="0.25">
      <c r="B40" s="10" t="s">
        <v>8</v>
      </c>
      <c r="C40" s="8">
        <f>SUM(C39:C39)</f>
        <v>2535</v>
      </c>
      <c r="D40" s="4">
        <f>SUM(D39:D39)</f>
        <v>20746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2113</v>
      </c>
    </row>
    <row r="45" spans="2:4" x14ac:dyDescent="0.25">
      <c r="B45" s="1" t="s">
        <v>5</v>
      </c>
      <c r="C45" s="6">
        <v>319</v>
      </c>
      <c r="D45" s="25">
        <v>13200</v>
      </c>
    </row>
    <row r="46" spans="2:4" x14ac:dyDescent="0.25">
      <c r="B46" s="1" t="s">
        <v>6</v>
      </c>
      <c r="C46" s="6">
        <v>255</v>
      </c>
      <c r="D46" s="25">
        <v>0</v>
      </c>
    </row>
    <row r="47" spans="2:4" x14ac:dyDescent="0.25">
      <c r="B47" s="1" t="s">
        <v>7</v>
      </c>
      <c r="C47" s="6">
        <v>1931</v>
      </c>
      <c r="D47" s="25">
        <v>5175</v>
      </c>
    </row>
    <row r="48" spans="2:4" x14ac:dyDescent="0.25">
      <c r="B48" s="3" t="s">
        <v>8</v>
      </c>
      <c r="C48" s="8">
        <f>SUM(C44:C47)</f>
        <v>2544</v>
      </c>
      <c r="D48" s="4">
        <f>SUM(D44:D47)</f>
        <v>20488</v>
      </c>
    </row>
    <row r="50" spans="2:4" x14ac:dyDescent="0.25">
      <c r="B50" s="12" t="s">
        <v>13</v>
      </c>
      <c r="C50" s="13">
        <f>SUM(C10+C27+C35+C40+C19+C48)</f>
        <v>100553</v>
      </c>
      <c r="D50" s="13">
        <f>SUM(D10+D27+D35+D40+D19+D48)</f>
        <v>551561.03</v>
      </c>
    </row>
  </sheetData>
  <mergeCells count="6"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H13" sqref="H1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15 ABR'!C6, 'REPORTE DIARIO'!C:C)</f>
        <v>14938</v>
      </c>
      <c r="E6" s="16">
        <f>SUMIF('REPORTE DIARIO'!B:B,'EPR 15 ABR'!C6, 'REPORTE DIARIO'!D:D)</f>
        <v>231165.43</v>
      </c>
      <c r="F6" s="16">
        <f>J6*D6</f>
        <v>853600</v>
      </c>
      <c r="G6" s="16">
        <f>+E6-F6</f>
        <v>-622434.57000000007</v>
      </c>
      <c r="H6" s="15">
        <f>ABS(G6/F6)</f>
        <v>0.72918764058106844</v>
      </c>
      <c r="I6" s="16">
        <f>E6/D6</f>
        <v>15.47499196679609</v>
      </c>
      <c r="J6" s="16">
        <f>(200/7)*2</f>
        <v>57.142857142857146</v>
      </c>
      <c r="K6" s="16">
        <f>+I6-J6</f>
        <v>-41.667865176061056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15 ABR'!C7, 'REPORTE DIARIO'!C:C)</f>
        <v>11771</v>
      </c>
      <c r="E7" s="16">
        <f>SUMIF('REPORTE DIARIO'!B:B,'EPR 15 ABR'!C7, 'REPORTE DIARIO'!D:D)</f>
        <v>177139.16999999998</v>
      </c>
      <c r="F7" s="16">
        <f>J7*D7</f>
        <v>369945.71428571426</v>
      </c>
      <c r="G7" s="16">
        <f>+E7-F7</f>
        <v>-192806.54428571428</v>
      </c>
      <c r="H7" s="15">
        <f>ABS(G7/F7)</f>
        <v>0.52117523420424616</v>
      </c>
      <c r="I7" s="16">
        <f>E7/D7</f>
        <v>15.048778353580833</v>
      </c>
      <c r="J7" s="16">
        <f>(110/7)*2</f>
        <v>31.428571428571427</v>
      </c>
      <c r="K7" s="16">
        <f t="shared" ref="K7:K9" si="0">+I7-J7</f>
        <v>-16.379793074990594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15 ABR'!C8, 'REPORTE DIARIO'!C:C)</f>
        <v>16124</v>
      </c>
      <c r="E8" s="16">
        <f>SUMIF('REPORTE DIARIO'!B:B,'EPR 15 ABR'!C8, 'REPORTE DIARIO'!D:D)</f>
        <v>55235</v>
      </c>
      <c r="F8" s="16">
        <f>J8*D8</f>
        <v>207308.57142857145</v>
      </c>
      <c r="G8" s="16">
        <f>+E8-F8</f>
        <v>-152073.57142857145</v>
      </c>
      <c r="H8" s="15">
        <f>ABS(G8/F8)</f>
        <v>0.73356142672069247</v>
      </c>
      <c r="I8" s="16">
        <f>E8/D8</f>
        <v>3.4256387993053834</v>
      </c>
      <c r="J8" s="16">
        <f>(45/7)*2</f>
        <v>12.857142857142858</v>
      </c>
      <c r="K8" s="16">
        <f t="shared" si="0"/>
        <v>-9.4315040578374738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15 ABR'!C9, 'REPORTE DIARIO'!C:C)</f>
        <v>57697</v>
      </c>
      <c r="E9" s="16">
        <f>SUMIF('REPORTE DIARIO'!B:B,'EPR 15 ABR'!C9, 'REPORTE DIARIO'!D:D)</f>
        <v>88021.43</v>
      </c>
      <c r="F9" s="16">
        <f>J9*D9</f>
        <v>247272.85714285713</v>
      </c>
      <c r="G9" s="16">
        <f>+E9-F9</f>
        <v>-159251.42714285714</v>
      </c>
      <c r="H9" s="15">
        <f>ABS(G9/F9)</f>
        <v>0.6440311685760669</v>
      </c>
      <c r="I9" s="16">
        <f>E9/D9</f>
        <v>1.5255807061025701</v>
      </c>
      <c r="J9" s="16">
        <f>(15/7)*2</f>
        <v>4.2857142857142856</v>
      </c>
      <c r="K9" s="16">
        <f t="shared" si="0"/>
        <v>-2.7601335796117157</v>
      </c>
    </row>
    <row r="10" spans="2:12" x14ac:dyDescent="0.25">
      <c r="B10" s="16"/>
      <c r="C10" s="19" t="s">
        <v>17</v>
      </c>
      <c r="D10" s="24">
        <f>SUM(D6:D9)</f>
        <v>100530</v>
      </c>
      <c r="E10" s="20">
        <f>SUM(E6:E9)</f>
        <v>551561.03</v>
      </c>
      <c r="F10" s="20">
        <f>SUM(F6:F9)</f>
        <v>1678127.1428571427</v>
      </c>
      <c r="G10" s="20">
        <f>+E10-F10</f>
        <v>-1126566.1128571427</v>
      </c>
      <c r="H10" s="21">
        <f>ABS(G10/F10)</f>
        <v>0.67132345582532904</v>
      </c>
      <c r="I10" s="20">
        <f>E10/D10</f>
        <v>5.4865316820849497</v>
      </c>
      <c r="J10" s="20">
        <f>F10/D10</f>
        <v>16.692799590740503</v>
      </c>
      <c r="K10" s="20">
        <f>I10-J10</f>
        <v>-11.206267908655553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2025-04-15T15:05:15Z</dcterms:modified>
</cp:coreProperties>
</file>