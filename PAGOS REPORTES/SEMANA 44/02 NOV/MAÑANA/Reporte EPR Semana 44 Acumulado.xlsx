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4\02 NOV\MAÑANA\"/>
    </mc:Choice>
  </mc:AlternateContent>
  <xr:revisionPtr revIDLastSave="0" documentId="13_ncr:1_{D02D1D4D-A367-4493-8E96-8DA55904E9B5}" xr6:coauthVersionLast="47" xr6:coauthVersionMax="47" xr10:uidLastSave="{00000000-0000-0000-0000-000000000000}"/>
  <bookViews>
    <workbookView xWindow="5355" yWindow="5355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8" i="5" l="1"/>
  <c r="D26" i="1"/>
  <c r="D42" i="5"/>
  <c r="C26" i="1"/>
  <c r="C18" i="1"/>
  <c r="D18" i="1"/>
  <c r="C42" i="5"/>
  <c r="D34" i="5"/>
  <c r="C34" i="5"/>
  <c r="D27" i="5"/>
  <c r="C27" i="5"/>
  <c r="C42" i="1"/>
  <c r="D42" i="1"/>
  <c r="C34" i="1"/>
  <c r="D18" i="5"/>
  <c r="C18" i="5"/>
  <c r="D10" i="5"/>
  <c r="D48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34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<sst xmlns="http://schemas.openxmlformats.org/spreadsheetml/2006/main" count="139" uniqueCount="37">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</sst>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0" t="s">
        <v>0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8162</v>
      </c>
      <c r="D5" s="28">
        <v>516695.81999999995</v>
      </c>
    </row>
    <row r="6" spans="2:8" x14ac:dyDescent="0.25">
      <c r="B6" s="1" t="s">
        <v>5</v>
      </c>
      <c r="C6" s="6">
        <v>5708</v>
      </c>
      <c r="D6" s="28">
        <v>353432.43</v>
      </c>
    </row>
    <row r="7" spans="2:8" x14ac:dyDescent="0.25">
      <c r="B7" s="1" t="s">
        <v>6</v>
      </c>
      <c r="C7" s="6">
        <v>7763</v>
      </c>
      <c r="D7" s="28">
        <v>186225.88</v>
      </c>
    </row>
    <row r="8" spans="2:8" x14ac:dyDescent="0.25">
      <c r="B8" s="5" t="s">
        <v>11</v>
      </c>
      <c r="C8" s="7">
        <v>514</v>
      </c>
      <c r="D8" s="29">
        <v>0</v>
      </c>
    </row>
    <row r="9" spans="2:8" x14ac:dyDescent="0.25">
      <c r="B9" s="1" t="s">
        <v>7</v>
      </c>
      <c r="C9" s="6">
        <v>37266</v>
      </c>
      <c r="D9" s="28">
        <v>465919.20999999996</v>
      </c>
      <c r="E9" s="14"/>
      <c r="F9" s="7"/>
    </row>
    <row r="10" spans="2:8" x14ac:dyDescent="0.25">
      <c r="B10" s="3" t="s">
        <v>8</v>
      </c>
      <c r="C10" s="8">
        <f>SUM(C5:C9)</f>
        <v>59413</v>
      </c>
      <c r="D10" s="4">
        <f>SUM(D5:D9)</f>
        <v>1522273.3399999999</v>
      </c>
      <c r="E10" s="11" t="s">
        <v>13</v>
      </c>
    </row>
    <row r="12" spans="2:8" x14ac:dyDescent="0.25">
      <c r="B12" s="31" t="s">
        <v>10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4935</v>
      </c>
      <c r="D14" s="28">
        <v>221512.50999999998</v>
      </c>
    </row>
    <row r="15" spans="2:8" x14ac:dyDescent="0.25">
      <c r="B15" s="1" t="s">
        <v>5</v>
      </c>
      <c r="C15" s="6">
        <v>1015</v>
      </c>
      <c r="D15" s="28">
        <v>33879.49</v>
      </c>
    </row>
    <row r="16" spans="2:8" x14ac:dyDescent="0.25">
      <c r="B16" s="1" t="s">
        <v>6</v>
      </c>
      <c r="C16" s="6">
        <v>3660</v>
      </c>
      <c r="D16" s="28">
        <v>32494.460000000003</v>
      </c>
    </row>
    <row r="17" spans="2:4" x14ac:dyDescent="0.25">
      <c r="B17" s="1" t="s">
        <v>7</v>
      </c>
      <c r="C17" s="6">
        <v>1028</v>
      </c>
      <c r="D17" s="28">
        <v>399</v>
      </c>
    </row>
    <row r="18" spans="2:4" x14ac:dyDescent="0.25">
      <c r="B18" s="10" t="s">
        <v>8</v>
      </c>
      <c r="C18" s="8">
        <f>SUM(C14:C17)</f>
        <v>10638</v>
      </c>
      <c r="D18" s="4">
        <f>SUM(D14:D17)</f>
        <v>288285.45999999996</v>
      </c>
    </row>
    <row r="20" spans="2:4" x14ac:dyDescent="0.25">
      <c r="B20" s="30" t="s">
        <v>34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>
        <v>95</v>
      </c>
      <c r="D22" s="28">
        <v>74594.14</v>
      </c>
    </row>
    <row r="23" spans="2:4" x14ac:dyDescent="0.25">
      <c r="B23" s="1" t="s">
        <v>5</v>
      </c>
      <c r="C23" s="6">
        <v>191</v>
      </c>
      <c r="D23" s="28">
        <v>36837.569999999992</v>
      </c>
    </row>
    <row r="24" spans="2:4" x14ac:dyDescent="0.25">
      <c r="B24" s="1" t="s">
        <v>6</v>
      </c>
      <c r="C24" s="6">
        <v>1038</v>
      </c>
      <c r="D24" s="28">
        <v>47251</v>
      </c>
    </row>
    <row r="25" spans="2:4" x14ac:dyDescent="0.25">
      <c r="B25" s="1" t="s">
        <v>7</v>
      </c>
      <c r="C25" s="7">
        <v>14805</v>
      </c>
      <c r="D25" s="28">
        <v>129455.21999999999</v>
      </c>
    </row>
    <row r="26" spans="2:4" x14ac:dyDescent="0.25">
      <c r="B26" s="3" t="s">
        <v>8</v>
      </c>
      <c r="C26" s="8">
        <f>SUM(C22:C25)</f>
        <v>16129</v>
      </c>
      <c r="D26" s="4">
        <f>SUM(D22:D25)</f>
        <v>288137.93</v>
      </c>
    </row>
    <row r="28" spans="2:4" x14ac:dyDescent="0.25">
      <c r="B28" s="31" t="s">
        <v>9</v>
      </c>
      <c r="C28" s="31"/>
      <c r="D28" s="31"/>
    </row>
    <row r="29" spans="2:4" x14ac:dyDescent="0.25">
      <c r="B29" s="4" t="s">
        <v>1</v>
      </c>
      <c r="C29" s="4" t="s">
        <v>2</v>
      </c>
      <c r="D29" s="4" t="s">
        <v>3</v>
      </c>
    </row>
    <row r="30" spans="2:4" x14ac:dyDescent="0.25">
      <c r="B30" s="9" t="s">
        <v>4</v>
      </c>
      <c r="C30" s="6">
        <v>600</v>
      </c>
      <c r="D30" s="28">
        <v>71917.97</v>
      </c>
    </row>
    <row r="31" spans="2:4" x14ac:dyDescent="0.25">
      <c r="B31" s="9" t="s">
        <v>5</v>
      </c>
      <c r="C31" s="6">
        <v>1737</v>
      </c>
      <c r="D31" s="28">
        <v>44063.8</v>
      </c>
    </row>
    <row r="32" spans="2:4" x14ac:dyDescent="0.25">
      <c r="B32" s="9" t="s">
        <v>6</v>
      </c>
      <c r="C32" s="6">
        <v>2476</v>
      </c>
      <c r="D32" s="28">
        <v>52959.97</v>
      </c>
    </row>
    <row r="33" spans="2:4" x14ac:dyDescent="0.25">
      <c r="B33" s="9" t="s">
        <v>7</v>
      </c>
      <c r="C33" s="6">
        <v>3613</v>
      </c>
      <c r="D33" s="28">
        <v>60122.2</v>
      </c>
    </row>
    <row r="34" spans="2:4" x14ac:dyDescent="0.25">
      <c r="B34" s="10" t="s">
        <v>8</v>
      </c>
      <c r="C34" s="8">
        <f>SUM(C30:C33)</f>
        <v>8426</v>
      </c>
      <c r="D34" s="4">
        <f>SUM(D30:D33)</f>
        <v>229063.94</v>
      </c>
    </row>
    <row r="36" spans="2:4" x14ac:dyDescent="0.25">
      <c r="B36" s="30" t="s">
        <v>29</v>
      </c>
      <c r="C36" s="30"/>
      <c r="D36" s="30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15</v>
      </c>
      <c r="D38" s="28">
        <v>6800</v>
      </c>
    </row>
    <row r="39" spans="2:4" x14ac:dyDescent="0.25">
      <c r="B39" s="1" t="s">
        <v>5</v>
      </c>
      <c r="C39" s="6">
        <v>25</v>
      </c>
      <c r="D39" s="28">
        <v>2048</v>
      </c>
    </row>
    <row r="40" spans="2:4" x14ac:dyDescent="0.25">
      <c r="B40" s="1" t="s">
        <v>6</v>
      </c>
      <c r="C40" s="6">
        <v>4</v>
      </c>
      <c r="D40" s="28">
        <v>3185</v>
      </c>
    </row>
    <row r="41" spans="2:4" x14ac:dyDescent="0.25">
      <c r="B41" s="1" t="s">
        <v>7</v>
      </c>
      <c r="C41" s="6">
        <v>720</v>
      </c>
      <c r="D41" s="28">
        <v>7727</v>
      </c>
    </row>
    <row r="42" spans="2:4" x14ac:dyDescent="0.25">
      <c r="B42" s="3" t="s">
        <v>8</v>
      </c>
      <c r="C42" s="8">
        <f>SUM(C38:C41)</f>
        <v>764</v>
      </c>
      <c r="D42" s="4">
        <f>SUM(D38:D41)</f>
        <v>19760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95370</v>
      </c>
      <c r="D50" s="13">
        <f>SUMIF(B:B, "Total general", D:D)</f>
        <v>2347520.67</v>
      </c>
    </row>
  </sheetData>
  <mergeCells count="5">
    <mergeCell ref="B3:D3"/>
    <mergeCell ref="B28:D28"/>
    <mergeCell ref="B12:D12"/>
    <mergeCell ref="B20:D20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zoomScaleNormal="100" workbookViewId="0">
      <selection activeCell="B1" sqref="B1:D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0" t="s">
        <v>36</v>
      </c>
      <c r="C1" s="30"/>
      <c r="D1" s="30"/>
    </row>
    <row r="3" spans="2:8" x14ac:dyDescent="0.25">
      <c r="B3" s="30" t="s">
        <v>35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7538</v>
      </c>
      <c r="D5" s="28">
        <v>208129.59000000003</v>
      </c>
      <c r="E5" s="11"/>
    </row>
    <row r="6" spans="2:8" x14ac:dyDescent="0.25">
      <c r="B6" s="1" t="s">
        <v>5</v>
      </c>
      <c r="C6" s="27">
        <v>7089</v>
      </c>
      <c r="D6" s="28">
        <v>241034.06</v>
      </c>
    </row>
    <row r="7" spans="2:8" x14ac:dyDescent="0.25">
      <c r="B7" s="1" t="s">
        <v>6</v>
      </c>
      <c r="C7" s="27">
        <v>7125</v>
      </c>
      <c r="D7" s="28">
        <v>74774.7</v>
      </c>
    </row>
    <row r="8" spans="2:8" x14ac:dyDescent="0.25">
      <c r="B8" s="5" t="s">
        <v>11</v>
      </c>
      <c r="C8" s="27">
        <v>2739</v>
      </c>
      <c r="D8" s="28">
        <v>9252.8100000000013</v>
      </c>
    </row>
    <row r="9" spans="2:8" x14ac:dyDescent="0.25">
      <c r="B9" s="1" t="s">
        <v>7</v>
      </c>
      <c r="C9" s="27">
        <v>2912</v>
      </c>
      <c r="D9" s="28">
        <v>7748</v>
      </c>
      <c r="E9" s="14"/>
      <c r="F9" s="7"/>
    </row>
    <row r="10" spans="2:8" x14ac:dyDescent="0.25">
      <c r="B10" s="3" t="s">
        <v>8</v>
      </c>
      <c r="C10" s="8">
        <f>SUM(C5:C9)</f>
        <v>27403</v>
      </c>
      <c r="D10" s="4">
        <f>SUM(D5:D9)</f>
        <v>540939.16</v>
      </c>
      <c r="E10" s="11" t="s">
        <v>13</v>
      </c>
    </row>
    <row r="12" spans="2:8" x14ac:dyDescent="0.25">
      <c r="B12" s="31" t="s">
        <v>10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4916</v>
      </c>
      <c r="D14" s="28">
        <v>213336.50999999998</v>
      </c>
    </row>
    <row r="15" spans="2:8" x14ac:dyDescent="0.25">
      <c r="B15" s="1" t="s">
        <v>5</v>
      </c>
      <c r="C15" s="26">
        <v>602</v>
      </c>
      <c r="D15" s="28">
        <v>26315.49</v>
      </c>
    </row>
    <row r="16" spans="2:8" x14ac:dyDescent="0.25">
      <c r="B16" s="1" t="s">
        <v>6</v>
      </c>
      <c r="C16" s="26">
        <v>3519</v>
      </c>
      <c r="D16" s="28">
        <v>32035.460000000003</v>
      </c>
    </row>
    <row r="17" spans="2:4" x14ac:dyDescent="0.25">
      <c r="B17" s="9" t="s">
        <v>7</v>
      </c>
      <c r="C17" s="26">
        <v>27</v>
      </c>
      <c r="D17" s="28">
        <v>399</v>
      </c>
    </row>
    <row r="18" spans="2:4" x14ac:dyDescent="0.25">
      <c r="B18" s="10" t="s">
        <v>8</v>
      </c>
      <c r="C18" s="8">
        <f>SUM(C14:C17)</f>
        <v>9064</v>
      </c>
      <c r="D18" s="4">
        <f>SUM(D14:D17)</f>
        <v>272086.45999999996</v>
      </c>
    </row>
    <row r="20" spans="2:4" x14ac:dyDescent="0.25">
      <c r="B20" s="30" t="s">
        <v>0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 s="26">
        <v>886</v>
      </c>
      <c r="D22" s="28">
        <v>64014.659999999996</v>
      </c>
    </row>
    <row r="23" spans="2:4" x14ac:dyDescent="0.25">
      <c r="B23" s="1" t="s">
        <v>5</v>
      </c>
      <c r="C23" s="26">
        <v>992</v>
      </c>
      <c r="D23" s="28">
        <v>23505.4</v>
      </c>
    </row>
    <row r="24" spans="2:4" x14ac:dyDescent="0.25">
      <c r="B24" s="1" t="s">
        <v>6</v>
      </c>
      <c r="C24" s="26">
        <v>1010</v>
      </c>
      <c r="D24" s="28">
        <v>6379</v>
      </c>
    </row>
    <row r="25" spans="2:4" x14ac:dyDescent="0.25">
      <c r="B25" s="5" t="s">
        <v>11</v>
      </c>
      <c r="C25" s="26">
        <v>0</v>
      </c>
      <c r="D25" s="11">
        <v>0</v>
      </c>
    </row>
    <row r="26" spans="2:4" x14ac:dyDescent="0.25">
      <c r="B26" s="1" t="s">
        <v>7</v>
      </c>
      <c r="C26" s="26">
        <v>303</v>
      </c>
      <c r="D26" s="28">
        <v>13328</v>
      </c>
    </row>
    <row r="27" spans="2:4" x14ac:dyDescent="0.25">
      <c r="B27" s="3" t="s">
        <v>8</v>
      </c>
      <c r="C27" s="8">
        <f>SUM(C22:C26)</f>
        <v>3191</v>
      </c>
      <c r="D27" s="4">
        <f>SUM(D22:D26)</f>
        <v>107227.06</v>
      </c>
    </row>
    <row r="29" spans="2:4" x14ac:dyDescent="0.25">
      <c r="B29" s="31" t="s">
        <v>9</v>
      </c>
      <c r="C29" s="31"/>
      <c r="D29" s="31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C31" s="26">
        <v>2</v>
      </c>
      <c r="D31" s="28">
        <v>884.38</v>
      </c>
    </row>
    <row r="32" spans="2:4" x14ac:dyDescent="0.25">
      <c r="B32" s="9" t="s">
        <v>5</v>
      </c>
      <c r="C32" s="26">
        <v>1</v>
      </c>
      <c r="D32" s="25">
        <v>0</v>
      </c>
    </row>
    <row r="33" spans="2:4" x14ac:dyDescent="0.25">
      <c r="B33" s="9" t="s">
        <v>7</v>
      </c>
      <c r="C33" s="26">
        <v>176</v>
      </c>
      <c r="D33" s="28">
        <v>1744</v>
      </c>
    </row>
    <row r="34" spans="2:4" x14ac:dyDescent="0.25">
      <c r="B34" s="10" t="s">
        <v>8</v>
      </c>
      <c r="C34" s="8">
        <f>SUM(C31:C33)</f>
        <v>179</v>
      </c>
      <c r="D34" s="4">
        <f>SUM(D31:D33)</f>
        <v>2628.38</v>
      </c>
    </row>
    <row r="36" spans="2:4" x14ac:dyDescent="0.25">
      <c r="B36" s="30" t="s">
        <v>34</v>
      </c>
      <c r="C36" s="30"/>
      <c r="D36" s="30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26">
        <v>2</v>
      </c>
      <c r="D38" s="28">
        <v>763</v>
      </c>
    </row>
    <row r="39" spans="2:4" x14ac:dyDescent="0.25">
      <c r="B39" s="1" t="s">
        <v>5</v>
      </c>
      <c r="C39" s="11">
        <v>0</v>
      </c>
      <c r="D39" s="25">
        <v>0</v>
      </c>
    </row>
    <row r="40" spans="2:4" x14ac:dyDescent="0.25">
      <c r="B40" s="1" t="s">
        <v>6</v>
      </c>
      <c r="C40" s="26">
        <v>1</v>
      </c>
      <c r="D40" s="25">
        <v>0</v>
      </c>
    </row>
    <row r="41" spans="2:4" x14ac:dyDescent="0.25">
      <c r="B41" s="1" t="s">
        <v>7</v>
      </c>
      <c r="C41" s="26">
        <v>330</v>
      </c>
      <c r="D41" s="28">
        <v>1324</v>
      </c>
    </row>
    <row r="42" spans="2:4" x14ac:dyDescent="0.25">
      <c r="B42" s="3" t="s">
        <v>8</v>
      </c>
      <c r="C42" s="8">
        <f>SUM(C38:C41)</f>
        <v>333</v>
      </c>
      <c r="D42" s="4">
        <f>SUM(D38:D41)</f>
        <v>2087</v>
      </c>
    </row>
    <row r="44" spans="2:4" x14ac:dyDescent="0.25">
      <c r="B44" s="30" t="s">
        <v>29</v>
      </c>
      <c r="C44" s="30"/>
      <c r="D44" s="30"/>
    </row>
    <row r="45" spans="2:4" x14ac:dyDescent="0.25">
      <c r="B45" s="2" t="s">
        <v>1</v>
      </c>
      <c r="C45" s="2" t="s">
        <v>2</v>
      </c>
      <c r="D45" s="2" t="s">
        <v>3</v>
      </c>
    </row>
    <row r="46" spans="2:4" x14ac:dyDescent="0.25">
      <c r="B46" s="9" t="s">
        <v>4</v>
      </c>
      <c r="C46" s="26">
        <v>2</v>
      </c>
      <c r="D46" s="28">
        <v>882</v>
      </c>
    </row>
    <row r="47" spans="2:4" x14ac:dyDescent="0.25">
      <c r="B47" s="1" t="s">
        <v>7</v>
      </c>
      <c r="C47" s="26">
        <v>64</v>
      </c>
      <c r="D47" s="28">
        <v>557</v>
      </c>
    </row>
    <row r="48" spans="2:4" x14ac:dyDescent="0.25">
      <c r="B48" s="3" t="s">
        <v>8</v>
      </c>
      <c r="C48" s="8">
        <f>SUM(C46:C47)</f>
        <v>66</v>
      </c>
      <c r="D48" s="4">
        <f>SUM(D46:D47)</f>
        <v>1439</v>
      </c>
    </row>
    <row r="50" spans="2:4" x14ac:dyDescent="0.25">
      <c r="B50" s="12" t="s">
        <v>12</v>
      </c>
      <c r="C50" s="13">
        <f>SUMIF(B:B, "Total general", C:C)</f>
        <v>40236</v>
      </c>
      <c r="D50" s="13">
        <f>SUMIF(B:B, "Total general", D:D)</f>
        <v>926407.05999999994</v>
      </c>
    </row>
  </sheetData>
  <mergeCells count="7">
    <mergeCell ref="B29:D29"/>
    <mergeCell ref="B44:D44"/>
    <mergeCell ref="B12:D12"/>
    <mergeCell ref="B36:D36"/>
    <mergeCell ref="B1:D1"/>
    <mergeCell ref="B3:D3"/>
    <mergeCell ref="B20:D20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0" t="s">
        <v>36</v>
      </c>
      <c r="C1" s="30"/>
      <c r="D1" s="30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13346</v>
      </c>
      <c r="D3" s="14">
        <f>SUMIF('CDC-OLGUIN'!B:B, "Extrajudicial - 0 a 28 semanas de atraso", 'CDC-OLGUIN'!D:D)</f>
        <v>488010.13999999996</v>
      </c>
    </row>
    <row r="4" spans="2:6" x14ac:dyDescent="0.25">
      <c r="B4" s="1" t="s">
        <v>5</v>
      </c>
      <c r="C4" s="6">
        <f>SUMIF('CDC-OLGUIN'!B:B, "Extrajudicial - 29 a 39 semanas de atraso", 'CDC-OLGUIN'!C:C)</f>
        <v>8684</v>
      </c>
      <c r="D4" s="14">
        <f>SUMIF('CDC-OLGUIN'!B:B, "Extrajudicial - 29 a 39 semanas de atraso", 'CDC-OLGUIN'!D:D)</f>
        <v>290854.95</v>
      </c>
    </row>
    <row r="5" spans="2:6" x14ac:dyDescent="0.25">
      <c r="B5" s="1" t="s">
        <v>6</v>
      </c>
      <c r="C5" s="6">
        <f>SUMIF('CDC-OLGUIN'!B:B, "Extrajudicial - 40 a 55 semanas de atraso", 'CDC-OLGUIN'!C:C)</f>
        <v>11655</v>
      </c>
      <c r="D5" s="14">
        <f>SUMIF('CDC-OLGUIN'!B:B, "Extrajudicial - 40 a 55 semanas de atraso", 'CDC-OLGUIN'!D:D)</f>
        <v>113189.16</v>
      </c>
    </row>
    <row r="6" spans="2:6" x14ac:dyDescent="0.25">
      <c r="B6" s="5" t="s">
        <v>11</v>
      </c>
      <c r="C6" s="6">
        <f>SUMIF('CDC-OLGUIN'!B:B, "JUDICIAL", 'CDC-OLGUIN'!C:C)</f>
        <v>2739</v>
      </c>
      <c r="D6" s="14">
        <f>SUMIF('CDC-OLGUIN'!B:B, "JUDICIAL", 'CDC-OLGUIN'!D:D)</f>
        <v>9252.8100000000013</v>
      </c>
    </row>
    <row r="7" spans="2:6" x14ac:dyDescent="0.25">
      <c r="B7" s="1" t="s">
        <v>7</v>
      </c>
      <c r="C7" s="6">
        <f>SUMIF('CDC-OLGUIN'!B:B, "Mas 55 semanas de atraso", 'CDC-OLGUIN'!C:C)</f>
        <v>3812</v>
      </c>
      <c r="D7" s="6">
        <f>SUMIF('CDC-OLGUIN'!B:B, "Mas 55 semanas de atraso", 'CDC-OLGUIN'!D:D)</f>
        <v>25100</v>
      </c>
      <c r="E7" s="14"/>
      <c r="F7" s="7"/>
    </row>
    <row r="8" spans="2:6" x14ac:dyDescent="0.25">
      <c r="B8" s="3" t="s">
        <v>8</v>
      </c>
      <c r="C8" s="8">
        <f>SUM(C3:C7)</f>
        <v>40236</v>
      </c>
      <c r="D8" s="4">
        <f>SUM(D3:D7)</f>
        <v>926407.06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13807</v>
      </c>
      <c r="E6" s="16">
        <f>SUMIF('REPORTE DIARIO'!B:B,'EPR 26 JUN'!C6, 'REPORTE DIARIO'!D:D)</f>
        <v>891520.44</v>
      </c>
      <c r="F6" s="16">
        <f>J6*D6</f>
        <v>867868.57142857136</v>
      </c>
      <c r="G6" s="16">
        <f>+E6-F6</f>
        <v>23651.868571428582</v>
      </c>
      <c r="H6" s="15">
        <f>ABS(G6/F6)</f>
        <v>2.7252823008092088E-2</v>
      </c>
      <c r="I6" s="16">
        <f>E6/D6</f>
        <v>64.570177446222928</v>
      </c>
      <c r="J6" s="16">
        <f>(220/7)*2</f>
        <v>62.857142857142854</v>
      </c>
      <c r="K6" s="16">
        <f>+I6-J6</f>
        <v>1.713034589080074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8676</v>
      </c>
      <c r="E7" s="16">
        <f>SUMIF('REPORTE DIARIO'!B:B,'EPR 26 JUN'!C7, 'REPORTE DIARIO'!D:D)</f>
        <v>470261.29</v>
      </c>
      <c r="F7" s="16">
        <f>J7*D7</f>
        <v>272674.28571428568</v>
      </c>
      <c r="G7" s="16">
        <f>+E7-F7</f>
        <v>197587.0042857143</v>
      </c>
      <c r="H7" s="15">
        <f>ABS(G7/F7)</f>
        <v>0.72462646695167454</v>
      </c>
      <c r="I7" s="16">
        <f>E7/D7</f>
        <v>54.202546104195477</v>
      </c>
      <c r="J7" s="16">
        <f>(110/7)*2</f>
        <v>31.428571428571427</v>
      </c>
      <c r="K7" s="16">
        <f t="shared" ref="K7:K9" si="0">+I7-J7</f>
        <v>22.77397467562405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14941</v>
      </c>
      <c r="E8" s="16">
        <f>SUMIF('REPORTE DIARIO'!B:B,'EPR 26 JUN'!C8, 'REPORTE DIARIO'!D:D)</f>
        <v>322116.30999999994</v>
      </c>
      <c r="F8" s="16">
        <f>J8*D8</f>
        <v>192098.57142857145</v>
      </c>
      <c r="G8" s="16">
        <f>+E8-F8</f>
        <v>130017.73857142849</v>
      </c>
      <c r="H8" s="15">
        <f>ABS(G8/F8)</f>
        <v>0.67682824294075161</v>
      </c>
      <c r="I8" s="16">
        <f>E8/D8</f>
        <v>21.559220266381097</v>
      </c>
      <c r="J8" s="16">
        <f>(45/7)*2</f>
        <v>12.857142857142858</v>
      </c>
      <c r="K8" s="16">
        <f t="shared" si="0"/>
        <v>8.7020774092382389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57432</v>
      </c>
      <c r="E9" s="16">
        <f>SUMIF('REPORTE DIARIO'!B:B,'EPR 26 JUN'!C9, 'REPORTE DIARIO'!D:D)</f>
        <v>663622.62999999989</v>
      </c>
      <c r="F9" s="16">
        <f>J9*D9</f>
        <v>246137.14285714284</v>
      </c>
      <c r="G9" s="16">
        <f>+E9-F9</f>
        <v>417485.48714285705</v>
      </c>
      <c r="H9" s="15">
        <f>ABS(G9/F9)</f>
        <v>1.6961498874030736</v>
      </c>
      <c r="I9" s="16">
        <f>E9/D9</f>
        <v>11.554928088870314</v>
      </c>
      <c r="J9" s="16">
        <f>(15/7)*2</f>
        <v>4.2857142857142856</v>
      </c>
      <c r="K9" s="16">
        <f t="shared" si="0"/>
        <v>7.2692138031560285</v>
      </c>
    </row>
    <row r="10" spans="2:12" x14ac:dyDescent="0.25">
      <c r="B10" s="16"/>
      <c r="C10" s="19" t="s">
        <v>16</v>
      </c>
      <c r="D10" s="24">
        <f>SUM(D6:D9)</f>
        <v>94856</v>
      </c>
      <c r="E10" s="20">
        <f>SUM(E6:E9)</f>
        <v>2347520.67</v>
      </c>
      <c r="F10" s="20">
        <f>SUM(F6:F9)</f>
        <v>1578778.5714285714</v>
      </c>
      <c r="G10" s="20">
        <f>+E10-F10</f>
        <v>768742.09857142856</v>
      </c>
      <c r="H10" s="21">
        <f>ABS(G10/F10)</f>
        <v>0.48692205004773131</v>
      </c>
      <c r="I10" s="20">
        <f>E10/D10</f>
        <v>24.74825704225352</v>
      </c>
      <c r="J10" s="20">
        <f>F10/D10</f>
        <v>16.643950529524453</v>
      </c>
      <c r="K10" s="20">
        <f>I10-J10</f>
        <v>8.1043065127290674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2025-11-02T17:29:28Z</cp:lastPrinted>
  <dcterms:created xsi:type="dcterms:W3CDTF">2025-01-27T15:11:28Z</dcterms:created>
  <dcterms:modified xsi:type="dcterms:W3CDTF">2025-11-02T17:31:57Z</dcterms:modified>
</cp:coreProperties>
</file>