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6F1411CE-6B44-4460-8C14-0E2612B1A419}" xr6:coauthVersionLast="47" xr6:coauthVersionMax="47" xr10:uidLastSave="{00000000-0000-0000-0000-000000000000}"/>
  <bookViews>
    <workbookView xWindow="-120" yWindow="-120" windowWidth="51840" windowHeight="21120" activeTab="2" xr2:uid="{8D207AEA-502F-42D9-980B-32EB6C24BE0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<sst xmlns="http://schemas.openxmlformats.org/spreadsheetml/2006/main" count="102" uniqueCount="23">
  <si>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</si>
  <si>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</si>
  <si>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</si>
  <si>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</si>
  <si>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</si>
  <si>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</si>
  <si>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</si>
  <si>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</si>
  <si>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</si>
  <si>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</si>
  <si>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</si>
  <si>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</si>
  <si>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</si>
  <si>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</si>
  <si>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</si>
  <si>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HIPOTECARIO</t>
  </si>
  <si>
    <t>REESTRUCTURA</t>
  </si>
  <si>
    <t>TOR</t>
  </si>
  <si>
    <t>MAZ</t>
  </si>
  <si>
    <t>ITALIKA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</si>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</sst>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991A-B613-4A31-A8E3-F74D8F1DE124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16:31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44962</v>
      </c>
    </row>
    <row r="6" spans="2:4" x14ac:dyDescent="0.25">
      <c r="B6" s="2" t="s">
        <v>2</v>
      </c>
      <c r="C6" s="3">
        <v>59682</v>
      </c>
    </row>
    <row r="7" spans="2:4" x14ac:dyDescent="0.25">
      <c r="B7" s="2" t="s">
        <v>3</v>
      </c>
      <c r="C7" s="3">
        <v>23705</v>
      </c>
    </row>
    <row r="8" spans="2:4" ht="15.75" thickBot="1" x14ac:dyDescent="0.3">
      <c r="B8" s="2" t="s">
        <v>4</v>
      </c>
      <c r="C8" s="3">
        <v>40481.040000000001</v>
      </c>
      <c r="D8" s="1" t="s">
        <v>11</v>
      </c>
    </row>
    <row r="9" spans="2:4" ht="15.75" thickTop="1" x14ac:dyDescent="0.25">
      <c r="B9" s="4" t="s">
        <v>5</v>
      </c>
      <c r="C9" s="5">
        <v>168830.04</v>
      </c>
      <c r="D9" s="5">
        <f ca="1">SUMIF(B:B, "Total general", C:C)</f>
        <v>248605.89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1040</v>
      </c>
    </row>
    <row r="14" spans="2:4" x14ac:dyDescent="0.25">
      <c r="B14" s="2" t="s">
        <v>2</v>
      </c>
      <c r="C14" s="3">
        <v>2664</v>
      </c>
    </row>
    <row r="15" spans="2:4" x14ac:dyDescent="0.25">
      <c r="B15" s="2" t="s">
        <v>3</v>
      </c>
      <c r="C15" s="3">
        <v>20088</v>
      </c>
    </row>
    <row r="16" spans="2:4" ht="15.75" thickBot="1" x14ac:dyDescent="0.3">
      <c r="B16" s="2" t="s">
        <v>4</v>
      </c>
      <c r="C16" s="3">
        <v>7035</v>
      </c>
    </row>
    <row r="17" spans="2:3" ht="15.75" thickTop="1" x14ac:dyDescent="0.25">
      <c r="B17" s="4" t="s">
        <v>5</v>
      </c>
      <c r="C17" s="5">
        <v>30827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13790</v>
      </c>
    </row>
    <row r="22" spans="2:3" x14ac:dyDescent="0.25">
      <c r="B22" s="2" t="s">
        <v>2</v>
      </c>
      <c r="C22" s="3">
        <v>8661.880000000001</v>
      </c>
    </row>
    <row r="23" spans="2:3" ht="15.75" thickBot="1" x14ac:dyDescent="0.3">
      <c r="B23" s="2" t="s">
        <v>3</v>
      </c>
      <c r="C23" s="3">
        <v>1152</v>
      </c>
    </row>
    <row r="24" spans="2:3" ht="15.75" thickTop="1" x14ac:dyDescent="0.25">
      <c r="B24" s="4" t="s">
        <v>5</v>
      </c>
      <c r="C24" s="5">
        <v>23603.88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6379</v>
      </c>
    </row>
    <row r="29" spans="2:3" x14ac:dyDescent="0.25">
      <c r="B29" s="2" t="s">
        <v>2</v>
      </c>
      <c r="C29" s="3">
        <v>1978</v>
      </c>
    </row>
    <row r="30" spans="2:3" x14ac:dyDescent="0.25">
      <c r="B30" s="2" t="s">
        <v>3</v>
      </c>
      <c r="C30" s="3">
        <v>8348.9700000000012</v>
      </c>
    </row>
    <row r="31" spans="2:3" ht="15.75" thickBot="1" x14ac:dyDescent="0.3">
      <c r="B31" s="2" t="s">
        <v>4</v>
      </c>
      <c r="C31" s="3">
        <v>5644</v>
      </c>
    </row>
    <row r="32" spans="2:3" ht="15.75" thickTop="1" x14ac:dyDescent="0.25">
      <c r="B32" s="4" t="s">
        <v>5</v>
      </c>
      <c r="C32" s="5">
        <v>22349.97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2209</v>
      </c>
    </row>
    <row r="37" spans="2:3" ht="15.75" thickBot="1" x14ac:dyDescent="0.3">
      <c r="B37" s="2" t="s">
        <v>4</v>
      </c>
      <c r="C37" s="3">
        <v>786</v>
      </c>
    </row>
    <row r="38" spans="2:3" ht="15.75" thickTop="1" x14ac:dyDescent="0.25">
      <c r="B38" s="4" t="s">
        <v>5</v>
      </c>
      <c r="C38" s="5">
        <v>2995</v>
      </c>
    </row>
  </sheetData>
  <mergeCells count="6">
    <mergeCell ref="B3:C3"/>
    <mergeCell ref="B11:C11"/>
    <mergeCell ref="B26:C26"/>
    <mergeCell ref="B34:C34"/>
    <mergeCell ref="B19:C19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5900-F7A3-4873-A6A2-986703C57EF6}">
  <dimension ref="B2:D40"/>
  <sheetViews>
    <sheetView workbookViewId="0">
      <selection activeCell="C55" sqref="C55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16:31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11371</v>
      </c>
    </row>
    <row r="6" spans="2:4" x14ac:dyDescent="0.25">
      <c r="B6" s="2" t="s">
        <v>14</v>
      </c>
      <c r="C6" s="3">
        <v>7858</v>
      </c>
    </row>
    <row r="7" spans="2:4" x14ac:dyDescent="0.25">
      <c r="B7" s="2" t="s">
        <v>15</v>
      </c>
      <c r="C7" s="3">
        <v>20050</v>
      </c>
    </row>
    <row r="8" spans="2:4" x14ac:dyDescent="0.25">
      <c r="B8" s="2" t="s">
        <v>16</v>
      </c>
      <c r="C8" s="3">
        <v>12807</v>
      </c>
    </row>
    <row r="9" spans="2:4" ht="15.75" thickBot="1" x14ac:dyDescent="0.3">
      <c r="B9" s="2" t="s">
        <v>17</v>
      </c>
      <c r="C9" s="3">
        <v>116744.04</v>
      </c>
      <c r="D9" s="1" t="s">
        <v>11</v>
      </c>
    </row>
    <row r="10" spans="2:4" ht="15.75" thickTop="1" x14ac:dyDescent="0.25">
      <c r="B10" s="4" t="s">
        <v>5</v>
      </c>
      <c r="C10" s="5">
        <v>168830.03999999998</v>
      </c>
      <c r="D10" s="5">
        <f ca="1">SUMIF(B:B, "Total general", C:C)</f>
        <v>248605.88999999998</v>
      </c>
    </row>
    <row r="12" spans="2:4" x14ac:dyDescent="0.25">
      <c r="B12" s="6" t="s">
        <v>7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325</v>
      </c>
    </row>
    <row r="15" spans="2:4" x14ac:dyDescent="0.25">
      <c r="B15" s="2" t="s">
        <v>14</v>
      </c>
      <c r="C15" s="3">
        <v>2331</v>
      </c>
    </row>
    <row r="16" spans="2:4" x14ac:dyDescent="0.25">
      <c r="B16" s="2" t="s">
        <v>18</v>
      </c>
      <c r="C16" s="3">
        <v>484</v>
      </c>
    </row>
    <row r="17" spans="2:3" x14ac:dyDescent="0.25">
      <c r="B17" s="2" t="s">
        <v>16</v>
      </c>
      <c r="C17" s="3">
        <v>2500</v>
      </c>
    </row>
    <row r="18" spans="2:3" ht="15.75" thickBot="1" x14ac:dyDescent="0.3">
      <c r="B18" s="2" t="s">
        <v>17</v>
      </c>
      <c r="C18" s="3">
        <v>25187</v>
      </c>
    </row>
    <row r="19" spans="2:3" ht="15.75" thickTop="1" x14ac:dyDescent="0.25">
      <c r="B19" s="4" t="s">
        <v>5</v>
      </c>
      <c r="C19" s="5">
        <v>30827</v>
      </c>
    </row>
    <row r="21" spans="2:3" x14ac:dyDescent="0.25">
      <c r="B21" s="6" t="s">
        <v>10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13</v>
      </c>
      <c r="C23" s="3">
        <v>1925</v>
      </c>
    </row>
    <row r="24" spans="2:3" x14ac:dyDescent="0.25">
      <c r="B24" s="2" t="s">
        <v>14</v>
      </c>
      <c r="C24" s="3">
        <v>2058</v>
      </c>
    </row>
    <row r="25" spans="2:3" x14ac:dyDescent="0.25">
      <c r="B25" s="2" t="s">
        <v>19</v>
      </c>
      <c r="C25" s="3">
        <v>2547</v>
      </c>
    </row>
    <row r="26" spans="2:3" x14ac:dyDescent="0.25">
      <c r="B26" s="2" t="s">
        <v>16</v>
      </c>
      <c r="C26" s="3">
        <v>1000</v>
      </c>
    </row>
    <row r="27" spans="2:3" ht="15.75" thickBot="1" x14ac:dyDescent="0.3">
      <c r="B27" s="2" t="s">
        <v>17</v>
      </c>
      <c r="C27" s="3">
        <v>16073.880000000001</v>
      </c>
    </row>
    <row r="28" spans="2:3" ht="15.75" thickTop="1" x14ac:dyDescent="0.25">
      <c r="B28" s="4" t="s">
        <v>5</v>
      </c>
      <c r="C28" s="5">
        <v>23603.88</v>
      </c>
    </row>
    <row r="30" spans="2:3" x14ac:dyDescent="0.25">
      <c r="B30" s="6" t="s">
        <v>8</v>
      </c>
      <c r="C30" s="6"/>
    </row>
    <row r="31" spans="2:3" x14ac:dyDescent="0.25">
      <c r="B31" s="1" t="s">
        <v>20</v>
      </c>
      <c r="C31" s="1" t="s">
        <v>0</v>
      </c>
    </row>
    <row r="32" spans="2:3" x14ac:dyDescent="0.25">
      <c r="B32" s="2" t="s">
        <v>16</v>
      </c>
      <c r="C32" s="3">
        <v>4600</v>
      </c>
    </row>
    <row r="33" spans="2:3" ht="15.75" thickBot="1" x14ac:dyDescent="0.3">
      <c r="B33" s="2" t="s">
        <v>17</v>
      </c>
      <c r="C33" s="3">
        <v>17749.97</v>
      </c>
    </row>
    <row r="34" spans="2:3" ht="15.75" thickTop="1" x14ac:dyDescent="0.25">
      <c r="B34" s="4" t="s">
        <v>5</v>
      </c>
      <c r="C34" s="5">
        <v>22349.97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x14ac:dyDescent="0.25">
      <c r="B38" s="2" t="s">
        <v>13</v>
      </c>
      <c r="C38" s="3">
        <v>200</v>
      </c>
    </row>
    <row r="39" spans="2:3" ht="15.75" thickBot="1" x14ac:dyDescent="0.3">
      <c r="B39" s="2" t="s">
        <v>17</v>
      </c>
      <c r="C39" s="3">
        <v>2795</v>
      </c>
    </row>
    <row r="40" spans="2:3" ht="15.75" thickTop="1" x14ac:dyDescent="0.25">
      <c r="B40" s="4" t="s">
        <v>5</v>
      </c>
      <c r="C40" s="5">
        <v>2995</v>
      </c>
    </row>
  </sheetData>
  <mergeCells count="6">
    <mergeCell ref="B2:C2"/>
    <mergeCell ref="B3:C3"/>
    <mergeCell ref="B12:C12"/>
    <mergeCell ref="B21:C21"/>
    <mergeCell ref="B30:C30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6DFC-4DE9-46E0-9C20-7C46C166F568}">
  <dimension ref="B2:D24"/>
  <sheetViews>
    <sheetView tabSelected="1" workbookViewId="0">
      <selection activeCell="B2" sqref="B2:D2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02/11/2025  16:31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12096</v>
      </c>
    </row>
    <row r="6" spans="2:4" x14ac:dyDescent="0.25">
      <c r="B6" s="2" t="s">
        <v>2</v>
      </c>
      <c r="C6" s="3">
        <v>6270</v>
      </c>
    </row>
    <row r="7" spans="2:4" x14ac:dyDescent="0.25">
      <c r="B7" s="2" t="s">
        <v>3</v>
      </c>
      <c r="C7" s="3">
        <v>5510</v>
      </c>
    </row>
    <row r="8" spans="2:4" x14ac:dyDescent="0.25">
      <c r="B8" s="2" t="s">
        <v>21</v>
      </c>
      <c r="C8" s="3">
        <v>400</v>
      </c>
    </row>
    <row r="9" spans="2:4" ht="15.75" thickBot="1" x14ac:dyDescent="0.3">
      <c r="B9" s="2" t="s">
        <v>4</v>
      </c>
      <c r="C9" s="3">
        <v>16116</v>
      </c>
      <c r="D9" s="1" t="s">
        <v>11</v>
      </c>
    </row>
    <row r="10" spans="2:4" ht="15.75" thickTop="1" x14ac:dyDescent="0.25">
      <c r="B10" s="4" t="s">
        <v>5</v>
      </c>
      <c r="C10" s="5">
        <v>40392</v>
      </c>
      <c r="D10" s="5">
        <f ca="1">SUMIF(B:B, "Total general", C:C)</f>
        <v>67430.880000000005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13790</v>
      </c>
    </row>
    <row r="15" spans="2:4" x14ac:dyDescent="0.25">
      <c r="B15" s="2" t="s">
        <v>2</v>
      </c>
      <c r="C15" s="3">
        <v>8661.880000000001</v>
      </c>
    </row>
    <row r="16" spans="2:4" ht="15.75" thickBot="1" x14ac:dyDescent="0.3">
      <c r="B16" s="2" t="s">
        <v>3</v>
      </c>
      <c r="C16" s="3">
        <v>1152</v>
      </c>
    </row>
    <row r="17" spans="2:3" ht="15.75" thickTop="1" x14ac:dyDescent="0.25">
      <c r="B17" s="4" t="s">
        <v>5</v>
      </c>
      <c r="C17" s="5">
        <v>23603.88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1000</v>
      </c>
    </row>
    <row r="22" spans="2:3" x14ac:dyDescent="0.25">
      <c r="B22" s="2" t="s">
        <v>2</v>
      </c>
      <c r="C22" s="3">
        <v>814</v>
      </c>
    </row>
    <row r="23" spans="2:3" ht="15.75" thickBot="1" x14ac:dyDescent="0.3">
      <c r="B23" s="2" t="s">
        <v>3</v>
      </c>
      <c r="C23" s="3">
        <v>1621</v>
      </c>
    </row>
    <row r="24" spans="2:3" ht="15.75" thickTop="1" x14ac:dyDescent="0.25">
      <c r="B24" s="4" t="s">
        <v>5</v>
      </c>
      <c r="C24" s="5">
        <v>3435</v>
      </c>
    </row>
  </sheetData>
  <mergeCells count="4">
    <mergeCell ref="B2:C2"/>
    <mergeCell ref="B3:C3"/>
    <mergeCell ref="B12:C12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2025-11-02T22:31:31Z</cp:lastPrinted>
  <dcterms:created xsi:type="dcterms:W3CDTF">2025-11-02T22:24:38Z</dcterms:created>
  <dcterms:modified xsi:type="dcterms:W3CDTF">2025-11-02T22:31:33Z</dcterms:modified>
</cp:coreProperties>
</file>