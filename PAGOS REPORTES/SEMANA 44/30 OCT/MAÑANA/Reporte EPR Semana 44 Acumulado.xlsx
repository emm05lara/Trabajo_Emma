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30 OCT\MAÑANA\"/>
    </mc:Choice>
  </mc:AlternateContent>
  <xr:revisionPtr revIDLastSave="0" documentId="13_ncr:1_{BD156F9B-298C-4FF4-8A56-0CA5DA0A880D}" xr6:coauthVersionLast="47" xr6:coauthVersionMax="47" xr10:uidLastSave="{00000000-0000-0000-0000-000000000000}"/>
  <bookViews>
    <workbookView xWindow="11745" yWindow="11745" windowWidth="11130" windowHeight="6570" activeTab="2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5" l="1"/>
  <c r="C26" i="1"/>
  <c r="D26" i="1"/>
  <c r="C18" i="1"/>
  <c r="D18" i="1"/>
  <c r="C48" i="5"/>
  <c r="D34" i="5"/>
  <c r="C34" i="5"/>
  <c r="D27" i="5"/>
  <c r="C27" i="5"/>
  <c r="C42" i="1"/>
  <c r="D42" i="1"/>
  <c r="C34" i="1"/>
  <c r="D18" i="5"/>
  <c r="C18" i="5"/>
  <c r="D10" i="5"/>
  <c r="D40" i="5"/>
  <c r="C40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<sst xmlns="http://schemas.openxmlformats.org/spreadsheetml/2006/main" count="139" uniqueCount="37">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</sst>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8093</v>
      </c>
      <c r="D5" s="28">
        <v>245322.67999999996</v>
      </c>
    </row>
    <row r="6" spans="2:8" x14ac:dyDescent="0.25">
      <c r="B6" s="1" t="s">
        <v>5</v>
      </c>
      <c r="C6" s="6">
        <v>5226</v>
      </c>
      <c r="D6" s="28">
        <v>125132.67</v>
      </c>
    </row>
    <row r="7" spans="2:8" x14ac:dyDescent="0.25">
      <c r="B7" s="1" t="s">
        <v>6</v>
      </c>
      <c r="C7" s="6">
        <v>7765</v>
      </c>
      <c r="D7" s="28">
        <v>61908.71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37306</v>
      </c>
      <c r="D9" s="28">
        <v>207822.12000000005</v>
      </c>
      <c r="E9" s="14"/>
      <c r="F9" s="7"/>
    </row>
    <row r="10" spans="2:8" x14ac:dyDescent="0.25">
      <c r="B10" s="3" t="s">
        <v>8</v>
      </c>
      <c r="C10" s="8">
        <f>SUM(C5:C9)</f>
        <v>58904</v>
      </c>
      <c r="D10" s="4">
        <f>SUM(D5:D9)</f>
        <v>640186.18000000005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4944</v>
      </c>
      <c r="D14" s="28">
        <v>132968.35</v>
      </c>
    </row>
    <row r="15" spans="2:8" x14ac:dyDescent="0.25">
      <c r="B15" s="1" t="s">
        <v>5</v>
      </c>
      <c r="C15" s="6">
        <v>1022</v>
      </c>
      <c r="D15" s="28">
        <v>7594.72</v>
      </c>
    </row>
    <row r="16" spans="2:8" x14ac:dyDescent="0.25">
      <c r="B16" s="1" t="s">
        <v>6</v>
      </c>
      <c r="C16" s="6">
        <v>3673</v>
      </c>
      <c r="D16" s="28">
        <v>6383.38</v>
      </c>
    </row>
    <row r="17" spans="2:4" x14ac:dyDescent="0.25">
      <c r="B17" s="1" t="s">
        <v>7</v>
      </c>
      <c r="C17" s="6">
        <v>1029</v>
      </c>
      <c r="D17" s="28">
        <v>399</v>
      </c>
    </row>
    <row r="18" spans="2:4" x14ac:dyDescent="0.25">
      <c r="B18" s="10" t="s">
        <v>8</v>
      </c>
      <c r="C18" s="8">
        <f>SUM(C14:C17)</f>
        <v>10668</v>
      </c>
      <c r="D18" s="4">
        <f>SUM(D14:D17)</f>
        <v>147345.45000000001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96</v>
      </c>
      <c r="D22" s="28">
        <v>39707.08</v>
      </c>
    </row>
    <row r="23" spans="2:4" x14ac:dyDescent="0.25">
      <c r="B23" s="1" t="s">
        <v>5</v>
      </c>
      <c r="C23" s="6">
        <v>191</v>
      </c>
      <c r="D23" s="28">
        <v>14902.62</v>
      </c>
    </row>
    <row r="24" spans="2:4" x14ac:dyDescent="0.25">
      <c r="B24" s="1" t="s">
        <v>6</v>
      </c>
      <c r="C24" s="6">
        <v>912</v>
      </c>
      <c r="D24" s="28">
        <v>6202</v>
      </c>
    </row>
    <row r="25" spans="2:4" x14ac:dyDescent="0.25">
      <c r="B25" s="1" t="s">
        <v>7</v>
      </c>
      <c r="C25" s="7">
        <v>14818</v>
      </c>
      <c r="D25" s="28">
        <v>77505.439999999988</v>
      </c>
    </row>
    <row r="26" spans="2:4" x14ac:dyDescent="0.25">
      <c r="B26" s="3" t="s">
        <v>8</v>
      </c>
      <c r="C26" s="8">
        <f>SUM(C22:C25)</f>
        <v>16017</v>
      </c>
      <c r="D26" s="4">
        <f>SUM(D22:D25)</f>
        <v>138317.13999999998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607</v>
      </c>
      <c r="D30" s="28">
        <v>49122.29</v>
      </c>
    </row>
    <row r="31" spans="2:4" x14ac:dyDescent="0.25">
      <c r="B31" s="9" t="s">
        <v>5</v>
      </c>
      <c r="C31" s="6">
        <v>1744</v>
      </c>
      <c r="D31" s="28">
        <v>15189</v>
      </c>
    </row>
    <row r="32" spans="2:4" x14ac:dyDescent="0.25">
      <c r="B32" s="9" t="s">
        <v>6</v>
      </c>
      <c r="C32" s="6">
        <v>2344</v>
      </c>
      <c r="D32" s="28">
        <v>30026</v>
      </c>
    </row>
    <row r="33" spans="2:4" x14ac:dyDescent="0.25">
      <c r="B33" s="9" t="s">
        <v>7</v>
      </c>
      <c r="C33" s="6">
        <v>3501</v>
      </c>
      <c r="D33" s="28">
        <v>29803</v>
      </c>
    </row>
    <row r="34" spans="2:4" x14ac:dyDescent="0.25">
      <c r="B34" s="10" t="s">
        <v>8</v>
      </c>
      <c r="C34" s="8">
        <f>SUM(C30:C33)</f>
        <v>8196</v>
      </c>
      <c r="D34" s="4">
        <f>SUM(D30:D33)</f>
        <v>124140.29000000001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1507</v>
      </c>
    </row>
    <row r="39" spans="2:4" x14ac:dyDescent="0.25">
      <c r="B39" s="1" t="s">
        <v>5</v>
      </c>
      <c r="C39" s="6">
        <v>27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721</v>
      </c>
      <c r="D41" s="28">
        <v>2318</v>
      </c>
    </row>
    <row r="42" spans="2:4" x14ac:dyDescent="0.25">
      <c r="B42" s="3" t="s">
        <v>8</v>
      </c>
      <c r="C42" s="8">
        <f>SUM(C38:C41)</f>
        <v>767</v>
      </c>
      <c r="D42" s="4">
        <f>SUM(D38:D41)</f>
        <v>3825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94552</v>
      </c>
      <c r="D50" s="13">
        <f>SUMIF(B:B, "Total general", D:D)</f>
        <v>1053814.06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zoomScaleNormal="100" workbookViewId="0">
      <selection activeCell="B1" sqref="B1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7998</v>
      </c>
      <c r="D5" s="28">
        <v>112017.28000000001</v>
      </c>
      <c r="E5" s="11"/>
    </row>
    <row r="6" spans="2:8" x14ac:dyDescent="0.25">
      <c r="B6" s="1" t="s">
        <v>5</v>
      </c>
      <c r="C6" s="27">
        <v>6609</v>
      </c>
      <c r="D6" s="28">
        <v>146898.87</v>
      </c>
    </row>
    <row r="7" spans="2:8" x14ac:dyDescent="0.25">
      <c r="B7" s="1" t="s">
        <v>6</v>
      </c>
      <c r="C7" s="27">
        <v>6947</v>
      </c>
      <c r="D7" s="28">
        <v>41332.490000000005</v>
      </c>
    </row>
    <row r="8" spans="2:8" x14ac:dyDescent="0.25">
      <c r="B8" s="5" t="s">
        <v>11</v>
      </c>
      <c r="C8" s="27">
        <v>2739</v>
      </c>
      <c r="D8" s="28">
        <v>9202.8100000000013</v>
      </c>
    </row>
    <row r="9" spans="2:8" x14ac:dyDescent="0.25">
      <c r="B9" s="1" t="s">
        <v>7</v>
      </c>
      <c r="C9" s="27">
        <v>2912</v>
      </c>
      <c r="D9" s="28">
        <v>769</v>
      </c>
      <c r="E9" s="14"/>
      <c r="F9" s="7"/>
    </row>
    <row r="10" spans="2:8" x14ac:dyDescent="0.25">
      <c r="B10" s="3" t="s">
        <v>8</v>
      </c>
      <c r="C10" s="8">
        <f>SUM(C5:C9)</f>
        <v>27205</v>
      </c>
      <c r="D10" s="4">
        <f>SUM(D5:D9)</f>
        <v>310220.45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4927</v>
      </c>
      <c r="D14" s="28">
        <v>129106.35</v>
      </c>
    </row>
    <row r="15" spans="2:8" x14ac:dyDescent="0.25">
      <c r="B15" s="1" t="s">
        <v>5</v>
      </c>
      <c r="C15" s="26">
        <v>608</v>
      </c>
      <c r="D15" s="28">
        <v>6033.72</v>
      </c>
    </row>
    <row r="16" spans="2:8" x14ac:dyDescent="0.25">
      <c r="B16" s="1" t="s">
        <v>6</v>
      </c>
      <c r="C16" s="26">
        <v>3532</v>
      </c>
      <c r="D16" s="28">
        <v>6383.38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9094</v>
      </c>
      <c r="D18" s="4">
        <f>SUM(D14:D17)</f>
        <v>141922.45000000001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1770</v>
      </c>
      <c r="D22" s="28">
        <v>31287.16</v>
      </c>
    </row>
    <row r="23" spans="2:4" x14ac:dyDescent="0.25">
      <c r="B23" s="1" t="s">
        <v>5</v>
      </c>
      <c r="C23" s="26">
        <v>1984</v>
      </c>
      <c r="D23" s="28">
        <v>3815</v>
      </c>
    </row>
    <row r="24" spans="2:4" x14ac:dyDescent="0.25">
      <c r="B24" s="1" t="s">
        <v>6</v>
      </c>
      <c r="C24" s="26">
        <v>2022</v>
      </c>
      <c r="D24" s="28">
        <v>521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606</v>
      </c>
      <c r="D26" s="28">
        <v>3919</v>
      </c>
    </row>
    <row r="27" spans="2:4" x14ac:dyDescent="0.25">
      <c r="B27" s="3" t="s">
        <v>8</v>
      </c>
      <c r="C27" s="8">
        <f>SUM(C22:C26)</f>
        <v>6382</v>
      </c>
      <c r="D27" s="4">
        <f>SUM(D22:D26)</f>
        <v>39542.160000000003</v>
      </c>
    </row>
    <row r="29" spans="2:4" x14ac:dyDescent="0.25">
      <c r="B29" s="32" t="s">
        <v>9</v>
      </c>
      <c r="C29" s="32"/>
      <c r="D29" s="32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1200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1200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882</v>
      </c>
    </row>
    <row r="39" spans="2:4" x14ac:dyDescent="0.25">
      <c r="B39" s="1" t="s">
        <v>7</v>
      </c>
      <c r="C39" s="26">
        <v>64</v>
      </c>
      <c r="D39" s="29">
        <v>0</v>
      </c>
    </row>
    <row r="40" spans="2:4" x14ac:dyDescent="0.25">
      <c r="B40" s="3" t="s">
        <v>8</v>
      </c>
      <c r="C40" s="8">
        <f>SUM(C38:C39)</f>
        <v>66</v>
      </c>
      <c r="D40" s="4">
        <f>SUM(D38:D39)</f>
        <v>882</v>
      </c>
    </row>
    <row r="42" spans="2:4" x14ac:dyDescent="0.25">
      <c r="B42" s="31" t="s">
        <v>34</v>
      </c>
      <c r="C42" s="31"/>
      <c r="D42" s="31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8">
        <v>1526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8">
        <v>388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1914</v>
      </c>
    </row>
    <row r="50" spans="2:4" x14ac:dyDescent="0.25">
      <c r="B50" s="12" t="s">
        <v>12</v>
      </c>
      <c r="C50" s="13">
        <f>SUMIF(B:B, "Total general", C:C)</f>
        <v>43259</v>
      </c>
      <c r="D50" s="13">
        <f>SUMIF(B:B, "Total general", D:D)</f>
        <v>495681.06000000006</v>
      </c>
    </row>
  </sheetData>
  <mergeCells count="7">
    <mergeCell ref="B29:D29"/>
    <mergeCell ref="B36:D36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tabSelected="1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14701</v>
      </c>
      <c r="D3" s="14">
        <f>SUMIF('CDC-OLGUIN'!B:B, "Extrajudicial - 0 a 28 semanas de atraso", 'CDC-OLGUIN'!D:D)</f>
        <v>274818.78999999998</v>
      </c>
    </row>
    <row r="4" spans="2:6" x14ac:dyDescent="0.25">
      <c r="B4" s="1" t="s">
        <v>5</v>
      </c>
      <c r="C4" s="6">
        <f>SUMIF('CDC-OLGUIN'!B:B, "Extrajudicial - 29 a 39 semanas de atraso", 'CDC-OLGUIN'!C:C)</f>
        <v>9202</v>
      </c>
      <c r="D4" s="14">
        <f>SUMIF('CDC-OLGUIN'!B:B, "Extrajudicial - 29 a 39 semanas de atraso", 'CDC-OLGUIN'!D:D)</f>
        <v>156747.59</v>
      </c>
    </row>
    <row r="5" spans="2:6" x14ac:dyDescent="0.25">
      <c r="B5" s="1" t="s">
        <v>6</v>
      </c>
      <c r="C5" s="6">
        <f>SUMIF('CDC-OLGUIN'!B:B, "Extrajudicial - 40 a 55 semanas de atraso", 'CDC-OLGUIN'!C:C)</f>
        <v>12502</v>
      </c>
      <c r="D5" s="14">
        <f>SUMIF('CDC-OLGUIN'!B:B, "Extrajudicial - 40 a 55 semanas de atraso", 'CDC-OLGUIN'!D:D)</f>
        <v>48236.87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9202.8100000000013</v>
      </c>
    </row>
    <row r="7" spans="2:6" x14ac:dyDescent="0.25">
      <c r="B7" s="1" t="s">
        <v>7</v>
      </c>
      <c r="C7" s="6">
        <f>SUMIF('CDC-OLGUIN'!B:B, "Mas 55 semanas de atraso", 'CDC-OLGUIN'!C:C)</f>
        <v>4115</v>
      </c>
      <c r="D7" s="6">
        <f>SUMIF('CDC-OLGUIN'!B:B, "Mas 55 semanas de atraso", 'CDC-OLGUIN'!D:D)</f>
        <v>6675</v>
      </c>
      <c r="E7" s="14"/>
      <c r="F7" s="7"/>
    </row>
    <row r="8" spans="2:6" x14ac:dyDescent="0.25">
      <c r="B8" s="3" t="s">
        <v>8</v>
      </c>
      <c r="C8" s="8">
        <f>SUM(C3:C7)</f>
        <v>43259</v>
      </c>
      <c r="D8" s="4">
        <f>SUM(D3:D7)</f>
        <v>495681.06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13755</v>
      </c>
      <c r="E6" s="16">
        <f>SUMIF('REPORTE DIARIO'!B:B,'EPR 26 JUN'!C6, 'REPORTE DIARIO'!D:D)</f>
        <v>468627.39999999997</v>
      </c>
      <c r="F6" s="16">
        <f>J6*D6</f>
        <v>864600</v>
      </c>
      <c r="G6" s="16">
        <f>+E6-F6</f>
        <v>-395972.60000000003</v>
      </c>
      <c r="H6" s="15">
        <f>ABS(G6/F6)</f>
        <v>0.45798357622021746</v>
      </c>
      <c r="I6" s="16">
        <f>E6/D6</f>
        <v>34.069603780443472</v>
      </c>
      <c r="J6" s="16">
        <f>(220/7)*2</f>
        <v>62.857142857142854</v>
      </c>
      <c r="K6" s="16">
        <f>+I6-J6</f>
        <v>-28.787539076699382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8210</v>
      </c>
      <c r="E7" s="16">
        <f>SUMIF('REPORTE DIARIO'!B:B,'EPR 26 JUN'!C7, 'REPORTE DIARIO'!D:D)</f>
        <v>162819.00999999998</v>
      </c>
      <c r="F7" s="16">
        <f>J7*D7</f>
        <v>258028.57142857142</v>
      </c>
      <c r="G7" s="16">
        <f>+E7-F7</f>
        <v>-95209.56142857144</v>
      </c>
      <c r="H7" s="15">
        <f>ABS(G7/F7)</f>
        <v>0.36898844535488878</v>
      </c>
      <c r="I7" s="16">
        <f>E7/D7</f>
        <v>19.831791717417779</v>
      </c>
      <c r="J7" s="16">
        <f>(110/7)*2</f>
        <v>31.428571428571427</v>
      </c>
      <c r="K7" s="16">
        <f t="shared" ref="K7:K9" si="0">+I7-J7</f>
        <v>-11.596779711153648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14698</v>
      </c>
      <c r="E8" s="16">
        <f>SUMIF('REPORTE DIARIO'!B:B,'EPR 26 JUN'!C8, 'REPORTE DIARIO'!D:D)</f>
        <v>104520.09</v>
      </c>
      <c r="F8" s="16">
        <f>J8*D8</f>
        <v>188974.28571428571</v>
      </c>
      <c r="G8" s="16">
        <f>+E8-F8</f>
        <v>-84454.195714285714</v>
      </c>
      <c r="H8" s="15">
        <f>ABS(G8/F8)</f>
        <v>0.44690840023585976</v>
      </c>
      <c r="I8" s="16">
        <f>E8/D8</f>
        <v>7.1111777112532311</v>
      </c>
      <c r="J8" s="16">
        <f>(45/7)*2</f>
        <v>12.857142857142858</v>
      </c>
      <c r="K8" s="16">
        <f t="shared" si="0"/>
        <v>-5.7459651458896266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57375</v>
      </c>
      <c r="E9" s="16">
        <f>SUMIF('REPORTE DIARIO'!B:B,'EPR 26 JUN'!C9, 'REPORTE DIARIO'!D:D)</f>
        <v>317847.56000000006</v>
      </c>
      <c r="F9" s="16">
        <f>J9*D9</f>
        <v>245892.85714285713</v>
      </c>
      <c r="G9" s="16">
        <f>+E9-F9</f>
        <v>71954.702857142925</v>
      </c>
      <c r="H9" s="15">
        <f>ABS(G9/F9)</f>
        <v>0.29262624255628206</v>
      </c>
      <c r="I9" s="16">
        <f>E9/D9</f>
        <v>5.5398267538126369</v>
      </c>
      <c r="J9" s="16">
        <f>(15/7)*2</f>
        <v>4.2857142857142856</v>
      </c>
      <c r="K9" s="16">
        <f t="shared" si="0"/>
        <v>1.2541124680983513</v>
      </c>
    </row>
    <row r="10" spans="2:12" x14ac:dyDescent="0.25">
      <c r="B10" s="16"/>
      <c r="C10" s="19" t="s">
        <v>16</v>
      </c>
      <c r="D10" s="24">
        <f>SUM(D6:D9)</f>
        <v>94038</v>
      </c>
      <c r="E10" s="20">
        <f>SUM(E6:E9)</f>
        <v>1053814.06</v>
      </c>
      <c r="F10" s="20">
        <f>SUM(F6:F9)</f>
        <v>1557495.7142857141</v>
      </c>
      <c r="G10" s="20">
        <f>+E10-F10</f>
        <v>-503681.65428571403</v>
      </c>
      <c r="H10" s="21">
        <f>ABS(G10/F10)</f>
        <v>0.32339200016143116</v>
      </c>
      <c r="I10" s="20">
        <f>E10/D10</f>
        <v>11.206257683064294</v>
      </c>
      <c r="J10" s="20">
        <f>F10/D10</f>
        <v>16.562407901972758</v>
      </c>
      <c r="K10" s="20">
        <f>I10-J10</f>
        <v>-5.3561502189084642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2025-10-30T16:44:04Z</cp:lastPrinted>
  <dcterms:created xsi:type="dcterms:W3CDTF">2025-01-27T15:11:28Z</dcterms:created>
  <dcterms:modified xsi:type="dcterms:W3CDTF">2025-10-30T16:44:06Z</dcterms:modified>
</cp:coreProperties>
</file>