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4\31 OCT\MAÑANA\"/>
    </mc:Choice>
  </mc:AlternateContent>
  <xr:revisionPtr revIDLastSave="0" documentId="13_ncr:1_{C66F987D-38A4-4489-BF2F-4DFC60A71C8E}" xr6:coauthVersionLast="47" xr6:coauthVersionMax="47" xr10:uidLastSave="{00000000-0000-0000-0000-000000000000}"/>
  <bookViews>
    <workbookView xWindow="1905" yWindow="1905" windowWidth="11130" windowHeight="6570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" i="5" l="1"/>
  <c r="D42" i="5"/>
  <c r="C26" i="1"/>
  <c r="D26" i="1"/>
  <c r="C18" i="1"/>
  <c r="D18" i="1"/>
  <c r="C42" i="5"/>
  <c r="D34" i="5"/>
  <c r="C34" i="5"/>
  <c r="D27" i="5"/>
  <c r="C27" i="5"/>
  <c r="C42" i="1"/>
  <c r="D42" i="1"/>
  <c r="C34" i="1"/>
  <c r="D18" i="5"/>
  <c r="C18" i="5"/>
  <c r="D48" i="5"/>
  <c r="C48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34" i="1"/>
  <c r="D6" i="3"/>
  <c r="D10" i="1" l="1"/>
  <c r="D50" i="1" s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<sst xmlns="http://schemas.openxmlformats.org/spreadsheetml/2006/main" count="139" uniqueCount="37">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</sst>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43" fontId="0" fillId="0" borderId="0" xfId="0" applyNumberFormat="1" applyFill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31" t="s">
        <v>0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8093</v>
      </c>
      <c r="D5" s="28">
        <v>335410.18999999994</v>
      </c>
    </row>
    <row r="6" spans="2:8" x14ac:dyDescent="0.25">
      <c r="B6" s="1" t="s">
        <v>5</v>
      </c>
      <c r="C6" s="6">
        <v>5226</v>
      </c>
      <c r="D6" s="28">
        <v>155517.67000000001</v>
      </c>
    </row>
    <row r="7" spans="2:8" x14ac:dyDescent="0.25">
      <c r="B7" s="1" t="s">
        <v>6</v>
      </c>
      <c r="C7" s="6">
        <v>7765</v>
      </c>
      <c r="D7" s="28">
        <v>77357.709999999992</v>
      </c>
    </row>
    <row r="8" spans="2:8" x14ac:dyDescent="0.25">
      <c r="B8" s="5" t="s">
        <v>11</v>
      </c>
      <c r="C8" s="7">
        <v>514</v>
      </c>
      <c r="D8" s="29">
        <v>0</v>
      </c>
    </row>
    <row r="9" spans="2:8" x14ac:dyDescent="0.25">
      <c r="B9" s="1" t="s">
        <v>7</v>
      </c>
      <c r="C9" s="6">
        <v>37308</v>
      </c>
      <c r="D9" s="28">
        <v>252925.72000000006</v>
      </c>
      <c r="E9" s="14"/>
      <c r="F9" s="7"/>
    </row>
    <row r="10" spans="2:8" x14ac:dyDescent="0.25">
      <c r="B10" s="3" t="s">
        <v>8</v>
      </c>
      <c r="C10" s="8">
        <f>SUM(C5:C9)</f>
        <v>58906</v>
      </c>
      <c r="D10" s="4">
        <f>SUM(D5:D9)</f>
        <v>821211.29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4944</v>
      </c>
      <c r="D14" s="28">
        <v>169576.24</v>
      </c>
    </row>
    <row r="15" spans="2:8" x14ac:dyDescent="0.25">
      <c r="B15" s="1" t="s">
        <v>5</v>
      </c>
      <c r="C15" s="6">
        <v>1022</v>
      </c>
      <c r="D15" s="28">
        <v>10872.900000000001</v>
      </c>
    </row>
    <row r="16" spans="2:8" x14ac:dyDescent="0.25">
      <c r="B16" s="1" t="s">
        <v>6</v>
      </c>
      <c r="C16" s="6">
        <v>3673</v>
      </c>
      <c r="D16" s="28">
        <v>25811.460000000003</v>
      </c>
    </row>
    <row r="17" spans="2:4" x14ac:dyDescent="0.25">
      <c r="B17" s="1" t="s">
        <v>7</v>
      </c>
      <c r="C17" s="6">
        <v>1029</v>
      </c>
      <c r="D17" s="28">
        <v>399</v>
      </c>
    </row>
    <row r="18" spans="2:4" x14ac:dyDescent="0.25">
      <c r="B18" s="10" t="s">
        <v>8</v>
      </c>
      <c r="C18" s="8">
        <f>SUM(C14:C17)</f>
        <v>10668</v>
      </c>
      <c r="D18" s="4">
        <f>SUM(D14:D17)</f>
        <v>206659.59999999998</v>
      </c>
    </row>
    <row r="20" spans="2:4" x14ac:dyDescent="0.25">
      <c r="B20" s="31" t="s">
        <v>34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>
        <v>96</v>
      </c>
      <c r="D22" s="28">
        <v>44366.080000000002</v>
      </c>
    </row>
    <row r="23" spans="2:4" x14ac:dyDescent="0.25">
      <c r="B23" s="1" t="s">
        <v>5</v>
      </c>
      <c r="C23" s="6">
        <v>191</v>
      </c>
      <c r="D23" s="28">
        <v>16232.62</v>
      </c>
    </row>
    <row r="24" spans="2:4" x14ac:dyDescent="0.25">
      <c r="B24" s="1" t="s">
        <v>6</v>
      </c>
      <c r="C24" s="6">
        <v>912</v>
      </c>
      <c r="D24" s="28">
        <v>26181</v>
      </c>
    </row>
    <row r="25" spans="2:4" x14ac:dyDescent="0.25">
      <c r="B25" s="1" t="s">
        <v>7</v>
      </c>
      <c r="C25" s="7">
        <v>14818</v>
      </c>
      <c r="D25" s="28">
        <v>99748.999999999985</v>
      </c>
    </row>
    <row r="26" spans="2:4" x14ac:dyDescent="0.25">
      <c r="B26" s="3" t="s">
        <v>8</v>
      </c>
      <c r="C26" s="8">
        <f>SUM(C22:C25)</f>
        <v>16017</v>
      </c>
      <c r="D26" s="4">
        <f>SUM(D22:D25)</f>
        <v>186528.7</v>
      </c>
    </row>
    <row r="28" spans="2:4" x14ac:dyDescent="0.25">
      <c r="B28" s="32" t="s">
        <v>9</v>
      </c>
      <c r="C28" s="32"/>
      <c r="D28" s="32"/>
    </row>
    <row r="29" spans="2:4" x14ac:dyDescent="0.25">
      <c r="B29" s="4" t="s">
        <v>1</v>
      </c>
      <c r="C29" s="4" t="s">
        <v>2</v>
      </c>
      <c r="D29" s="4" t="s">
        <v>3</v>
      </c>
    </row>
    <row r="30" spans="2:4" x14ac:dyDescent="0.25">
      <c r="B30" s="9" t="s">
        <v>4</v>
      </c>
      <c r="C30" s="6">
        <v>607</v>
      </c>
      <c r="D30" s="28">
        <v>43787.360000000001</v>
      </c>
    </row>
    <row r="31" spans="2:4" x14ac:dyDescent="0.25">
      <c r="B31" s="9" t="s">
        <v>5</v>
      </c>
      <c r="C31" s="6">
        <v>1744</v>
      </c>
      <c r="D31" s="28">
        <v>18871</v>
      </c>
    </row>
    <row r="32" spans="2:4" x14ac:dyDescent="0.25">
      <c r="B32" s="9" t="s">
        <v>6</v>
      </c>
      <c r="C32" s="6">
        <v>2344</v>
      </c>
      <c r="D32" s="28">
        <v>33470</v>
      </c>
    </row>
    <row r="33" spans="2:4" x14ac:dyDescent="0.25">
      <c r="B33" s="9" t="s">
        <v>7</v>
      </c>
      <c r="C33" s="6">
        <v>3501</v>
      </c>
      <c r="D33" s="28">
        <v>34820.009999999995</v>
      </c>
    </row>
    <row r="34" spans="2:4" x14ac:dyDescent="0.25">
      <c r="B34" s="10" t="s">
        <v>8</v>
      </c>
      <c r="C34" s="8">
        <f>SUM(C30:C33)</f>
        <v>8196</v>
      </c>
      <c r="D34" s="4">
        <f>SUM(D30:D33)</f>
        <v>130948.37</v>
      </c>
    </row>
    <row r="36" spans="2:4" x14ac:dyDescent="0.25">
      <c r="B36" s="31" t="s">
        <v>29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6">
        <v>15</v>
      </c>
      <c r="D38" s="28">
        <v>1507</v>
      </c>
    </row>
    <row r="39" spans="2:4" x14ac:dyDescent="0.25">
      <c r="B39" s="1" t="s">
        <v>5</v>
      </c>
      <c r="C39" s="6">
        <v>27</v>
      </c>
      <c r="D39" s="29">
        <v>0</v>
      </c>
    </row>
    <row r="40" spans="2:4" x14ac:dyDescent="0.25">
      <c r="B40" s="1" t="s">
        <v>6</v>
      </c>
      <c r="C40" s="6">
        <v>4</v>
      </c>
      <c r="D40" s="28">
        <v>990</v>
      </c>
    </row>
    <row r="41" spans="2:4" x14ac:dyDescent="0.25">
      <c r="B41" s="1" t="s">
        <v>7</v>
      </c>
      <c r="C41" s="6">
        <v>721</v>
      </c>
      <c r="D41" s="28">
        <v>2318</v>
      </c>
    </row>
    <row r="42" spans="2:4" x14ac:dyDescent="0.25">
      <c r="B42" s="3" t="s">
        <v>8</v>
      </c>
      <c r="C42" s="8">
        <f>SUM(C38:C41)</f>
        <v>767</v>
      </c>
      <c r="D42" s="4">
        <f>SUM(D38:D41)</f>
        <v>4815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12</v>
      </c>
      <c r="C50" s="13">
        <f>SUMIF(B:B, "Total general", C:C)</f>
        <v>94554</v>
      </c>
      <c r="D50" s="13">
        <f>SUMIF(B:B, "Total general", D:D)</f>
        <v>1350162.96</v>
      </c>
    </row>
  </sheetData>
  <mergeCells count="5">
    <mergeCell ref="B3:D3"/>
    <mergeCell ref="B28:D28"/>
    <mergeCell ref="B12:D12"/>
    <mergeCell ref="B20:D20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zoomScaleNormal="100" workbookViewId="0"/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1" t="s">
        <v>36</v>
      </c>
      <c r="C1" s="31"/>
      <c r="D1" s="31"/>
    </row>
    <row r="3" spans="2:8" x14ac:dyDescent="0.25">
      <c r="B3" s="31" t="s">
        <v>35</v>
      </c>
      <c r="C3" s="31"/>
      <c r="D3" s="31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27">
        <v>7998</v>
      </c>
      <c r="D5" s="28">
        <v>143986.38</v>
      </c>
      <c r="E5" s="11"/>
    </row>
    <row r="6" spans="2:8" x14ac:dyDescent="0.25">
      <c r="B6" s="1" t="s">
        <v>5</v>
      </c>
      <c r="C6" s="27">
        <v>6609</v>
      </c>
      <c r="D6" s="28">
        <v>153914.87</v>
      </c>
    </row>
    <row r="7" spans="2:8" x14ac:dyDescent="0.25">
      <c r="B7" s="1" t="s">
        <v>6</v>
      </c>
      <c r="C7" s="27">
        <v>6947</v>
      </c>
      <c r="D7" s="28">
        <v>44573.490000000005</v>
      </c>
    </row>
    <row r="8" spans="2:8" x14ac:dyDescent="0.25">
      <c r="B8" s="5" t="s">
        <v>11</v>
      </c>
      <c r="C8" s="27">
        <v>2739</v>
      </c>
      <c r="D8" s="28">
        <v>9252.8100000000013</v>
      </c>
    </row>
    <row r="9" spans="2:8" x14ac:dyDescent="0.25">
      <c r="B9" s="1" t="s">
        <v>7</v>
      </c>
      <c r="C9" s="27">
        <v>2912</v>
      </c>
      <c r="D9" s="28">
        <v>2918</v>
      </c>
      <c r="E9" s="14"/>
      <c r="F9" s="7"/>
    </row>
    <row r="10" spans="2:8" x14ac:dyDescent="0.25">
      <c r="B10" s="3" t="s">
        <v>8</v>
      </c>
      <c r="C10" s="8">
        <f>SUM(C5:C9)</f>
        <v>27205</v>
      </c>
      <c r="D10" s="4">
        <f>SUM(D5:D9)</f>
        <v>354645.55</v>
      </c>
      <c r="E10" s="11" t="s">
        <v>13</v>
      </c>
    </row>
    <row r="12" spans="2:8" x14ac:dyDescent="0.25">
      <c r="B12" s="32" t="s">
        <v>10</v>
      </c>
      <c r="C12" s="32"/>
      <c r="D12" s="32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26">
        <v>4925</v>
      </c>
      <c r="D14" s="28">
        <v>165714.23999999999</v>
      </c>
    </row>
    <row r="15" spans="2:8" x14ac:dyDescent="0.25">
      <c r="B15" s="1" t="s">
        <v>5</v>
      </c>
      <c r="C15" s="26">
        <v>608</v>
      </c>
      <c r="D15" s="28">
        <v>7241.9000000000005</v>
      </c>
    </row>
    <row r="16" spans="2:8" x14ac:dyDescent="0.25">
      <c r="B16" s="1" t="s">
        <v>6</v>
      </c>
      <c r="C16" s="26">
        <v>3529</v>
      </c>
      <c r="D16" s="28">
        <v>25811.460000000003</v>
      </c>
    </row>
    <row r="17" spans="2:4" x14ac:dyDescent="0.25">
      <c r="B17" s="9" t="s">
        <v>7</v>
      </c>
      <c r="C17" s="26">
        <v>27</v>
      </c>
      <c r="D17" s="28">
        <v>399</v>
      </c>
    </row>
    <row r="18" spans="2:4" x14ac:dyDescent="0.25">
      <c r="B18" s="10" t="s">
        <v>8</v>
      </c>
      <c r="C18" s="8">
        <f>SUM(C14:C17)</f>
        <v>9089</v>
      </c>
      <c r="D18" s="4">
        <f>SUM(D14:D17)</f>
        <v>199166.59999999998</v>
      </c>
    </row>
    <row r="20" spans="2:4" x14ac:dyDescent="0.25">
      <c r="B20" s="31" t="s">
        <v>0</v>
      </c>
      <c r="C20" s="31"/>
      <c r="D20" s="31"/>
    </row>
    <row r="21" spans="2:4" x14ac:dyDescent="0.25">
      <c r="B21" s="2" t="s">
        <v>1</v>
      </c>
      <c r="C21" s="2" t="s">
        <v>2</v>
      </c>
      <c r="D21" s="2" t="s">
        <v>3</v>
      </c>
    </row>
    <row r="22" spans="2:4" x14ac:dyDescent="0.25">
      <c r="B22" s="9" t="s">
        <v>4</v>
      </c>
      <c r="C22" s="26">
        <v>885</v>
      </c>
      <c r="D22" s="28">
        <v>55290.659999999996</v>
      </c>
    </row>
    <row r="23" spans="2:4" x14ac:dyDescent="0.25">
      <c r="B23" s="1" t="s">
        <v>5</v>
      </c>
      <c r="C23" s="26">
        <v>992</v>
      </c>
      <c r="D23" s="28">
        <v>5585</v>
      </c>
    </row>
    <row r="24" spans="2:4" x14ac:dyDescent="0.25">
      <c r="B24" s="1" t="s">
        <v>6</v>
      </c>
      <c r="C24" s="26">
        <v>1010</v>
      </c>
      <c r="D24" s="28">
        <v>521</v>
      </c>
    </row>
    <row r="25" spans="2:4" x14ac:dyDescent="0.25">
      <c r="B25" s="5" t="s">
        <v>11</v>
      </c>
      <c r="C25" s="26">
        <v>0</v>
      </c>
      <c r="D25" s="30">
        <v>0</v>
      </c>
    </row>
    <row r="26" spans="2:4" x14ac:dyDescent="0.25">
      <c r="B26" s="1" t="s">
        <v>7</v>
      </c>
      <c r="C26" s="26">
        <v>303</v>
      </c>
      <c r="D26" s="28">
        <v>4091</v>
      </c>
    </row>
    <row r="27" spans="2:4" x14ac:dyDescent="0.25">
      <c r="B27" s="3" t="s">
        <v>8</v>
      </c>
      <c r="C27" s="8">
        <f>SUM(C22:C26)</f>
        <v>3190</v>
      </c>
      <c r="D27" s="4">
        <f>SUM(D22:D26)</f>
        <v>65487.659999999996</v>
      </c>
    </row>
    <row r="29" spans="2:4" x14ac:dyDescent="0.25">
      <c r="B29" s="32" t="s">
        <v>9</v>
      </c>
      <c r="C29" s="32"/>
      <c r="D29" s="32"/>
    </row>
    <row r="30" spans="2:4" x14ac:dyDescent="0.25">
      <c r="B30" s="4" t="s">
        <v>1</v>
      </c>
      <c r="C30" s="4" t="s">
        <v>2</v>
      </c>
      <c r="D30" s="4" t="s">
        <v>3</v>
      </c>
    </row>
    <row r="31" spans="2:4" x14ac:dyDescent="0.25">
      <c r="B31" s="9" t="s">
        <v>4</v>
      </c>
      <c r="C31" s="26">
        <v>2</v>
      </c>
      <c r="D31" s="25">
        <v>0</v>
      </c>
    </row>
    <row r="32" spans="2:4" x14ac:dyDescent="0.25">
      <c r="B32" s="9" t="s">
        <v>5</v>
      </c>
      <c r="C32" s="26">
        <v>1</v>
      </c>
      <c r="D32" s="25">
        <v>0</v>
      </c>
    </row>
    <row r="33" spans="2:4" x14ac:dyDescent="0.25">
      <c r="B33" s="9" t="s">
        <v>7</v>
      </c>
      <c r="C33" s="26">
        <v>176</v>
      </c>
      <c r="D33" s="28">
        <v>1200</v>
      </c>
    </row>
    <row r="34" spans="2:4" x14ac:dyDescent="0.25">
      <c r="B34" s="10" t="s">
        <v>8</v>
      </c>
      <c r="C34" s="8">
        <f>SUM(C31:C33)</f>
        <v>179</v>
      </c>
      <c r="D34" s="4">
        <f>SUM(D31:D33)</f>
        <v>1200</v>
      </c>
    </row>
    <row r="36" spans="2:4" x14ac:dyDescent="0.25">
      <c r="B36" s="31" t="s">
        <v>34</v>
      </c>
      <c r="C36" s="31"/>
      <c r="D36" s="31"/>
    </row>
    <row r="37" spans="2:4" x14ac:dyDescent="0.25">
      <c r="B37" s="2" t="s">
        <v>1</v>
      </c>
      <c r="C37" s="2" t="s">
        <v>2</v>
      </c>
      <c r="D37" s="2" t="s">
        <v>3</v>
      </c>
    </row>
    <row r="38" spans="2:4" x14ac:dyDescent="0.25">
      <c r="B38" s="9" t="s">
        <v>4</v>
      </c>
      <c r="C38" s="26">
        <v>2</v>
      </c>
      <c r="D38" s="28">
        <v>763</v>
      </c>
    </row>
    <row r="39" spans="2:4" x14ac:dyDescent="0.25">
      <c r="B39" s="1" t="s">
        <v>5</v>
      </c>
      <c r="C39" s="11">
        <v>0</v>
      </c>
      <c r="D39" s="25">
        <v>0</v>
      </c>
    </row>
    <row r="40" spans="2:4" x14ac:dyDescent="0.25">
      <c r="B40" s="1" t="s">
        <v>6</v>
      </c>
      <c r="C40" s="26">
        <v>1</v>
      </c>
      <c r="D40" s="25">
        <v>0</v>
      </c>
    </row>
    <row r="41" spans="2:4" x14ac:dyDescent="0.25">
      <c r="B41" s="1" t="s">
        <v>7</v>
      </c>
      <c r="C41" s="26">
        <v>330</v>
      </c>
      <c r="D41" s="28">
        <v>388</v>
      </c>
    </row>
    <row r="42" spans="2:4" x14ac:dyDescent="0.25">
      <c r="B42" s="3" t="s">
        <v>8</v>
      </c>
      <c r="C42" s="8">
        <f>SUM(C38:C41)</f>
        <v>333</v>
      </c>
      <c r="D42" s="4">
        <f>SUM(D38:D41)</f>
        <v>1151</v>
      </c>
    </row>
    <row r="44" spans="2:4" x14ac:dyDescent="0.25">
      <c r="B44" s="31" t="s">
        <v>29</v>
      </c>
      <c r="C44" s="31"/>
      <c r="D44" s="31"/>
    </row>
    <row r="45" spans="2:4" x14ac:dyDescent="0.25">
      <c r="B45" s="2" t="s">
        <v>1</v>
      </c>
      <c r="C45" s="2" t="s">
        <v>2</v>
      </c>
      <c r="D45" s="2" t="s">
        <v>3</v>
      </c>
    </row>
    <row r="46" spans="2:4" x14ac:dyDescent="0.25">
      <c r="B46" s="9" t="s">
        <v>4</v>
      </c>
      <c r="C46" s="26">
        <v>2</v>
      </c>
      <c r="D46" s="28">
        <v>882</v>
      </c>
    </row>
    <row r="47" spans="2:4" x14ac:dyDescent="0.25">
      <c r="B47" s="1" t="s">
        <v>7</v>
      </c>
      <c r="C47" s="26">
        <v>64</v>
      </c>
      <c r="D47" s="29">
        <v>0</v>
      </c>
    </row>
    <row r="48" spans="2:4" x14ac:dyDescent="0.25">
      <c r="B48" s="3" t="s">
        <v>8</v>
      </c>
      <c r="C48" s="8">
        <f>SUM(C46:C47)</f>
        <v>66</v>
      </c>
      <c r="D48" s="4">
        <f>SUM(D46:D47)</f>
        <v>882</v>
      </c>
    </row>
    <row r="50" spans="2:4" x14ac:dyDescent="0.25">
      <c r="B50" s="12" t="s">
        <v>12</v>
      </c>
      <c r="C50" s="13">
        <f>SUMIF(B:B, "Total general", C:C)</f>
        <v>40062</v>
      </c>
      <c r="D50" s="13">
        <f>SUMIF(B:B, "Total general", D:D)</f>
        <v>622532.80999999994</v>
      </c>
    </row>
  </sheetData>
  <mergeCells count="7">
    <mergeCell ref="B29:D29"/>
    <mergeCell ref="B44:D44"/>
    <mergeCell ref="B12:D12"/>
    <mergeCell ref="B36:D36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1" t="s">
        <v>36</v>
      </c>
      <c r="C1" s="31"/>
      <c r="D1" s="31"/>
    </row>
    <row r="2" spans="2:6" x14ac:dyDescent="0.25">
      <c r="B2" s="2" t="s">
        <v>1</v>
      </c>
      <c r="C2" s="2" t="s">
        <v>2</v>
      </c>
      <c r="D2" s="2" t="s">
        <v>3</v>
      </c>
    </row>
    <row r="3" spans="2:6" x14ac:dyDescent="0.25">
      <c r="B3" s="1" t="s">
        <v>4</v>
      </c>
      <c r="C3" s="6">
        <f>SUMIF('CDC-OLGUIN'!B:B, "Extrajudicial - 0 a 28 semanas de atraso", 'CDC-OLGUIN'!C:C)</f>
        <v>13814</v>
      </c>
      <c r="D3" s="14">
        <f>SUMIF('CDC-OLGUIN'!B:B, "Extrajudicial - 0 a 28 semanas de atraso", 'CDC-OLGUIN'!D:D)</f>
        <v>366636.27999999997</v>
      </c>
    </row>
    <row r="4" spans="2:6" x14ac:dyDescent="0.25">
      <c r="B4" s="1" t="s">
        <v>5</v>
      </c>
      <c r="C4" s="6">
        <f>SUMIF('CDC-OLGUIN'!B:B, "Extrajudicial - 29 a 39 semanas de atraso", 'CDC-OLGUIN'!C:C)</f>
        <v>8210</v>
      </c>
      <c r="D4" s="14">
        <f>SUMIF('CDC-OLGUIN'!B:B, "Extrajudicial - 29 a 39 semanas de atraso", 'CDC-OLGUIN'!D:D)</f>
        <v>166741.76999999999</v>
      </c>
    </row>
    <row r="5" spans="2:6" x14ac:dyDescent="0.25">
      <c r="B5" s="1" t="s">
        <v>6</v>
      </c>
      <c r="C5" s="6">
        <f>SUMIF('CDC-OLGUIN'!B:B, "Extrajudicial - 40 a 55 semanas de atraso", 'CDC-OLGUIN'!C:C)</f>
        <v>11487</v>
      </c>
      <c r="D5" s="14">
        <f>SUMIF('CDC-OLGUIN'!B:B, "Extrajudicial - 40 a 55 semanas de atraso", 'CDC-OLGUIN'!D:D)</f>
        <v>70905.950000000012</v>
      </c>
    </row>
    <row r="6" spans="2:6" x14ac:dyDescent="0.25">
      <c r="B6" s="5" t="s">
        <v>11</v>
      </c>
      <c r="C6" s="6">
        <f>SUMIF('CDC-OLGUIN'!B:B, "JUDICIAL", 'CDC-OLGUIN'!C:C)</f>
        <v>2739</v>
      </c>
      <c r="D6" s="14">
        <f>SUMIF('CDC-OLGUIN'!B:B, "JUDICIAL", 'CDC-OLGUIN'!D:D)</f>
        <v>9252.8100000000013</v>
      </c>
    </row>
    <row r="7" spans="2:6" x14ac:dyDescent="0.25">
      <c r="B7" s="1" t="s">
        <v>7</v>
      </c>
      <c r="C7" s="6">
        <f>SUMIF('CDC-OLGUIN'!B:B, "Mas 55 semanas de atraso", 'CDC-OLGUIN'!C:C)</f>
        <v>3812</v>
      </c>
      <c r="D7" s="6">
        <f>SUMIF('CDC-OLGUIN'!B:B, "Mas 55 semanas de atraso", 'CDC-OLGUIN'!D:D)</f>
        <v>8996</v>
      </c>
      <c r="E7" s="14"/>
      <c r="F7" s="7"/>
    </row>
    <row r="8" spans="2:6" x14ac:dyDescent="0.25">
      <c r="B8" s="3" t="s">
        <v>8</v>
      </c>
      <c r="C8" s="8">
        <f>SUM(C3:C7)</f>
        <v>40062</v>
      </c>
      <c r="D8" s="4">
        <f>SUM(D3:D7)</f>
        <v>622532.81000000006</v>
      </c>
      <c r="E8" s="11" t="s">
        <v>13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20</v>
      </c>
    </row>
    <row r="3" spans="2:12" x14ac:dyDescent="0.25">
      <c r="B3" s="17" t="s">
        <v>33</v>
      </c>
    </row>
    <row r="5" spans="2:12" x14ac:dyDescent="0.25">
      <c r="B5" t="s">
        <v>26</v>
      </c>
      <c r="C5" t="s">
        <v>27</v>
      </c>
      <c r="D5" s="17" t="s">
        <v>14</v>
      </c>
      <c r="E5" s="17" t="s">
        <v>25</v>
      </c>
      <c r="F5" s="17" t="s">
        <v>18</v>
      </c>
      <c r="G5" s="17" t="s">
        <v>19</v>
      </c>
      <c r="H5" s="17" t="s">
        <v>21</v>
      </c>
      <c r="I5" s="17" t="s">
        <v>15</v>
      </c>
      <c r="J5" s="17" t="s">
        <v>17</v>
      </c>
      <c r="K5" s="17" t="s">
        <v>22</v>
      </c>
      <c r="L5" s="15"/>
    </row>
    <row r="6" spans="2:12" x14ac:dyDescent="0.25">
      <c r="B6" s="16" t="s">
        <v>31</v>
      </c>
      <c r="C6" s="16" t="s">
        <v>4</v>
      </c>
      <c r="D6" s="23">
        <f>SUMIF('REPORTE DIARIO'!B:B,'EPR 26 JUN'!C6, 'REPORTE DIARIO'!C:C)</f>
        <v>13755</v>
      </c>
      <c r="E6" s="16">
        <f>SUMIF('REPORTE DIARIO'!B:B,'EPR 26 JUN'!C6, 'REPORTE DIARIO'!D:D)</f>
        <v>594646.86999999988</v>
      </c>
      <c r="F6" s="16">
        <f>J6*D6</f>
        <v>864600</v>
      </c>
      <c r="G6" s="16">
        <f>+E6-F6</f>
        <v>-269953.13000000012</v>
      </c>
      <c r="H6" s="15">
        <f>ABS(G6/F6)</f>
        <v>0.31222892667129321</v>
      </c>
      <c r="I6" s="16">
        <f>E6/D6</f>
        <v>43.231324609232999</v>
      </c>
      <c r="J6" s="16">
        <f>(220/7)*2</f>
        <v>62.857142857142854</v>
      </c>
      <c r="K6" s="16">
        <f>+I6-J6</f>
        <v>-19.625818247909855</v>
      </c>
      <c r="L6" s="15"/>
    </row>
    <row r="7" spans="2:12" x14ac:dyDescent="0.25">
      <c r="B7" s="16" t="s">
        <v>28</v>
      </c>
      <c r="C7" s="16" t="s">
        <v>5</v>
      </c>
      <c r="D7" s="23">
        <f>SUMIF('REPORTE DIARIO'!B:B,'EPR 26 JUN'!C7, 'REPORTE DIARIO'!C:C)</f>
        <v>8210</v>
      </c>
      <c r="E7" s="16">
        <f>SUMIF('REPORTE DIARIO'!B:B,'EPR 26 JUN'!C7, 'REPORTE DIARIO'!D:D)</f>
        <v>201494.19</v>
      </c>
      <c r="F7" s="16">
        <f>J7*D7</f>
        <v>258028.57142857142</v>
      </c>
      <c r="G7" s="16">
        <f>+E7-F7</f>
        <v>-56534.381428571418</v>
      </c>
      <c r="H7" s="15">
        <f>ABS(G7/F7)</f>
        <v>0.21910124570922376</v>
      </c>
      <c r="I7" s="16">
        <f>E7/D7</f>
        <v>24.542532277710109</v>
      </c>
      <c r="J7" s="16">
        <f>(110/7)*2</f>
        <v>31.428571428571427</v>
      </c>
      <c r="K7" s="16">
        <f t="shared" ref="K7:K9" si="0">+I7-J7</f>
        <v>-6.8860391508613183</v>
      </c>
      <c r="L7" s="15"/>
    </row>
    <row r="8" spans="2:12" x14ac:dyDescent="0.25">
      <c r="B8" s="16" t="s">
        <v>28</v>
      </c>
      <c r="C8" s="16" t="s">
        <v>6</v>
      </c>
      <c r="D8" s="23">
        <f>SUMIF('REPORTE DIARIO'!B:B,'EPR 26 JUN'!C8, 'REPORTE DIARIO'!C:C)</f>
        <v>14698</v>
      </c>
      <c r="E8" s="16">
        <f>SUMIF('REPORTE DIARIO'!B:B,'EPR 26 JUN'!C8, 'REPORTE DIARIO'!D:D)</f>
        <v>163810.16999999998</v>
      </c>
      <c r="F8" s="16">
        <f>J8*D8</f>
        <v>188974.28571428571</v>
      </c>
      <c r="G8" s="16">
        <f>+E8-F8</f>
        <v>-25164.115714285726</v>
      </c>
      <c r="H8" s="15">
        <f>ABS(G8/F8)</f>
        <v>0.13316158661042327</v>
      </c>
      <c r="I8" s="16">
        <f>E8/D8</f>
        <v>11.145065315008843</v>
      </c>
      <c r="J8" s="16">
        <f>(45/7)*2</f>
        <v>12.857142857142858</v>
      </c>
      <c r="K8" s="16">
        <f t="shared" si="0"/>
        <v>-1.7120775421340149</v>
      </c>
      <c r="L8" s="15"/>
    </row>
    <row r="9" spans="2:12" x14ac:dyDescent="0.25">
      <c r="B9" s="16" t="s">
        <v>32</v>
      </c>
      <c r="C9" s="16" t="s">
        <v>7</v>
      </c>
      <c r="D9" s="23">
        <f>SUMIF('REPORTE DIARIO'!B:B,'EPR 26 JUN'!C9, 'REPORTE DIARIO'!C:C)</f>
        <v>57377</v>
      </c>
      <c r="E9" s="16">
        <f>SUMIF('REPORTE DIARIO'!B:B,'EPR 26 JUN'!C9, 'REPORTE DIARIO'!D:D)</f>
        <v>390211.73000000004</v>
      </c>
      <c r="F9" s="16">
        <f>J9*D9</f>
        <v>245901.42857142855</v>
      </c>
      <c r="G9" s="16">
        <f>+E9-F9</f>
        <v>144310.30142857149</v>
      </c>
      <c r="H9" s="15">
        <f>ABS(G9/F9)</f>
        <v>0.5868623955011012</v>
      </c>
      <c r="I9" s="16">
        <f>E9/D9</f>
        <v>6.8008388378618614</v>
      </c>
      <c r="J9" s="16">
        <f>(15/7)*2</f>
        <v>4.2857142857142856</v>
      </c>
      <c r="K9" s="16">
        <f t="shared" si="0"/>
        <v>2.5151245521475758</v>
      </c>
    </row>
    <row r="10" spans="2:12" x14ac:dyDescent="0.25">
      <c r="B10" s="16"/>
      <c r="C10" s="19" t="s">
        <v>16</v>
      </c>
      <c r="D10" s="24">
        <f>SUM(D6:D9)</f>
        <v>94040</v>
      </c>
      <c r="E10" s="20">
        <f>SUM(E6:E9)</f>
        <v>1350162.9599999997</v>
      </c>
      <c r="F10" s="20">
        <f>SUM(F6:F9)</f>
        <v>1557504.2857142857</v>
      </c>
      <c r="G10" s="20">
        <f>+E10-F10</f>
        <v>-207341.32571428595</v>
      </c>
      <c r="H10" s="21">
        <f>ABS(G10/F10)</f>
        <v>0.13312408037400508</v>
      </c>
      <c r="I10" s="20">
        <f>E10/D10</f>
        <v>14.357326244151421</v>
      </c>
      <c r="J10" s="20">
        <f>F10/D10</f>
        <v>16.562146806829919</v>
      </c>
      <c r="K10" s="20">
        <f>I10-J10</f>
        <v>-2.2048205626784974</v>
      </c>
    </row>
    <row r="12" spans="2:12" x14ac:dyDescent="0.25">
      <c r="B12" s="22" t="s">
        <v>23</v>
      </c>
      <c r="I12" s="14"/>
    </row>
    <row r="13" spans="2:12" x14ac:dyDescent="0.25">
      <c r="B13" t="s">
        <v>24</v>
      </c>
    </row>
    <row r="14" spans="2:12" x14ac:dyDescent="0.25">
      <c r="B14" t="s">
        <v>30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2025-10-31T16:09:05Z</cp:lastPrinted>
  <dcterms:created xsi:type="dcterms:W3CDTF">2025-01-27T15:11:28Z</dcterms:created>
  <dcterms:modified xsi:type="dcterms:W3CDTF">2025-10-31T16:11:32Z</dcterms:modified>
</cp:coreProperties>
</file>