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4\01 NOV\TARDE2\"/>
    </mc:Choice>
  </mc:AlternateContent>
  <xr:revisionPtr revIDLastSave="0" documentId="8_{64B8FEBC-1FF0-4085-A878-79C31FFBFC2A}" xr6:coauthVersionLast="47" xr6:coauthVersionMax="47" xr10:uidLastSave="{00000000-0000-0000-0000-000000000000}"/>
  <bookViews>
    <workbookView xWindow="-108" yWindow="-108" windowWidth="23256" windowHeight="12456" xr2:uid="{A313B310-78C3-4825-AA77-66A77BC105F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2" i="2" s="1"/>
  <c r="B2" i="1"/>
  <c r="D9" i="1" s="1"/>
</calcChain>
</file>

<file path=xl/sharedStrings.xml><?xml version="1.0" encoding="utf-8"?>
<sst xmlns="http://schemas.openxmlformats.org/spreadsheetml/2006/main" count="109" uniqueCount="23">
  <si>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</si>
  <si>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</si>
  <si>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</si>
  <si>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</si>
  <si>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</si>
  <si>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</si>
  <si>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</si>
  <si>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</si>
  <si>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</si>
  <si>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</si>
  <si>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</si>
  <si>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</si>
  <si>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</si>
  <si>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</si>
  <si>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</si>
  <si>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</si>
  <si>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OTROS</t>
  </si>
  <si>
    <t>REESTRUCTURA</t>
  </si>
  <si>
    <t>TAZ</t>
  </si>
  <si>
    <t>TOR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</si>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</sst>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B26A-66E9-476D-8381-FFBE44EFCF0F}">
  <dimension ref="B2:D39"/>
  <sheetViews>
    <sheetView tabSelected="1" workbookViewId="0">
      <selection activeCell="D8" sqref="D8:D9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01/11/2025  15:38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38743.1</v>
      </c>
    </row>
    <row r="6" spans="2:4" x14ac:dyDescent="0.3">
      <c r="B6" s="2" t="s">
        <v>2</v>
      </c>
      <c r="C6" s="3">
        <v>40560.400000000001</v>
      </c>
    </row>
    <row r="7" spans="2:4" x14ac:dyDescent="0.3">
      <c r="B7" s="2" t="s">
        <v>3</v>
      </c>
      <c r="C7" s="3">
        <v>18044</v>
      </c>
    </row>
    <row r="8" spans="2:4" ht="15" thickBot="1" x14ac:dyDescent="0.35">
      <c r="B8" s="2" t="s">
        <v>4</v>
      </c>
      <c r="C8" s="3">
        <v>53058.26</v>
      </c>
      <c r="D8" s="1" t="s">
        <v>11</v>
      </c>
    </row>
    <row r="9" spans="2:4" ht="15" thickTop="1" x14ac:dyDescent="0.3">
      <c r="B9" s="4" t="s">
        <v>5</v>
      </c>
      <c r="C9" s="5">
        <v>150405.76000000001</v>
      </c>
      <c r="D9" s="5">
        <f ca="1">SUMIF(B:B, "Total general", C:C)</f>
        <v>236474.97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5636</v>
      </c>
    </row>
    <row r="14" spans="2:4" x14ac:dyDescent="0.3">
      <c r="B14" s="2" t="s">
        <v>2</v>
      </c>
      <c r="C14" s="3">
        <v>9084</v>
      </c>
    </row>
    <row r="15" spans="2:4" x14ac:dyDescent="0.3">
      <c r="B15" s="2" t="s">
        <v>3</v>
      </c>
      <c r="C15" s="3">
        <v>5124</v>
      </c>
    </row>
    <row r="16" spans="2:4" ht="15" thickBot="1" x14ac:dyDescent="0.35">
      <c r="B16" s="2" t="s">
        <v>4</v>
      </c>
      <c r="C16" s="3">
        <v>7912</v>
      </c>
    </row>
    <row r="17" spans="2:3" ht="15" thickTop="1" x14ac:dyDescent="0.3">
      <c r="B17" s="4" t="s">
        <v>5</v>
      </c>
      <c r="C17" s="5">
        <v>27756</v>
      </c>
    </row>
    <row r="19" spans="2:3" x14ac:dyDescent="0.3">
      <c r="B19" s="6" t="s">
        <v>8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2814</v>
      </c>
    </row>
    <row r="22" spans="2:3" x14ac:dyDescent="0.3">
      <c r="B22" s="2" t="s">
        <v>2</v>
      </c>
      <c r="C22" s="3">
        <v>9560</v>
      </c>
    </row>
    <row r="23" spans="2:3" x14ac:dyDescent="0.3">
      <c r="B23" s="2" t="s">
        <v>3</v>
      </c>
      <c r="C23" s="3">
        <v>4017</v>
      </c>
    </row>
    <row r="24" spans="2:3" ht="15" thickBot="1" x14ac:dyDescent="0.35">
      <c r="B24" s="2" t="s">
        <v>4</v>
      </c>
      <c r="C24" s="3">
        <v>10521.19</v>
      </c>
    </row>
    <row r="25" spans="2:3" ht="15" thickTop="1" x14ac:dyDescent="0.3">
      <c r="B25" s="4" t="s">
        <v>5</v>
      </c>
      <c r="C25" s="5">
        <v>26912.190000000002</v>
      </c>
    </row>
    <row r="27" spans="2:3" x14ac:dyDescent="0.3">
      <c r="B27" s="6" t="s">
        <v>10</v>
      </c>
      <c r="C27" s="6"/>
    </row>
    <row r="28" spans="2:3" x14ac:dyDescent="0.3">
      <c r="B28" s="1" t="s">
        <v>12</v>
      </c>
      <c r="C28" s="1" t="s">
        <v>0</v>
      </c>
    </row>
    <row r="29" spans="2:3" x14ac:dyDescent="0.3">
      <c r="B29" s="2" t="s">
        <v>1</v>
      </c>
      <c r="C29" s="3">
        <v>18737</v>
      </c>
    </row>
    <row r="30" spans="2:3" x14ac:dyDescent="0.3">
      <c r="B30" s="2" t="s">
        <v>2</v>
      </c>
      <c r="C30" s="3">
        <v>7315.02</v>
      </c>
    </row>
    <row r="31" spans="2:3" ht="15" thickBot="1" x14ac:dyDescent="0.35">
      <c r="B31" s="2" t="s">
        <v>3</v>
      </c>
      <c r="C31" s="3">
        <v>130</v>
      </c>
    </row>
    <row r="32" spans="2:3" ht="15" thickTop="1" x14ac:dyDescent="0.3">
      <c r="B32" s="4" t="s">
        <v>5</v>
      </c>
      <c r="C32" s="5">
        <v>26182.02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x14ac:dyDescent="0.3">
      <c r="B36" s="2" t="s">
        <v>1</v>
      </c>
      <c r="C36" s="3">
        <v>1935</v>
      </c>
    </row>
    <row r="37" spans="2:3" x14ac:dyDescent="0.3">
      <c r="B37" s="2" t="s">
        <v>2</v>
      </c>
      <c r="C37" s="3">
        <v>468</v>
      </c>
    </row>
    <row r="38" spans="2:3" ht="15" thickBot="1" x14ac:dyDescent="0.35">
      <c r="B38" s="2" t="s">
        <v>4</v>
      </c>
      <c r="C38" s="3">
        <v>2816</v>
      </c>
    </row>
    <row r="39" spans="2:3" ht="15" thickTop="1" x14ac:dyDescent="0.3">
      <c r="B39" s="4" t="s">
        <v>5</v>
      </c>
      <c r="C39" s="5">
        <v>5219</v>
      </c>
    </row>
  </sheetData>
  <mergeCells count="6">
    <mergeCell ref="B3:C3"/>
    <mergeCell ref="B11:C11"/>
    <mergeCell ref="B19:C19"/>
    <mergeCell ref="B34:C34"/>
    <mergeCell ref="B27:C27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5F66-3360-4EEA-BE51-960364A848C2}">
  <dimension ref="B2:D43"/>
  <sheetViews>
    <sheetView workbookViewId="0">
      <selection activeCell="D11" sqref="D11:D12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01/11/2025  15:38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21</v>
      </c>
      <c r="C4" s="1" t="s">
        <v>0</v>
      </c>
    </row>
    <row r="5" spans="2:4" x14ac:dyDescent="0.3">
      <c r="B5" s="2" t="s">
        <v>13</v>
      </c>
      <c r="C5" s="3">
        <v>8745.6</v>
      </c>
    </row>
    <row r="6" spans="2:4" x14ac:dyDescent="0.3">
      <c r="B6" s="2" t="s">
        <v>14</v>
      </c>
      <c r="C6" s="3">
        <v>10164</v>
      </c>
    </row>
    <row r="7" spans="2:4" x14ac:dyDescent="0.3">
      <c r="B7" s="2" t="s">
        <v>15</v>
      </c>
      <c r="C7" s="3">
        <v>15285.4</v>
      </c>
    </row>
    <row r="8" spans="2:4" x14ac:dyDescent="0.3">
      <c r="B8" s="2" t="s">
        <v>16</v>
      </c>
      <c r="C8" s="3">
        <v>121</v>
      </c>
    </row>
    <row r="9" spans="2:4" x14ac:dyDescent="0.3">
      <c r="B9" s="2" t="s">
        <v>17</v>
      </c>
      <c r="C9" s="3">
        <v>8672</v>
      </c>
    </row>
    <row r="10" spans="2:4" x14ac:dyDescent="0.3">
      <c r="B10" s="2" t="s">
        <v>18</v>
      </c>
      <c r="C10" s="3">
        <v>1373</v>
      </c>
    </row>
    <row r="11" spans="2:4" ht="15" thickBot="1" x14ac:dyDescent="0.35">
      <c r="B11" s="2" t="s">
        <v>19</v>
      </c>
      <c r="C11" s="3">
        <v>106044.76000000001</v>
      </c>
      <c r="D11" s="1" t="s">
        <v>11</v>
      </c>
    </row>
    <row r="12" spans="2:4" ht="15" thickTop="1" x14ac:dyDescent="0.3">
      <c r="B12" s="4" t="s">
        <v>5</v>
      </c>
      <c r="C12" s="5">
        <v>150405.76000000001</v>
      </c>
      <c r="D12" s="5">
        <f ca="1">SUMIF(B:B, "Total general", C:C)</f>
        <v>236474.97</v>
      </c>
    </row>
    <row r="14" spans="2:4" x14ac:dyDescent="0.3">
      <c r="B14" s="6" t="s">
        <v>7</v>
      </c>
      <c r="C14" s="6"/>
    </row>
    <row r="15" spans="2:4" x14ac:dyDescent="0.3">
      <c r="B15" s="1" t="s">
        <v>21</v>
      </c>
      <c r="C15" s="1" t="s">
        <v>0</v>
      </c>
    </row>
    <row r="16" spans="2:4" x14ac:dyDescent="0.3">
      <c r="B16" s="2" t="s">
        <v>13</v>
      </c>
      <c r="C16" s="3">
        <v>2824</v>
      </c>
    </row>
    <row r="17" spans="2:3" x14ac:dyDescent="0.3">
      <c r="B17" s="2" t="s">
        <v>14</v>
      </c>
      <c r="C17" s="3">
        <v>3403</v>
      </c>
    </row>
    <row r="18" spans="2:3" x14ac:dyDescent="0.3">
      <c r="B18" s="2" t="s">
        <v>15</v>
      </c>
      <c r="C18" s="3">
        <v>1126</v>
      </c>
    </row>
    <row r="19" spans="2:3" x14ac:dyDescent="0.3">
      <c r="B19" s="2" t="s">
        <v>20</v>
      </c>
      <c r="C19" s="3">
        <v>1084</v>
      </c>
    </row>
    <row r="20" spans="2:3" x14ac:dyDescent="0.3">
      <c r="B20" s="2" t="s">
        <v>17</v>
      </c>
      <c r="C20" s="3">
        <v>7151</v>
      </c>
    </row>
    <row r="21" spans="2:3" ht="15" thickBot="1" x14ac:dyDescent="0.35">
      <c r="B21" s="2" t="s">
        <v>19</v>
      </c>
      <c r="C21" s="3">
        <v>12168</v>
      </c>
    </row>
    <row r="22" spans="2:3" ht="15" thickTop="1" x14ac:dyDescent="0.3">
      <c r="B22" s="4" t="s">
        <v>5</v>
      </c>
      <c r="C22" s="5">
        <v>27756</v>
      </c>
    </row>
    <row r="24" spans="2:3" x14ac:dyDescent="0.3">
      <c r="B24" s="6" t="s">
        <v>8</v>
      </c>
      <c r="C24" s="6"/>
    </row>
    <row r="25" spans="2:3" x14ac:dyDescent="0.3">
      <c r="B25" s="1" t="s">
        <v>21</v>
      </c>
      <c r="C25" s="1" t="s">
        <v>0</v>
      </c>
    </row>
    <row r="26" spans="2:3" x14ac:dyDescent="0.3">
      <c r="B26" s="2" t="s">
        <v>13</v>
      </c>
      <c r="C26" s="3">
        <v>1886</v>
      </c>
    </row>
    <row r="27" spans="2:3" x14ac:dyDescent="0.3">
      <c r="B27" s="2" t="s">
        <v>17</v>
      </c>
      <c r="C27" s="3">
        <v>2132</v>
      </c>
    </row>
    <row r="28" spans="2:3" ht="15" thickBot="1" x14ac:dyDescent="0.35">
      <c r="B28" s="2" t="s">
        <v>19</v>
      </c>
      <c r="C28" s="3">
        <v>22894.190000000002</v>
      </c>
    </row>
    <row r="29" spans="2:3" ht="15" thickTop="1" x14ac:dyDescent="0.3">
      <c r="B29" s="4" t="s">
        <v>5</v>
      </c>
      <c r="C29" s="5">
        <v>26912.190000000002</v>
      </c>
    </row>
    <row r="31" spans="2:3" x14ac:dyDescent="0.3">
      <c r="B31" s="6" t="s">
        <v>10</v>
      </c>
      <c r="C31" s="6"/>
    </row>
    <row r="32" spans="2:3" x14ac:dyDescent="0.3">
      <c r="B32" s="1" t="s">
        <v>21</v>
      </c>
      <c r="C32" s="1" t="s">
        <v>0</v>
      </c>
    </row>
    <row r="33" spans="2:3" x14ac:dyDescent="0.3">
      <c r="B33" s="2" t="s">
        <v>13</v>
      </c>
      <c r="C33" s="3">
        <v>3572</v>
      </c>
    </row>
    <row r="34" spans="2:3" x14ac:dyDescent="0.3">
      <c r="B34" s="2" t="s">
        <v>14</v>
      </c>
      <c r="C34" s="3">
        <v>518</v>
      </c>
    </row>
    <row r="35" spans="2:3" x14ac:dyDescent="0.3">
      <c r="B35" s="2" t="s">
        <v>17</v>
      </c>
      <c r="C35" s="3">
        <v>1650</v>
      </c>
    </row>
    <row r="36" spans="2:3" ht="15" thickBot="1" x14ac:dyDescent="0.35">
      <c r="B36" s="2" t="s">
        <v>19</v>
      </c>
      <c r="C36" s="3">
        <v>20442.02</v>
      </c>
    </row>
    <row r="37" spans="2:3" ht="15" thickTop="1" x14ac:dyDescent="0.3">
      <c r="B37" s="4" t="s">
        <v>5</v>
      </c>
      <c r="C37" s="5">
        <v>26182.02</v>
      </c>
    </row>
    <row r="39" spans="2:3" x14ac:dyDescent="0.3">
      <c r="B39" s="6" t="s">
        <v>9</v>
      </c>
      <c r="C39" s="6"/>
    </row>
    <row r="40" spans="2:3" x14ac:dyDescent="0.3">
      <c r="B40" s="1" t="s">
        <v>21</v>
      </c>
      <c r="C40" s="1" t="s">
        <v>0</v>
      </c>
    </row>
    <row r="41" spans="2:3" x14ac:dyDescent="0.3">
      <c r="B41" s="2" t="s">
        <v>17</v>
      </c>
      <c r="C41" s="3">
        <v>2816</v>
      </c>
    </row>
    <row r="42" spans="2:3" ht="15" thickBot="1" x14ac:dyDescent="0.35">
      <c r="B42" s="2" t="s">
        <v>19</v>
      </c>
      <c r="C42" s="3">
        <v>2403</v>
      </c>
    </row>
    <row r="43" spans="2:3" ht="15" thickTop="1" x14ac:dyDescent="0.3">
      <c r="B43" s="4" t="s">
        <v>5</v>
      </c>
      <c r="C43" s="5">
        <v>5219</v>
      </c>
    </row>
  </sheetData>
  <mergeCells count="6">
    <mergeCell ref="B2:C2"/>
    <mergeCell ref="B3:C3"/>
    <mergeCell ref="B14:C14"/>
    <mergeCell ref="B24:C24"/>
    <mergeCell ref="B31:C31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E33C-ED28-4465-B296-03D801F581AC}">
  <dimension ref="B2:D27"/>
  <sheetViews>
    <sheetView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01/11/2025  15:38 </v>
      </c>
      <c r="C2" s="6"/>
    </row>
    <row r="3" spans="2:4" x14ac:dyDescent="0.3">
      <c r="B3" s="6" t="s">
        <v>22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13065</v>
      </c>
    </row>
    <row r="6" spans="2:4" x14ac:dyDescent="0.3">
      <c r="B6" s="2" t="s">
        <v>2</v>
      </c>
      <c r="C6" s="3">
        <v>7588</v>
      </c>
    </row>
    <row r="7" spans="2:4" x14ac:dyDescent="0.3">
      <c r="B7" s="2" t="s">
        <v>3</v>
      </c>
      <c r="C7" s="3">
        <v>19773.21</v>
      </c>
    </row>
    <row r="8" spans="2:4" ht="15" thickBot="1" x14ac:dyDescent="0.35">
      <c r="B8" s="2" t="s">
        <v>4</v>
      </c>
      <c r="C8" s="3">
        <v>966</v>
      </c>
      <c r="D8" s="1" t="s">
        <v>11</v>
      </c>
    </row>
    <row r="9" spans="2:4" ht="15" thickTop="1" x14ac:dyDescent="0.3">
      <c r="B9" s="4" t="s">
        <v>5</v>
      </c>
      <c r="C9" s="5">
        <v>41392.21</v>
      </c>
      <c r="D9" s="5">
        <f ca="1">SUMIF(B:B, "Total general", C:C)</f>
        <v>92612.63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18619</v>
      </c>
    </row>
    <row r="14" spans="2:4" x14ac:dyDescent="0.3">
      <c r="B14" s="2" t="s">
        <v>2</v>
      </c>
      <c r="C14" s="3">
        <v>7315.02</v>
      </c>
    </row>
    <row r="15" spans="2:4" ht="15" thickBot="1" x14ac:dyDescent="0.35">
      <c r="B15" s="2" t="s">
        <v>3</v>
      </c>
      <c r="C15" s="3">
        <v>130</v>
      </c>
    </row>
    <row r="16" spans="2:4" ht="15" thickTop="1" x14ac:dyDescent="0.3">
      <c r="B16" s="4" t="s">
        <v>5</v>
      </c>
      <c r="C16" s="5">
        <v>26064.02</v>
      </c>
    </row>
    <row r="18" spans="2:3" x14ac:dyDescent="0.3">
      <c r="B18" s="6" t="s">
        <v>6</v>
      </c>
      <c r="C18" s="6"/>
    </row>
    <row r="19" spans="2:3" x14ac:dyDescent="0.3">
      <c r="B19" s="1" t="s">
        <v>12</v>
      </c>
      <c r="C19" s="1" t="s">
        <v>0</v>
      </c>
    </row>
    <row r="20" spans="2:3" x14ac:dyDescent="0.3">
      <c r="B20" s="2" t="s">
        <v>2</v>
      </c>
      <c r="C20" s="3">
        <v>16920.400000000001</v>
      </c>
    </row>
    <row r="21" spans="2:3" ht="15" thickBot="1" x14ac:dyDescent="0.35">
      <c r="B21" s="2" t="s">
        <v>4</v>
      </c>
      <c r="C21" s="3">
        <v>7300</v>
      </c>
    </row>
    <row r="22" spans="2:3" ht="15" thickTop="1" x14ac:dyDescent="0.3">
      <c r="B22" s="4" t="s">
        <v>5</v>
      </c>
      <c r="C22" s="5">
        <v>24220.400000000001</v>
      </c>
    </row>
    <row r="24" spans="2:3" x14ac:dyDescent="0.3">
      <c r="B24" s="6" t="s">
        <v>7</v>
      </c>
      <c r="C24" s="6"/>
    </row>
    <row r="25" spans="2:3" x14ac:dyDescent="0.3">
      <c r="B25" s="1" t="s">
        <v>12</v>
      </c>
      <c r="C25" s="1" t="s">
        <v>0</v>
      </c>
    </row>
    <row r="26" spans="2:3" ht="15" thickBot="1" x14ac:dyDescent="0.35">
      <c r="B26" s="2" t="s">
        <v>4</v>
      </c>
      <c r="C26" s="3">
        <v>936</v>
      </c>
    </row>
    <row r="27" spans="2:3" ht="15" thickTop="1" x14ac:dyDescent="0.3">
      <c r="B27" s="4" t="s">
        <v>5</v>
      </c>
      <c r="C27" s="5">
        <v>936</v>
      </c>
    </row>
  </sheetData>
  <mergeCells count="5">
    <mergeCell ref="B3:C3"/>
    <mergeCell ref="B24:C24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2025-11-01T21:31:56Z</dcterms:created>
  <dcterms:modified xsi:type="dcterms:W3CDTF">2025-11-01T21:39:46Z</dcterms:modified>
</cp:coreProperties>
</file>