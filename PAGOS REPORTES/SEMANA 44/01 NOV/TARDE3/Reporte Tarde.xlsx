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4\01 NOV\TARDE3\"/>
    </mc:Choice>
  </mc:AlternateContent>
  <xr:revisionPtr revIDLastSave="0" documentId="13_ncr:1_{498B35F0-6E6B-42F4-835C-9438B2FD7741}" xr6:coauthVersionLast="47" xr6:coauthVersionMax="47" xr10:uidLastSave="{00000000-0000-0000-0000-000000000000}"/>
  <bookViews>
    <workbookView xWindow="-108" yWindow="-108" windowWidth="23256" windowHeight="12456" activeTab="2" xr2:uid="{7724749C-603E-4A88-A6CB-71A32F57087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<sst xmlns="http://schemas.openxmlformats.org/spreadsheetml/2006/main" count="114" uniqueCount="23">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</sst>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FB53-AB40-4D8B-8920-CBFAB55BD6DF}">
  <dimension ref="B2:D40"/>
  <sheetViews>
    <sheetView topLeftCell="A40" workbookViewId="0">
      <selection activeCell="B2" sqref="B2:D4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 COBRANZA INTERNOS " &amp; TEXT(TODAY(), " dd/mm/aaaa ") &amp; TEXT(NOW(), " hh:mm ")</f>
        <v xml:space="preserve"> COBRANZA INTERNOS  01/11/2025  18:10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50842.1</v>
      </c>
    </row>
    <row r="6" spans="2:4" x14ac:dyDescent="0.3">
      <c r="B6" s="2" t="s">
        <v>2</v>
      </c>
      <c r="C6" s="3">
        <v>49865.4</v>
      </c>
    </row>
    <row r="7" spans="2:4" x14ac:dyDescent="0.3">
      <c r="B7" s="2" t="s">
        <v>3</v>
      </c>
      <c r="C7" s="3">
        <v>29110</v>
      </c>
    </row>
    <row r="8" spans="2:4" ht="15" thickBot="1" x14ac:dyDescent="0.35">
      <c r="B8" s="2" t="s">
        <v>4</v>
      </c>
      <c r="C8" s="3">
        <v>74411.260000000009</v>
      </c>
      <c r="D8" s="1" t="s">
        <v>11</v>
      </c>
    </row>
    <row r="9" spans="2:4" ht="15" thickTop="1" x14ac:dyDescent="0.3">
      <c r="B9" s="4" t="s">
        <v>5</v>
      </c>
      <c r="C9" s="5">
        <v>204228.76</v>
      </c>
      <c r="D9" s="5">
        <f ca="1">SUMIF(B:B, "Total general", C:C)</f>
        <v>311555.49000000005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8536.52</v>
      </c>
    </row>
    <row r="14" spans="2:4" x14ac:dyDescent="0.3">
      <c r="B14" s="2" t="s">
        <v>2</v>
      </c>
      <c r="C14" s="3">
        <v>9424</v>
      </c>
    </row>
    <row r="15" spans="2:4" x14ac:dyDescent="0.3">
      <c r="B15" s="2" t="s">
        <v>3</v>
      </c>
      <c r="C15" s="3">
        <v>6220</v>
      </c>
    </row>
    <row r="16" spans="2:4" ht="15" thickBot="1" x14ac:dyDescent="0.35">
      <c r="B16" s="2" t="s">
        <v>4</v>
      </c>
      <c r="C16" s="3">
        <v>11009</v>
      </c>
    </row>
    <row r="17" spans="2:3" ht="15" thickTop="1" x14ac:dyDescent="0.3">
      <c r="B17" s="4" t="s">
        <v>5</v>
      </c>
      <c r="C17" s="5">
        <v>35189.520000000004</v>
      </c>
    </row>
    <row r="19" spans="2:3" x14ac:dyDescent="0.3">
      <c r="B19" s="6" t="s">
        <v>8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7283</v>
      </c>
    </row>
    <row r="22" spans="2:3" x14ac:dyDescent="0.3">
      <c r="B22" s="2" t="s">
        <v>2</v>
      </c>
      <c r="C22" s="3">
        <v>11751</v>
      </c>
    </row>
    <row r="23" spans="2:3" x14ac:dyDescent="0.3">
      <c r="B23" s="2" t="s">
        <v>3</v>
      </c>
      <c r="C23" s="3">
        <v>4501</v>
      </c>
    </row>
    <row r="24" spans="2:3" ht="15" thickBot="1" x14ac:dyDescent="0.35">
      <c r="B24" s="2" t="s">
        <v>4</v>
      </c>
      <c r="C24" s="3">
        <v>11520.19</v>
      </c>
    </row>
    <row r="25" spans="2:3" ht="15" thickTop="1" x14ac:dyDescent="0.3">
      <c r="B25" s="4" t="s">
        <v>5</v>
      </c>
      <c r="C25" s="5">
        <v>35055.19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20277</v>
      </c>
    </row>
    <row r="30" spans="2:3" x14ac:dyDescent="0.3">
      <c r="B30" s="2" t="s">
        <v>2</v>
      </c>
      <c r="C30" s="3">
        <v>7758.02</v>
      </c>
    </row>
    <row r="31" spans="2:3" ht="15" thickBot="1" x14ac:dyDescent="0.35">
      <c r="B31" s="2" t="s">
        <v>3</v>
      </c>
      <c r="C31" s="3">
        <v>1633</v>
      </c>
    </row>
    <row r="32" spans="2:3" ht="15" thickTop="1" x14ac:dyDescent="0.3">
      <c r="B32" s="4" t="s">
        <v>5</v>
      </c>
      <c r="C32" s="5">
        <v>29668.02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1935</v>
      </c>
    </row>
    <row r="37" spans="2:3" x14ac:dyDescent="0.3">
      <c r="B37" s="2" t="s">
        <v>2</v>
      </c>
      <c r="C37" s="3">
        <v>468</v>
      </c>
    </row>
    <row r="38" spans="2:3" x14ac:dyDescent="0.3">
      <c r="B38" s="2" t="s">
        <v>3</v>
      </c>
      <c r="C38" s="3">
        <v>2195</v>
      </c>
    </row>
    <row r="39" spans="2:3" ht="15" thickBot="1" x14ac:dyDescent="0.35">
      <c r="B39" s="2" t="s">
        <v>4</v>
      </c>
      <c r="C39" s="3">
        <v>2816</v>
      </c>
    </row>
    <row r="40" spans="2:3" ht="15" thickTop="1" x14ac:dyDescent="0.3">
      <c r="B40" s="4" t="s">
        <v>5</v>
      </c>
      <c r="C40" s="5">
        <v>7414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73B2-40A6-415D-A77E-1D4D62F25A7B}">
  <dimension ref="B2:D46"/>
  <sheetViews>
    <sheetView topLeftCell="A34" workbookViewId="0">
      <selection activeCell="B2" sqref="B2:D46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 COBRANZA INTERNOS " &amp; TEXT(TODAY(), " dd/mm/aaaa ") &amp; TEXT(NOW(), " hh:mm ")</f>
        <v xml:space="preserve"> COBRANZA INTERNOS  01/11/2025  18:10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13031.6</v>
      </c>
    </row>
    <row r="6" spans="2:4" x14ac:dyDescent="0.3">
      <c r="B6" s="2" t="s">
        <v>14</v>
      </c>
      <c r="C6" s="3">
        <v>13417</v>
      </c>
    </row>
    <row r="7" spans="2:4" x14ac:dyDescent="0.3">
      <c r="B7" s="2" t="s">
        <v>15</v>
      </c>
      <c r="C7" s="3">
        <v>16445.400000000001</v>
      </c>
    </row>
    <row r="8" spans="2:4" x14ac:dyDescent="0.3">
      <c r="B8" s="2" t="s">
        <v>16</v>
      </c>
      <c r="C8" s="3">
        <v>121</v>
      </c>
    </row>
    <row r="9" spans="2:4" x14ac:dyDescent="0.3">
      <c r="B9" s="2" t="s">
        <v>17</v>
      </c>
      <c r="C9" s="3">
        <v>11872</v>
      </c>
    </row>
    <row r="10" spans="2:4" x14ac:dyDescent="0.3">
      <c r="B10" s="2" t="s">
        <v>18</v>
      </c>
      <c r="C10" s="3">
        <v>2483</v>
      </c>
    </row>
    <row r="11" spans="2:4" ht="15" thickBot="1" x14ac:dyDescent="0.35">
      <c r="B11" s="2" t="s">
        <v>19</v>
      </c>
      <c r="C11" s="3">
        <v>146858.76</v>
      </c>
      <c r="D11" s="1" t="s">
        <v>11</v>
      </c>
    </row>
    <row r="12" spans="2:4" ht="15" thickTop="1" x14ac:dyDescent="0.3">
      <c r="B12" s="4" t="s">
        <v>5</v>
      </c>
      <c r="C12" s="5">
        <v>204228.76</v>
      </c>
      <c r="D12" s="5">
        <f ca="1">SUMIF(B:B, "Total general", C:C)</f>
        <v>311555.49000000005</v>
      </c>
    </row>
    <row r="14" spans="2:4" x14ac:dyDescent="0.3">
      <c r="B14" s="6" t="s">
        <v>7</v>
      </c>
      <c r="C14" s="6"/>
    </row>
    <row r="15" spans="2:4" x14ac:dyDescent="0.3">
      <c r="B15" s="1" t="s">
        <v>21</v>
      </c>
      <c r="C15" s="1" t="s">
        <v>0</v>
      </c>
    </row>
    <row r="16" spans="2:4" x14ac:dyDescent="0.3">
      <c r="B16" s="2" t="s">
        <v>13</v>
      </c>
      <c r="C16" s="3">
        <v>2824</v>
      </c>
    </row>
    <row r="17" spans="2:3" x14ac:dyDescent="0.3">
      <c r="B17" s="2" t="s">
        <v>14</v>
      </c>
      <c r="C17" s="3">
        <v>3403</v>
      </c>
    </row>
    <row r="18" spans="2:3" x14ac:dyDescent="0.3">
      <c r="B18" s="2" t="s">
        <v>15</v>
      </c>
      <c r="C18" s="3">
        <v>1126</v>
      </c>
    </row>
    <row r="19" spans="2:3" x14ac:dyDescent="0.3">
      <c r="B19" s="2" t="s">
        <v>20</v>
      </c>
      <c r="C19" s="3">
        <v>1569</v>
      </c>
    </row>
    <row r="20" spans="2:3" x14ac:dyDescent="0.3">
      <c r="B20" s="2" t="s">
        <v>17</v>
      </c>
      <c r="C20" s="3">
        <v>7951</v>
      </c>
    </row>
    <row r="21" spans="2:3" ht="15" thickBot="1" x14ac:dyDescent="0.35">
      <c r="B21" s="2" t="s">
        <v>19</v>
      </c>
      <c r="C21" s="3">
        <v>18316.52</v>
      </c>
    </row>
    <row r="22" spans="2:3" ht="15" thickTop="1" x14ac:dyDescent="0.3">
      <c r="B22" s="4" t="s">
        <v>5</v>
      </c>
      <c r="C22" s="5">
        <v>35189.520000000004</v>
      </c>
    </row>
    <row r="24" spans="2:3" x14ac:dyDescent="0.3">
      <c r="B24" s="6" t="s">
        <v>8</v>
      </c>
      <c r="C24" s="6"/>
    </row>
    <row r="25" spans="2:3" x14ac:dyDescent="0.3">
      <c r="B25" s="1" t="s">
        <v>21</v>
      </c>
      <c r="C25" s="1" t="s">
        <v>0</v>
      </c>
    </row>
    <row r="26" spans="2:3" x14ac:dyDescent="0.3">
      <c r="B26" s="2" t="s">
        <v>13</v>
      </c>
      <c r="C26" s="3">
        <v>2886</v>
      </c>
    </row>
    <row r="27" spans="2:3" x14ac:dyDescent="0.3">
      <c r="B27" s="2" t="s">
        <v>17</v>
      </c>
      <c r="C27" s="3">
        <v>5032</v>
      </c>
    </row>
    <row r="28" spans="2:3" ht="15" thickBot="1" x14ac:dyDescent="0.35">
      <c r="B28" s="2" t="s">
        <v>19</v>
      </c>
      <c r="C28" s="3">
        <v>27137.190000000002</v>
      </c>
    </row>
    <row r="29" spans="2:3" ht="15" thickTop="1" x14ac:dyDescent="0.3">
      <c r="B29" s="4" t="s">
        <v>5</v>
      </c>
      <c r="C29" s="5">
        <v>35055.19</v>
      </c>
    </row>
    <row r="31" spans="2:3" x14ac:dyDescent="0.3">
      <c r="B31" s="6" t="s">
        <v>10</v>
      </c>
      <c r="C31" s="6"/>
    </row>
    <row r="32" spans="2:3" x14ac:dyDescent="0.3">
      <c r="B32" s="1" t="s">
        <v>21</v>
      </c>
      <c r="C32" s="1" t="s">
        <v>0</v>
      </c>
    </row>
    <row r="33" spans="2:3" x14ac:dyDescent="0.3">
      <c r="B33" s="2" t="s">
        <v>13</v>
      </c>
      <c r="C33" s="3">
        <v>4851</v>
      </c>
    </row>
    <row r="34" spans="2:3" x14ac:dyDescent="0.3">
      <c r="B34" s="2" t="s">
        <v>14</v>
      </c>
      <c r="C34" s="3">
        <v>518</v>
      </c>
    </row>
    <row r="35" spans="2:3" x14ac:dyDescent="0.3">
      <c r="B35" s="2" t="s">
        <v>15</v>
      </c>
      <c r="C35" s="3">
        <v>315</v>
      </c>
    </row>
    <row r="36" spans="2:3" x14ac:dyDescent="0.3">
      <c r="B36" s="2" t="s">
        <v>17</v>
      </c>
      <c r="C36" s="3">
        <v>1650</v>
      </c>
    </row>
    <row r="37" spans="2:3" x14ac:dyDescent="0.3">
      <c r="B37" s="2" t="s">
        <v>18</v>
      </c>
      <c r="C37" s="3">
        <v>201</v>
      </c>
    </row>
    <row r="38" spans="2:3" ht="15" thickBot="1" x14ac:dyDescent="0.35">
      <c r="B38" s="2" t="s">
        <v>19</v>
      </c>
      <c r="C38" s="3">
        <v>22133.02</v>
      </c>
    </row>
    <row r="39" spans="2:3" ht="15" thickTop="1" x14ac:dyDescent="0.3">
      <c r="B39" s="4" t="s">
        <v>5</v>
      </c>
      <c r="C39" s="5">
        <v>29668.02</v>
      </c>
    </row>
    <row r="41" spans="2:3" x14ac:dyDescent="0.3">
      <c r="B41" s="6" t="s">
        <v>9</v>
      </c>
      <c r="C41" s="6"/>
    </row>
    <row r="42" spans="2:3" x14ac:dyDescent="0.3">
      <c r="B42" s="1" t="s">
        <v>21</v>
      </c>
      <c r="C42" s="1" t="s">
        <v>0</v>
      </c>
    </row>
    <row r="43" spans="2:3" x14ac:dyDescent="0.3">
      <c r="B43" s="2" t="s">
        <v>13</v>
      </c>
      <c r="C43" s="3">
        <v>2195</v>
      </c>
    </row>
    <row r="44" spans="2:3" x14ac:dyDescent="0.3">
      <c r="B44" s="2" t="s">
        <v>17</v>
      </c>
      <c r="C44" s="3">
        <v>2816</v>
      </c>
    </row>
    <row r="45" spans="2:3" ht="15" thickBot="1" x14ac:dyDescent="0.35">
      <c r="B45" s="2" t="s">
        <v>19</v>
      </c>
      <c r="C45" s="3">
        <v>2403</v>
      </c>
    </row>
    <row r="46" spans="2:3" ht="15" thickTop="1" x14ac:dyDescent="0.3">
      <c r="B46" s="4" t="s">
        <v>5</v>
      </c>
      <c r="C46" s="5">
        <v>7414</v>
      </c>
    </row>
  </sheetData>
  <mergeCells count="6">
    <mergeCell ref="B2:C2"/>
    <mergeCell ref="B3:C3"/>
    <mergeCell ref="B14:C14"/>
    <mergeCell ref="B24:C24"/>
    <mergeCell ref="B31:C31"/>
    <mergeCell ref="B41:C41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B75B-0F0B-40D3-A2A0-7DE6227D34B1}">
  <dimension ref="B2:D28"/>
  <sheetViews>
    <sheetView tabSelected="1" topLeftCell="A28" workbookViewId="0">
      <selection activeCell="B2" sqref="B2:D2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 COBRANZA INTERNOS " &amp; TEXT(TODAY(), " dd/mm/aaaa ") &amp; TEXT(NOW(), " hh:mm ")</f>
        <v xml:space="preserve"> COBRANZA INTERNOS  01/11/2025  18:10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26241</v>
      </c>
    </row>
    <row r="6" spans="2:4" x14ac:dyDescent="0.3">
      <c r="B6" s="2" t="s">
        <v>2</v>
      </c>
      <c r="C6" s="3">
        <v>9144</v>
      </c>
    </row>
    <row r="7" spans="2:4" x14ac:dyDescent="0.3">
      <c r="B7" s="2" t="s">
        <v>3</v>
      </c>
      <c r="C7" s="3">
        <v>20942.21</v>
      </c>
    </row>
    <row r="8" spans="2:4" ht="15" thickBot="1" x14ac:dyDescent="0.35">
      <c r="B8" s="2" t="s">
        <v>4</v>
      </c>
      <c r="C8" s="3">
        <v>1166</v>
      </c>
      <c r="D8" s="1" t="s">
        <v>11</v>
      </c>
    </row>
    <row r="9" spans="2:4" ht="15" thickTop="1" x14ac:dyDescent="0.3">
      <c r="B9" s="4" t="s">
        <v>5</v>
      </c>
      <c r="C9" s="5">
        <v>57493.21</v>
      </c>
      <c r="D9" s="5">
        <f ca="1">SUMIF(B:B, "Total general", C:C)</f>
        <v>113999.63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20159</v>
      </c>
    </row>
    <row r="14" spans="2:4" x14ac:dyDescent="0.3">
      <c r="B14" s="2" t="s">
        <v>2</v>
      </c>
      <c r="C14" s="3">
        <v>7758.02</v>
      </c>
    </row>
    <row r="15" spans="2:4" ht="15" thickBot="1" x14ac:dyDescent="0.35">
      <c r="B15" s="2" t="s">
        <v>3</v>
      </c>
      <c r="C15" s="3">
        <v>1633</v>
      </c>
    </row>
    <row r="16" spans="2:4" ht="15" thickTop="1" x14ac:dyDescent="0.3">
      <c r="B16" s="4" t="s">
        <v>5</v>
      </c>
      <c r="C16" s="5">
        <v>29550.02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2</v>
      </c>
      <c r="C20" s="3">
        <v>16920.400000000001</v>
      </c>
    </row>
    <row r="21" spans="2:3" x14ac:dyDescent="0.3">
      <c r="B21" s="2" t="s">
        <v>3</v>
      </c>
      <c r="C21" s="3">
        <v>800</v>
      </c>
    </row>
    <row r="22" spans="2:3" ht="15" thickBot="1" x14ac:dyDescent="0.35">
      <c r="B22" s="2" t="s">
        <v>4</v>
      </c>
      <c r="C22" s="3">
        <v>8300</v>
      </c>
    </row>
    <row r="23" spans="2:3" ht="15" thickTop="1" x14ac:dyDescent="0.3">
      <c r="B23" s="4" t="s">
        <v>5</v>
      </c>
      <c r="C23" s="5">
        <v>26020.400000000001</v>
      </c>
    </row>
    <row r="25" spans="2:3" x14ac:dyDescent="0.3">
      <c r="B25" s="6" t="s">
        <v>7</v>
      </c>
      <c r="C25" s="6"/>
    </row>
    <row r="26" spans="2:3" x14ac:dyDescent="0.3">
      <c r="B26" s="1" t="s">
        <v>12</v>
      </c>
      <c r="C26" s="1" t="s">
        <v>0</v>
      </c>
    </row>
    <row r="27" spans="2:3" ht="15" thickBot="1" x14ac:dyDescent="0.35">
      <c r="B27" s="2" t="s">
        <v>4</v>
      </c>
      <c r="C27" s="3">
        <v>936</v>
      </c>
    </row>
    <row r="28" spans="2:3" ht="15" thickTop="1" x14ac:dyDescent="0.3">
      <c r="B28" s="4" t="s">
        <v>5</v>
      </c>
      <c r="C28" s="5">
        <v>936</v>
      </c>
    </row>
  </sheetData>
  <mergeCells count="5">
    <mergeCell ref="B3:C3"/>
    <mergeCell ref="B25:C25"/>
    <mergeCell ref="B11:C11"/>
    <mergeCell ref="B18:C18"/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2025-11-02T00:10:52Z</cp:lastPrinted>
  <dcterms:created xsi:type="dcterms:W3CDTF">2025-11-02T00:02:39Z</dcterms:created>
  <dcterms:modified xsi:type="dcterms:W3CDTF">2025-11-02T00:10:54Z</dcterms:modified>
</cp:coreProperties>
</file>