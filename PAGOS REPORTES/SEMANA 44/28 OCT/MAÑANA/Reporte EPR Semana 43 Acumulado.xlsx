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28 OCT\MAÑANA\"/>
    </mc:Choice>
  </mc:AlternateContent>
  <xr:revisionPtr revIDLastSave="0" documentId="13_ncr:1_{1F3DA455-369E-4EB7-A1A2-821BFD3D1D8D}" xr6:coauthVersionLast="47" xr6:coauthVersionMax="47" xr10:uidLastSave="{00000000-0000-0000-0000-000000000000}"/>
  <bookViews>
    <workbookView xWindow="7260" yWindow="726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D18" i="1"/>
  <c r="C26" i="1"/>
  <c r="D26" i="1"/>
  <c r="D41" i="5"/>
  <c r="C41" i="5"/>
  <c r="D48" i="5"/>
  <c r="C48" i="5"/>
  <c r="D27" i="5"/>
  <c r="C27" i="5"/>
  <c r="C42" i="1"/>
  <c r="D42" i="1"/>
  <c r="C34" i="1"/>
  <c r="D18" i="5"/>
  <c r="C18" i="5"/>
  <c r="D10" i="5"/>
  <c r="D33" i="5"/>
  <c r="C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<sst xmlns="http://schemas.openxmlformats.org/spreadsheetml/2006/main" count="139" uniqueCount="37">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</sst>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7412</v>
      </c>
      <c r="D5" s="28">
        <v>137212.31000000003</v>
      </c>
    </row>
    <row r="6" spans="2:8" x14ac:dyDescent="0.25">
      <c r="B6" s="1" t="s">
        <v>5</v>
      </c>
      <c r="C6" s="6">
        <v>5320</v>
      </c>
      <c r="D6" s="28">
        <v>40410.68</v>
      </c>
    </row>
    <row r="7" spans="2:8" x14ac:dyDescent="0.25">
      <c r="B7" s="1" t="s">
        <v>6</v>
      </c>
      <c r="C7" s="6">
        <v>8121</v>
      </c>
      <c r="D7" s="28">
        <v>30223.03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38401</v>
      </c>
      <c r="D9" s="28">
        <v>89279.440000000031</v>
      </c>
      <c r="E9" s="14"/>
      <c r="F9" s="7"/>
    </row>
    <row r="10" spans="2:8" x14ac:dyDescent="0.25">
      <c r="B10" s="3" t="s">
        <v>8</v>
      </c>
      <c r="C10" s="8">
        <f>SUM(C5:C9)</f>
        <v>59768</v>
      </c>
      <c r="D10" s="4">
        <f>SUM(D5:D9)</f>
        <v>297125.46000000008</v>
      </c>
      <c r="E10" s="11" t="s">
        <v>13</v>
      </c>
    </row>
    <row r="12" spans="2:8" x14ac:dyDescent="0.25">
      <c r="B12" s="31" t="s">
        <v>34</v>
      </c>
      <c r="C12" s="31"/>
      <c r="D12" s="31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96</v>
      </c>
      <c r="D14" s="28">
        <v>30010.080000000002</v>
      </c>
    </row>
    <row r="15" spans="2:8" x14ac:dyDescent="0.25">
      <c r="B15" s="1" t="s">
        <v>5</v>
      </c>
      <c r="C15" s="6">
        <v>278</v>
      </c>
      <c r="D15" s="28">
        <v>5370.5599999999995</v>
      </c>
    </row>
    <row r="16" spans="2:8" x14ac:dyDescent="0.25">
      <c r="B16" s="1" t="s">
        <v>6</v>
      </c>
      <c r="C16" s="6">
        <v>356</v>
      </c>
      <c r="D16" s="28">
        <v>1361</v>
      </c>
    </row>
    <row r="17" spans="2:4" x14ac:dyDescent="0.25">
      <c r="B17" s="1" t="s">
        <v>7</v>
      </c>
      <c r="C17" s="7">
        <v>15067</v>
      </c>
      <c r="D17" s="28">
        <v>60020.700000000004</v>
      </c>
    </row>
    <row r="18" spans="2:4" x14ac:dyDescent="0.25">
      <c r="B18" s="3" t="s">
        <v>8</v>
      </c>
      <c r="C18" s="8">
        <f>SUM(C14:C17)</f>
        <v>15797</v>
      </c>
      <c r="D18" s="4">
        <f>SUM(D14:D17)</f>
        <v>96762.34</v>
      </c>
    </row>
    <row r="20" spans="2:4" x14ac:dyDescent="0.25">
      <c r="B20" s="32" t="s">
        <v>10</v>
      </c>
      <c r="C20" s="32"/>
      <c r="D20" s="32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4950</v>
      </c>
      <c r="D22" s="28">
        <v>46513.84</v>
      </c>
    </row>
    <row r="23" spans="2:4" x14ac:dyDescent="0.25">
      <c r="B23" s="1" t="s">
        <v>5</v>
      </c>
      <c r="C23" s="6">
        <v>1110</v>
      </c>
      <c r="D23" s="28">
        <v>3292</v>
      </c>
    </row>
    <row r="24" spans="2:4" x14ac:dyDescent="0.25">
      <c r="B24" s="1" t="s">
        <v>6</v>
      </c>
      <c r="C24" s="6">
        <v>3687</v>
      </c>
      <c r="D24" s="28">
        <v>3705.76</v>
      </c>
    </row>
    <row r="25" spans="2:4" x14ac:dyDescent="0.25">
      <c r="B25" s="1" t="s">
        <v>7</v>
      </c>
      <c r="C25" s="6">
        <v>1030</v>
      </c>
      <c r="D25" s="29">
        <v>0</v>
      </c>
    </row>
    <row r="26" spans="2:4" x14ac:dyDescent="0.25">
      <c r="B26" s="10" t="s">
        <v>8</v>
      </c>
      <c r="C26" s="8">
        <f>SUM(C22:C25)</f>
        <v>10777</v>
      </c>
      <c r="D26" s="4">
        <f>SUM(D22:D25)</f>
        <v>53511.6</v>
      </c>
    </row>
    <row r="28" spans="2:4" x14ac:dyDescent="0.25">
      <c r="B28" s="32" t="s">
        <v>9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608</v>
      </c>
      <c r="D30" s="28">
        <v>13643</v>
      </c>
    </row>
    <row r="31" spans="2:4" x14ac:dyDescent="0.25">
      <c r="B31" s="9" t="s">
        <v>5</v>
      </c>
      <c r="C31" s="6">
        <v>1793</v>
      </c>
      <c r="D31" s="28">
        <v>7922</v>
      </c>
    </row>
    <row r="32" spans="2:4" x14ac:dyDescent="0.25">
      <c r="B32" s="9" t="s">
        <v>6</v>
      </c>
      <c r="C32" s="6">
        <v>1755</v>
      </c>
      <c r="D32" s="28">
        <v>5899</v>
      </c>
    </row>
    <row r="33" spans="2:4" x14ac:dyDescent="0.25">
      <c r="B33" s="9" t="s">
        <v>7</v>
      </c>
      <c r="C33" s="6">
        <v>3329</v>
      </c>
      <c r="D33" s="28">
        <v>18797</v>
      </c>
    </row>
    <row r="34" spans="2:4" x14ac:dyDescent="0.25">
      <c r="B34" s="10" t="s">
        <v>8</v>
      </c>
      <c r="C34" s="8">
        <f>SUM(C30:C33)</f>
        <v>7485</v>
      </c>
      <c r="D34" s="4">
        <f>SUM(D30:D33)</f>
        <v>46261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882</v>
      </c>
    </row>
    <row r="39" spans="2:4" x14ac:dyDescent="0.25">
      <c r="B39" s="1" t="s">
        <v>5</v>
      </c>
      <c r="C39" s="6">
        <v>35</v>
      </c>
      <c r="D39" s="29">
        <v>0</v>
      </c>
    </row>
    <row r="40" spans="2:4" x14ac:dyDescent="0.25">
      <c r="B40" s="1" t="s">
        <v>6</v>
      </c>
      <c r="C40" s="6">
        <v>4</v>
      </c>
      <c r="D40" s="29">
        <v>0</v>
      </c>
    </row>
    <row r="41" spans="2:4" x14ac:dyDescent="0.25">
      <c r="B41" s="1" t="s">
        <v>7</v>
      </c>
      <c r="C41" s="6">
        <v>732</v>
      </c>
      <c r="D41" s="28">
        <v>2213</v>
      </c>
    </row>
    <row r="42" spans="2:4" x14ac:dyDescent="0.25">
      <c r="B42" s="3" t="s">
        <v>8</v>
      </c>
      <c r="C42" s="8">
        <f>SUM(C38:C41)</f>
        <v>786</v>
      </c>
      <c r="D42" s="4">
        <f>SUM(D38:D41)</f>
        <v>3095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94613</v>
      </c>
      <c r="D50" s="13">
        <f>SUMIF(B:B, "Total general", D:D)</f>
        <v>496755.4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7" zoomScaleNormal="100" workbookViewId="0">
      <selection activeCell="B46" sqref="B4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8059</v>
      </c>
      <c r="D5" s="28">
        <v>62541.99</v>
      </c>
      <c r="E5" s="11"/>
    </row>
    <row r="6" spans="2:8" x14ac:dyDescent="0.25">
      <c r="B6" s="1" t="s">
        <v>5</v>
      </c>
      <c r="C6" s="27">
        <v>6072</v>
      </c>
      <c r="D6" s="28">
        <v>132082</v>
      </c>
    </row>
    <row r="7" spans="2:8" x14ac:dyDescent="0.25">
      <c r="B7" s="1" t="s">
        <v>6</v>
      </c>
      <c r="C7" s="27">
        <v>6151</v>
      </c>
      <c r="D7" s="28">
        <v>18799.099999999999</v>
      </c>
    </row>
    <row r="8" spans="2:8" x14ac:dyDescent="0.25">
      <c r="B8" s="5" t="s">
        <v>11</v>
      </c>
      <c r="C8" s="27">
        <v>2739</v>
      </c>
      <c r="D8" s="28">
        <v>9202.8100000000013</v>
      </c>
    </row>
    <row r="9" spans="2:8" x14ac:dyDescent="0.25">
      <c r="B9" s="1" t="s">
        <v>7</v>
      </c>
      <c r="C9" s="27">
        <v>2912</v>
      </c>
      <c r="D9" s="28">
        <v>200</v>
      </c>
      <c r="E9" s="14"/>
      <c r="F9" s="7"/>
    </row>
    <row r="10" spans="2:8" x14ac:dyDescent="0.25">
      <c r="B10" s="3" t="s">
        <v>8</v>
      </c>
      <c r="C10" s="8">
        <f>SUM(C5:C9)</f>
        <v>25933</v>
      </c>
      <c r="D10" s="4">
        <f>SUM(D5:D9)</f>
        <v>222825.9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4936</v>
      </c>
      <c r="D14" s="28">
        <v>46513.84</v>
      </c>
    </row>
    <row r="15" spans="2:8" x14ac:dyDescent="0.25">
      <c r="B15" s="1" t="s">
        <v>5</v>
      </c>
      <c r="C15" s="26">
        <v>693</v>
      </c>
      <c r="D15" s="28">
        <v>2672</v>
      </c>
    </row>
    <row r="16" spans="2:8" x14ac:dyDescent="0.25">
      <c r="B16" s="1" t="s">
        <v>6</v>
      </c>
      <c r="C16" s="26">
        <v>3542</v>
      </c>
      <c r="D16" s="28">
        <v>3705.76</v>
      </c>
    </row>
    <row r="17" spans="2:4" x14ac:dyDescent="0.25">
      <c r="B17" s="9" t="s">
        <v>7</v>
      </c>
      <c r="C17" s="26">
        <v>27</v>
      </c>
      <c r="D17" s="29">
        <v>0</v>
      </c>
    </row>
    <row r="18" spans="2:4" x14ac:dyDescent="0.25">
      <c r="B18" s="10" t="s">
        <v>8</v>
      </c>
      <c r="C18" s="8">
        <f>SUM(C14:C17)</f>
        <v>9198</v>
      </c>
      <c r="D18" s="4">
        <f>SUM(D14:D17)</f>
        <v>52891.6</v>
      </c>
    </row>
    <row r="20" spans="2:4" x14ac:dyDescent="0.25">
      <c r="B20" s="31" t="s">
        <v>0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890</v>
      </c>
      <c r="D22" s="28">
        <v>17142.330000000002</v>
      </c>
    </row>
    <row r="23" spans="2:4" x14ac:dyDescent="0.25">
      <c r="B23" s="1" t="s">
        <v>5</v>
      </c>
      <c r="C23" s="26">
        <v>997</v>
      </c>
      <c r="D23" s="28">
        <v>2215</v>
      </c>
    </row>
    <row r="24" spans="2:4" x14ac:dyDescent="0.25">
      <c r="B24" s="1" t="s">
        <v>6</v>
      </c>
      <c r="C24" s="26">
        <v>1011</v>
      </c>
      <c r="D24" s="28">
        <v>300</v>
      </c>
    </row>
    <row r="25" spans="2:4" x14ac:dyDescent="0.25">
      <c r="B25" s="5" t="s">
        <v>11</v>
      </c>
      <c r="C25" s="26">
        <v>0</v>
      </c>
      <c r="D25" s="30">
        <v>0</v>
      </c>
    </row>
    <row r="26" spans="2:4" x14ac:dyDescent="0.25">
      <c r="B26" s="1" t="s">
        <v>7</v>
      </c>
      <c r="C26" s="26">
        <v>303</v>
      </c>
      <c r="D26" s="28">
        <v>3266</v>
      </c>
    </row>
    <row r="27" spans="2:4" x14ac:dyDescent="0.25">
      <c r="B27" s="3" t="s">
        <v>8</v>
      </c>
      <c r="C27" s="8">
        <f>SUM(C22:C26)</f>
        <v>3201</v>
      </c>
      <c r="D27" s="4">
        <f>SUM(D22:D26)</f>
        <v>22923.33</v>
      </c>
    </row>
    <row r="29" spans="2:4" x14ac:dyDescent="0.25">
      <c r="B29" s="31" t="s">
        <v>29</v>
      </c>
      <c r="C29" s="31"/>
      <c r="D29" s="31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 s="26">
        <v>2</v>
      </c>
      <c r="D31" s="28">
        <v>882</v>
      </c>
    </row>
    <row r="32" spans="2:4" x14ac:dyDescent="0.25">
      <c r="B32" s="1" t="s">
        <v>7</v>
      </c>
      <c r="C32" s="26">
        <v>64</v>
      </c>
      <c r="D32" s="28">
        <v>0</v>
      </c>
    </row>
    <row r="33" spans="2:4" x14ac:dyDescent="0.25">
      <c r="B33" s="3" t="s">
        <v>8</v>
      </c>
      <c r="C33" s="8">
        <f>SUM(C31:C32)</f>
        <v>66</v>
      </c>
      <c r="D33" s="4">
        <f>SUM(D31:D32)</f>
        <v>882</v>
      </c>
    </row>
    <row r="35" spans="2:4" x14ac:dyDescent="0.25">
      <c r="B35" s="31" t="s">
        <v>34</v>
      </c>
      <c r="C35" s="31"/>
      <c r="D35" s="31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C37" s="26">
        <v>2</v>
      </c>
      <c r="D37" s="25">
        <v>0</v>
      </c>
    </row>
    <row r="38" spans="2:4" x14ac:dyDescent="0.25">
      <c r="B38" s="1" t="s">
        <v>5</v>
      </c>
      <c r="C38" s="11">
        <v>0</v>
      </c>
      <c r="D38" s="25">
        <v>0</v>
      </c>
    </row>
    <row r="39" spans="2:4" x14ac:dyDescent="0.25">
      <c r="B39" s="1" t="s">
        <v>6</v>
      </c>
      <c r="C39" s="26">
        <v>1</v>
      </c>
      <c r="D39" s="25">
        <v>0</v>
      </c>
    </row>
    <row r="40" spans="2:4" x14ac:dyDescent="0.25">
      <c r="B40" s="1" t="s">
        <v>7</v>
      </c>
      <c r="C40" s="26">
        <v>331</v>
      </c>
      <c r="D40" s="25">
        <v>0</v>
      </c>
    </row>
    <row r="41" spans="2:4" x14ac:dyDescent="0.25">
      <c r="B41" s="3" t="s">
        <v>8</v>
      </c>
      <c r="C41" s="8">
        <f>SUM(C37:C40)</f>
        <v>334</v>
      </c>
      <c r="D41" s="4">
        <f>SUM(D37:D40)</f>
        <v>0</v>
      </c>
    </row>
    <row r="43" spans="2:4" x14ac:dyDescent="0.25">
      <c r="B43" s="32" t="s">
        <v>9</v>
      </c>
      <c r="C43" s="32"/>
      <c r="D43" s="32"/>
    </row>
    <row r="44" spans="2:4" x14ac:dyDescent="0.25">
      <c r="B44" s="4" t="s">
        <v>1</v>
      </c>
      <c r="C44" s="4" t="s">
        <v>2</v>
      </c>
      <c r="D44" s="4" t="s">
        <v>3</v>
      </c>
    </row>
    <row r="45" spans="2:4" x14ac:dyDescent="0.25">
      <c r="B45" s="9" t="s">
        <v>4</v>
      </c>
      <c r="C45" s="26">
        <v>2</v>
      </c>
      <c r="D45" s="25">
        <v>0</v>
      </c>
    </row>
    <row r="46" spans="2:4" x14ac:dyDescent="0.25">
      <c r="B46" s="9" t="s">
        <v>5</v>
      </c>
      <c r="C46" s="26">
        <v>1</v>
      </c>
      <c r="D46" s="25">
        <v>0</v>
      </c>
    </row>
    <row r="47" spans="2:4" x14ac:dyDescent="0.25">
      <c r="B47" s="9" t="s">
        <v>7</v>
      </c>
      <c r="C47" s="26">
        <v>176</v>
      </c>
      <c r="D47" s="25">
        <v>0</v>
      </c>
    </row>
    <row r="48" spans="2:4" x14ac:dyDescent="0.25">
      <c r="B48" s="10" t="s">
        <v>8</v>
      </c>
      <c r="C48" s="8">
        <f>SUM(C45:C47)</f>
        <v>179</v>
      </c>
      <c r="D48" s="4">
        <f>SUM(D45:D47)</f>
        <v>0</v>
      </c>
    </row>
    <row r="50" spans="2:4" x14ac:dyDescent="0.25">
      <c r="B50" s="12" t="s">
        <v>12</v>
      </c>
      <c r="C50" s="13">
        <f>SUMIF(B:B, "Total general", C:C)</f>
        <v>38911</v>
      </c>
      <c r="D50" s="13">
        <f>SUMIF(B:B, "Total general", D:D)</f>
        <v>299522.83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13891</v>
      </c>
      <c r="D3" s="14">
        <f>SUMIF('CDC-OLGUIN'!B:B, "Extrajudicial - 0 a 28 semanas de atraso", 'CDC-OLGUIN'!D:D)</f>
        <v>127080.15999999999</v>
      </c>
    </row>
    <row r="4" spans="2:6" x14ac:dyDescent="0.25">
      <c r="B4" s="1" t="s">
        <v>5</v>
      </c>
      <c r="C4" s="6">
        <f>SUMIF('CDC-OLGUIN'!B:B, "Extrajudicial - 29 a 39 semanas de atraso", 'CDC-OLGUIN'!C:C)</f>
        <v>7763</v>
      </c>
      <c r="D4" s="14">
        <f>SUMIF('CDC-OLGUIN'!B:B, "Extrajudicial - 29 a 39 semanas de atraso", 'CDC-OLGUIN'!D:D)</f>
        <v>136969</v>
      </c>
    </row>
    <row r="5" spans="2:6" x14ac:dyDescent="0.25">
      <c r="B5" s="1" t="s">
        <v>6</v>
      </c>
      <c r="C5" s="6">
        <f>SUMIF('CDC-OLGUIN'!B:B, "Extrajudicial - 40 a 55 semanas de atraso", 'CDC-OLGUIN'!C:C)</f>
        <v>10705</v>
      </c>
      <c r="D5" s="14">
        <f>SUMIF('CDC-OLGUIN'!B:B, "Extrajudicial - 40 a 55 semanas de atraso", 'CDC-OLGUIN'!D:D)</f>
        <v>22804.86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9202.8100000000013</v>
      </c>
    </row>
    <row r="7" spans="2:6" x14ac:dyDescent="0.25">
      <c r="B7" s="1" t="s">
        <v>7</v>
      </c>
      <c r="C7" s="6">
        <f>SUMIF('CDC-OLGUIN'!B:B, "Mas 55 semanas de atraso", 'CDC-OLGUIN'!C:C)</f>
        <v>3813</v>
      </c>
      <c r="D7" s="6">
        <f>SUMIF('CDC-OLGUIN'!B:B, "Mas 55 semanas de atraso", 'CDC-OLGUIN'!D:D)</f>
        <v>3466</v>
      </c>
      <c r="E7" s="14"/>
      <c r="F7" s="7"/>
    </row>
    <row r="8" spans="2:6" x14ac:dyDescent="0.25">
      <c r="B8" s="3" t="s">
        <v>8</v>
      </c>
      <c r="C8" s="8">
        <f>SUM(C3:C7)</f>
        <v>38911</v>
      </c>
      <c r="D8" s="4">
        <f>SUM(D3:D7)</f>
        <v>299522.82999999996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13081</v>
      </c>
      <c r="E6" s="16">
        <f>SUMIF('REPORTE DIARIO'!B:B,'EPR 26 JUN'!C6, 'REPORTE DIARIO'!D:D)</f>
        <v>228261.23</v>
      </c>
      <c r="F6" s="16">
        <f>J6*D6</f>
        <v>822234.28571428568</v>
      </c>
      <c r="G6" s="16">
        <f>+E6-F6</f>
        <v>-593973.0557142857</v>
      </c>
      <c r="H6" s="15">
        <f>ABS(G6/F6)</f>
        <v>0.72238906359675037</v>
      </c>
      <c r="I6" s="16">
        <f>E6/D6</f>
        <v>17.449830288204268</v>
      </c>
      <c r="J6" s="16">
        <f>(220/7)*2</f>
        <v>62.857142857142854</v>
      </c>
      <c r="K6" s="16">
        <f>+I6-J6</f>
        <v>-45.407312568938586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8536</v>
      </c>
      <c r="E7" s="16">
        <f>SUMIF('REPORTE DIARIO'!B:B,'EPR 26 JUN'!C7, 'REPORTE DIARIO'!D:D)</f>
        <v>56995.24</v>
      </c>
      <c r="F7" s="16">
        <f>J7*D7</f>
        <v>268274.28571428568</v>
      </c>
      <c r="G7" s="16">
        <f>+E7-F7</f>
        <v>-211279.04571428569</v>
      </c>
      <c r="H7" s="15">
        <f>ABS(G7/F7)</f>
        <v>0.78754862826957484</v>
      </c>
      <c r="I7" s="16">
        <f>E7/D7</f>
        <v>6.677043111527647</v>
      </c>
      <c r="J7" s="16">
        <f>(110/7)*2</f>
        <v>31.428571428571427</v>
      </c>
      <c r="K7" s="16">
        <f t="shared" ref="K7:K9" si="0">+I7-J7</f>
        <v>-24.751528317043778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13923</v>
      </c>
      <c r="E8" s="16">
        <f>SUMIF('REPORTE DIARIO'!B:B,'EPR 26 JUN'!C8, 'REPORTE DIARIO'!D:D)</f>
        <v>41188.79</v>
      </c>
      <c r="F8" s="16">
        <f>J8*D8</f>
        <v>179010</v>
      </c>
      <c r="G8" s="16">
        <f>+E8-F8</f>
        <v>-137821.21</v>
      </c>
      <c r="H8" s="15">
        <f>ABS(G8/F8)</f>
        <v>0.76990788224121554</v>
      </c>
      <c r="I8" s="16">
        <f>E8/D8</f>
        <v>2.9583272283272284</v>
      </c>
      <c r="J8" s="16">
        <f>(45/7)*2</f>
        <v>12.857142857142858</v>
      </c>
      <c r="K8" s="16">
        <f t="shared" si="0"/>
        <v>-9.8988156288156297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58559</v>
      </c>
      <c r="E9" s="16">
        <f>SUMIF('REPORTE DIARIO'!B:B,'EPR 26 JUN'!C9, 'REPORTE DIARIO'!D:D)</f>
        <v>170310.14000000004</v>
      </c>
      <c r="F9" s="16">
        <f>J9*D9</f>
        <v>250967.14285714284</v>
      </c>
      <c r="G9" s="16">
        <f>+E9-F9</f>
        <v>-80657.002857142797</v>
      </c>
      <c r="H9" s="15">
        <f>ABS(G9/F9)</f>
        <v>0.3213847117152499</v>
      </c>
      <c r="I9" s="16">
        <f>E9/D9</f>
        <v>2.9083512355060717</v>
      </c>
      <c r="J9" s="16">
        <f>(15/7)*2</f>
        <v>4.2857142857142856</v>
      </c>
      <c r="K9" s="16">
        <f t="shared" si="0"/>
        <v>-1.3773630502082139</v>
      </c>
    </row>
    <row r="10" spans="2:12" x14ac:dyDescent="0.25">
      <c r="B10" s="16"/>
      <c r="C10" s="19" t="s">
        <v>16</v>
      </c>
      <c r="D10" s="24">
        <f>SUM(D6:D9)</f>
        <v>94099</v>
      </c>
      <c r="E10" s="20">
        <f>SUM(E6:E9)</f>
        <v>496755.4</v>
      </c>
      <c r="F10" s="20">
        <f>SUM(F6:F9)</f>
        <v>1520485.7142857141</v>
      </c>
      <c r="G10" s="20">
        <f>+E10-F10</f>
        <v>-1023730.3142857141</v>
      </c>
      <c r="H10" s="21">
        <f>ABS(G10/F10)</f>
        <v>0.67329163613131138</v>
      </c>
      <c r="I10" s="20">
        <f>E10/D10</f>
        <v>5.2790720411481526</v>
      </c>
      <c r="J10" s="20">
        <f>F10/D10</f>
        <v>16.158362089774748</v>
      </c>
      <c r="K10" s="20">
        <f>I10-J10</f>
        <v>-10.879290048626595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2025-10-28T16:03:26Z</cp:lastPrinted>
  <dcterms:created xsi:type="dcterms:W3CDTF">2025-01-27T15:11:28Z</dcterms:created>
  <dcterms:modified xsi:type="dcterms:W3CDTF">2025-10-28T16:09:05Z</dcterms:modified>
</cp:coreProperties>
</file>