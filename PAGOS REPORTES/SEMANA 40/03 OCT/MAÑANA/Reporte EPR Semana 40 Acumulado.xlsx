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3 OCT\MAÑANA\"/>
    </mc:Choice>
  </mc:AlternateContent>
  <xr:revisionPtr revIDLastSave="0" documentId="13_ncr:1_{15E66730-10D4-41B0-9D98-D935C58BCE0E}" xr6:coauthVersionLast="47" xr6:coauthVersionMax="47" xr10:uidLastSave="{00000000-0000-0000-0000-000000000000}"/>
  <bookViews>
    <workbookView xWindow="9405" yWindow="940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D40" i="1"/>
  <c r="D18" i="5"/>
  <c r="C18" i="5"/>
  <c r="D33" i="1"/>
  <c r="C33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36" i="5"/>
  <c r="C36" i="5"/>
  <c r="D45" i="5"/>
  <c r="C45" i="5"/>
  <c r="C27" i="5"/>
  <c r="C10" i="5"/>
  <c r="J9" i="3"/>
  <c r="J8" i="3"/>
  <c r="J7" i="3"/>
  <c r="J6" i="3"/>
  <c r="C40" i="1"/>
  <c r="C55" i="5" l="1"/>
  <c r="D8" i="6"/>
  <c r="C8" i="6"/>
  <c r="D55" i="5"/>
  <c r="C25" i="1"/>
  <c r="D25" i="1"/>
  <c r="D18" i="1"/>
  <c r="D6" i="3"/>
  <c r="D10" i="1" l="1"/>
  <c r="D48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48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<sst xmlns="http://schemas.openxmlformats.org/spreadsheetml/2006/main" count="142" uniqueCount="37">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</sst>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48"/>
  <sheetViews>
    <sheetView showGridLines="0" zoomScaleNormal="100" workbookViewId="0">
      <selection activeCell="C39" sqref="C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78</v>
      </c>
      <c r="D5" s="28">
        <v>64</v>
      </c>
    </row>
    <row r="6" spans="2:8" x14ac:dyDescent="0.25">
      <c r="B6" s="1" t="s">
        <v>5</v>
      </c>
      <c r="C6" s="6">
        <v>8610</v>
      </c>
      <c r="D6" s="28">
        <v>349104.46999999991</v>
      </c>
    </row>
    <row r="7" spans="2:8" x14ac:dyDescent="0.25">
      <c r="B7" s="1" t="s">
        <v>6</v>
      </c>
      <c r="C7" s="6">
        <v>7462</v>
      </c>
      <c r="D7" s="28">
        <v>147338.51999999999</v>
      </c>
    </row>
    <row r="8" spans="2:8" x14ac:dyDescent="0.25">
      <c r="B8" s="5" t="s">
        <v>11</v>
      </c>
      <c r="C8" s="7">
        <v>1058</v>
      </c>
      <c r="D8" s="25">
        <v>0</v>
      </c>
    </row>
    <row r="9" spans="2:8" x14ac:dyDescent="0.25">
      <c r="B9" s="1" t="s">
        <v>7</v>
      </c>
      <c r="C9" s="6">
        <v>36688</v>
      </c>
      <c r="D9" s="28">
        <v>207988.87999999998</v>
      </c>
      <c r="E9" s="14"/>
      <c r="F9" s="7"/>
    </row>
    <row r="10" spans="2:8" x14ac:dyDescent="0.25">
      <c r="B10" s="3" t="s">
        <v>8</v>
      </c>
      <c r="C10" s="8">
        <f>SUM(C5:C9)</f>
        <v>53896</v>
      </c>
      <c r="D10" s="4">
        <f>SUM(D5:D9)</f>
        <v>704495.86999999988</v>
      </c>
      <c r="E10" s="11" t="s">
        <v>13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15</v>
      </c>
      <c r="D14" s="28">
        <v>543</v>
      </c>
    </row>
    <row r="15" spans="2:8" x14ac:dyDescent="0.25">
      <c r="B15" s="9" t="s">
        <v>5</v>
      </c>
      <c r="C15" s="6">
        <v>2377</v>
      </c>
      <c r="D15" s="28">
        <v>200247.38</v>
      </c>
    </row>
    <row r="16" spans="2:8" x14ac:dyDescent="0.25">
      <c r="B16" s="9" t="s">
        <v>6</v>
      </c>
      <c r="C16" s="6">
        <v>1402</v>
      </c>
      <c r="D16" s="28">
        <v>34523.94</v>
      </c>
    </row>
    <row r="17" spans="2:4" x14ac:dyDescent="0.25">
      <c r="B17" s="9" t="s">
        <v>7</v>
      </c>
      <c r="C17" s="6">
        <v>12344</v>
      </c>
      <c r="D17" s="28">
        <v>72461.220000000016</v>
      </c>
    </row>
    <row r="18" spans="2:4" x14ac:dyDescent="0.25">
      <c r="B18" s="10" t="s">
        <v>8</v>
      </c>
      <c r="C18" s="8">
        <f>SUM(C14:C17)</f>
        <v>16138</v>
      </c>
      <c r="D18" s="4">
        <f>SUM(D14:D17)</f>
        <v>307775.54000000004</v>
      </c>
    </row>
    <row r="20" spans="2:4" x14ac:dyDescent="0.25">
      <c r="B20" s="29" t="s">
        <v>34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 s="6">
        <v>1803</v>
      </c>
      <c r="D22" s="28">
        <v>73191.310000000012</v>
      </c>
    </row>
    <row r="23" spans="2:4" x14ac:dyDescent="0.25">
      <c r="B23" s="1" t="s">
        <v>6</v>
      </c>
      <c r="C23" s="6">
        <v>639</v>
      </c>
      <c r="D23" s="28">
        <v>14746</v>
      </c>
    </row>
    <row r="24" spans="2:4" x14ac:dyDescent="0.25">
      <c r="B24" s="1" t="s">
        <v>7</v>
      </c>
      <c r="C24" s="7">
        <v>16809</v>
      </c>
      <c r="D24" s="28">
        <v>86380.010000000009</v>
      </c>
    </row>
    <row r="25" spans="2:4" x14ac:dyDescent="0.25">
      <c r="B25" s="3" t="s">
        <v>8</v>
      </c>
      <c r="C25" s="8">
        <f>SUM(C22:C24)</f>
        <v>19251</v>
      </c>
      <c r="D25" s="4">
        <f>SUM(D22:D24)</f>
        <v>174317.32</v>
      </c>
    </row>
    <row r="27" spans="2:4" x14ac:dyDescent="0.25">
      <c r="B27" s="30" t="s">
        <v>10</v>
      </c>
      <c r="C27" s="30"/>
      <c r="D27" s="30"/>
    </row>
    <row r="28" spans="2:4" x14ac:dyDescent="0.25">
      <c r="B28" s="4" t="s">
        <v>1</v>
      </c>
      <c r="C28" s="4" t="s">
        <v>2</v>
      </c>
      <c r="D28" s="4" t="s">
        <v>3</v>
      </c>
    </row>
    <row r="29" spans="2:4" x14ac:dyDescent="0.25">
      <c r="B29" s="9" t="s">
        <v>4</v>
      </c>
      <c r="C29" s="6">
        <v>3594</v>
      </c>
      <c r="D29" s="28">
        <v>89312.84</v>
      </c>
    </row>
    <row r="30" spans="2:4" x14ac:dyDescent="0.25">
      <c r="B30" s="1" t="s">
        <v>5</v>
      </c>
      <c r="C30" s="6">
        <v>1816</v>
      </c>
      <c r="D30" s="28">
        <v>56461.13</v>
      </c>
    </row>
    <row r="31" spans="2:4" x14ac:dyDescent="0.25">
      <c r="B31" s="1" t="s">
        <v>6</v>
      </c>
      <c r="C31" s="6">
        <v>3277</v>
      </c>
      <c r="D31" s="28">
        <v>18629</v>
      </c>
    </row>
    <row r="32" spans="2:4" x14ac:dyDescent="0.25">
      <c r="B32" s="1" t="s">
        <v>7</v>
      </c>
      <c r="C32" s="6">
        <v>1029</v>
      </c>
      <c r="D32" s="28">
        <v>1831</v>
      </c>
    </row>
    <row r="33" spans="2:4" x14ac:dyDescent="0.25">
      <c r="B33" s="10" t="s">
        <v>8</v>
      </c>
      <c r="C33" s="8">
        <f>SUM(C29:C32)</f>
        <v>9716</v>
      </c>
      <c r="D33" s="4">
        <f>SUM(D29:D32)</f>
        <v>166233.97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 s="6">
        <v>558</v>
      </c>
      <c r="D37" s="28">
        <v>15610.72</v>
      </c>
    </row>
    <row r="38" spans="2:4" x14ac:dyDescent="0.25">
      <c r="B38" s="1" t="s">
        <v>6</v>
      </c>
      <c r="C38" s="6">
        <v>7</v>
      </c>
      <c r="D38" s="28">
        <v>1970</v>
      </c>
    </row>
    <row r="39" spans="2:4" x14ac:dyDescent="0.25">
      <c r="B39" s="1" t="s">
        <v>7</v>
      </c>
      <c r="C39" s="6">
        <v>930</v>
      </c>
      <c r="D39" s="28">
        <v>4999</v>
      </c>
    </row>
    <row r="40" spans="2:4" x14ac:dyDescent="0.25">
      <c r="B40" s="3" t="s">
        <v>8</v>
      </c>
      <c r="C40" s="8">
        <f>SUM(C37:C39)</f>
        <v>1495</v>
      </c>
      <c r="D40" s="4">
        <f>SUM(D37:D39)</f>
        <v>22579.72</v>
      </c>
    </row>
    <row r="41" spans="2:4" hidden="1" x14ac:dyDescent="0.25"/>
    <row r="42" spans="2:4" hidden="1" x14ac:dyDescent="0.25"/>
    <row r="43" spans="2:4" hidden="1" x14ac:dyDescent="0.25"/>
    <row r="44" spans="2:4" hidden="1" x14ac:dyDescent="0.25"/>
    <row r="45" spans="2:4" hidden="1" x14ac:dyDescent="0.25"/>
    <row r="46" spans="2:4" hidden="1" x14ac:dyDescent="0.25"/>
    <row r="48" spans="2:4" x14ac:dyDescent="0.25">
      <c r="B48" s="12" t="s">
        <v>12</v>
      </c>
      <c r="C48" s="13">
        <f>SUMIF(B:B, "Total general", C:C)</f>
        <v>100496</v>
      </c>
      <c r="D48" s="13">
        <f>SUMIF(B:B, "Total general", D:D)</f>
        <v>1375402.42</v>
      </c>
    </row>
  </sheetData>
  <mergeCells count="5">
    <mergeCell ref="B3:D3"/>
    <mergeCell ref="B12:D12"/>
    <mergeCell ref="B27:D27"/>
    <mergeCell ref="B20:D20"/>
    <mergeCell ref="B35:D35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5"/>
  <sheetViews>
    <sheetView showGridLines="0" tabSelected="1" zoomScaleNormal="100" workbookViewId="0">
      <selection activeCell="B2" sqref="B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2218</v>
      </c>
      <c r="D5" s="28">
        <v>62791.200000000004</v>
      </c>
      <c r="E5" s="11"/>
    </row>
    <row r="6" spans="2:8" x14ac:dyDescent="0.25">
      <c r="B6" s="1" t="s">
        <v>5</v>
      </c>
      <c r="C6" s="27">
        <v>13563</v>
      </c>
      <c r="D6" s="28">
        <v>167726.39000000001</v>
      </c>
    </row>
    <row r="7" spans="2:8" x14ac:dyDescent="0.25">
      <c r="B7" s="1" t="s">
        <v>6</v>
      </c>
      <c r="C7" s="27">
        <v>4351</v>
      </c>
      <c r="D7" s="28">
        <v>32538</v>
      </c>
    </row>
    <row r="8" spans="2:8" x14ac:dyDescent="0.25">
      <c r="B8" s="5" t="s">
        <v>11</v>
      </c>
      <c r="C8" s="27">
        <v>2739</v>
      </c>
      <c r="D8" s="28">
        <v>762</v>
      </c>
    </row>
    <row r="9" spans="2:8" x14ac:dyDescent="0.25">
      <c r="B9" s="1" t="s">
        <v>7</v>
      </c>
      <c r="C9" s="27">
        <v>2920</v>
      </c>
      <c r="D9" s="28">
        <v>19738.260000000002</v>
      </c>
      <c r="E9" s="14"/>
      <c r="F9" s="7"/>
    </row>
    <row r="10" spans="2:8" x14ac:dyDescent="0.25">
      <c r="B10" s="3" t="s">
        <v>8</v>
      </c>
      <c r="C10" s="8">
        <f>SUM(C5:C9)</f>
        <v>25791</v>
      </c>
      <c r="D10" s="4">
        <f>SUM(D5:D9)</f>
        <v>283555.85000000003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>
        <v>3580</v>
      </c>
      <c r="D14" s="28">
        <v>89312.84</v>
      </c>
    </row>
    <row r="15" spans="2:8" x14ac:dyDescent="0.25">
      <c r="B15" s="1" t="s">
        <v>5</v>
      </c>
      <c r="C15">
        <v>1290</v>
      </c>
      <c r="D15" s="28">
        <v>48467.130000000005</v>
      </c>
    </row>
    <row r="16" spans="2:8" x14ac:dyDescent="0.25">
      <c r="B16" s="1" t="s">
        <v>6</v>
      </c>
      <c r="C16">
        <v>2983</v>
      </c>
      <c r="D16" s="28">
        <v>16612</v>
      </c>
    </row>
    <row r="17" spans="2:4" x14ac:dyDescent="0.25">
      <c r="B17" s="9" t="s">
        <v>7</v>
      </c>
      <c r="C17">
        <v>26</v>
      </c>
      <c r="D17" s="28">
        <v>1831</v>
      </c>
    </row>
    <row r="18" spans="2:4" x14ac:dyDescent="0.25">
      <c r="B18" s="10" t="s">
        <v>8</v>
      </c>
      <c r="C18" s="8">
        <f>SUM(C14:C17)</f>
        <v>7879</v>
      </c>
      <c r="D18" s="4">
        <f>SUM(D14:D17)</f>
        <v>156222.97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6">
        <v>0</v>
      </c>
      <c r="D22" s="25">
        <v>0</v>
      </c>
    </row>
    <row r="23" spans="2:4" x14ac:dyDescent="0.25">
      <c r="B23" s="1" t="s">
        <v>5</v>
      </c>
      <c r="C23">
        <v>14</v>
      </c>
      <c r="D23" s="28">
        <v>2100</v>
      </c>
    </row>
    <row r="24" spans="2:4" x14ac:dyDescent="0.25">
      <c r="B24" s="1" t="s">
        <v>6</v>
      </c>
      <c r="C24">
        <v>13</v>
      </c>
      <c r="D24" s="25">
        <v>0</v>
      </c>
    </row>
    <row r="25" spans="2:4" x14ac:dyDescent="0.25">
      <c r="B25" s="5" t="s">
        <v>11</v>
      </c>
      <c r="C25">
        <v>1</v>
      </c>
      <c r="D25" s="25">
        <v>0</v>
      </c>
    </row>
    <row r="26" spans="2:4" x14ac:dyDescent="0.25">
      <c r="B26" s="1" t="s">
        <v>7</v>
      </c>
      <c r="C26">
        <v>302</v>
      </c>
      <c r="D26" s="28">
        <v>8280</v>
      </c>
    </row>
    <row r="27" spans="2:4" x14ac:dyDescent="0.25">
      <c r="B27" s="3" t="s">
        <v>8</v>
      </c>
      <c r="C27" s="8">
        <f>SUM(C22:C26)</f>
        <v>330</v>
      </c>
      <c r="D27" s="4">
        <f>SUM(D22:D26)</f>
        <v>10380</v>
      </c>
    </row>
    <row r="29" spans="2:4" x14ac:dyDescent="0.25">
      <c r="B29" s="29" t="s">
        <v>34</v>
      </c>
      <c r="C29" s="29"/>
      <c r="D29" s="29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11">
        <v>0</v>
      </c>
      <c r="D31" s="25">
        <v>0</v>
      </c>
    </row>
    <row r="32" spans="2:4" x14ac:dyDescent="0.25">
      <c r="B32" s="1" t="s">
        <v>5</v>
      </c>
      <c r="C32">
        <v>3</v>
      </c>
      <c r="D32" s="28">
        <v>763</v>
      </c>
    </row>
    <row r="33" spans="2:4" x14ac:dyDescent="0.25">
      <c r="B33" s="1" t="s">
        <v>6</v>
      </c>
      <c r="C33">
        <v>5</v>
      </c>
      <c r="D33" s="25">
        <v>0</v>
      </c>
    </row>
    <row r="34" spans="2:4" x14ac:dyDescent="0.25">
      <c r="B34" s="5" t="s">
        <v>11</v>
      </c>
      <c r="C34" s="11">
        <v>0</v>
      </c>
      <c r="D34" s="25">
        <v>0</v>
      </c>
    </row>
    <row r="35" spans="2:4" x14ac:dyDescent="0.25">
      <c r="B35" s="1" t="s">
        <v>7</v>
      </c>
      <c r="C35">
        <v>331</v>
      </c>
      <c r="D35" s="28">
        <v>388</v>
      </c>
    </row>
    <row r="36" spans="2:4" x14ac:dyDescent="0.25">
      <c r="B36" s="3" t="s">
        <v>8</v>
      </c>
      <c r="C36" s="8">
        <f>SUM(C31:C35)</f>
        <v>339</v>
      </c>
      <c r="D36" s="4">
        <f>SUM(D31:D35)</f>
        <v>1151</v>
      </c>
    </row>
    <row r="38" spans="2:4" x14ac:dyDescent="0.25">
      <c r="B38" s="30" t="s">
        <v>9</v>
      </c>
      <c r="C38" s="30"/>
      <c r="D38" s="30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11">
        <v>0</v>
      </c>
      <c r="D40" s="7">
        <v>0</v>
      </c>
    </row>
    <row r="41" spans="2:4" x14ac:dyDescent="0.25">
      <c r="B41" s="9" t="s">
        <v>5</v>
      </c>
      <c r="C41">
        <v>3</v>
      </c>
      <c r="D41" s="25">
        <v>0</v>
      </c>
    </row>
    <row r="42" spans="2:4" x14ac:dyDescent="0.25">
      <c r="B42" s="9" t="s">
        <v>6</v>
      </c>
      <c r="C42" s="7">
        <v>0</v>
      </c>
      <c r="D42" s="25">
        <v>0</v>
      </c>
    </row>
    <row r="43" spans="2:4" x14ac:dyDescent="0.25">
      <c r="B43" s="5" t="s">
        <v>11</v>
      </c>
      <c r="C43" s="7">
        <v>0</v>
      </c>
      <c r="D43" s="7">
        <v>0</v>
      </c>
    </row>
    <row r="44" spans="2:4" x14ac:dyDescent="0.25">
      <c r="B44" s="9" t="s">
        <v>7</v>
      </c>
      <c r="C44">
        <v>167</v>
      </c>
      <c r="D44" s="7">
        <v>0</v>
      </c>
    </row>
    <row r="45" spans="2:4" x14ac:dyDescent="0.25">
      <c r="B45" s="10" t="s">
        <v>8</v>
      </c>
      <c r="C45" s="8">
        <f>SUM(C40:C44)</f>
        <v>170</v>
      </c>
      <c r="D45" s="4">
        <f>SUM(D40:D44)</f>
        <v>0</v>
      </c>
    </row>
    <row r="47" spans="2:4" x14ac:dyDescent="0.25">
      <c r="B47" s="29" t="s">
        <v>29</v>
      </c>
      <c r="C47" s="29"/>
      <c r="D47" s="29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25">
        <v>0</v>
      </c>
      <c r="D49" s="25">
        <v>0</v>
      </c>
    </row>
    <row r="50" spans="2:4" x14ac:dyDescent="0.25">
      <c r="B50" s="1" t="s">
        <v>5</v>
      </c>
      <c r="C50">
        <v>3</v>
      </c>
      <c r="D50" s="25">
        <v>0</v>
      </c>
    </row>
    <row r="51" spans="2:4" x14ac:dyDescent="0.25">
      <c r="B51" s="1" t="s">
        <v>6</v>
      </c>
      <c r="C51" s="11">
        <v>0</v>
      </c>
      <c r="D51" s="25">
        <v>0</v>
      </c>
    </row>
    <row r="52" spans="2:4" x14ac:dyDescent="0.25">
      <c r="B52" s="1" t="s">
        <v>7</v>
      </c>
      <c r="C52">
        <v>64</v>
      </c>
      <c r="D52" s="25">
        <v>0</v>
      </c>
    </row>
    <row r="53" spans="2:4" x14ac:dyDescent="0.25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25">
      <c r="B55" s="12" t="s">
        <v>12</v>
      </c>
      <c r="C55" s="13">
        <f>SUMIF(B:B, "Total general", C:C)</f>
        <v>34576</v>
      </c>
      <c r="D55" s="13">
        <f>SUMIF(B:B, "Total general", D:D)</f>
        <v>451309.82000000007</v>
      </c>
    </row>
  </sheetData>
  <mergeCells count="7">
    <mergeCell ref="B38:D38"/>
    <mergeCell ref="B47:D47"/>
    <mergeCell ref="B12:D12"/>
    <mergeCell ref="B29:D29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5798</v>
      </c>
      <c r="D3" s="14">
        <f>SUMIF('CDC-OLGUIN'!B:B, "Extrajudicial - 0 a 28 semanas de atraso", 'CDC-OLGUIN'!D:D)</f>
        <v>152104.04</v>
      </c>
    </row>
    <row r="4" spans="2:6" x14ac:dyDescent="0.25">
      <c r="B4" s="1" t="s">
        <v>5</v>
      </c>
      <c r="C4" s="6">
        <f>SUMIF('CDC-OLGUIN'!B:B, "Extrajudicial - 29 a 39 semanas de atraso", 'CDC-OLGUIN'!C:C)</f>
        <v>14876</v>
      </c>
      <c r="D4" s="14">
        <f>SUMIF('CDC-OLGUIN'!B:B, "Extrajudicial - 29 a 39 semanas de atraso", 'CDC-OLGUIN'!D:D)</f>
        <v>219056.52000000002</v>
      </c>
    </row>
    <row r="5" spans="2:6" x14ac:dyDescent="0.25">
      <c r="B5" s="1" t="s">
        <v>6</v>
      </c>
      <c r="C5" s="6">
        <f>SUMIF('CDC-OLGUIN'!B:B, "Extrajudicial - 40 a 55 semanas de atraso", 'CDC-OLGUIN'!C:C)</f>
        <v>7352</v>
      </c>
      <c r="D5" s="14">
        <f>SUMIF('CDC-OLGUIN'!B:B, "Extrajudicial - 40 a 55 semanas de atraso", 'CDC-OLGUIN'!D:D)</f>
        <v>49150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762</v>
      </c>
    </row>
    <row r="7" spans="2:6" x14ac:dyDescent="0.25">
      <c r="B7" s="1" t="s">
        <v>7</v>
      </c>
      <c r="C7" s="6">
        <f>SUMIF('CDC-OLGUIN'!B:B, "Mas 55 semanas de atraso", 'CDC-OLGUIN'!C:C)</f>
        <v>3810</v>
      </c>
      <c r="D7" s="6">
        <f>SUMIF('CDC-OLGUIN'!B:B, "Mas 55 semanas de atraso", 'CDC-OLGUIN'!D:D)</f>
        <v>30237.260000000002</v>
      </c>
      <c r="E7" s="14"/>
      <c r="F7" s="7"/>
    </row>
    <row r="8" spans="2:6" x14ac:dyDescent="0.25">
      <c r="B8" s="3" t="s">
        <v>8</v>
      </c>
      <c r="C8" s="8">
        <f>SUM(C3:C7)</f>
        <v>34576</v>
      </c>
      <c r="D8" s="4">
        <f>SUM(D3:D7)</f>
        <v>451309.82000000007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3687</v>
      </c>
      <c r="E6" s="16">
        <f>SUMIF('REPORTE DIARIO'!B:B,'EPR 26 JUN'!C6, 'REPORTE DIARIO'!D:D)</f>
        <v>89919.84</v>
      </c>
      <c r="F6" s="16">
        <f>J6*D6</f>
        <v>231754.28571428571</v>
      </c>
      <c r="G6" s="16">
        <f>+E6-F6</f>
        <v>-141834.44571428571</v>
      </c>
      <c r="H6" s="15">
        <f>ABS(G6/F6)</f>
        <v>0.61200355055847322</v>
      </c>
      <c r="I6" s="16">
        <f>E6/D6</f>
        <v>24.38834825061025</v>
      </c>
      <c r="J6" s="16">
        <f>(220/7)*2</f>
        <v>62.857142857142854</v>
      </c>
      <c r="K6" s="16">
        <f>+I6-J6</f>
        <v>-38.468794606532605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15164</v>
      </c>
      <c r="E7" s="16">
        <f>SUMIF('REPORTE DIARIO'!B:B,'EPR 26 JUN'!C7, 'REPORTE DIARIO'!D:D)</f>
        <v>694615.00999999989</v>
      </c>
      <c r="F7" s="16">
        <f>J7*D7</f>
        <v>476582.8571428571</v>
      </c>
      <c r="G7" s="16">
        <f>+E7-F7</f>
        <v>218032.15285714279</v>
      </c>
      <c r="H7" s="15">
        <f>ABS(G7/F7)</f>
        <v>0.45749054878779877</v>
      </c>
      <c r="I7" s="16">
        <f>E7/D7</f>
        <v>45.806845819045101</v>
      </c>
      <c r="J7" s="16">
        <f>(110/7)*2</f>
        <v>31.428571428571427</v>
      </c>
      <c r="K7" s="16">
        <f t="shared" ref="K7:K9" si="0">+I7-J7</f>
        <v>14.378274390473674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12787</v>
      </c>
      <c r="E8" s="16">
        <f>SUMIF('REPORTE DIARIO'!B:B,'EPR 26 JUN'!C8, 'REPORTE DIARIO'!D:D)</f>
        <v>217207.46</v>
      </c>
      <c r="F8" s="16">
        <f>J8*D8</f>
        <v>164404.28571428571</v>
      </c>
      <c r="G8" s="16">
        <f>+E8-F8</f>
        <v>52803.174285714282</v>
      </c>
      <c r="H8" s="15">
        <f>ABS(G8/F8)</f>
        <v>0.32117881876558657</v>
      </c>
      <c r="I8" s="16">
        <f>E8/D8</f>
        <v>16.986584812700396</v>
      </c>
      <c r="J8" s="16">
        <f>(45/7)*2</f>
        <v>12.857142857142858</v>
      </c>
      <c r="K8" s="16">
        <f t="shared" si="0"/>
        <v>4.1294419555575388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67800</v>
      </c>
      <c r="E9" s="16">
        <f>SUMIF('REPORTE DIARIO'!B:B,'EPR 26 JUN'!C9, 'REPORTE DIARIO'!D:D)</f>
        <v>373660.11</v>
      </c>
      <c r="F9" s="16">
        <f>J9*D9</f>
        <v>290571.42857142858</v>
      </c>
      <c r="G9" s="16">
        <f>+E9-F9</f>
        <v>83088.681428571406</v>
      </c>
      <c r="H9" s="15">
        <f>ABS(G9/F9)</f>
        <v>0.28594924778761055</v>
      </c>
      <c r="I9" s="16">
        <f>E9/D9</f>
        <v>5.5112110619469021</v>
      </c>
      <c r="J9" s="16">
        <f>(15/7)*2</f>
        <v>4.2857142857142856</v>
      </c>
      <c r="K9" s="16">
        <f t="shared" si="0"/>
        <v>1.2254967762326165</v>
      </c>
    </row>
    <row r="10" spans="2:12" x14ac:dyDescent="0.25">
      <c r="B10" s="16"/>
      <c r="C10" s="19" t="s">
        <v>16</v>
      </c>
      <c r="D10" s="24">
        <f>SUM(D6:D9)</f>
        <v>99438</v>
      </c>
      <c r="E10" s="20">
        <f>SUM(E6:E9)</f>
        <v>1375402.42</v>
      </c>
      <c r="F10" s="20">
        <f>SUM(F6:F9)</f>
        <v>1163312.857142857</v>
      </c>
      <c r="G10" s="20">
        <f>+E10-F10</f>
        <v>212089.56285714288</v>
      </c>
      <c r="H10" s="21">
        <f>ABS(G10/F10)</f>
        <v>0.18231515413492749</v>
      </c>
      <c r="I10" s="20">
        <f>E10/D10</f>
        <v>13.831758683802972</v>
      </c>
      <c r="J10" s="20">
        <f>F10/D10</f>
        <v>11.698876255987219</v>
      </c>
      <c r="K10" s="20">
        <f>I10-J10</f>
        <v>2.132882427815753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2025-10-03T16:20:29Z</dcterms:modified>
</cp:coreProperties>
</file>