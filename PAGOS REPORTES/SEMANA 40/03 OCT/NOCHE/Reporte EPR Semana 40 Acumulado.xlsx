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3 OCT\NOCHE\"/>
    </mc:Choice>
  </mc:AlternateContent>
  <xr:revisionPtr revIDLastSave="0" documentId="13_ncr:1_{6D568F33-FA5D-471C-9767-02B7C9D3968E}" xr6:coauthVersionLast="47" xr6:coauthVersionMax="47" xr10:uidLastSave="{00000000-0000-0000-0000-000000000000}"/>
  <bookViews>
    <workbookView xWindow="11820" yWindow="1182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40" i="1"/>
  <c r="D18" i="5"/>
  <c r="C18" i="5"/>
  <c r="D33" i="1"/>
  <c r="C33" i="1"/>
  <c r="D10" i="5"/>
  <c r="D26" i="5"/>
  <c r="D45" i="5"/>
  <c r="C45" i="5"/>
  <c r="D7" i="6"/>
  <c r="D6" i="6"/>
  <c r="D5" i="6"/>
  <c r="D4" i="6"/>
  <c r="D3" i="6"/>
  <c r="C7" i="6"/>
  <c r="C6" i="6"/>
  <c r="C5" i="6"/>
  <c r="C4" i="6"/>
  <c r="C3" i="6"/>
  <c r="D33" i="5"/>
  <c r="C33" i="5"/>
  <c r="D39" i="5"/>
  <c r="C39" i="5"/>
  <c r="C26" i="5"/>
  <c r="C10" i="5"/>
  <c r="J9" i="3"/>
  <c r="J8" i="3"/>
  <c r="J7" i="3"/>
  <c r="J6" i="3"/>
  <c r="C40" i="1"/>
  <c r="C47" i="5" l="1"/>
  <c r="D8" i="6"/>
  <c r="C8" i="6"/>
  <c r="D47" i="5"/>
  <c r="C25" i="1"/>
  <c r="D25" i="1"/>
  <c r="D18" i="1"/>
  <c r="D6" i="3"/>
  <c r="D10" i="1" l="1"/>
  <c r="D48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4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<sst xmlns="http://schemas.openxmlformats.org/spreadsheetml/2006/main" count="134" uniqueCount="37">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</sst>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8"/>
  <sheetViews>
    <sheetView showGridLines="0" topLeftCell="A10" zoomScaleNormal="100" workbookViewId="0">
      <selection activeCell="C40" sqref="C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341</v>
      </c>
      <c r="D5" s="28">
        <v>845</v>
      </c>
    </row>
    <row r="6" spans="2:8" x14ac:dyDescent="0.25">
      <c r="B6" s="1" t="s">
        <v>5</v>
      </c>
      <c r="C6" s="6">
        <v>8617</v>
      </c>
      <c r="D6" s="28">
        <v>533537.5</v>
      </c>
    </row>
    <row r="7" spans="2:8" x14ac:dyDescent="0.25">
      <c r="B7" s="1" t="s">
        <v>6</v>
      </c>
      <c r="C7" s="6">
        <v>7755</v>
      </c>
      <c r="D7" s="28">
        <v>173537.52</v>
      </c>
    </row>
    <row r="8" spans="2:8" x14ac:dyDescent="0.25">
      <c r="B8" s="5" t="s">
        <v>11</v>
      </c>
      <c r="C8" s="7">
        <v>1058</v>
      </c>
      <c r="D8" s="25">
        <v>0</v>
      </c>
    </row>
    <row r="9" spans="2:8" x14ac:dyDescent="0.25">
      <c r="B9" s="1" t="s">
        <v>7</v>
      </c>
      <c r="C9" s="6">
        <v>36727</v>
      </c>
      <c r="D9" s="28">
        <v>254207.48999999996</v>
      </c>
      <c r="E9" s="14"/>
      <c r="F9" s="7"/>
    </row>
    <row r="10" spans="2:8" x14ac:dyDescent="0.25">
      <c r="B10" s="3" t="s">
        <v>8</v>
      </c>
      <c r="C10" s="8">
        <f>SUM(C5:C9)</f>
        <v>54498</v>
      </c>
      <c r="D10" s="4">
        <f>SUM(D5:D9)</f>
        <v>962127.51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</v>
      </c>
      <c r="D14" s="28">
        <v>543</v>
      </c>
    </row>
    <row r="15" spans="2:8" x14ac:dyDescent="0.25">
      <c r="B15" s="9" t="s">
        <v>5</v>
      </c>
      <c r="C15" s="6">
        <v>2390</v>
      </c>
      <c r="D15" s="28">
        <v>272352.03000000003</v>
      </c>
    </row>
    <row r="16" spans="2:8" x14ac:dyDescent="0.25">
      <c r="B16" s="9" t="s">
        <v>6</v>
      </c>
      <c r="C16" s="6">
        <v>1469</v>
      </c>
      <c r="D16" s="28">
        <v>41784.94</v>
      </c>
    </row>
    <row r="17" spans="2:4" x14ac:dyDescent="0.25">
      <c r="B17" s="9" t="s">
        <v>7</v>
      </c>
      <c r="C17" s="6">
        <v>12344</v>
      </c>
      <c r="D17" s="28">
        <v>84234.190000000017</v>
      </c>
    </row>
    <row r="18" spans="2:4" x14ac:dyDescent="0.25">
      <c r="B18" s="10" t="s">
        <v>8</v>
      </c>
      <c r="C18" s="8">
        <f>SUM(C14:C17)</f>
        <v>16219</v>
      </c>
      <c r="D18" s="4">
        <f>SUM(D14:D17)</f>
        <v>398914.16000000003</v>
      </c>
    </row>
    <row r="20" spans="2:4" x14ac:dyDescent="0.25">
      <c r="B20" s="29" t="s">
        <v>34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 s="6">
        <v>1803</v>
      </c>
      <c r="D22" s="28">
        <v>86140.310000000012</v>
      </c>
    </row>
    <row r="23" spans="2:4" x14ac:dyDescent="0.25">
      <c r="B23" s="1" t="s">
        <v>6</v>
      </c>
      <c r="C23" s="6">
        <v>639</v>
      </c>
      <c r="D23" s="28">
        <v>18035</v>
      </c>
    </row>
    <row r="24" spans="2:4" x14ac:dyDescent="0.25">
      <c r="B24" s="1" t="s">
        <v>7</v>
      </c>
      <c r="C24" s="7">
        <v>16809</v>
      </c>
      <c r="D24" s="28">
        <v>107359.01000000001</v>
      </c>
    </row>
    <row r="25" spans="2:4" x14ac:dyDescent="0.25">
      <c r="B25" s="3" t="s">
        <v>8</v>
      </c>
      <c r="C25" s="8">
        <f>SUM(C22:C24)</f>
        <v>19251</v>
      </c>
      <c r="D25" s="4">
        <f>SUM(D22:D24)</f>
        <v>211534.32</v>
      </c>
    </row>
    <row r="27" spans="2:4" x14ac:dyDescent="0.25">
      <c r="B27" s="30" t="s">
        <v>10</v>
      </c>
      <c r="C27" s="30"/>
      <c r="D27" s="30"/>
    </row>
    <row r="28" spans="2:4" x14ac:dyDescent="0.25">
      <c r="B28" s="4" t="s">
        <v>1</v>
      </c>
      <c r="C28" s="4" t="s">
        <v>2</v>
      </c>
      <c r="D28" s="4" t="s">
        <v>3</v>
      </c>
    </row>
    <row r="29" spans="2:4" x14ac:dyDescent="0.25">
      <c r="B29" s="9" t="s">
        <v>4</v>
      </c>
      <c r="C29" s="6">
        <v>3647</v>
      </c>
      <c r="D29" s="28">
        <v>92577.84</v>
      </c>
    </row>
    <row r="30" spans="2:4" x14ac:dyDescent="0.25">
      <c r="B30" s="1" t="s">
        <v>5</v>
      </c>
      <c r="C30" s="6">
        <v>1818</v>
      </c>
      <c r="D30" s="28">
        <v>91640.13</v>
      </c>
    </row>
    <row r="31" spans="2:4" x14ac:dyDescent="0.25">
      <c r="B31" s="1" t="s">
        <v>6</v>
      </c>
      <c r="C31" s="6">
        <v>3364</v>
      </c>
      <c r="D31" s="28">
        <v>20792</v>
      </c>
    </row>
    <row r="32" spans="2:4" x14ac:dyDescent="0.25">
      <c r="B32" s="1" t="s">
        <v>7</v>
      </c>
      <c r="C32" s="6">
        <v>1029</v>
      </c>
      <c r="D32" s="28">
        <v>1831</v>
      </c>
    </row>
    <row r="33" spans="2:4" x14ac:dyDescent="0.25">
      <c r="B33" s="10" t="s">
        <v>8</v>
      </c>
      <c r="C33" s="8">
        <f>SUM(C29:C32)</f>
        <v>9858</v>
      </c>
      <c r="D33" s="4">
        <f>SUM(D29:D32)</f>
        <v>206840.97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 s="6">
        <v>558</v>
      </c>
      <c r="D37" s="28">
        <v>17943.72</v>
      </c>
    </row>
    <row r="38" spans="2:4" x14ac:dyDescent="0.25">
      <c r="B38" s="1" t="s">
        <v>6</v>
      </c>
      <c r="C38" s="6">
        <v>7</v>
      </c>
      <c r="D38" s="28">
        <v>1970</v>
      </c>
    </row>
    <row r="39" spans="2:4" x14ac:dyDescent="0.25">
      <c r="B39" s="1" t="s">
        <v>7</v>
      </c>
      <c r="C39" s="6">
        <v>930</v>
      </c>
      <c r="D39" s="28">
        <v>7920</v>
      </c>
    </row>
    <row r="40" spans="2:4" x14ac:dyDescent="0.25">
      <c r="B40" s="3" t="s">
        <v>8</v>
      </c>
      <c r="C40" s="8">
        <f>SUM(C37:C39)</f>
        <v>1495</v>
      </c>
      <c r="D40" s="4">
        <f>SUM(D37:D39)</f>
        <v>27833.72</v>
      </c>
    </row>
    <row r="41" spans="2:4" hidden="1" x14ac:dyDescent="0.25"/>
    <row r="42" spans="2:4" hidden="1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8" spans="2:4" x14ac:dyDescent="0.25">
      <c r="B48" s="12" t="s">
        <v>12</v>
      </c>
      <c r="C48" s="13">
        <f>SUMIF(B:B, "Total general", C:C)</f>
        <v>101321</v>
      </c>
      <c r="D48" s="13">
        <f>SUMIF(B:B, "Total general", D:D)</f>
        <v>1807250.68</v>
      </c>
    </row>
  </sheetData>
  <mergeCells count="5">
    <mergeCell ref="B3:D3"/>
    <mergeCell ref="B12:D12"/>
    <mergeCell ref="B27:D27"/>
    <mergeCell ref="B20:D20"/>
    <mergeCell ref="B35:D35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47"/>
  <sheetViews>
    <sheetView showGridLines="0" tabSelected="1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2270</v>
      </c>
      <c r="D5" s="28">
        <v>72543.360000000001</v>
      </c>
      <c r="E5" s="11"/>
    </row>
    <row r="6" spans="2:8" x14ac:dyDescent="0.25">
      <c r="B6" s="1" t="s">
        <v>5</v>
      </c>
      <c r="C6" s="27">
        <v>13565</v>
      </c>
      <c r="D6" s="28">
        <v>187005.39000000004</v>
      </c>
    </row>
    <row r="7" spans="2:8" x14ac:dyDescent="0.25">
      <c r="B7" s="1" t="s">
        <v>6</v>
      </c>
      <c r="C7" s="27">
        <v>4438</v>
      </c>
      <c r="D7" s="28">
        <v>47300</v>
      </c>
    </row>
    <row r="8" spans="2:8" x14ac:dyDescent="0.25">
      <c r="B8" s="5" t="s">
        <v>11</v>
      </c>
      <c r="C8" s="27">
        <v>2739</v>
      </c>
      <c r="D8" s="28">
        <v>762</v>
      </c>
    </row>
    <row r="9" spans="2:8" x14ac:dyDescent="0.25">
      <c r="B9" s="1" t="s">
        <v>7</v>
      </c>
      <c r="C9" s="27">
        <v>2920</v>
      </c>
      <c r="D9" s="28">
        <v>21238.260000000002</v>
      </c>
      <c r="E9" s="14"/>
      <c r="F9" s="7"/>
    </row>
    <row r="10" spans="2:8" x14ac:dyDescent="0.25">
      <c r="B10" s="3" t="s">
        <v>8</v>
      </c>
      <c r="C10" s="8">
        <f>SUM(C5:C9)</f>
        <v>25932</v>
      </c>
      <c r="D10" s="4">
        <f>SUM(D5:D9)</f>
        <v>328849.01000000007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3590</v>
      </c>
      <c r="D14" s="28">
        <v>92577.84</v>
      </c>
    </row>
    <row r="15" spans="2:8" x14ac:dyDescent="0.25">
      <c r="B15" s="1" t="s">
        <v>5</v>
      </c>
      <c r="C15" s="26">
        <v>1310</v>
      </c>
      <c r="D15" s="28">
        <v>82215.13</v>
      </c>
    </row>
    <row r="16" spans="2:8" x14ac:dyDescent="0.25">
      <c r="B16" s="1" t="s">
        <v>6</v>
      </c>
      <c r="C16" s="26">
        <v>3028</v>
      </c>
      <c r="D16" s="28">
        <v>18775</v>
      </c>
    </row>
    <row r="17" spans="2:4" x14ac:dyDescent="0.25">
      <c r="B17" s="9" t="s">
        <v>7</v>
      </c>
      <c r="C17" s="26">
        <v>26</v>
      </c>
      <c r="D17" s="28">
        <v>1831</v>
      </c>
    </row>
    <row r="18" spans="2:4" x14ac:dyDescent="0.25">
      <c r="B18" s="10" t="s">
        <v>8</v>
      </c>
      <c r="C18" s="8">
        <f>SUM(C14:C17)</f>
        <v>7954</v>
      </c>
      <c r="D18" s="4">
        <f>SUM(D14:D17)</f>
        <v>195398.97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>
        <v>14</v>
      </c>
      <c r="D22" s="28">
        <v>2100</v>
      </c>
    </row>
    <row r="23" spans="2:4" x14ac:dyDescent="0.25">
      <c r="B23" s="1" t="s">
        <v>6</v>
      </c>
      <c r="C23">
        <v>13</v>
      </c>
      <c r="D23" s="25">
        <v>0</v>
      </c>
    </row>
    <row r="24" spans="2:4" x14ac:dyDescent="0.25">
      <c r="B24" s="5" t="s">
        <v>11</v>
      </c>
      <c r="C24">
        <v>1</v>
      </c>
      <c r="D24" s="25">
        <v>0</v>
      </c>
    </row>
    <row r="25" spans="2:4" x14ac:dyDescent="0.25">
      <c r="B25" s="1" t="s">
        <v>7</v>
      </c>
      <c r="C25">
        <v>302</v>
      </c>
      <c r="D25" s="28">
        <v>9217</v>
      </c>
    </row>
    <row r="26" spans="2:4" x14ac:dyDescent="0.25">
      <c r="B26" s="3" t="s">
        <v>8</v>
      </c>
      <c r="C26" s="8">
        <f>SUM(C22:C25)</f>
        <v>330</v>
      </c>
      <c r="D26" s="4">
        <f>SUM(D22:D25)</f>
        <v>11317</v>
      </c>
    </row>
    <row r="28" spans="2:4" x14ac:dyDescent="0.25">
      <c r="B28" s="29" t="s">
        <v>34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5</v>
      </c>
      <c r="C30">
        <v>3</v>
      </c>
      <c r="D30" s="28">
        <v>763</v>
      </c>
    </row>
    <row r="31" spans="2:4" x14ac:dyDescent="0.25">
      <c r="B31" s="1" t="s">
        <v>6</v>
      </c>
      <c r="C31">
        <v>5</v>
      </c>
      <c r="D31" s="25">
        <v>0</v>
      </c>
    </row>
    <row r="32" spans="2:4" x14ac:dyDescent="0.25">
      <c r="B32" s="1" t="s">
        <v>7</v>
      </c>
      <c r="C32">
        <v>331</v>
      </c>
      <c r="D32" s="28">
        <v>898</v>
      </c>
    </row>
    <row r="33" spans="2:4" x14ac:dyDescent="0.25">
      <c r="B33" s="3" t="s">
        <v>8</v>
      </c>
      <c r="C33" s="8">
        <f>SUM(C30:C32)</f>
        <v>339</v>
      </c>
      <c r="D33" s="4">
        <f>SUM(D30:D32)</f>
        <v>1661</v>
      </c>
    </row>
    <row r="35" spans="2:4" x14ac:dyDescent="0.25">
      <c r="B35" s="30" t="s">
        <v>9</v>
      </c>
      <c r="C35" s="30"/>
      <c r="D35" s="30"/>
    </row>
    <row r="36" spans="2:4" x14ac:dyDescent="0.25">
      <c r="B36" s="4" t="s">
        <v>1</v>
      </c>
      <c r="C36" s="4" t="s">
        <v>2</v>
      </c>
      <c r="D36" s="4" t="s">
        <v>3</v>
      </c>
    </row>
    <row r="37" spans="2:4" x14ac:dyDescent="0.25">
      <c r="B37" s="9" t="s">
        <v>5</v>
      </c>
      <c r="C37">
        <v>3</v>
      </c>
      <c r="D37" s="25">
        <v>0</v>
      </c>
    </row>
    <row r="38" spans="2:4" x14ac:dyDescent="0.25">
      <c r="B38" s="9" t="s">
        <v>7</v>
      </c>
      <c r="C38">
        <v>167</v>
      </c>
      <c r="D38" s="7">
        <v>0</v>
      </c>
    </row>
    <row r="39" spans="2:4" x14ac:dyDescent="0.25">
      <c r="B39" s="10" t="s">
        <v>8</v>
      </c>
      <c r="C39" s="8">
        <f>SUM(C37:C38)</f>
        <v>170</v>
      </c>
      <c r="D39" s="4">
        <f>SUM(D37:D38)</f>
        <v>0</v>
      </c>
    </row>
    <row r="41" spans="2:4" x14ac:dyDescent="0.25">
      <c r="B41" s="29" t="s">
        <v>29</v>
      </c>
      <c r="C41" s="29"/>
      <c r="D41" s="29"/>
    </row>
    <row r="42" spans="2:4" x14ac:dyDescent="0.25">
      <c r="B42" s="2" t="s">
        <v>1</v>
      </c>
      <c r="C42" s="2" t="s">
        <v>2</v>
      </c>
      <c r="D42" s="2" t="s">
        <v>3</v>
      </c>
    </row>
    <row r="43" spans="2:4" x14ac:dyDescent="0.25">
      <c r="B43" s="1" t="s">
        <v>5</v>
      </c>
      <c r="C43">
        <v>3</v>
      </c>
      <c r="D43" s="25">
        <v>0</v>
      </c>
    </row>
    <row r="44" spans="2:4" x14ac:dyDescent="0.25">
      <c r="B44" s="1" t="s">
        <v>7</v>
      </c>
      <c r="C44">
        <v>64</v>
      </c>
      <c r="D44" s="25">
        <v>0</v>
      </c>
    </row>
    <row r="45" spans="2:4" x14ac:dyDescent="0.25">
      <c r="B45" s="3" t="s">
        <v>8</v>
      </c>
      <c r="C45" s="8">
        <f>SUM(C43:C44)</f>
        <v>67</v>
      </c>
      <c r="D45" s="4">
        <f>SUM(D43:D44)</f>
        <v>0</v>
      </c>
    </row>
    <row r="47" spans="2:4" x14ac:dyDescent="0.25">
      <c r="B47" s="12" t="s">
        <v>12</v>
      </c>
      <c r="C47" s="13">
        <f>SUMIF(B:B, "Total general", C:C)</f>
        <v>34792</v>
      </c>
      <c r="D47" s="13">
        <f>SUMIF(B:B, "Total general", D:D)</f>
        <v>537225.9800000001</v>
      </c>
    </row>
  </sheetData>
  <mergeCells count="7">
    <mergeCell ref="B35:D35"/>
    <mergeCell ref="B41:D41"/>
    <mergeCell ref="B12:D12"/>
    <mergeCell ref="B28:D2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5860</v>
      </c>
      <c r="D3" s="14">
        <f>SUMIF('CDC-OLGUIN'!B:B, "Extrajudicial - 0 a 28 semanas de atraso", 'CDC-OLGUIN'!D:D)</f>
        <v>165121.20000000001</v>
      </c>
    </row>
    <row r="4" spans="2:6" x14ac:dyDescent="0.25">
      <c r="B4" s="1" t="s">
        <v>5</v>
      </c>
      <c r="C4" s="6">
        <f>SUMIF('CDC-OLGUIN'!B:B, "Extrajudicial - 29 a 39 semanas de atraso", 'CDC-OLGUIN'!C:C)</f>
        <v>14898</v>
      </c>
      <c r="D4" s="14">
        <f>SUMIF('CDC-OLGUIN'!B:B, "Extrajudicial - 29 a 39 semanas de atraso", 'CDC-OLGUIN'!D:D)</f>
        <v>272083.52</v>
      </c>
    </row>
    <row r="5" spans="2:6" x14ac:dyDescent="0.25">
      <c r="B5" s="1" t="s">
        <v>6</v>
      </c>
      <c r="C5" s="6">
        <f>SUMIF('CDC-OLGUIN'!B:B, "Extrajudicial - 40 a 55 semanas de atraso", 'CDC-OLGUIN'!C:C)</f>
        <v>7484</v>
      </c>
      <c r="D5" s="14">
        <f>SUMIF('CDC-OLGUIN'!B:B, "Extrajudicial - 40 a 55 semanas de atraso", 'CDC-OLGUIN'!D:D)</f>
        <v>66075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762</v>
      </c>
    </row>
    <row r="7" spans="2:6" x14ac:dyDescent="0.25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33184.26</v>
      </c>
      <c r="E7" s="14"/>
      <c r="F7" s="7"/>
    </row>
    <row r="8" spans="2:6" x14ac:dyDescent="0.25">
      <c r="B8" s="3" t="s">
        <v>8</v>
      </c>
      <c r="C8" s="8">
        <f>SUM(C3:C7)</f>
        <v>34792</v>
      </c>
      <c r="D8" s="4">
        <f>SUM(D3:D7)</f>
        <v>537225.98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4004</v>
      </c>
      <c r="E6" s="16">
        <f>SUMIF('REPORTE DIARIO'!B:B,'EPR 26 JUN'!C6, 'REPORTE DIARIO'!D:D)</f>
        <v>93965.84</v>
      </c>
      <c r="F6" s="16">
        <f>J6*D6</f>
        <v>251680</v>
      </c>
      <c r="G6" s="16">
        <f>+E6-F6</f>
        <v>-157714.16</v>
      </c>
      <c r="H6" s="15">
        <f>ABS(G6/F6)</f>
        <v>0.62664558169103624</v>
      </c>
      <c r="I6" s="16">
        <f>E6/D6</f>
        <v>23.467992007992006</v>
      </c>
      <c r="J6" s="16">
        <f>(220/7)*2</f>
        <v>62.857142857142854</v>
      </c>
      <c r="K6" s="16">
        <f>+I6-J6</f>
        <v>-39.389150849150852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15186</v>
      </c>
      <c r="E7" s="16">
        <f>SUMIF('REPORTE DIARIO'!B:B,'EPR 26 JUN'!C7, 'REPORTE DIARIO'!D:D)</f>
        <v>1001613.6900000001</v>
      </c>
      <c r="F7" s="16">
        <f>J7*D7</f>
        <v>477274.28571428568</v>
      </c>
      <c r="G7" s="16">
        <f>+E7-F7</f>
        <v>524339.40428571438</v>
      </c>
      <c r="H7" s="15">
        <f>ABS(G7/F7)</f>
        <v>1.0986123073883842</v>
      </c>
      <c r="I7" s="16">
        <f>E7/D7</f>
        <v>65.956386803634928</v>
      </c>
      <c r="J7" s="16">
        <f>(110/7)*2</f>
        <v>31.428571428571427</v>
      </c>
      <c r="K7" s="16">
        <f t="shared" ref="K7:K9" si="0">+I7-J7</f>
        <v>34.527815375063497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13234</v>
      </c>
      <c r="E8" s="16">
        <f>SUMIF('REPORTE DIARIO'!B:B,'EPR 26 JUN'!C8, 'REPORTE DIARIO'!D:D)</f>
        <v>256119.46</v>
      </c>
      <c r="F8" s="16">
        <f>J8*D8</f>
        <v>170151.42857142858</v>
      </c>
      <c r="G8" s="16">
        <f>+E8-F8</f>
        <v>85968.031428571412</v>
      </c>
      <c r="H8" s="15">
        <f>ABS(G8/F8)</f>
        <v>0.50524425301831966</v>
      </c>
      <c r="I8" s="16">
        <f>E8/D8</f>
        <v>19.353140395949826</v>
      </c>
      <c r="J8" s="16">
        <f>(45/7)*2</f>
        <v>12.857142857142858</v>
      </c>
      <c r="K8" s="16">
        <f t="shared" si="0"/>
        <v>6.495997538806968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67839</v>
      </c>
      <c r="E9" s="16">
        <f>SUMIF('REPORTE DIARIO'!B:B,'EPR 26 JUN'!C9, 'REPORTE DIARIO'!D:D)</f>
        <v>455551.69</v>
      </c>
      <c r="F9" s="16">
        <f>J9*D9</f>
        <v>290738.57142857142</v>
      </c>
      <c r="G9" s="16">
        <f>+E9-F9</f>
        <v>164813.11857142858</v>
      </c>
      <c r="H9" s="15">
        <f>ABS(G9/F9)</f>
        <v>0.56687737633711199</v>
      </c>
      <c r="I9" s="16">
        <f>E9/D9</f>
        <v>6.7151887557304795</v>
      </c>
      <c r="J9" s="16">
        <f>(15/7)*2</f>
        <v>4.2857142857142856</v>
      </c>
      <c r="K9" s="16">
        <f t="shared" si="0"/>
        <v>2.4294744700161939</v>
      </c>
    </row>
    <row r="10" spans="2:12" x14ac:dyDescent="0.25">
      <c r="B10" s="16"/>
      <c r="C10" s="19" t="s">
        <v>16</v>
      </c>
      <c r="D10" s="24">
        <f>SUM(D6:D9)</f>
        <v>100263</v>
      </c>
      <c r="E10" s="20">
        <f>SUM(E6:E9)</f>
        <v>1807250.68</v>
      </c>
      <c r="F10" s="20">
        <f>SUM(F6:F9)</f>
        <v>1189844.2857142857</v>
      </c>
      <c r="G10" s="20">
        <f>+E10-F10</f>
        <v>617406.39428571425</v>
      </c>
      <c r="H10" s="21">
        <f>ABS(G10/F10)</f>
        <v>0.51889680162230112</v>
      </c>
      <c r="I10" s="20">
        <f>E10/D10</f>
        <v>18.025100784935617</v>
      </c>
      <c r="J10" s="20">
        <f>F10/D10</f>
        <v>11.867232036885847</v>
      </c>
      <c r="K10" s="20">
        <f>I10-J10</f>
        <v>6.1578687480497702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2025-10-04T01:52:13Z</dcterms:modified>
</cp:coreProperties>
</file>