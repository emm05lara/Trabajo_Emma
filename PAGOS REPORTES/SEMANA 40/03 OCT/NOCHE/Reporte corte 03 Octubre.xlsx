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0\03 OCT\NOCHE\"/>
    </mc:Choice>
  </mc:AlternateContent>
  <xr:revisionPtr revIDLastSave="0" documentId="8_{978DA6FB-5A2D-4F93-8503-C0C00E6C06B9}" xr6:coauthVersionLast="47" xr6:coauthVersionMax="47" xr10:uidLastSave="{00000000-0000-0000-0000-000000000000}"/>
  <bookViews>
    <workbookView xWindow="-120" yWindow="-120" windowWidth="51840" windowHeight="21120" xr2:uid="{19E3299D-2B40-4335-B673-0116AC33960C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" i="3" l="1"/>
  <c r="D9" i="3" s="1"/>
  <c r="B2" i="2"/>
  <c r="D8" i="2" s="1"/>
  <c r="B2" i="1"/>
  <c r="D9" i="1" s="1"/>
</calcChain>
</file>

<file path=xl/sharedStrings.xml><?xml version="1.0" encoding="utf-8"?>
<sst xmlns="http://schemas.openxmlformats.org/spreadsheetml/2006/main" count="101" uniqueCount="21">
  <si>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</si>
  <si>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</si>
  <si>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</si>
  <si>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</si>
  <si>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</si>
  <si>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</si>
  <si>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</si>
  <si>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</si>
  <si>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</si>
  <si>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</si>
  <si>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</si>
  <si>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</si>
  <si>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</si>
  <si>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CREDIMAX</t>
  </si>
  <si>
    <t>REESTRUCTURA</t>
  </si>
  <si>
    <t>TOR</t>
  </si>
  <si>
    <t>CONSUMO</t>
  </si>
  <si>
    <t>ITALIKA</t>
  </si>
  <si>
    <t>OTROS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</si>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</sst>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F71B-9E52-43CB-A132-1187F7F50710}">
  <dimension ref="B2:D36"/>
  <sheetViews>
    <sheetView tabSelected="1" workbookViewId="0">
      <selection activeCell="B2" sqref="B2:D3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03/10/2025  19:41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781</v>
      </c>
    </row>
    <row r="6" spans="2:4" x14ac:dyDescent="0.25">
      <c r="B6" s="2" t="s">
        <v>2</v>
      </c>
      <c r="C6" s="3">
        <v>189924.03</v>
      </c>
    </row>
    <row r="7" spans="2:4" x14ac:dyDescent="0.25">
      <c r="B7" s="2" t="s">
        <v>3</v>
      </c>
      <c r="C7" s="3">
        <v>27288</v>
      </c>
    </row>
    <row r="8" spans="2:4" ht="15.75" thickBot="1" x14ac:dyDescent="0.3">
      <c r="B8" s="2" t="s">
        <v>4</v>
      </c>
      <c r="C8" s="3">
        <v>54062.61</v>
      </c>
      <c r="D8" s="1" t="s">
        <v>11</v>
      </c>
    </row>
    <row r="9" spans="2:4" ht="15.75" thickTop="1" x14ac:dyDescent="0.25">
      <c r="B9" s="4" t="s">
        <v>5</v>
      </c>
      <c r="C9" s="5">
        <v>272055.64</v>
      </c>
      <c r="D9" s="5">
        <f ca="1">SUMIF(B:B, "Total general", C:C)</f>
        <v>485915.87000000005</v>
      </c>
    </row>
    <row r="11" spans="2:4" x14ac:dyDescent="0.25">
      <c r="B11" s="6" t="s">
        <v>8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2</v>
      </c>
      <c r="C13" s="3">
        <v>81754.649999999994</v>
      </c>
    </row>
    <row r="14" spans="2:4" x14ac:dyDescent="0.25">
      <c r="B14" s="2" t="s">
        <v>3</v>
      </c>
      <c r="C14" s="3">
        <v>8337</v>
      </c>
    </row>
    <row r="15" spans="2:4" ht="15.75" thickBot="1" x14ac:dyDescent="0.3">
      <c r="B15" s="2" t="s">
        <v>4</v>
      </c>
      <c r="C15" s="3">
        <v>11962.970000000001</v>
      </c>
    </row>
    <row r="16" spans="2:4" ht="15.75" thickTop="1" x14ac:dyDescent="0.25">
      <c r="B16" s="4" t="s">
        <v>5</v>
      </c>
      <c r="C16" s="5">
        <v>102054.62</v>
      </c>
    </row>
    <row r="18" spans="2:3" x14ac:dyDescent="0.25">
      <c r="B18" s="6" t="s">
        <v>10</v>
      </c>
      <c r="C18" s="6"/>
    </row>
    <row r="19" spans="2:3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20896.03</v>
      </c>
    </row>
    <row r="21" spans="2:3" x14ac:dyDescent="0.25">
      <c r="B21" s="2" t="s">
        <v>2</v>
      </c>
      <c r="C21" s="3">
        <v>36895</v>
      </c>
    </row>
    <row r="22" spans="2:3" ht="15.75" thickBot="1" x14ac:dyDescent="0.3">
      <c r="B22" s="2" t="s">
        <v>3</v>
      </c>
      <c r="C22" s="3">
        <v>2163</v>
      </c>
    </row>
    <row r="23" spans="2:3" ht="15.75" thickTop="1" x14ac:dyDescent="0.25">
      <c r="B23" s="4" t="s">
        <v>5</v>
      </c>
      <c r="C23" s="5">
        <v>59954.03</v>
      </c>
    </row>
    <row r="25" spans="2:3" x14ac:dyDescent="0.25">
      <c r="B25" s="6" t="s">
        <v>7</v>
      </c>
      <c r="C25" s="6"/>
    </row>
    <row r="26" spans="2:3" x14ac:dyDescent="0.25">
      <c r="B26" s="1" t="s">
        <v>12</v>
      </c>
      <c r="C26" s="1" t="s">
        <v>0</v>
      </c>
    </row>
    <row r="27" spans="2:3" x14ac:dyDescent="0.25">
      <c r="B27" s="2" t="s">
        <v>2</v>
      </c>
      <c r="C27" s="3">
        <v>16004.58</v>
      </c>
    </row>
    <row r="28" spans="2:3" x14ac:dyDescent="0.25">
      <c r="B28" s="2" t="s">
        <v>3</v>
      </c>
      <c r="C28" s="3">
        <v>4289</v>
      </c>
    </row>
    <row r="29" spans="2:3" ht="15.75" thickBot="1" x14ac:dyDescent="0.3">
      <c r="B29" s="2" t="s">
        <v>4</v>
      </c>
      <c r="C29" s="3">
        <v>24804</v>
      </c>
    </row>
    <row r="30" spans="2:3" ht="15.75" thickTop="1" x14ac:dyDescent="0.25">
      <c r="B30" s="4" t="s">
        <v>5</v>
      </c>
      <c r="C30" s="5">
        <v>45097.58</v>
      </c>
    </row>
    <row r="32" spans="2:3" x14ac:dyDescent="0.25">
      <c r="B32" s="6" t="s">
        <v>9</v>
      </c>
      <c r="C32" s="6"/>
    </row>
    <row r="33" spans="2:3" x14ac:dyDescent="0.25">
      <c r="B33" s="1" t="s">
        <v>12</v>
      </c>
      <c r="C33" s="1" t="s">
        <v>0</v>
      </c>
    </row>
    <row r="34" spans="2:3" x14ac:dyDescent="0.25">
      <c r="B34" s="2" t="s">
        <v>2</v>
      </c>
      <c r="C34" s="3">
        <v>2333</v>
      </c>
    </row>
    <row r="35" spans="2:3" ht="15.75" thickBot="1" x14ac:dyDescent="0.3">
      <c r="B35" s="2" t="s">
        <v>4</v>
      </c>
      <c r="C35" s="3">
        <v>4421</v>
      </c>
    </row>
    <row r="36" spans="2:3" ht="15.75" thickTop="1" x14ac:dyDescent="0.25">
      <c r="B36" s="4" t="s">
        <v>5</v>
      </c>
      <c r="C36" s="5">
        <v>6754</v>
      </c>
    </row>
  </sheetData>
  <mergeCells count="6">
    <mergeCell ref="B3:C3"/>
    <mergeCell ref="B25:C25"/>
    <mergeCell ref="B11:C11"/>
    <mergeCell ref="B32:C32"/>
    <mergeCell ref="B18:C18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E435D-EE88-48AD-BB26-7B318DE1E895}">
  <dimension ref="B2:D39"/>
  <sheetViews>
    <sheetView workbookViewId="0">
      <selection activeCell="B4" sqref="B4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COBRANZA INTERNOS " &amp; TEXT(TODAY(), " dd/mm/aaaa ") &amp; TEXT(NOW(), " hh:mm ")</f>
        <v xml:space="preserve"> COBRANZA INTERNOS  03/10/2025  19:41 </v>
      </c>
      <c r="C2" s="6"/>
    </row>
    <row r="3" spans="2:4" x14ac:dyDescent="0.25">
      <c r="B3" s="6" t="s">
        <v>6</v>
      </c>
      <c r="C3" s="6"/>
    </row>
    <row r="4" spans="2:4" x14ac:dyDescent="0.25">
      <c r="B4" s="1" t="s">
        <v>19</v>
      </c>
      <c r="C4" s="1" t="s">
        <v>0</v>
      </c>
    </row>
    <row r="5" spans="2:4" x14ac:dyDescent="0.25">
      <c r="B5" s="2" t="s">
        <v>13</v>
      </c>
      <c r="C5" s="3">
        <v>19698</v>
      </c>
    </row>
    <row r="6" spans="2:4" x14ac:dyDescent="0.25">
      <c r="B6" s="2" t="s">
        <v>14</v>
      </c>
      <c r="C6" s="3">
        <v>24110</v>
      </c>
    </row>
    <row r="7" spans="2:4" ht="15.75" thickBot="1" x14ac:dyDescent="0.3">
      <c r="B7" s="2" t="s">
        <v>15</v>
      </c>
      <c r="C7" s="3">
        <v>228247.64</v>
      </c>
      <c r="D7" s="1" t="s">
        <v>11</v>
      </c>
    </row>
    <row r="8" spans="2:4" ht="15.75" thickTop="1" x14ac:dyDescent="0.25">
      <c r="B8" s="4" t="s">
        <v>5</v>
      </c>
      <c r="C8" s="5">
        <v>272055.64</v>
      </c>
      <c r="D8" s="5">
        <f ca="1">SUMIF(B:B, "Total general", C:C)</f>
        <v>485915.87000000005</v>
      </c>
    </row>
    <row r="10" spans="2:4" x14ac:dyDescent="0.25">
      <c r="B10" s="6" t="s">
        <v>8</v>
      </c>
      <c r="C10" s="6"/>
    </row>
    <row r="11" spans="2:4" x14ac:dyDescent="0.25">
      <c r="B11" s="1" t="s">
        <v>19</v>
      </c>
      <c r="C11" s="1" t="s">
        <v>0</v>
      </c>
    </row>
    <row r="12" spans="2:4" ht="15.75" thickBot="1" x14ac:dyDescent="0.3">
      <c r="B12" s="2" t="s">
        <v>15</v>
      </c>
      <c r="C12" s="3">
        <v>102054.62</v>
      </c>
    </row>
    <row r="13" spans="2:4" ht="15.75" thickTop="1" x14ac:dyDescent="0.25">
      <c r="B13" s="4" t="s">
        <v>5</v>
      </c>
      <c r="C13" s="5">
        <v>102054.62</v>
      </c>
    </row>
    <row r="15" spans="2:4" x14ac:dyDescent="0.25">
      <c r="B15" s="6" t="s">
        <v>10</v>
      </c>
      <c r="C15" s="6"/>
    </row>
    <row r="16" spans="2:4" x14ac:dyDescent="0.25">
      <c r="B16" s="1" t="s">
        <v>19</v>
      </c>
      <c r="C16" s="1" t="s">
        <v>0</v>
      </c>
    </row>
    <row r="17" spans="2:3" x14ac:dyDescent="0.25">
      <c r="B17" s="2" t="s">
        <v>16</v>
      </c>
      <c r="C17" s="3">
        <v>3384</v>
      </c>
    </row>
    <row r="18" spans="2:3" x14ac:dyDescent="0.25">
      <c r="B18" s="2" t="s">
        <v>13</v>
      </c>
      <c r="C18" s="3">
        <v>26067</v>
      </c>
    </row>
    <row r="19" spans="2:3" x14ac:dyDescent="0.25">
      <c r="B19" s="2" t="s">
        <v>17</v>
      </c>
      <c r="C19" s="3">
        <v>17731.03</v>
      </c>
    </row>
    <row r="20" spans="2:3" x14ac:dyDescent="0.25">
      <c r="B20" s="2" t="s">
        <v>18</v>
      </c>
      <c r="C20" s="3">
        <v>1000</v>
      </c>
    </row>
    <row r="21" spans="2:3" x14ac:dyDescent="0.25">
      <c r="B21" s="2" t="s">
        <v>14</v>
      </c>
      <c r="C21" s="3">
        <v>3600</v>
      </c>
    </row>
    <row r="22" spans="2:3" ht="15.75" thickBot="1" x14ac:dyDescent="0.3">
      <c r="B22" s="2" t="s">
        <v>15</v>
      </c>
      <c r="C22" s="3">
        <v>8172</v>
      </c>
    </row>
    <row r="23" spans="2:3" ht="15.75" thickTop="1" x14ac:dyDescent="0.25">
      <c r="B23" s="4" t="s">
        <v>5</v>
      </c>
      <c r="C23" s="5">
        <v>59954.03</v>
      </c>
    </row>
    <row r="25" spans="2:3" x14ac:dyDescent="0.25">
      <c r="B25" s="6" t="s">
        <v>7</v>
      </c>
      <c r="C25" s="6"/>
    </row>
    <row r="26" spans="2:3" x14ac:dyDescent="0.25">
      <c r="B26" s="1" t="s">
        <v>19</v>
      </c>
      <c r="C26" s="1" t="s">
        <v>0</v>
      </c>
    </row>
    <row r="27" spans="2:3" x14ac:dyDescent="0.25">
      <c r="B27" s="2" t="s">
        <v>16</v>
      </c>
      <c r="C27" s="3">
        <v>2666</v>
      </c>
    </row>
    <row r="28" spans="2:3" x14ac:dyDescent="0.25">
      <c r="B28" s="2" t="s">
        <v>13</v>
      </c>
      <c r="C28" s="3">
        <v>18673</v>
      </c>
    </row>
    <row r="29" spans="2:3" x14ac:dyDescent="0.25">
      <c r="B29" s="2" t="s">
        <v>17</v>
      </c>
      <c r="C29" s="3">
        <v>398</v>
      </c>
    </row>
    <row r="30" spans="2:3" x14ac:dyDescent="0.25">
      <c r="B30" s="2" t="s">
        <v>14</v>
      </c>
      <c r="C30" s="3">
        <v>2033</v>
      </c>
    </row>
    <row r="31" spans="2:3" ht="15.75" thickBot="1" x14ac:dyDescent="0.3">
      <c r="B31" s="2" t="s">
        <v>15</v>
      </c>
      <c r="C31" s="3">
        <v>21327.58</v>
      </c>
    </row>
    <row r="32" spans="2:3" ht="15.75" thickTop="1" x14ac:dyDescent="0.25">
      <c r="B32" s="4" t="s">
        <v>5</v>
      </c>
      <c r="C32" s="5">
        <v>45097.58</v>
      </c>
    </row>
    <row r="34" spans="2:3" x14ac:dyDescent="0.25">
      <c r="B34" s="6" t="s">
        <v>9</v>
      </c>
      <c r="C34" s="6"/>
    </row>
    <row r="35" spans="2:3" x14ac:dyDescent="0.25">
      <c r="B35" s="1" t="s">
        <v>19</v>
      </c>
      <c r="C35" s="1" t="s">
        <v>0</v>
      </c>
    </row>
    <row r="36" spans="2:3" x14ac:dyDescent="0.25">
      <c r="B36" s="2" t="s">
        <v>16</v>
      </c>
      <c r="C36" s="3">
        <v>2333</v>
      </c>
    </row>
    <row r="37" spans="2:3" x14ac:dyDescent="0.25">
      <c r="B37" s="2" t="s">
        <v>14</v>
      </c>
      <c r="C37" s="3">
        <v>2816</v>
      </c>
    </row>
    <row r="38" spans="2:3" ht="15.75" thickBot="1" x14ac:dyDescent="0.3">
      <c r="B38" s="2" t="s">
        <v>15</v>
      </c>
      <c r="C38" s="3">
        <v>1605</v>
      </c>
    </row>
    <row r="39" spans="2:3" ht="15.75" thickTop="1" x14ac:dyDescent="0.25">
      <c r="B39" s="4" t="s">
        <v>5</v>
      </c>
      <c r="C39" s="5">
        <v>6754</v>
      </c>
    </row>
  </sheetData>
  <mergeCells count="6">
    <mergeCell ref="B2:C2"/>
    <mergeCell ref="B3:C3"/>
    <mergeCell ref="B10:C10"/>
    <mergeCell ref="B15:C15"/>
    <mergeCell ref="B25:C25"/>
    <mergeCell ref="B34:C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57DA-5D12-4A72-9F76-01E1918F3025}">
  <dimension ref="B2:D26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tr">
        <f ca="1" xml:space="preserve"> " ETIQUETA PROYECTO CDC " &amp; TEXT(TODAY(), " dd/mm/aaaa ") &amp; TEXT(NOW(), " hh:mm ")</f>
        <v xml:space="preserve"> ETIQUETA PROYECTO CDC  03/10/2025  19:41 </v>
      </c>
      <c r="C2" s="6"/>
    </row>
    <row r="3" spans="2:4" x14ac:dyDescent="0.25">
      <c r="B3" s="6" t="s">
        <v>20</v>
      </c>
      <c r="C3" s="6"/>
    </row>
    <row r="4" spans="2:4" x14ac:dyDescent="0.25">
      <c r="B4" s="1" t="s">
        <v>12</v>
      </c>
      <c r="C4" s="1" t="s">
        <v>0</v>
      </c>
    </row>
    <row r="5" spans="2:4" x14ac:dyDescent="0.25">
      <c r="B5" s="2" t="s">
        <v>1</v>
      </c>
      <c r="C5" s="3">
        <v>9752.16</v>
      </c>
    </row>
    <row r="6" spans="2:4" x14ac:dyDescent="0.25">
      <c r="B6" s="2" t="s">
        <v>2</v>
      </c>
      <c r="C6" s="3">
        <v>37829.660000000003</v>
      </c>
    </row>
    <row r="7" spans="2:4" x14ac:dyDescent="0.25">
      <c r="B7" s="2" t="s">
        <v>3</v>
      </c>
      <c r="C7" s="3">
        <v>14762</v>
      </c>
    </row>
    <row r="8" spans="2:4" ht="15.75" thickBot="1" x14ac:dyDescent="0.3">
      <c r="B8" s="2" t="s">
        <v>4</v>
      </c>
      <c r="C8" s="3">
        <v>1866</v>
      </c>
      <c r="D8" s="1" t="s">
        <v>11</v>
      </c>
    </row>
    <row r="9" spans="2:4" ht="15.75" thickTop="1" x14ac:dyDescent="0.25">
      <c r="B9" s="4" t="s">
        <v>5</v>
      </c>
      <c r="C9" s="5">
        <v>64209.820000000007</v>
      </c>
      <c r="D9" s="5">
        <f ca="1">SUMIF(B:B, "Total general", C:C)</f>
        <v>122779.85</v>
      </c>
    </row>
    <row r="11" spans="2:4" x14ac:dyDescent="0.25">
      <c r="B11" s="6" t="s">
        <v>10</v>
      </c>
      <c r="C11" s="6"/>
    </row>
    <row r="12" spans="2:4" x14ac:dyDescent="0.25">
      <c r="B12" s="1" t="s">
        <v>12</v>
      </c>
      <c r="C12" s="1" t="s">
        <v>0</v>
      </c>
    </row>
    <row r="13" spans="2:4" x14ac:dyDescent="0.25">
      <c r="B13" s="2" t="s">
        <v>1</v>
      </c>
      <c r="C13" s="3">
        <v>20896.03</v>
      </c>
    </row>
    <row r="14" spans="2:4" x14ac:dyDescent="0.25">
      <c r="B14" s="2" t="s">
        <v>2</v>
      </c>
      <c r="C14" s="3">
        <v>34064</v>
      </c>
    </row>
    <row r="15" spans="2:4" ht="15.75" thickBot="1" x14ac:dyDescent="0.3">
      <c r="B15" s="2" t="s">
        <v>3</v>
      </c>
      <c r="C15" s="3">
        <v>2163</v>
      </c>
    </row>
    <row r="16" spans="2:4" ht="15.75" thickTop="1" x14ac:dyDescent="0.25">
      <c r="B16" s="4" t="s">
        <v>5</v>
      </c>
      <c r="C16" s="5">
        <v>57123.03</v>
      </c>
    </row>
    <row r="18" spans="2:3" x14ac:dyDescent="0.25">
      <c r="B18" s="6" t="s">
        <v>6</v>
      </c>
      <c r="C18" s="6"/>
    </row>
    <row r="19" spans="2:3" x14ac:dyDescent="0.25">
      <c r="B19" s="1" t="s">
        <v>12</v>
      </c>
      <c r="C19" s="1" t="s">
        <v>0</v>
      </c>
    </row>
    <row r="20" spans="2:3" ht="15.75" thickBot="1" x14ac:dyDescent="0.3">
      <c r="B20" s="2" t="s">
        <v>4</v>
      </c>
      <c r="C20" s="3">
        <v>937</v>
      </c>
    </row>
    <row r="21" spans="2:3" ht="15.75" thickTop="1" x14ac:dyDescent="0.25">
      <c r="B21" s="4" t="s">
        <v>5</v>
      </c>
      <c r="C21" s="5">
        <v>937</v>
      </c>
    </row>
    <row r="23" spans="2:3" x14ac:dyDescent="0.25">
      <c r="B23" s="6" t="s">
        <v>7</v>
      </c>
      <c r="C23" s="6"/>
    </row>
    <row r="24" spans="2:3" x14ac:dyDescent="0.25">
      <c r="B24" s="1" t="s">
        <v>12</v>
      </c>
      <c r="C24" s="1" t="s">
        <v>0</v>
      </c>
    </row>
    <row r="25" spans="2:3" ht="15.75" thickBot="1" x14ac:dyDescent="0.3">
      <c r="B25" s="2" t="s">
        <v>4</v>
      </c>
      <c r="C25" s="3">
        <v>510</v>
      </c>
    </row>
    <row r="26" spans="2:3" ht="15.75" thickTop="1" x14ac:dyDescent="0.25">
      <c r="B26" s="4" t="s">
        <v>5</v>
      </c>
      <c r="C26" s="5">
        <v>510</v>
      </c>
    </row>
  </sheetData>
  <mergeCells count="5">
    <mergeCell ref="B3:C3"/>
    <mergeCell ref="B23:C23"/>
    <mergeCell ref="B11:C11"/>
    <mergeCell ref="B18:C18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2025-10-04T01:35:12Z</dcterms:created>
  <dcterms:modified xsi:type="dcterms:W3CDTF">2025-10-04T01:41:59Z</dcterms:modified>
</cp:coreProperties>
</file>