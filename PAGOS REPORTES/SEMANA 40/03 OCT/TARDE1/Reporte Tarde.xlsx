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3 OCT\TARDE1\"/>
    </mc:Choice>
  </mc:AlternateContent>
  <xr:revisionPtr revIDLastSave="0" documentId="8_{0BCC92E4-92D8-4E40-931D-5F0494A64C27}" xr6:coauthVersionLast="47" xr6:coauthVersionMax="47" xr10:uidLastSave="{00000000-0000-0000-0000-000000000000}"/>
  <bookViews>
    <workbookView xWindow="-120" yWindow="-120" windowWidth="51840" windowHeight="21120" xr2:uid="{40964C27-DBD3-49AB-AF22-05A8D6D952E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8" i="2" s="1"/>
  <c r="B1" i="1"/>
  <c r="D8" i="1" s="1"/>
</calcChain>
</file>

<file path=xl/sharedStrings.xml><?xml version="1.0" encoding="utf-8"?>
<sst xmlns="http://schemas.openxmlformats.org/spreadsheetml/2006/main" count="90" uniqueCount="20">
  <si>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</si>
  <si>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</si>
  <si>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</si>
  <si>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</si>
  <si>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</si>
  <si>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</si>
  <si>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</si>
  <si>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</si>
  <si>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</si>
  <si>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</si>
  <si>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</si>
  <si>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</si>
  <si>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</si>
  <si>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CREDIMAX</t>
  </si>
  <si>
    <t>REESTRUCTURA</t>
  </si>
  <si>
    <t>TOR</t>
  </si>
  <si>
    <t>CONSUMO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</si>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</sst>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F343-D7B5-4DE9-97F7-E5A6AED2A70B}">
  <dimension ref="B1:D35"/>
  <sheetViews>
    <sheetView tabSelected="1" workbookViewId="0">
      <selection activeCell="B1" sqref="B1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 ")</f>
        <v xml:space="preserve"> COBRANZA INTERNOS  03/10/2025  13:50 </v>
      </c>
      <c r="C1" s="6"/>
    </row>
    <row r="2" spans="2:4" x14ac:dyDescent="0.25">
      <c r="B2" s="6" t="s">
        <v>6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781</v>
      </c>
    </row>
    <row r="5" spans="2:4" x14ac:dyDescent="0.25">
      <c r="B5" s="2" t="s">
        <v>2</v>
      </c>
      <c r="C5" s="3">
        <v>124924.74</v>
      </c>
    </row>
    <row r="6" spans="2:4" x14ac:dyDescent="0.25">
      <c r="B6" s="2" t="s">
        <v>3</v>
      </c>
      <c r="C6" s="3">
        <v>10324</v>
      </c>
    </row>
    <row r="7" spans="2:4" ht="15.75" thickBot="1" x14ac:dyDescent="0.3">
      <c r="B7" s="2" t="s">
        <v>4</v>
      </c>
      <c r="C7" s="3">
        <v>24999</v>
      </c>
      <c r="D7" s="1" t="s">
        <v>11</v>
      </c>
    </row>
    <row r="8" spans="2:4" ht="15.75" thickTop="1" x14ac:dyDescent="0.25">
      <c r="B8" s="4" t="s">
        <v>5</v>
      </c>
      <c r="C8" s="5">
        <v>161028.74</v>
      </c>
      <c r="D8" s="5">
        <f ca="1">SUMIF(B:B, "Total general", C:C)</f>
        <v>241837.34999999998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19375.03</v>
      </c>
    </row>
    <row r="13" spans="2:4" x14ac:dyDescent="0.25">
      <c r="B13" s="2" t="s">
        <v>2</v>
      </c>
      <c r="C13" s="3">
        <v>9109</v>
      </c>
    </row>
    <row r="14" spans="2:4" ht="15.75" thickBot="1" x14ac:dyDescent="0.3">
      <c r="B14" s="2" t="s">
        <v>3</v>
      </c>
      <c r="C14" s="3">
        <v>500</v>
      </c>
    </row>
    <row r="15" spans="2:4" ht="15.75" thickTop="1" x14ac:dyDescent="0.25">
      <c r="B15" s="4" t="s">
        <v>5</v>
      </c>
      <c r="C15" s="5">
        <v>28984.03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2</v>
      </c>
      <c r="C19" s="3">
        <v>9442.58</v>
      </c>
    </row>
    <row r="20" spans="2:3" x14ac:dyDescent="0.25">
      <c r="B20" s="2" t="s">
        <v>3</v>
      </c>
      <c r="C20" s="3">
        <v>2450</v>
      </c>
    </row>
    <row r="21" spans="2:3" ht="15.75" thickBot="1" x14ac:dyDescent="0.3">
      <c r="B21" s="2" t="s">
        <v>4</v>
      </c>
      <c r="C21" s="3">
        <v>14042</v>
      </c>
    </row>
    <row r="22" spans="2:3" ht="15.75" thickTop="1" x14ac:dyDescent="0.25">
      <c r="B22" s="4" t="s">
        <v>5</v>
      </c>
      <c r="C22" s="5">
        <v>25934.58</v>
      </c>
    </row>
    <row r="24" spans="2:3" x14ac:dyDescent="0.25">
      <c r="B24" s="6" t="s">
        <v>8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2</v>
      </c>
      <c r="C26" s="3">
        <v>12701</v>
      </c>
    </row>
    <row r="27" spans="2:3" x14ac:dyDescent="0.25">
      <c r="B27" s="2" t="s">
        <v>3</v>
      </c>
      <c r="C27" s="3">
        <v>1776</v>
      </c>
    </row>
    <row r="28" spans="2:3" ht="15.75" thickBot="1" x14ac:dyDescent="0.3">
      <c r="B28" s="2" t="s">
        <v>4</v>
      </c>
      <c r="C28" s="3">
        <v>4764</v>
      </c>
    </row>
    <row r="29" spans="2:3" ht="15.75" thickTop="1" x14ac:dyDescent="0.25">
      <c r="B29" s="4" t="s">
        <v>5</v>
      </c>
      <c r="C29" s="5">
        <v>19241</v>
      </c>
    </row>
    <row r="31" spans="2:3" x14ac:dyDescent="0.25">
      <c r="B31" s="6" t="s">
        <v>9</v>
      </c>
      <c r="C31" s="6"/>
    </row>
    <row r="32" spans="2:3" x14ac:dyDescent="0.25">
      <c r="B32" s="1" t="s">
        <v>12</v>
      </c>
      <c r="C32" s="1" t="s">
        <v>0</v>
      </c>
    </row>
    <row r="33" spans="2:3" x14ac:dyDescent="0.25">
      <c r="B33" s="2" t="s">
        <v>2</v>
      </c>
      <c r="C33" s="3">
        <v>2333</v>
      </c>
    </row>
    <row r="34" spans="2:3" ht="15.75" thickBot="1" x14ac:dyDescent="0.3">
      <c r="B34" s="2" t="s">
        <v>4</v>
      </c>
      <c r="C34" s="3">
        <v>4316</v>
      </c>
    </row>
    <row r="35" spans="2:3" ht="15.75" thickTop="1" x14ac:dyDescent="0.25">
      <c r="B35" s="4" t="s">
        <v>5</v>
      </c>
      <c r="C35" s="5">
        <v>6649</v>
      </c>
    </row>
  </sheetData>
  <mergeCells count="6">
    <mergeCell ref="B2:C2"/>
    <mergeCell ref="B17:C17"/>
    <mergeCell ref="B24:C24"/>
    <mergeCell ref="B31:C31"/>
    <mergeCell ref="B10:C10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0963-0E8F-4CC1-9680-1F140F6E7D81}">
  <dimension ref="B2:D38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03/10/2025  13:50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15405</v>
      </c>
    </row>
    <row r="6" spans="2:4" x14ac:dyDescent="0.25">
      <c r="B6" s="2" t="s">
        <v>14</v>
      </c>
      <c r="C6" s="3">
        <v>7028</v>
      </c>
    </row>
    <row r="7" spans="2:4" ht="15.75" thickBot="1" x14ac:dyDescent="0.3">
      <c r="B7" s="2" t="s">
        <v>15</v>
      </c>
      <c r="C7" s="3">
        <v>138595.74</v>
      </c>
      <c r="D7" s="1" t="s">
        <v>11</v>
      </c>
    </row>
    <row r="8" spans="2:4" ht="15.75" thickTop="1" x14ac:dyDescent="0.25">
      <c r="B8" s="4" t="s">
        <v>5</v>
      </c>
      <c r="C8" s="5">
        <v>161028.74</v>
      </c>
      <c r="D8" s="5">
        <f ca="1">SUMIF(B:B, "Total general", C:C)</f>
        <v>241837.34999999998</v>
      </c>
    </row>
    <row r="10" spans="2:4" x14ac:dyDescent="0.25">
      <c r="B10" s="6" t="s">
        <v>10</v>
      </c>
      <c r="C10" s="6"/>
    </row>
    <row r="11" spans="2:4" x14ac:dyDescent="0.25">
      <c r="B11" s="1" t="s">
        <v>18</v>
      </c>
      <c r="C11" s="1" t="s">
        <v>0</v>
      </c>
    </row>
    <row r="12" spans="2:4" x14ac:dyDescent="0.25">
      <c r="B12" s="2" t="s">
        <v>16</v>
      </c>
      <c r="C12" s="3">
        <v>3383</v>
      </c>
    </row>
    <row r="13" spans="2:4" x14ac:dyDescent="0.25">
      <c r="B13" s="2" t="s">
        <v>13</v>
      </c>
      <c r="C13" s="3">
        <v>786</v>
      </c>
    </row>
    <row r="14" spans="2:4" x14ac:dyDescent="0.25">
      <c r="B14" s="2" t="s">
        <v>17</v>
      </c>
      <c r="C14" s="3">
        <v>17631.03</v>
      </c>
    </row>
    <row r="15" spans="2:4" x14ac:dyDescent="0.25">
      <c r="B15" s="2" t="s">
        <v>14</v>
      </c>
      <c r="C15" s="3">
        <v>1250</v>
      </c>
    </row>
    <row r="16" spans="2:4" ht="15.75" thickBot="1" x14ac:dyDescent="0.3">
      <c r="B16" s="2" t="s">
        <v>15</v>
      </c>
      <c r="C16" s="3">
        <v>5934</v>
      </c>
    </row>
    <row r="17" spans="2:3" ht="15.75" thickTop="1" x14ac:dyDescent="0.25">
      <c r="B17" s="4" t="s">
        <v>5</v>
      </c>
      <c r="C17" s="5">
        <v>28984.03</v>
      </c>
    </row>
    <row r="19" spans="2:3" x14ac:dyDescent="0.25">
      <c r="B19" s="6" t="s">
        <v>7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16</v>
      </c>
      <c r="C21" s="3">
        <v>1475</v>
      </c>
    </row>
    <row r="22" spans="2:3" x14ac:dyDescent="0.25">
      <c r="B22" s="2" t="s">
        <v>13</v>
      </c>
      <c r="C22" s="3">
        <v>12947</v>
      </c>
    </row>
    <row r="23" spans="2:3" x14ac:dyDescent="0.25">
      <c r="B23" s="2" t="s">
        <v>17</v>
      </c>
      <c r="C23" s="3">
        <v>398</v>
      </c>
    </row>
    <row r="24" spans="2:3" x14ac:dyDescent="0.25">
      <c r="B24" s="2" t="s">
        <v>14</v>
      </c>
      <c r="C24" s="3">
        <v>1349</v>
      </c>
    </row>
    <row r="25" spans="2:3" ht="15.75" thickBot="1" x14ac:dyDescent="0.3">
      <c r="B25" s="2" t="s">
        <v>15</v>
      </c>
      <c r="C25" s="3">
        <v>9765.58</v>
      </c>
    </row>
    <row r="26" spans="2:3" ht="15.75" thickTop="1" x14ac:dyDescent="0.25">
      <c r="B26" s="4" t="s">
        <v>5</v>
      </c>
      <c r="C26" s="5">
        <v>25934.58</v>
      </c>
    </row>
    <row r="28" spans="2:3" x14ac:dyDescent="0.25">
      <c r="B28" s="6" t="s">
        <v>8</v>
      </c>
      <c r="C28" s="6"/>
    </row>
    <row r="29" spans="2:3" x14ac:dyDescent="0.25">
      <c r="B29" s="1" t="s">
        <v>18</v>
      </c>
      <c r="C29" s="1" t="s">
        <v>0</v>
      </c>
    </row>
    <row r="30" spans="2:3" ht="15.75" thickBot="1" x14ac:dyDescent="0.3">
      <c r="B30" s="2" t="s">
        <v>15</v>
      </c>
      <c r="C30" s="3">
        <v>19241</v>
      </c>
    </row>
    <row r="31" spans="2:3" ht="15.75" thickTop="1" x14ac:dyDescent="0.25">
      <c r="B31" s="4" t="s">
        <v>5</v>
      </c>
      <c r="C31" s="5">
        <v>19241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x14ac:dyDescent="0.25">
      <c r="B35" s="2" t="s">
        <v>16</v>
      </c>
      <c r="C35" s="3">
        <v>2333</v>
      </c>
    </row>
    <row r="36" spans="2:3" x14ac:dyDescent="0.25">
      <c r="B36" s="2" t="s">
        <v>14</v>
      </c>
      <c r="C36" s="3">
        <v>2816</v>
      </c>
    </row>
    <row r="37" spans="2:3" ht="15.75" thickBot="1" x14ac:dyDescent="0.3">
      <c r="B37" s="2" t="s">
        <v>15</v>
      </c>
      <c r="C37" s="3">
        <v>1500</v>
      </c>
    </row>
    <row r="38" spans="2:3" ht="15.75" thickTop="1" x14ac:dyDescent="0.25">
      <c r="B38" s="4" t="s">
        <v>5</v>
      </c>
      <c r="C38" s="5">
        <v>6649</v>
      </c>
    </row>
  </sheetData>
  <mergeCells count="6">
    <mergeCell ref="B2:C2"/>
    <mergeCell ref="B10:C10"/>
    <mergeCell ref="B19:C19"/>
    <mergeCell ref="B28:C28"/>
    <mergeCell ref="B33:C33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5186-F47A-4370-9302-957070B41191}">
  <dimension ref="B2:D16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03/10/2025  13:50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7604.59</v>
      </c>
    </row>
    <row r="6" spans="2:4" x14ac:dyDescent="0.25">
      <c r="B6" s="2" t="s">
        <v>2</v>
      </c>
      <c r="C6" s="3">
        <v>22456.66</v>
      </c>
    </row>
    <row r="7" spans="2:4" x14ac:dyDescent="0.25">
      <c r="B7" s="2" t="s">
        <v>3</v>
      </c>
      <c r="C7" s="3">
        <v>2110</v>
      </c>
    </row>
    <row r="8" spans="2:4" ht="15.75" thickBot="1" x14ac:dyDescent="0.3">
      <c r="B8" s="2" t="s">
        <v>4</v>
      </c>
      <c r="C8" s="3">
        <v>366</v>
      </c>
      <c r="D8" s="1" t="s">
        <v>11</v>
      </c>
    </row>
    <row r="9" spans="2:4" ht="15.75" thickTop="1" x14ac:dyDescent="0.25">
      <c r="B9" s="4" t="s">
        <v>5</v>
      </c>
      <c r="C9" s="5">
        <v>32537.25</v>
      </c>
      <c r="D9" s="5">
        <f ca="1">SUMIF(B:B, "Total general", C:C)</f>
        <v>59485.279999999999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19375.03</v>
      </c>
    </row>
    <row r="14" spans="2:4" x14ac:dyDescent="0.25">
      <c r="B14" s="2" t="s">
        <v>2</v>
      </c>
      <c r="C14" s="3">
        <v>7073</v>
      </c>
    </row>
    <row r="15" spans="2:4" ht="15.75" thickBot="1" x14ac:dyDescent="0.3">
      <c r="B15" s="2" t="s">
        <v>3</v>
      </c>
      <c r="C15" s="3">
        <v>500</v>
      </c>
    </row>
    <row r="16" spans="2:4" ht="15.75" thickTop="1" x14ac:dyDescent="0.25">
      <c r="B16" s="4" t="s">
        <v>5</v>
      </c>
      <c r="C16" s="5">
        <v>26948.03</v>
      </c>
    </row>
  </sheetData>
  <mergeCells count="3">
    <mergeCell ref="B3:C3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2025-10-03T19:44:34Z</dcterms:created>
  <dcterms:modified xsi:type="dcterms:W3CDTF">2025-10-03T19:51:04Z</dcterms:modified>
</cp:coreProperties>
</file>