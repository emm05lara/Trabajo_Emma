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0\05 OCT\NOCHE\"/>
    </mc:Choice>
  </mc:AlternateContent>
  <xr:revisionPtr revIDLastSave="0" documentId="13_ncr:1_{6C45D3CC-03DC-48A3-9422-8148DE7B5F4A}" xr6:coauthVersionLast="47" xr6:coauthVersionMax="47" xr10:uidLastSave="{00000000-0000-0000-0000-000000000000}"/>
  <bookViews>
    <workbookView xWindow="7350" yWindow="735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0" i="1" l="1"/>
  <c r="C18" i="1"/>
  <c r="D40" i="1"/>
  <c r="D18" i="5"/>
  <c r="C18" i="5"/>
  <c r="D33" i="1"/>
  <c r="C33" i="1"/>
  <c r="D10" i="5"/>
  <c r="D26" i="5"/>
  <c r="D39" i="5"/>
  <c r="C39" i="5"/>
  <c r="D7" i="6"/>
  <c r="D6" i="6"/>
  <c r="D5" i="6"/>
  <c r="D4" i="6"/>
  <c r="D3" i="6"/>
  <c r="C7" i="6"/>
  <c r="C6" i="6"/>
  <c r="C5" i="6"/>
  <c r="C4" i="6"/>
  <c r="C3" i="6"/>
  <c r="D33" i="5"/>
  <c r="C33" i="5"/>
  <c r="D45" i="5"/>
  <c r="C45" i="5"/>
  <c r="C26" i="5"/>
  <c r="C10" i="5"/>
  <c r="J9" i="3"/>
  <c r="J8" i="3"/>
  <c r="J7" i="3"/>
  <c r="J6" i="3"/>
  <c r="C47" i="5" l="1"/>
  <c r="D8" i="6"/>
  <c r="C8" i="6"/>
  <c r="D47" i="5"/>
  <c r="C25" i="1"/>
  <c r="D25" i="1"/>
  <c r="D18" i="1"/>
  <c r="D6" i="3"/>
  <c r="D10" i="1" l="1"/>
  <c r="D48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48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<sst xmlns="http://schemas.openxmlformats.org/spreadsheetml/2006/main" count="134" uniqueCount="37">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</sst>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48"/>
  <sheetViews>
    <sheetView showGridLines="0" topLeftCell="A7" zoomScaleNormal="100" workbookViewId="0">
      <selection activeCell="B39" sqref="B3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641</v>
      </c>
      <c r="D5" s="28">
        <v>2411</v>
      </c>
    </row>
    <row r="6" spans="2:8" x14ac:dyDescent="0.25">
      <c r="B6" s="1" t="s">
        <v>5</v>
      </c>
      <c r="C6" s="6">
        <v>8843</v>
      </c>
      <c r="D6" s="28">
        <v>878422.8</v>
      </c>
    </row>
    <row r="7" spans="2:8" x14ac:dyDescent="0.25">
      <c r="B7" s="1" t="s">
        <v>6</v>
      </c>
      <c r="C7" s="6">
        <v>7930</v>
      </c>
      <c r="D7" s="28">
        <v>312730.95999999996</v>
      </c>
    </row>
    <row r="8" spans="2:8" x14ac:dyDescent="0.25">
      <c r="B8" s="5" t="s">
        <v>11</v>
      </c>
      <c r="C8" s="7">
        <v>1058</v>
      </c>
      <c r="D8" s="25">
        <v>0</v>
      </c>
    </row>
    <row r="9" spans="2:8" x14ac:dyDescent="0.25">
      <c r="B9" s="1" t="s">
        <v>7</v>
      </c>
      <c r="C9" s="6">
        <v>37240</v>
      </c>
      <c r="D9" s="28">
        <v>429219.49</v>
      </c>
      <c r="E9" s="14"/>
      <c r="F9" s="7"/>
    </row>
    <row r="10" spans="2:8" x14ac:dyDescent="0.25">
      <c r="B10" s="3" t="s">
        <v>8</v>
      </c>
      <c r="C10" s="8">
        <f>SUM(C5:C9)</f>
        <v>55712</v>
      </c>
      <c r="D10" s="4">
        <f>SUM(D5:D9)</f>
        <v>1622784.25</v>
      </c>
      <c r="E10" s="11" t="s">
        <v>13</v>
      </c>
    </row>
    <row r="12" spans="2:8" x14ac:dyDescent="0.25">
      <c r="B12" s="30" t="s">
        <v>9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19</v>
      </c>
      <c r="D14" s="28">
        <v>543</v>
      </c>
    </row>
    <row r="15" spans="2:8" x14ac:dyDescent="0.25">
      <c r="B15" s="9" t="s">
        <v>5</v>
      </c>
      <c r="C15" s="6">
        <v>2390</v>
      </c>
      <c r="D15" s="28">
        <v>356278.79000000004</v>
      </c>
    </row>
    <row r="16" spans="2:8" x14ac:dyDescent="0.25">
      <c r="B16" s="9" t="s">
        <v>6</v>
      </c>
      <c r="C16" s="6">
        <v>1531</v>
      </c>
      <c r="D16" s="28">
        <v>57454.94</v>
      </c>
    </row>
    <row r="17" spans="2:4" x14ac:dyDescent="0.25">
      <c r="B17" s="9" t="s">
        <v>7</v>
      </c>
      <c r="C17" s="6">
        <v>12343</v>
      </c>
      <c r="D17" s="28">
        <v>117873.94</v>
      </c>
    </row>
    <row r="18" spans="2:4" x14ac:dyDescent="0.25">
      <c r="B18" s="10" t="s">
        <v>8</v>
      </c>
      <c r="C18" s="8">
        <f>SUM(C14:C17)</f>
        <v>16283</v>
      </c>
      <c r="D18" s="4">
        <f>SUM(D14:D17)</f>
        <v>532150.67000000004</v>
      </c>
    </row>
    <row r="20" spans="2:4" x14ac:dyDescent="0.25">
      <c r="B20" s="29" t="s">
        <v>34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5</v>
      </c>
      <c r="C22" s="6">
        <v>1803</v>
      </c>
      <c r="D22" s="28">
        <v>158239.78</v>
      </c>
    </row>
    <row r="23" spans="2:4" x14ac:dyDescent="0.25">
      <c r="B23" s="1" t="s">
        <v>6</v>
      </c>
      <c r="C23" s="6">
        <v>576</v>
      </c>
      <c r="D23" s="28">
        <v>35661</v>
      </c>
    </row>
    <row r="24" spans="2:4" x14ac:dyDescent="0.25">
      <c r="B24" s="1" t="s">
        <v>7</v>
      </c>
      <c r="C24" s="7">
        <v>16807</v>
      </c>
      <c r="D24" s="28">
        <v>150659.04999999999</v>
      </c>
    </row>
    <row r="25" spans="2:4" x14ac:dyDescent="0.25">
      <c r="B25" s="3" t="s">
        <v>8</v>
      </c>
      <c r="C25" s="8">
        <f>SUM(C22:C24)</f>
        <v>19186</v>
      </c>
      <c r="D25" s="4">
        <f>SUM(D22:D24)</f>
        <v>344559.82999999996</v>
      </c>
    </row>
    <row r="27" spans="2:4" x14ac:dyDescent="0.25">
      <c r="B27" s="30" t="s">
        <v>10</v>
      </c>
      <c r="C27" s="30"/>
      <c r="D27" s="30"/>
    </row>
    <row r="28" spans="2:4" x14ac:dyDescent="0.25">
      <c r="B28" s="4" t="s">
        <v>1</v>
      </c>
      <c r="C28" s="4" t="s">
        <v>2</v>
      </c>
      <c r="D28" s="4" t="s">
        <v>3</v>
      </c>
    </row>
    <row r="29" spans="2:4" x14ac:dyDescent="0.25">
      <c r="B29" s="9" t="s">
        <v>4</v>
      </c>
      <c r="C29" s="6">
        <v>3717</v>
      </c>
      <c r="D29" s="28">
        <v>172781.51000000004</v>
      </c>
    </row>
    <row r="30" spans="2:4" x14ac:dyDescent="0.25">
      <c r="B30" s="1" t="s">
        <v>5</v>
      </c>
      <c r="C30" s="6">
        <v>1866</v>
      </c>
      <c r="D30" s="28">
        <v>119136.12999999999</v>
      </c>
    </row>
    <row r="31" spans="2:4" x14ac:dyDescent="0.25">
      <c r="B31" s="1" t="s">
        <v>6</v>
      </c>
      <c r="C31" s="6">
        <v>3465</v>
      </c>
      <c r="D31" s="28">
        <v>39122</v>
      </c>
    </row>
    <row r="32" spans="2:4" x14ac:dyDescent="0.25">
      <c r="B32" s="1" t="s">
        <v>7</v>
      </c>
      <c r="C32" s="6">
        <v>1029</v>
      </c>
      <c r="D32" s="28">
        <v>2431</v>
      </c>
    </row>
    <row r="33" spans="2:4" x14ac:dyDescent="0.25">
      <c r="B33" s="10" t="s">
        <v>8</v>
      </c>
      <c r="C33" s="8">
        <f>SUM(C29:C32)</f>
        <v>10077</v>
      </c>
      <c r="D33" s="4">
        <f>SUM(D29:D32)</f>
        <v>333470.64</v>
      </c>
    </row>
    <row r="35" spans="2:4" x14ac:dyDescent="0.25">
      <c r="B35" s="29" t="s">
        <v>29</v>
      </c>
      <c r="C35" s="29"/>
      <c r="D35" s="29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1" t="s">
        <v>5</v>
      </c>
      <c r="C37" s="6">
        <v>558</v>
      </c>
      <c r="D37" s="28">
        <v>40428.720000000001</v>
      </c>
    </row>
    <row r="38" spans="2:4" x14ac:dyDescent="0.25">
      <c r="B38" s="1" t="s">
        <v>6</v>
      </c>
      <c r="C38" s="6">
        <v>6</v>
      </c>
      <c r="D38" s="28">
        <v>1970</v>
      </c>
    </row>
    <row r="39" spans="2:4" x14ac:dyDescent="0.25">
      <c r="B39" s="1" t="s">
        <v>7</v>
      </c>
      <c r="C39" s="6">
        <v>930</v>
      </c>
      <c r="D39" s="28">
        <v>9263</v>
      </c>
    </row>
    <row r="40" spans="2:4" x14ac:dyDescent="0.25">
      <c r="B40" s="3" t="s">
        <v>8</v>
      </c>
      <c r="C40" s="8">
        <f>SUM(C37:C39)</f>
        <v>1494</v>
      </c>
      <c r="D40" s="4">
        <f>SUM(D37:D39)</f>
        <v>51661.72</v>
      </c>
    </row>
    <row r="41" spans="2:4" hidden="1" x14ac:dyDescent="0.25"/>
    <row r="42" spans="2:4" hidden="1" x14ac:dyDescent="0.25"/>
    <row r="43" spans="2:4" hidden="1" x14ac:dyDescent="0.25"/>
    <row r="44" spans="2:4" hidden="1" x14ac:dyDescent="0.25"/>
    <row r="45" spans="2:4" hidden="1" x14ac:dyDescent="0.25"/>
    <row r="46" spans="2:4" hidden="1" x14ac:dyDescent="0.25"/>
    <row r="48" spans="2:4" x14ac:dyDescent="0.25">
      <c r="B48" s="12" t="s">
        <v>12</v>
      </c>
      <c r="C48" s="13">
        <f>SUMIF(B:B, "Total general", C:C)</f>
        <v>102752</v>
      </c>
      <c r="D48" s="13">
        <f>SUMIF(B:B, "Total general", D:D)</f>
        <v>2884627.1100000003</v>
      </c>
    </row>
  </sheetData>
  <mergeCells count="5">
    <mergeCell ref="B3:D3"/>
    <mergeCell ref="B12:D12"/>
    <mergeCell ref="B27:D27"/>
    <mergeCell ref="B20:D20"/>
    <mergeCell ref="B35:D35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47"/>
  <sheetViews>
    <sheetView showGridLines="0" tabSelected="1" zoomScaleNormal="100" workbookViewId="0">
      <selection activeCell="C9" sqref="C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9" t="s">
        <v>36</v>
      </c>
      <c r="C1" s="29"/>
      <c r="D1" s="29"/>
    </row>
    <row r="3" spans="2:8" x14ac:dyDescent="0.25">
      <c r="B3" s="29" t="s">
        <v>35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2343</v>
      </c>
      <c r="D5" s="28">
        <v>101722.80999999998</v>
      </c>
      <c r="E5" s="11"/>
    </row>
    <row r="6" spans="2:8" x14ac:dyDescent="0.25">
      <c r="B6" s="1" t="s">
        <v>5</v>
      </c>
      <c r="C6" s="27">
        <v>13261</v>
      </c>
      <c r="D6" s="28">
        <v>348648.17999999993</v>
      </c>
    </row>
    <row r="7" spans="2:8" x14ac:dyDescent="0.25">
      <c r="B7" s="1" t="s">
        <v>6</v>
      </c>
      <c r="C7" s="27">
        <v>4056</v>
      </c>
      <c r="D7" s="28">
        <v>81815.599999999991</v>
      </c>
    </row>
    <row r="8" spans="2:8" x14ac:dyDescent="0.25">
      <c r="B8" s="5" t="s">
        <v>11</v>
      </c>
      <c r="C8" s="27">
        <v>2739</v>
      </c>
      <c r="D8" s="28">
        <v>728</v>
      </c>
    </row>
    <row r="9" spans="2:8" x14ac:dyDescent="0.25">
      <c r="B9" s="1" t="s">
        <v>7</v>
      </c>
      <c r="C9" s="27">
        <v>2920</v>
      </c>
      <c r="D9" s="28">
        <v>27414.260000000002</v>
      </c>
      <c r="E9" s="14"/>
      <c r="F9" s="7"/>
    </row>
    <row r="10" spans="2:8" x14ac:dyDescent="0.25">
      <c r="B10" s="3" t="s">
        <v>8</v>
      </c>
      <c r="C10" s="8">
        <f>SUM(C5:C9)</f>
        <v>25319</v>
      </c>
      <c r="D10" s="4">
        <f>SUM(D5:D9)</f>
        <v>560328.85</v>
      </c>
      <c r="E10" s="11" t="s">
        <v>13</v>
      </c>
    </row>
    <row r="12" spans="2:8" x14ac:dyDescent="0.25">
      <c r="B12" s="30" t="s">
        <v>10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3630</v>
      </c>
      <c r="D14" s="28">
        <v>156548.20000000001</v>
      </c>
    </row>
    <row r="15" spans="2:8" x14ac:dyDescent="0.25">
      <c r="B15" s="1" t="s">
        <v>5</v>
      </c>
      <c r="C15" s="26">
        <v>1357</v>
      </c>
      <c r="D15" s="28">
        <v>103053.12999999999</v>
      </c>
    </row>
    <row r="16" spans="2:8" x14ac:dyDescent="0.25">
      <c r="B16" s="1" t="s">
        <v>6</v>
      </c>
      <c r="C16" s="26">
        <v>3169</v>
      </c>
      <c r="D16" s="28">
        <v>37105</v>
      </c>
    </row>
    <row r="17" spans="2:4" x14ac:dyDescent="0.25">
      <c r="B17" s="9" t="s">
        <v>7</v>
      </c>
      <c r="C17" s="26">
        <v>26</v>
      </c>
      <c r="D17" s="28">
        <v>2431</v>
      </c>
    </row>
    <row r="18" spans="2:4" x14ac:dyDescent="0.25">
      <c r="B18" s="10" t="s">
        <v>8</v>
      </c>
      <c r="C18" s="8">
        <f>SUM(C14:C17)</f>
        <v>8182</v>
      </c>
      <c r="D18" s="4">
        <f>SUM(D14:D17)</f>
        <v>299137.33</v>
      </c>
    </row>
    <row r="20" spans="2:4" x14ac:dyDescent="0.25">
      <c r="B20" s="29" t="s">
        <v>0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5</v>
      </c>
      <c r="C22">
        <v>14</v>
      </c>
      <c r="D22" s="28">
        <v>8202.74</v>
      </c>
    </row>
    <row r="23" spans="2:4" x14ac:dyDescent="0.25">
      <c r="B23" s="1" t="s">
        <v>6</v>
      </c>
      <c r="C23">
        <v>8</v>
      </c>
      <c r="D23" s="28">
        <v>1621</v>
      </c>
    </row>
    <row r="24" spans="2:4" x14ac:dyDescent="0.25">
      <c r="B24" s="5" t="s">
        <v>11</v>
      </c>
      <c r="C24">
        <v>1</v>
      </c>
      <c r="D24" s="25">
        <v>0</v>
      </c>
    </row>
    <row r="25" spans="2:4" x14ac:dyDescent="0.25">
      <c r="B25" s="1" t="s">
        <v>7</v>
      </c>
      <c r="C25">
        <v>302</v>
      </c>
      <c r="D25" s="28">
        <v>10641</v>
      </c>
    </row>
    <row r="26" spans="2:4" x14ac:dyDescent="0.25">
      <c r="B26" s="3" t="s">
        <v>8</v>
      </c>
      <c r="C26" s="8">
        <f>SUM(C22:C25)</f>
        <v>325</v>
      </c>
      <c r="D26" s="4">
        <f>SUM(D22:D25)</f>
        <v>20464.739999999998</v>
      </c>
    </row>
    <row r="28" spans="2:4" x14ac:dyDescent="0.25">
      <c r="B28" s="29" t="s">
        <v>34</v>
      </c>
      <c r="C28" s="29"/>
      <c r="D28" s="29"/>
    </row>
    <row r="29" spans="2:4" x14ac:dyDescent="0.25">
      <c r="B29" s="2" t="s">
        <v>1</v>
      </c>
      <c r="C29" s="2" t="s">
        <v>2</v>
      </c>
      <c r="D29" s="2" t="s">
        <v>3</v>
      </c>
    </row>
    <row r="30" spans="2:4" x14ac:dyDescent="0.25">
      <c r="B30" s="1" t="s">
        <v>5</v>
      </c>
      <c r="C30">
        <v>3</v>
      </c>
      <c r="D30" s="28">
        <v>763</v>
      </c>
    </row>
    <row r="31" spans="2:4" x14ac:dyDescent="0.25">
      <c r="B31" s="1" t="s">
        <v>6</v>
      </c>
      <c r="C31">
        <v>4</v>
      </c>
      <c r="D31" s="25">
        <v>0</v>
      </c>
    </row>
    <row r="32" spans="2:4" x14ac:dyDescent="0.25">
      <c r="B32" s="1" t="s">
        <v>7</v>
      </c>
      <c r="C32">
        <v>331</v>
      </c>
      <c r="D32" s="28">
        <v>2934</v>
      </c>
    </row>
    <row r="33" spans="2:4" x14ac:dyDescent="0.25">
      <c r="B33" s="3" t="s">
        <v>8</v>
      </c>
      <c r="C33" s="8">
        <f>SUM(C30:C32)</f>
        <v>338</v>
      </c>
      <c r="D33" s="4">
        <f>SUM(D30:D32)</f>
        <v>3697</v>
      </c>
    </row>
    <row r="35" spans="2:4" x14ac:dyDescent="0.25">
      <c r="B35" s="29" t="s">
        <v>29</v>
      </c>
      <c r="C35" s="29"/>
      <c r="D35" s="29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1" t="s">
        <v>5</v>
      </c>
      <c r="C37">
        <v>3</v>
      </c>
      <c r="D37" s="25">
        <v>0</v>
      </c>
    </row>
    <row r="38" spans="2:4" x14ac:dyDescent="0.25">
      <c r="B38" s="1" t="s">
        <v>7</v>
      </c>
      <c r="C38">
        <v>64</v>
      </c>
      <c r="D38" s="28">
        <v>557</v>
      </c>
    </row>
    <row r="39" spans="2:4" x14ac:dyDescent="0.25">
      <c r="B39" s="3" t="s">
        <v>8</v>
      </c>
      <c r="C39" s="8">
        <f>SUM(C37:C38)</f>
        <v>67</v>
      </c>
      <c r="D39" s="4">
        <f>SUM(D37:D38)</f>
        <v>557</v>
      </c>
    </row>
    <row r="41" spans="2:4" x14ac:dyDescent="0.25">
      <c r="B41" s="30" t="s">
        <v>9</v>
      </c>
      <c r="C41" s="30"/>
      <c r="D41" s="30"/>
    </row>
    <row r="42" spans="2:4" x14ac:dyDescent="0.25">
      <c r="B42" s="4" t="s">
        <v>1</v>
      </c>
      <c r="C42" s="4" t="s">
        <v>2</v>
      </c>
      <c r="D42" s="4" t="s">
        <v>3</v>
      </c>
    </row>
    <row r="43" spans="2:4" x14ac:dyDescent="0.25">
      <c r="B43" s="9" t="s">
        <v>5</v>
      </c>
      <c r="C43">
        <v>3</v>
      </c>
      <c r="D43" s="25">
        <v>0</v>
      </c>
    </row>
    <row r="44" spans="2:4" x14ac:dyDescent="0.25">
      <c r="B44" s="9" t="s">
        <v>7</v>
      </c>
      <c r="C44">
        <v>167</v>
      </c>
      <c r="D44" s="28">
        <v>544</v>
      </c>
    </row>
    <row r="45" spans="2:4" x14ac:dyDescent="0.25">
      <c r="B45" s="10" t="s">
        <v>8</v>
      </c>
      <c r="C45" s="8">
        <f>SUM(C43:C44)</f>
        <v>170</v>
      </c>
      <c r="D45" s="4">
        <f>SUM(D43:D44)</f>
        <v>544</v>
      </c>
    </row>
    <row r="47" spans="2:4" x14ac:dyDescent="0.25">
      <c r="B47" s="12" t="s">
        <v>12</v>
      </c>
      <c r="C47" s="13">
        <f>SUMIF(B:B, "Total general", C:C)</f>
        <v>34401</v>
      </c>
      <c r="D47" s="13">
        <f>SUMIF(B:B, "Total general", D:D)</f>
        <v>884728.91999999993</v>
      </c>
    </row>
  </sheetData>
  <mergeCells count="7">
    <mergeCell ref="B41:D41"/>
    <mergeCell ref="B35:D35"/>
    <mergeCell ref="B12:D12"/>
    <mergeCell ref="B28:D28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F4" sqref="F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9" t="s">
        <v>36</v>
      </c>
      <c r="C1" s="29"/>
      <c r="D1" s="29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5973</v>
      </c>
      <c r="D3" s="14">
        <f>SUMIF('CDC-OLGUIN'!B:B, "Extrajudicial - 0 a 28 semanas de atraso", 'CDC-OLGUIN'!D:D)</f>
        <v>258271.01</v>
      </c>
    </row>
    <row r="4" spans="2:6" x14ac:dyDescent="0.25">
      <c r="B4" s="1" t="s">
        <v>5</v>
      </c>
      <c r="C4" s="6">
        <f>SUMIF('CDC-OLGUIN'!B:B, "Extrajudicial - 29 a 39 semanas de atraso", 'CDC-OLGUIN'!C:C)</f>
        <v>14641</v>
      </c>
      <c r="D4" s="14">
        <f>SUMIF('CDC-OLGUIN'!B:B, "Extrajudicial - 29 a 39 semanas de atraso", 'CDC-OLGUIN'!D:D)</f>
        <v>460667.04999999993</v>
      </c>
    </row>
    <row r="5" spans="2:6" x14ac:dyDescent="0.25">
      <c r="B5" s="1" t="s">
        <v>6</v>
      </c>
      <c r="C5" s="6">
        <f>SUMIF('CDC-OLGUIN'!B:B, "Extrajudicial - 40 a 55 semanas de atraso", 'CDC-OLGUIN'!C:C)</f>
        <v>7237</v>
      </c>
      <c r="D5" s="14">
        <f>SUMIF('CDC-OLGUIN'!B:B, "Extrajudicial - 40 a 55 semanas de atraso", 'CDC-OLGUIN'!D:D)</f>
        <v>120541.59999999999</v>
      </c>
    </row>
    <row r="6" spans="2:6" x14ac:dyDescent="0.25">
      <c r="B6" s="5" t="s">
        <v>11</v>
      </c>
      <c r="C6" s="6">
        <f>SUMIF('CDC-OLGUIN'!B:B, "JUDICIAL", 'CDC-OLGUIN'!C:C)</f>
        <v>2740</v>
      </c>
      <c r="D6" s="14">
        <f>SUMIF('CDC-OLGUIN'!B:B, "JUDICIAL", 'CDC-OLGUIN'!D:D)</f>
        <v>728</v>
      </c>
    </row>
    <row r="7" spans="2:6" x14ac:dyDescent="0.25">
      <c r="B7" s="1" t="s">
        <v>7</v>
      </c>
      <c r="C7" s="6">
        <f>SUMIF('CDC-OLGUIN'!B:B, "Mas 55 semanas de atraso", 'CDC-OLGUIN'!C:C)</f>
        <v>3810</v>
      </c>
      <c r="D7" s="6">
        <f>SUMIF('CDC-OLGUIN'!B:B, "Mas 55 semanas de atraso", 'CDC-OLGUIN'!D:D)</f>
        <v>44521.26</v>
      </c>
      <c r="E7" s="14"/>
      <c r="F7" s="7"/>
    </row>
    <row r="8" spans="2:6" x14ac:dyDescent="0.25">
      <c r="B8" s="3" t="s">
        <v>8</v>
      </c>
      <c r="C8" s="8">
        <f>SUM(C3:C7)</f>
        <v>34401</v>
      </c>
      <c r="D8" s="4">
        <f>SUM(D3:D7)</f>
        <v>884728.91999999993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4377</v>
      </c>
      <c r="E6" s="16">
        <f>SUMIF('REPORTE DIARIO'!B:B,'EPR 26 JUN'!C6, 'REPORTE DIARIO'!D:D)</f>
        <v>175735.51000000004</v>
      </c>
      <c r="F6" s="16">
        <f>J6*D6</f>
        <v>275125.71428571426</v>
      </c>
      <c r="G6" s="16">
        <f>+E6-F6</f>
        <v>-99390.204285714222</v>
      </c>
      <c r="H6" s="15">
        <f>ABS(G6/F6)</f>
        <v>0.36125378009014042</v>
      </c>
      <c r="I6" s="16">
        <f>E6/D6</f>
        <v>40.149762394334026</v>
      </c>
      <c r="J6" s="16">
        <f>(220/7)*2</f>
        <v>62.857142857142854</v>
      </c>
      <c r="K6" s="16">
        <f>+I6-J6</f>
        <v>-22.707380462808828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15460</v>
      </c>
      <c r="E7" s="16">
        <f>SUMIF('REPORTE DIARIO'!B:B,'EPR 26 JUN'!C7, 'REPORTE DIARIO'!D:D)</f>
        <v>1552506.22</v>
      </c>
      <c r="F7" s="16">
        <f>J7*D7</f>
        <v>485885.71428571426</v>
      </c>
      <c r="G7" s="16">
        <f>+E7-F7</f>
        <v>1066620.5057142857</v>
      </c>
      <c r="H7" s="15">
        <f>ABS(G7/F7)</f>
        <v>2.1952086146066092</v>
      </c>
      <c r="I7" s="16">
        <f>E7/D7</f>
        <v>100.42084217335058</v>
      </c>
      <c r="J7" s="16">
        <f>(110/7)*2</f>
        <v>31.428571428571427</v>
      </c>
      <c r="K7" s="16">
        <f t="shared" ref="K7:K9" si="0">+I7-J7</f>
        <v>68.992270744779148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13508</v>
      </c>
      <c r="E8" s="16">
        <f>SUMIF('REPORTE DIARIO'!B:B,'EPR 26 JUN'!C8, 'REPORTE DIARIO'!D:D)</f>
        <v>446938.89999999997</v>
      </c>
      <c r="F8" s="16">
        <f>J8*D8</f>
        <v>173674.28571428571</v>
      </c>
      <c r="G8" s="16">
        <f>+E8-F8</f>
        <v>273264.61428571423</v>
      </c>
      <c r="H8" s="15">
        <f>ABS(G8/F8)</f>
        <v>1.573431628993518</v>
      </c>
      <c r="I8" s="16">
        <f>E8/D8</f>
        <v>33.086978087059521</v>
      </c>
      <c r="J8" s="16">
        <f>(45/7)*2</f>
        <v>12.857142857142858</v>
      </c>
      <c r="K8" s="16">
        <f t="shared" si="0"/>
        <v>20.229835229916663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68349</v>
      </c>
      <c r="E9" s="16">
        <f>SUMIF('REPORTE DIARIO'!B:B,'EPR 26 JUN'!C9, 'REPORTE DIARIO'!D:D)</f>
        <v>709446.48</v>
      </c>
      <c r="F9" s="16">
        <f>J9*D9</f>
        <v>292924.28571428568</v>
      </c>
      <c r="G9" s="16">
        <f>+E9-F9</f>
        <v>416522.1942857143</v>
      </c>
      <c r="H9" s="15">
        <f>ABS(G9/F9)</f>
        <v>1.4219449004374609</v>
      </c>
      <c r="I9" s="16">
        <f>E9/D9</f>
        <v>10.379763859017688</v>
      </c>
      <c r="J9" s="16">
        <f>(15/7)*2</f>
        <v>4.2857142857142856</v>
      </c>
      <c r="K9" s="16">
        <f t="shared" si="0"/>
        <v>6.0940495733034021</v>
      </c>
    </row>
    <row r="10" spans="2:12" x14ac:dyDescent="0.25">
      <c r="B10" s="16"/>
      <c r="C10" s="19" t="s">
        <v>16</v>
      </c>
      <c r="D10" s="24">
        <f>SUM(D6:D9)</f>
        <v>101694</v>
      </c>
      <c r="E10" s="20">
        <f>SUM(E6:E9)</f>
        <v>2884627.11</v>
      </c>
      <c r="F10" s="20">
        <f>SUM(F6:F9)</f>
        <v>1227610</v>
      </c>
      <c r="G10" s="20">
        <f>+E10-F10</f>
        <v>1657017.1099999999</v>
      </c>
      <c r="H10" s="21">
        <f>ABS(G10/F10)</f>
        <v>1.3497911470255211</v>
      </c>
      <c r="I10" s="20">
        <f>E10/D10</f>
        <v>28.365755206796859</v>
      </c>
      <c r="J10" s="20">
        <f>F10/D10</f>
        <v>12.071606977796133</v>
      </c>
      <c r="K10" s="20">
        <f>I10-J10</f>
        <v>16.294148229000726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2025-09-05T16:07:37Z</cp:lastPrinted>
  <dcterms:created xsi:type="dcterms:W3CDTF">2025-01-27T15:11:28Z</dcterms:created>
  <dcterms:modified xsi:type="dcterms:W3CDTF">2025-10-06T01:56:46Z</dcterms:modified>
</cp:coreProperties>
</file>