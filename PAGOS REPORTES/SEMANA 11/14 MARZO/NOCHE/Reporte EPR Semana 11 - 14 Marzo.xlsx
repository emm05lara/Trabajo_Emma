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4 MARZO\NOCHE\"/>
    </mc:Choice>
  </mc:AlternateContent>
  <xr:revisionPtr revIDLastSave="0" documentId="13_ncr:1_{019967F5-EAF2-4DBF-A995-E404B43BC812}" xr6:coauthVersionLast="47" xr6:coauthVersionMax="47" xr10:uidLastSave="{00000000-0000-0000-0000-000000000000}"/>
  <bookViews>
    <workbookView xWindow="14685" yWindow="3450" windowWidth="13410" windowHeight="8850" xr2:uid="{4DC6C92A-CD8A-4966-829B-0B6A986E825B}"/>
  </bookViews>
  <sheets>
    <sheet name="REPORTE DIARIO" sheetId="1" r:id="rId1"/>
    <sheet name="DATA" sheetId="4" r:id="rId2"/>
    <sheet name="EPR 14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39" i="1"/>
  <c r="C39" i="1"/>
  <c r="D18" i="1"/>
  <c r="C18" i="1"/>
  <c r="D26" i="1"/>
  <c r="C26" i="1"/>
  <c r="D34" i="1"/>
  <c r="C34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<sst xmlns="http://schemas.openxmlformats.org/spreadsheetml/2006/main" count="69" uniqueCount="35">
  <si>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</si>
  <si>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</si>
  <si>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</si>
  <si>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</si>
  <si>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</si>
  <si>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</si>
  <si>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</si>
  <si>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</si>
  <si>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</si>
  <si>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</si>
  <si>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</si>
  <si>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</si>
  <si>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</si>
  <si>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</si>
  <si>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</si>
  <si>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</si>
  <si>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</si>
  <si>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</si>
  <si>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</si>
  <si>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</si>
  <si>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</si>
  <si>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</si>
  <si>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</si>
  <si>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</si>
  <si>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</si>
  <si>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</si>
  <si>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</si>
  <si>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</si>
  <si>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</si>
  <si>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</si>
  <si>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</si>
  <si>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</si>
  <si>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</si>
  <si>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</si>
  <si>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COBRANZA 14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</si>
</sst>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B3" sqref="B3: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6890</v>
      </c>
      <c r="D5" s="28">
        <v>84638.62</v>
      </c>
    </row>
    <row r="6" spans="2:8" x14ac:dyDescent="0.25">
      <c r="B6" s="1" t="s">
        <v>5</v>
      </c>
      <c r="C6" s="6">
        <v>8373</v>
      </c>
      <c r="D6" s="28">
        <v>76863</v>
      </c>
    </row>
    <row r="7" spans="2:8" x14ac:dyDescent="0.25">
      <c r="B7" s="1" t="s">
        <v>6</v>
      </c>
      <c r="C7" s="6">
        <v>9448</v>
      </c>
      <c r="D7" s="28">
        <v>89748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49844</v>
      </c>
      <c r="D9" s="28">
        <v>165818.35999999999</v>
      </c>
      <c r="F9" s="7"/>
    </row>
    <row r="10" spans="2:8" x14ac:dyDescent="0.25">
      <c r="B10" s="3" t="s">
        <v>8</v>
      </c>
      <c r="C10" s="8">
        <f>SUM(C5:C9)</f>
        <v>74576</v>
      </c>
      <c r="D10" s="4">
        <f>SUM(D5:D9)</f>
        <v>417067.98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3863</v>
      </c>
      <c r="D14" s="28">
        <v>125151</v>
      </c>
    </row>
    <row r="15" spans="2:8" x14ac:dyDescent="0.25">
      <c r="B15" s="9" t="s">
        <v>5</v>
      </c>
      <c r="C15" s="6">
        <v>1411</v>
      </c>
      <c r="D15" s="28">
        <v>4644</v>
      </c>
    </row>
    <row r="16" spans="2:8" x14ac:dyDescent="0.25">
      <c r="B16" s="9" t="s">
        <v>6</v>
      </c>
      <c r="C16" s="6">
        <v>3153</v>
      </c>
      <c r="D16" s="28">
        <v>42307</v>
      </c>
    </row>
    <row r="17" spans="2:11" x14ac:dyDescent="0.25">
      <c r="B17" s="9" t="s">
        <v>7</v>
      </c>
      <c r="C17" s="6">
        <v>20938</v>
      </c>
      <c r="D17" s="28">
        <v>54701.01</v>
      </c>
    </row>
    <row r="18" spans="2:11" x14ac:dyDescent="0.25">
      <c r="B18" s="10" t="s">
        <v>8</v>
      </c>
      <c r="C18" s="8">
        <f>SUM(C14:C17)</f>
        <v>29365</v>
      </c>
      <c r="D18" s="4">
        <f>SUM(D14:D17)</f>
        <v>226803.01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1889</v>
      </c>
      <c r="D22" s="28">
        <v>42057.67</v>
      </c>
    </row>
    <row r="23" spans="2:11" x14ac:dyDescent="0.25">
      <c r="B23" s="9" t="s">
        <v>5</v>
      </c>
      <c r="C23" s="6">
        <v>1354</v>
      </c>
      <c r="D23" s="28">
        <v>56530</v>
      </c>
    </row>
    <row r="24" spans="2:11" x14ac:dyDescent="0.25">
      <c r="B24" s="9" t="s">
        <v>6</v>
      </c>
      <c r="C24" s="6">
        <v>14</v>
      </c>
      <c r="D24" s="11">
        <v>0</v>
      </c>
    </row>
    <row r="25" spans="2:11" x14ac:dyDescent="0.25">
      <c r="B25" s="9" t="s">
        <v>7</v>
      </c>
      <c r="C25" s="6">
        <v>720</v>
      </c>
      <c r="D25" s="28">
        <v>20199</v>
      </c>
    </row>
    <row r="26" spans="2:11" x14ac:dyDescent="0.25">
      <c r="B26" s="10" t="s">
        <v>8</v>
      </c>
      <c r="C26" s="8">
        <f>SUM(C22:C25)</f>
        <v>3977</v>
      </c>
      <c r="D26" s="4">
        <f>SUM(D22:D25)</f>
        <v>118786.67</v>
      </c>
      <c r="K26" s="7"/>
    </row>
    <row r="28" spans="2:11" x14ac:dyDescent="0.25">
      <c r="B28" s="31" t="s">
        <v>9</v>
      </c>
      <c r="C28" s="31"/>
      <c r="D28" s="31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1790</v>
      </c>
      <c r="D30" s="28">
        <v>63485.5</v>
      </c>
    </row>
    <row r="31" spans="2:11" x14ac:dyDescent="0.25">
      <c r="B31" s="9" t="s">
        <v>5</v>
      </c>
      <c r="C31" s="6">
        <v>633</v>
      </c>
      <c r="D31" s="28">
        <v>1000</v>
      </c>
    </row>
    <row r="32" spans="2:11" x14ac:dyDescent="0.25">
      <c r="B32" s="9" t="s">
        <v>6</v>
      </c>
      <c r="C32" s="6">
        <v>535</v>
      </c>
      <c r="D32" s="28">
        <v>2735</v>
      </c>
    </row>
    <row r="33" spans="2:5" x14ac:dyDescent="0.25">
      <c r="B33" s="9" t="s">
        <v>7</v>
      </c>
      <c r="C33" s="6">
        <v>1678</v>
      </c>
      <c r="D33" s="29">
        <v>0</v>
      </c>
    </row>
    <row r="34" spans="2:5" x14ac:dyDescent="0.25">
      <c r="B34" s="10" t="s">
        <v>8</v>
      </c>
      <c r="C34" s="8">
        <f>SUM(C30:C33)</f>
        <v>4636</v>
      </c>
      <c r="D34" s="4">
        <f>SUM(D30:D33)</f>
        <v>67220.5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3013</v>
      </c>
      <c r="D38" s="28">
        <v>12629</v>
      </c>
    </row>
    <row r="39" spans="2:5" x14ac:dyDescent="0.25">
      <c r="B39" s="10" t="s">
        <v>8</v>
      </c>
      <c r="C39" s="8">
        <f>SUM(C38:C38)</f>
        <v>3013</v>
      </c>
      <c r="D39" s="4">
        <f>SUM(D38:D38)</f>
        <v>12629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SUM(C10+C34+C26+C18+C39)</f>
        <v>115567</v>
      </c>
      <c r="D42" s="13">
        <f>SUM(D10+D34+D26+D18+D39)</f>
        <v>842507.16</v>
      </c>
    </row>
  </sheetData>
  <mergeCells count="5">
    <mergeCell ref="B20:D20"/>
    <mergeCell ref="B3:D3"/>
    <mergeCell ref="B28:D28"/>
    <mergeCell ref="B12:D12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F10" sqref="F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14 MAR'!C6, 'REPORTE DIARIO'!C:C)</f>
        <v>17445</v>
      </c>
      <c r="E6" s="16">
        <f>SUMIF('REPORTE DIARIO'!B:B,'EPR 14 MAR'!C6, 'REPORTE DIARIO'!D:D)</f>
        <v>327961.78999999998</v>
      </c>
      <c r="F6" s="16">
        <f>J6*D6</f>
        <v>498428.57142857148</v>
      </c>
      <c r="G6" s="16">
        <f>+E6-F6</f>
        <v>-170466.7814285715</v>
      </c>
      <c r="H6" s="15">
        <f>ABS(G6/F6)</f>
        <v>0.34200844654628842</v>
      </c>
      <c r="I6" s="16">
        <f>E6/D6</f>
        <v>18.799758670106048</v>
      </c>
      <c r="J6" s="16">
        <f>200/7</f>
        <v>28.571428571428573</v>
      </c>
      <c r="K6" s="16">
        <f>+I6-J6</f>
        <v>-9.7716699013225252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14 MAR'!C7, 'REPORTE DIARIO'!C:C)</f>
        <v>11771</v>
      </c>
      <c r="E7" s="16">
        <f>SUMIF('REPORTE DIARIO'!B:B,'EPR 14 MAR'!C7, 'REPORTE DIARIO'!D:D)</f>
        <v>139037</v>
      </c>
      <c r="F7" s="16">
        <f>J7*D7</f>
        <v>184972.85714285713</v>
      </c>
      <c r="G7" s="16">
        <f>+E7-F7</f>
        <v>-45935.85714285713</v>
      </c>
      <c r="H7" s="15">
        <f>ABS(G7/F7)</f>
        <v>0.24833836624678518</v>
      </c>
      <c r="I7" s="16">
        <f>E7/D7</f>
        <v>11.811825673264803</v>
      </c>
      <c r="J7" s="16">
        <f>110/7</f>
        <v>15.714285714285714</v>
      </c>
      <c r="K7" s="16">
        <f t="shared" ref="K7:K9" si="0">+I7-J7</f>
        <v>-3.9024600410209107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14 MAR'!C8, 'REPORTE DIARIO'!C:C)</f>
        <v>13150</v>
      </c>
      <c r="E8" s="16">
        <f>SUMIF('REPORTE DIARIO'!B:B,'EPR 14 MAR'!C8, 'REPORTE DIARIO'!D:D)</f>
        <v>134790</v>
      </c>
      <c r="F8" s="16">
        <f>J8*D8</f>
        <v>84535.71428571429</v>
      </c>
      <c r="G8" s="16">
        <f>+E8-F8</f>
        <v>50254.28571428571</v>
      </c>
      <c r="H8" s="15">
        <f>ABS(G8/F8)</f>
        <v>0.59447401774397968</v>
      </c>
      <c r="I8" s="16">
        <f>E8/D8</f>
        <v>10.250190114068442</v>
      </c>
      <c r="J8" s="16">
        <f>45/7</f>
        <v>6.4285714285714288</v>
      </c>
      <c r="K8" s="16">
        <f t="shared" si="0"/>
        <v>3.8216186854970129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14 MAR'!C9, 'REPORTE DIARIO'!C:C)</f>
        <v>73180</v>
      </c>
      <c r="E9" s="16">
        <f>SUMIF('REPORTE DIARIO'!B:B,'EPR 14 MAR'!C9, 'REPORTE DIARIO'!D:D)</f>
        <v>240718.37</v>
      </c>
      <c r="F9" s="16">
        <f>J9*D9</f>
        <v>156814.28571428571</v>
      </c>
      <c r="G9" s="16">
        <f>+E9-F9</f>
        <v>83904.084285714285</v>
      </c>
      <c r="H9" s="15">
        <f>ABS(G9/F9)</f>
        <v>0.53505383073699553</v>
      </c>
      <c r="I9" s="16">
        <f>E9/D9</f>
        <v>3.2894010658649906</v>
      </c>
      <c r="J9" s="16">
        <f>15/7</f>
        <v>2.1428571428571428</v>
      </c>
      <c r="K9" s="16">
        <f t="shared" si="0"/>
        <v>1.1465439230078478</v>
      </c>
    </row>
    <row r="10" spans="2:12" x14ac:dyDescent="0.25">
      <c r="B10" s="16"/>
      <c r="C10" s="19" t="s">
        <v>17</v>
      </c>
      <c r="D10" s="24">
        <f>SUM(D6:D9)</f>
        <v>115546</v>
      </c>
      <c r="E10" s="20">
        <f>SUM(E6:E9)</f>
        <v>842507.16</v>
      </c>
      <c r="F10" s="20">
        <f>SUM(F6:F9)</f>
        <v>924751.42857142864</v>
      </c>
      <c r="G10" s="20">
        <f>+E10-F10</f>
        <v>-82244.268571428605</v>
      </c>
      <c r="H10" s="21">
        <f>ABS(G10/F10)</f>
        <v>8.8936622351025632E-2</v>
      </c>
      <c r="I10" s="20">
        <f>E10/D10</f>
        <v>7.2915302996209306</v>
      </c>
      <c r="J10" s="20">
        <f>F10/D10</f>
        <v>8.003318406274806</v>
      </c>
      <c r="K10" s="20">
        <f>I10-J10</f>
        <v>-0.71178810665387537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14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2025-03-15T02:23:35Z</dcterms:modified>
</cp:coreProperties>
</file>