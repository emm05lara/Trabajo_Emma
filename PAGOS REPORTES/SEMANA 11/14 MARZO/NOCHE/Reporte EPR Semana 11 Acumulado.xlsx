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4 MARZO\NOCHE\"/>
    </mc:Choice>
  </mc:AlternateContent>
  <xr:revisionPtr revIDLastSave="0" documentId="13_ncr:1_{3A3B2593-9A14-475E-B15A-ADBFF51A3847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4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<sst xmlns="http://schemas.openxmlformats.org/spreadsheetml/2006/main" count="69" uniqueCount="35">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</sst>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E29" sqref="E2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6890</v>
      </c>
      <c r="D5" s="26">
        <v>371654.25</v>
      </c>
    </row>
    <row r="6" spans="2:8" x14ac:dyDescent="0.25">
      <c r="B6" s="1" t="s">
        <v>5</v>
      </c>
      <c r="C6" s="6">
        <v>8373</v>
      </c>
      <c r="D6" s="26">
        <v>309646.76</v>
      </c>
    </row>
    <row r="7" spans="2:8" x14ac:dyDescent="0.25">
      <c r="B7" s="1" t="s">
        <v>6</v>
      </c>
      <c r="C7" s="6">
        <v>9448</v>
      </c>
      <c r="D7" s="26">
        <v>361504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49844</v>
      </c>
      <c r="D9" s="26">
        <v>427987.55</v>
      </c>
      <c r="F9" s="7"/>
    </row>
    <row r="10" spans="2:8" x14ac:dyDescent="0.25">
      <c r="B10" s="3" t="s">
        <v>8</v>
      </c>
      <c r="C10" s="8">
        <f>SUM(C5:C9)</f>
        <v>74576</v>
      </c>
      <c r="D10" s="4">
        <f>SUM(D5:D9)</f>
        <v>1470792.56</v>
      </c>
      <c r="E10" s="11" t="s">
        <v>14</v>
      </c>
    </row>
    <row r="12" spans="2:8" x14ac:dyDescent="0.25">
      <c r="B12" s="31" t="s">
        <v>32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3863</v>
      </c>
      <c r="D14" s="26">
        <v>238676.77</v>
      </c>
    </row>
    <row r="15" spans="2:8" x14ac:dyDescent="0.25">
      <c r="B15" s="9" t="s">
        <v>5</v>
      </c>
      <c r="C15" s="6">
        <v>1411</v>
      </c>
      <c r="D15" s="26">
        <v>35601.699999999997</v>
      </c>
    </row>
    <row r="16" spans="2:8" x14ac:dyDescent="0.25">
      <c r="B16" s="9" t="s">
        <v>6</v>
      </c>
      <c r="C16" s="6">
        <v>3153</v>
      </c>
      <c r="D16" s="26">
        <v>21151.58</v>
      </c>
    </row>
    <row r="17" spans="2:11" x14ac:dyDescent="0.25">
      <c r="B17" s="9" t="s">
        <v>7</v>
      </c>
      <c r="C17" s="6">
        <v>20938</v>
      </c>
      <c r="D17" s="26">
        <v>167048.76</v>
      </c>
    </row>
    <row r="18" spans="2:11" x14ac:dyDescent="0.25">
      <c r="B18" s="10" t="s">
        <v>8</v>
      </c>
      <c r="C18" s="8">
        <f>SUM(C14:C17)</f>
        <v>29365</v>
      </c>
      <c r="D18" s="4">
        <f>SUM(D14:D17)</f>
        <v>462478.81</v>
      </c>
    </row>
    <row r="20" spans="2:11" x14ac:dyDescent="0.25">
      <c r="B20" s="31" t="s">
        <v>10</v>
      </c>
      <c r="C20" s="31"/>
      <c r="D20" s="31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1889</v>
      </c>
      <c r="D22" s="26">
        <v>188916.69</v>
      </c>
    </row>
    <row r="23" spans="2:11" x14ac:dyDescent="0.25">
      <c r="B23" s="9" t="s">
        <v>5</v>
      </c>
      <c r="C23" s="6">
        <v>1354</v>
      </c>
      <c r="D23" s="26">
        <v>105071.03</v>
      </c>
    </row>
    <row r="24" spans="2:11" x14ac:dyDescent="0.25">
      <c r="B24" s="9" t="s">
        <v>6</v>
      </c>
      <c r="C24" s="6">
        <v>14</v>
      </c>
      <c r="D24" s="26">
        <v>16354</v>
      </c>
    </row>
    <row r="25" spans="2:11" x14ac:dyDescent="0.25">
      <c r="B25" s="9" t="s">
        <v>7</v>
      </c>
      <c r="C25" s="6">
        <v>720</v>
      </c>
      <c r="D25" s="26">
        <v>28296</v>
      </c>
    </row>
    <row r="26" spans="2:11" x14ac:dyDescent="0.25">
      <c r="B26" s="10" t="s">
        <v>8</v>
      </c>
      <c r="C26" s="8">
        <f>SUM(C22:C25)</f>
        <v>3977</v>
      </c>
      <c r="D26" s="4">
        <f>SUM(D22:D25)</f>
        <v>338637.72</v>
      </c>
    </row>
    <row r="27" spans="2:11" x14ac:dyDescent="0.25">
      <c r="K27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1790</v>
      </c>
      <c r="D30" s="26">
        <v>226059.70999999996</v>
      </c>
    </row>
    <row r="31" spans="2:11" x14ac:dyDescent="0.25">
      <c r="B31" s="9" t="s">
        <v>5</v>
      </c>
      <c r="C31" s="6">
        <v>633</v>
      </c>
      <c r="D31" s="26">
        <v>32483.11</v>
      </c>
    </row>
    <row r="32" spans="2:11" x14ac:dyDescent="0.25">
      <c r="B32" s="9" t="s">
        <v>6</v>
      </c>
      <c r="C32" s="6">
        <v>535</v>
      </c>
      <c r="D32" s="26">
        <v>7821</v>
      </c>
    </row>
    <row r="33" spans="2:5" x14ac:dyDescent="0.25">
      <c r="B33" s="9" t="s">
        <v>7</v>
      </c>
      <c r="C33" s="6">
        <v>1678</v>
      </c>
      <c r="D33" s="28">
        <v>0</v>
      </c>
    </row>
    <row r="34" spans="2:5" x14ac:dyDescent="0.25">
      <c r="B34" s="10" t="s">
        <v>8</v>
      </c>
      <c r="C34" s="8">
        <f>SUM(C30:C33)</f>
        <v>4636</v>
      </c>
      <c r="D34" s="4">
        <f>SUM(D30:D33)</f>
        <v>266363.81999999995</v>
      </c>
    </row>
    <row r="36" spans="2:5" x14ac:dyDescent="0.25">
      <c r="B36" s="31" t="s">
        <v>11</v>
      </c>
      <c r="C36" s="31"/>
      <c r="D36" s="31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3013</v>
      </c>
      <c r="D38" s="26">
        <v>109750</v>
      </c>
    </row>
    <row r="39" spans="2:5" x14ac:dyDescent="0.25">
      <c r="B39" s="10" t="s">
        <v>8</v>
      </c>
      <c r="C39" s="8">
        <f>SUM(C38:C38)</f>
        <v>3013</v>
      </c>
      <c r="D39" s="4">
        <f>SUM(D38:D38)</f>
        <v>109750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115567</v>
      </c>
      <c r="D42" s="13">
        <f>SUM(D10+D34+D26+D18+D39)</f>
        <v>2648022.9099999997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E8" sqref="E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14 MAR'!C6, 'REPORTE DIARIO'!C:C)</f>
        <v>17445</v>
      </c>
      <c r="E6" s="16">
        <f>SUMIF('REPORTE DIARIO'!B:B,'EPR 14 MAR'!C6, 'REPORTE DIARIO'!D:D)</f>
        <v>1135057.42</v>
      </c>
      <c r="F6" s="16">
        <f>J6*D6</f>
        <v>2492142.8571428573</v>
      </c>
      <c r="G6" s="16">
        <f>+E6-F6</f>
        <v>-1357085.4371428574</v>
      </c>
      <c r="H6" s="15">
        <f>ABS(G6/F6)</f>
        <v>0.54454560389796514</v>
      </c>
      <c r="I6" s="16">
        <f>E6/D6</f>
        <v>65.064913728862138</v>
      </c>
      <c r="J6" s="16">
        <f>(200/7) * 5</f>
        <v>142.85714285714286</v>
      </c>
      <c r="K6" s="16">
        <f>+I6-J6</f>
        <v>-77.792229128280724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14 MAR'!C7, 'REPORTE DIARIO'!C:C)</f>
        <v>11771</v>
      </c>
      <c r="E7" s="16">
        <f>SUMIF('REPORTE DIARIO'!B:B,'EPR 14 MAR'!C7, 'REPORTE DIARIO'!D:D)</f>
        <v>482802.6</v>
      </c>
      <c r="F7" s="16">
        <f>J7*D7</f>
        <v>924864.28571428568</v>
      </c>
      <c r="G7" s="16">
        <f>+E7-F7</f>
        <v>-442061.6857142857</v>
      </c>
      <c r="H7" s="15">
        <f>ABS(G7/F7)</f>
        <v>0.47797465265174044</v>
      </c>
      <c r="I7" s="16">
        <f>E7/D7</f>
        <v>41.016277291648969</v>
      </c>
      <c r="J7" s="16">
        <f>(110/7)*5</f>
        <v>78.571428571428569</v>
      </c>
      <c r="K7" s="16">
        <f t="shared" ref="K7:K9" si="0">+I7-J7</f>
        <v>-37.555151279779601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14 MAR'!C8, 'REPORTE DIARIO'!C:C)</f>
        <v>13150</v>
      </c>
      <c r="E8" s="16">
        <f>SUMIF('REPORTE DIARIO'!B:B,'EPR 14 MAR'!C8, 'REPORTE DIARIO'!D:D)</f>
        <v>406830.58</v>
      </c>
      <c r="F8" s="16">
        <f>J8*D8</f>
        <v>422678.57142857148</v>
      </c>
      <c r="G8" s="16">
        <f>+E8-F8</f>
        <v>-15847.991428571462</v>
      </c>
      <c r="H8" s="15">
        <f>ABS(G8/F8)</f>
        <v>3.7494191803971344E-2</v>
      </c>
      <c r="I8" s="16">
        <f>E8/D8</f>
        <v>30.937686692015209</v>
      </c>
      <c r="J8" s="16">
        <f>(45/7)*5</f>
        <v>32.142857142857146</v>
      </c>
      <c r="K8" s="16">
        <f t="shared" si="0"/>
        <v>-1.205170450841937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14 MAR'!C9, 'REPORTE DIARIO'!C:C)</f>
        <v>73180</v>
      </c>
      <c r="E9" s="16">
        <f>SUMIF('REPORTE DIARIO'!B:B,'EPR 14 MAR'!C9, 'REPORTE DIARIO'!D:D)</f>
        <v>623332.31000000006</v>
      </c>
      <c r="F9" s="16">
        <f>J9*D9</f>
        <v>784071.42857142852</v>
      </c>
      <c r="G9" s="16">
        <f>+E9-F9</f>
        <v>-160739.11857142847</v>
      </c>
      <c r="H9" s="15">
        <f>ABS(G9/F9)</f>
        <v>0.20500570829917086</v>
      </c>
      <c r="I9" s="16">
        <f>E9/D9</f>
        <v>8.5177959825088827</v>
      </c>
      <c r="J9" s="16">
        <f>(15/7)*5</f>
        <v>10.714285714285714</v>
      </c>
      <c r="K9" s="16">
        <f t="shared" si="0"/>
        <v>-2.1964897317768308</v>
      </c>
    </row>
    <row r="10" spans="2:12" x14ac:dyDescent="0.25">
      <c r="B10" s="16"/>
      <c r="C10" s="19" t="s">
        <v>17</v>
      </c>
      <c r="D10" s="24">
        <f>SUM(D6:D9)</f>
        <v>115546</v>
      </c>
      <c r="E10" s="20">
        <f>SUM(E6:E9)</f>
        <v>2648022.91</v>
      </c>
      <c r="F10" s="20">
        <f>SUM(F6:F9)</f>
        <v>4623757.1428571427</v>
      </c>
      <c r="G10" s="20">
        <f>+E10-F10</f>
        <v>-1975734.2328571426</v>
      </c>
      <c r="H10" s="21">
        <f>ABS(G10/F10)</f>
        <v>0.42730060680399051</v>
      </c>
      <c r="I10" s="20">
        <f>E10/D10</f>
        <v>22.917477974140169</v>
      </c>
      <c r="J10" s="20">
        <f>F10/D10</f>
        <v>40.016592031374024</v>
      </c>
      <c r="K10" s="20">
        <f>I10-J10</f>
        <v>-17.099114057233855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2025-03-15T02:09:57Z</dcterms:modified>
</cp:coreProperties>
</file>