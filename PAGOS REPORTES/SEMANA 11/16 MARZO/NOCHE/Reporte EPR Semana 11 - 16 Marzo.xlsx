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6 MARZO\NOCHE\"/>
    </mc:Choice>
  </mc:AlternateContent>
  <xr:revisionPtr revIDLastSave="0" documentId="13_ncr:1_{BCF80593-B9DC-42B5-A42E-E636A2DA2D8C}" xr6:coauthVersionLast="47" xr6:coauthVersionMax="47" xr10:uidLastSave="{00000000-0000-0000-0000-000000000000}"/>
  <bookViews>
    <workbookView xWindow="21585" yWindow="10350" windowWidth="13410" windowHeight="8850" activeTab="2" xr2:uid="{4DC6C92A-CD8A-4966-829B-0B6A986E825B}"/>
  </bookViews>
  <sheets>
    <sheet name="REPORTE DIARIO" sheetId="1" r:id="rId1"/>
    <sheet name="DATA" sheetId="4" r:id="rId2"/>
    <sheet name="EPR 1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J9" i="3"/>
  <c r="J8" i="3"/>
  <c r="J7" i="3"/>
  <c r="J6" i="3"/>
  <c r="D6" i="3"/>
  <c r="F6" i="3" s="1"/>
  <c r="D39" i="1"/>
  <c r="C39" i="1"/>
  <c r="D18" i="1"/>
  <c r="C18" i="1"/>
  <c r="D26" i="1"/>
  <c r="C26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C4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<sst xmlns="http://schemas.openxmlformats.org/spreadsheetml/2006/main" count="69" uniqueCount="35">
  <si>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</si>
  <si>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</si>
  <si>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</si>
  <si>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</si>
  <si>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</si>
  <si>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</si>
  <si>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</si>
  <si>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</si>
  <si>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</si>
  <si>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</si>
  <si>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</si>
  <si>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</si>
  <si>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</si>
  <si>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</si>
  <si>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</si>
  <si>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</si>
  <si>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</si>
  <si>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</si>
  <si>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</si>
  <si>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</si>
  <si>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</si>
  <si>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</si>
  <si>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</si>
  <si>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</si>
  <si>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</si>
  <si>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</si>
  <si>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</si>
  <si>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</si>
  <si>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</si>
  <si>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</si>
  <si>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</si>
  <si>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</si>
  <si>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</si>
  <si>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</si>
  <si>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16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</si>
</sst>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6962</v>
      </c>
      <c r="D5" s="28">
        <v>94522.23</v>
      </c>
    </row>
    <row r="6" spans="2:8" x14ac:dyDescent="0.25">
      <c r="B6" s="1" t="s">
        <v>5</v>
      </c>
      <c r="C6" s="6">
        <v>8470</v>
      </c>
      <c r="D6" s="28">
        <v>80789.570000000007</v>
      </c>
    </row>
    <row r="7" spans="2:8" x14ac:dyDescent="0.25">
      <c r="B7" s="1" t="s">
        <v>6</v>
      </c>
      <c r="C7" s="6">
        <v>9836</v>
      </c>
      <c r="D7" s="28">
        <v>91581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50026</v>
      </c>
      <c r="D9" s="28">
        <v>80043.5</v>
      </c>
      <c r="F9" s="7"/>
    </row>
    <row r="10" spans="2:8" x14ac:dyDescent="0.25">
      <c r="B10" s="3" t="s">
        <v>8</v>
      </c>
      <c r="C10" s="8">
        <f>SUM(C5:C9)</f>
        <v>75315</v>
      </c>
      <c r="D10" s="4">
        <f>SUM(D5:D9)</f>
        <v>346936.3</v>
      </c>
      <c r="E10" s="11" t="s">
        <v>14</v>
      </c>
    </row>
    <row r="12" spans="2:8" x14ac:dyDescent="0.25">
      <c r="B12" s="29" t="s">
        <v>32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3875</v>
      </c>
      <c r="D14" s="28">
        <v>23449.29</v>
      </c>
    </row>
    <row r="15" spans="2:8" x14ac:dyDescent="0.25">
      <c r="B15" s="9" t="s">
        <v>5</v>
      </c>
      <c r="C15" s="6">
        <v>1452</v>
      </c>
      <c r="D15" s="28">
        <v>197</v>
      </c>
    </row>
    <row r="16" spans="2:8" x14ac:dyDescent="0.25">
      <c r="B16" s="9" t="s">
        <v>6</v>
      </c>
      <c r="C16" s="6">
        <v>3199</v>
      </c>
      <c r="D16" s="28">
        <v>1882</v>
      </c>
    </row>
    <row r="17" spans="2:11" x14ac:dyDescent="0.25">
      <c r="B17" s="9" t="s">
        <v>7</v>
      </c>
      <c r="C17" s="6">
        <v>20922</v>
      </c>
      <c r="D17" s="28">
        <v>11876</v>
      </c>
    </row>
    <row r="18" spans="2:11" x14ac:dyDescent="0.25">
      <c r="B18" s="10" t="s">
        <v>8</v>
      </c>
      <c r="C18" s="8">
        <f>SUM(C14:C17)</f>
        <v>29448</v>
      </c>
      <c r="D18" s="4">
        <f>SUM(D14:D17)</f>
        <v>37404.29</v>
      </c>
    </row>
    <row r="20" spans="2:11" x14ac:dyDescent="0.25">
      <c r="B20" s="29" t="s">
        <v>10</v>
      </c>
      <c r="C20" s="29"/>
      <c r="D20" s="29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1890</v>
      </c>
      <c r="D22" s="28">
        <v>19476.5</v>
      </c>
    </row>
    <row r="23" spans="2:11" x14ac:dyDescent="0.25">
      <c r="B23" s="9" t="s">
        <v>5</v>
      </c>
      <c r="C23" s="6">
        <v>1370</v>
      </c>
      <c r="D23" s="28">
        <v>16205.74</v>
      </c>
    </row>
    <row r="24" spans="2:11" x14ac:dyDescent="0.25">
      <c r="B24" s="9" t="s">
        <v>6</v>
      </c>
      <c r="C24" s="6">
        <v>15</v>
      </c>
      <c r="D24" s="28">
        <v>435</v>
      </c>
    </row>
    <row r="25" spans="2:11" x14ac:dyDescent="0.25">
      <c r="B25" s="9" t="s">
        <v>7</v>
      </c>
      <c r="C25" s="6">
        <v>733</v>
      </c>
      <c r="D25" s="31">
        <v>0</v>
      </c>
    </row>
    <row r="26" spans="2:11" x14ac:dyDescent="0.25">
      <c r="B26" s="10" t="s">
        <v>8</v>
      </c>
      <c r="C26" s="8">
        <f>SUM(C22:C25)</f>
        <v>4008</v>
      </c>
      <c r="D26" s="4">
        <f>SUM(D22:D25)</f>
        <v>36117.24</v>
      </c>
      <c r="K26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1790</v>
      </c>
      <c r="D30" s="28">
        <v>24983.72</v>
      </c>
    </row>
    <row r="31" spans="2:11" x14ac:dyDescent="0.25">
      <c r="B31" s="9" t="s">
        <v>5</v>
      </c>
      <c r="C31" s="6">
        <v>629</v>
      </c>
      <c r="D31" s="28">
        <v>2956</v>
      </c>
    </row>
    <row r="32" spans="2:11" x14ac:dyDescent="0.25">
      <c r="B32" s="9" t="s">
        <v>6</v>
      </c>
      <c r="C32" s="6">
        <v>535</v>
      </c>
      <c r="D32" s="28">
        <v>5405</v>
      </c>
    </row>
    <row r="33" spans="2:5" x14ac:dyDescent="0.25">
      <c r="B33" s="9" t="s">
        <v>7</v>
      </c>
      <c r="C33" s="6">
        <v>1678</v>
      </c>
      <c r="D33" s="28">
        <v>977</v>
      </c>
    </row>
    <row r="34" spans="2:5" x14ac:dyDescent="0.25">
      <c r="B34" s="10" t="s">
        <v>8</v>
      </c>
      <c r="C34" s="8">
        <f>SUM(C30:C33)</f>
        <v>4632</v>
      </c>
      <c r="D34" s="4">
        <f>SUM(D30:D33)</f>
        <v>34321.72</v>
      </c>
    </row>
    <row r="36" spans="2:5" x14ac:dyDescent="0.25">
      <c r="B36" s="29" t="s">
        <v>11</v>
      </c>
      <c r="C36" s="29"/>
      <c r="D36" s="29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3081</v>
      </c>
      <c r="D38" s="28">
        <v>15822</v>
      </c>
    </row>
    <row r="39" spans="2:5" x14ac:dyDescent="0.25">
      <c r="B39" s="10" t="s">
        <v>8</v>
      </c>
      <c r="C39" s="8">
        <f>SUM(C38:C38)</f>
        <v>3081</v>
      </c>
      <c r="D39" s="4">
        <f>SUM(D38:D38)</f>
        <v>15822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SUM(C10+C34+C26+C18+C39)</f>
        <v>116484</v>
      </c>
      <c r="D42" s="13">
        <f>SUM(D10+D34+D26+D18+D39)</f>
        <v>470601.55</v>
      </c>
    </row>
  </sheetData>
  <mergeCells count="5">
    <mergeCell ref="B20:D20"/>
    <mergeCell ref="B3:D3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4" sqref="B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16 MAR'!C6, 'REPORTE DIARIO'!C:C)</f>
        <v>17598</v>
      </c>
      <c r="E6" s="16">
        <f>SUMIF('REPORTE DIARIO'!B:B,'EPR 16 MAR'!C6, 'REPORTE DIARIO'!D:D)</f>
        <v>178253.74</v>
      </c>
      <c r="F6" s="16">
        <f>J6*D6</f>
        <v>502800</v>
      </c>
      <c r="G6" s="16">
        <f>+E6-F6</f>
        <v>-324546.26</v>
      </c>
      <c r="H6" s="15">
        <f>ABS(G6/F6)</f>
        <v>0.6454778440731902</v>
      </c>
      <c r="I6" s="16">
        <f>E6/D6</f>
        <v>10.12920445505171</v>
      </c>
      <c r="J6" s="16">
        <f>200/7</f>
        <v>28.571428571428573</v>
      </c>
      <c r="K6" s="16">
        <f>+I6-J6</f>
        <v>-18.442224116376863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16 MAR'!C7, 'REPORTE DIARIO'!C:C)</f>
        <v>11921</v>
      </c>
      <c r="E7" s="16">
        <f>SUMIF('REPORTE DIARIO'!B:B,'EPR 16 MAR'!C7, 'REPORTE DIARIO'!D:D)</f>
        <v>100148.31000000001</v>
      </c>
      <c r="F7" s="16">
        <f>J7*D7</f>
        <v>187330</v>
      </c>
      <c r="G7" s="16">
        <f>+E7-F7</f>
        <v>-87181.689999999988</v>
      </c>
      <c r="H7" s="15">
        <f>ABS(G7/F7)</f>
        <v>0.46539096781081507</v>
      </c>
      <c r="I7" s="16">
        <f>E7/D7</f>
        <v>8.4009990772586196</v>
      </c>
      <c r="J7" s="16">
        <f>110/7</f>
        <v>15.714285714285714</v>
      </c>
      <c r="K7" s="16">
        <f t="shared" ref="K7:K9" si="0">+I7-J7</f>
        <v>-7.3132866370270939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16 MAR'!C8, 'REPORTE DIARIO'!C:C)</f>
        <v>13585</v>
      </c>
      <c r="E8" s="16">
        <f>SUMIF('REPORTE DIARIO'!B:B,'EPR 16 MAR'!C8, 'REPORTE DIARIO'!D:D)</f>
        <v>99303</v>
      </c>
      <c r="F8" s="16">
        <f>J8*D8</f>
        <v>87332.142857142855</v>
      </c>
      <c r="G8" s="16">
        <f>+E8-F8</f>
        <v>11970.857142857145</v>
      </c>
      <c r="H8" s="15">
        <f>ABS(G8/F8)</f>
        <v>0.13707275180959394</v>
      </c>
      <c r="I8" s="16">
        <f>E8/D8</f>
        <v>7.3097534044902464</v>
      </c>
      <c r="J8" s="16">
        <f>45/7</f>
        <v>6.4285714285714288</v>
      </c>
      <c r="K8" s="16">
        <f t="shared" si="0"/>
        <v>0.88118197591881753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16 MAR'!C9, 'REPORTE DIARIO'!C:C)</f>
        <v>73359</v>
      </c>
      <c r="E9" s="16">
        <f>SUMIF('REPORTE DIARIO'!B:B,'EPR 16 MAR'!C9, 'REPORTE DIARIO'!D:D)</f>
        <v>92896.5</v>
      </c>
      <c r="F9" s="16">
        <f>J9*D9</f>
        <v>157197.85714285713</v>
      </c>
      <c r="G9" s="16">
        <f>+E9-F9</f>
        <v>-64301.35714285713</v>
      </c>
      <c r="H9" s="15">
        <f>ABS(G9/F9)</f>
        <v>0.40904728799465639</v>
      </c>
      <c r="I9" s="16">
        <f>E9/D9</f>
        <v>1.2663272400114505</v>
      </c>
      <c r="J9" s="16">
        <f>15/7</f>
        <v>2.1428571428571428</v>
      </c>
      <c r="K9" s="16">
        <f t="shared" si="0"/>
        <v>-0.87652990284569232</v>
      </c>
    </row>
    <row r="10" spans="2:12" x14ac:dyDescent="0.25">
      <c r="B10" s="16"/>
      <c r="C10" s="19" t="s">
        <v>17</v>
      </c>
      <c r="D10" s="24">
        <f>SUM(D6:D9)</f>
        <v>116463</v>
      </c>
      <c r="E10" s="20">
        <f>SUM(E6:E9)</f>
        <v>470601.55</v>
      </c>
      <c r="F10" s="20">
        <f>SUM(F6:F9)</f>
        <v>934660</v>
      </c>
      <c r="G10" s="20">
        <f>+E10-F10</f>
        <v>-464058.45</v>
      </c>
      <c r="H10" s="21">
        <f>ABS(G10/F10)</f>
        <v>0.49649974322213425</v>
      </c>
      <c r="I10" s="20">
        <f>E10/D10</f>
        <v>4.040781621630904</v>
      </c>
      <c r="J10" s="20">
        <f>F10/D10</f>
        <v>8.0253814516198272</v>
      </c>
      <c r="K10" s="20">
        <f>I10-J10</f>
        <v>-3.9845998299889231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2025-03-17T02:09:49Z</dcterms:modified>
</cp:coreProperties>
</file>