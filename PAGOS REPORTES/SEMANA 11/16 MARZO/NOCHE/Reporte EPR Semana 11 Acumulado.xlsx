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6 MARZO\NOCHE\"/>
    </mc:Choice>
  </mc:AlternateContent>
  <xr:revisionPtr revIDLastSave="0" documentId="13_ncr:1_{FFF6CB44-70A2-4520-AA28-55F34FD54421}" xr6:coauthVersionLast="47" xr6:coauthVersionMax="47" xr10:uidLastSave="{00000000-0000-0000-0000-000000000000}"/>
  <bookViews>
    <workbookView xWindow="21930" yWindow="10695" windowWidth="13410" windowHeight="8850" xr2:uid="{4DC6C92A-CD8A-4966-829B-0B6A986E825B}"/>
  </bookViews>
  <sheets>
    <sheet name="REPORTE DIARIO" sheetId="1" r:id="rId1"/>
    <sheet name="DATA" sheetId="4" r:id="rId2"/>
    <sheet name="EPR 1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<sst xmlns="http://schemas.openxmlformats.org/spreadsheetml/2006/main" count="69" uniqueCount="35">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</sst>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6962</v>
      </c>
      <c r="D5" s="26">
        <v>655837.96</v>
      </c>
    </row>
    <row r="6" spans="2:8" x14ac:dyDescent="0.25">
      <c r="B6" s="1" t="s">
        <v>5</v>
      </c>
      <c r="C6" s="6">
        <v>8470</v>
      </c>
      <c r="D6" s="26">
        <v>522276.2</v>
      </c>
    </row>
    <row r="7" spans="2:8" x14ac:dyDescent="0.25">
      <c r="B7" s="1" t="s">
        <v>6</v>
      </c>
      <c r="C7" s="6">
        <v>9836</v>
      </c>
      <c r="D7" s="26">
        <v>550018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50026</v>
      </c>
      <c r="D9" s="26">
        <v>630562.96</v>
      </c>
      <c r="F9" s="7"/>
    </row>
    <row r="10" spans="2:8" x14ac:dyDescent="0.25">
      <c r="B10" s="3" t="s">
        <v>8</v>
      </c>
      <c r="C10" s="8">
        <f>SUM(C5:C9)</f>
        <v>75315</v>
      </c>
      <c r="D10" s="4">
        <f>SUM(D5:D9)</f>
        <v>2358695.12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3875</v>
      </c>
      <c r="D14" s="26">
        <v>296246.52</v>
      </c>
    </row>
    <row r="15" spans="2:8" x14ac:dyDescent="0.25">
      <c r="B15" s="9" t="s">
        <v>5</v>
      </c>
      <c r="C15" s="6">
        <v>1452</v>
      </c>
      <c r="D15" s="26">
        <v>40712.699999999997</v>
      </c>
    </row>
    <row r="16" spans="2:8" x14ac:dyDescent="0.25">
      <c r="B16" s="9" t="s">
        <v>6</v>
      </c>
      <c r="C16" s="6">
        <v>3199</v>
      </c>
      <c r="D16" s="26">
        <v>80124.17</v>
      </c>
    </row>
    <row r="17" spans="2:11" x14ac:dyDescent="0.25">
      <c r="B17" s="9" t="s">
        <v>7</v>
      </c>
      <c r="C17" s="6">
        <v>20922</v>
      </c>
      <c r="D17" s="26">
        <v>209821.34999999998</v>
      </c>
    </row>
    <row r="18" spans="2:11" x14ac:dyDescent="0.25">
      <c r="B18" s="10" t="s">
        <v>8</v>
      </c>
      <c r="C18" s="8">
        <f>SUM(C14:C17)</f>
        <v>29448</v>
      </c>
      <c r="D18" s="4">
        <f>SUM(D14:D17)</f>
        <v>626904.74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1890</v>
      </c>
      <c r="D22" s="26">
        <v>273195.35000000003</v>
      </c>
    </row>
    <row r="23" spans="2:11" x14ac:dyDescent="0.25">
      <c r="B23" s="9" t="s">
        <v>5</v>
      </c>
      <c r="C23" s="6">
        <v>1370</v>
      </c>
      <c r="D23" s="26">
        <v>161790.62000000002</v>
      </c>
    </row>
    <row r="24" spans="2:11" x14ac:dyDescent="0.25">
      <c r="B24" s="9" t="s">
        <v>6</v>
      </c>
      <c r="C24" s="6">
        <v>15</v>
      </c>
      <c r="D24" s="26">
        <v>16789</v>
      </c>
    </row>
    <row r="25" spans="2:11" x14ac:dyDescent="0.25">
      <c r="B25" s="9" t="s">
        <v>7</v>
      </c>
      <c r="C25" s="6">
        <v>733</v>
      </c>
      <c r="D25" s="26">
        <v>35796</v>
      </c>
    </row>
    <row r="26" spans="2:11" x14ac:dyDescent="0.25">
      <c r="B26" s="10" t="s">
        <v>8</v>
      </c>
      <c r="C26" s="8">
        <f>SUM(C22:C25)</f>
        <v>4008</v>
      </c>
      <c r="D26" s="4">
        <f>SUM(D22:D25)</f>
        <v>487570.97000000009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1790</v>
      </c>
      <c r="D30" s="26">
        <v>291331.51</v>
      </c>
    </row>
    <row r="31" spans="2:11" x14ac:dyDescent="0.25">
      <c r="B31" s="9" t="s">
        <v>5</v>
      </c>
      <c r="C31" s="6">
        <v>629</v>
      </c>
      <c r="D31" s="26">
        <v>38110.11</v>
      </c>
    </row>
    <row r="32" spans="2:11" x14ac:dyDescent="0.25">
      <c r="B32" s="9" t="s">
        <v>6</v>
      </c>
      <c r="C32" s="6">
        <v>535</v>
      </c>
      <c r="D32" s="26">
        <v>19419</v>
      </c>
    </row>
    <row r="33" spans="2:5" x14ac:dyDescent="0.25">
      <c r="B33" s="9" t="s">
        <v>7</v>
      </c>
      <c r="C33" s="6">
        <v>1678</v>
      </c>
      <c r="D33" s="26">
        <v>1699.1100000000001</v>
      </c>
    </row>
    <row r="34" spans="2:5" x14ac:dyDescent="0.25">
      <c r="B34" s="10" t="s">
        <v>8</v>
      </c>
      <c r="C34" s="8">
        <f>SUM(C30:C33)</f>
        <v>4632</v>
      </c>
      <c r="D34" s="4">
        <f>SUM(D30:D33)</f>
        <v>350559.73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3081</v>
      </c>
      <c r="D38" s="26">
        <v>144161</v>
      </c>
    </row>
    <row r="39" spans="2:5" x14ac:dyDescent="0.25">
      <c r="B39" s="10" t="s">
        <v>8</v>
      </c>
      <c r="C39" s="8">
        <f>SUM(C38:C38)</f>
        <v>3081</v>
      </c>
      <c r="D39" s="4">
        <f>SUM(D38:D38)</f>
        <v>144161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116484</v>
      </c>
      <c r="D42" s="13">
        <f>SUM(D10+D34+D26+D18+D39)</f>
        <v>3967891.5600000005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16 MAR'!C6, 'REPORTE DIARIO'!C:C)</f>
        <v>17598</v>
      </c>
      <c r="E6" s="16">
        <f>SUMIF('REPORTE DIARIO'!B:B,'EPR 16 MAR'!C6, 'REPORTE DIARIO'!D:D)</f>
        <v>1660772.34</v>
      </c>
      <c r="F6" s="16">
        <f>J6*D6</f>
        <v>3519600</v>
      </c>
      <c r="G6" s="16">
        <f>+E6-F6</f>
        <v>-1858827.66</v>
      </c>
      <c r="H6" s="15">
        <f>ABS(G6/F6)</f>
        <v>0.52813605523354923</v>
      </c>
      <c r="I6" s="16">
        <f>E6/D6</f>
        <v>94.372788953290154</v>
      </c>
      <c r="J6" s="16">
        <f>200</f>
        <v>200</v>
      </c>
      <c r="K6" s="16">
        <f>+I6-J6</f>
        <v>-105.62721104670985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16 MAR'!C7, 'REPORTE DIARIO'!C:C)</f>
        <v>11921</v>
      </c>
      <c r="E7" s="16">
        <f>SUMIF('REPORTE DIARIO'!B:B,'EPR 16 MAR'!C7, 'REPORTE DIARIO'!D:D)</f>
        <v>762889.63</v>
      </c>
      <c r="F7" s="16">
        <f>J7*D7</f>
        <v>1311310</v>
      </c>
      <c r="G7" s="16">
        <f>+E7-F7</f>
        <v>-548420.37</v>
      </c>
      <c r="H7" s="15">
        <f>ABS(G7/F7)</f>
        <v>0.41822328053625762</v>
      </c>
      <c r="I7" s="16">
        <f>E7/D7</f>
        <v>63.995439141011659</v>
      </c>
      <c r="J7" s="16">
        <f>110</f>
        <v>110</v>
      </c>
      <c r="K7" s="16">
        <f t="shared" ref="K7:K9" si="0">+I7-J7</f>
        <v>-46.004560858988341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16 MAR'!C8, 'REPORTE DIARIO'!C:C)</f>
        <v>13585</v>
      </c>
      <c r="E8" s="16">
        <f>SUMIF('REPORTE DIARIO'!B:B,'EPR 16 MAR'!C8, 'REPORTE DIARIO'!D:D)</f>
        <v>666350.17000000004</v>
      </c>
      <c r="F8" s="16">
        <f>J8*D8</f>
        <v>611325</v>
      </c>
      <c r="G8" s="16">
        <f>+E8-F8</f>
        <v>55025.170000000042</v>
      </c>
      <c r="H8" s="15">
        <f>ABS(G8/F8)</f>
        <v>9.0009683883368163E-2</v>
      </c>
      <c r="I8" s="16">
        <f>E8/D8</f>
        <v>49.05043577475157</v>
      </c>
      <c r="J8" s="16">
        <f>45</f>
        <v>45</v>
      </c>
      <c r="K8" s="16">
        <f t="shared" si="0"/>
        <v>4.0504357747515698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16 MAR'!C9, 'REPORTE DIARIO'!C:C)</f>
        <v>73359</v>
      </c>
      <c r="E9" s="16">
        <f>SUMIF('REPORTE DIARIO'!B:B,'EPR 16 MAR'!C9, 'REPORTE DIARIO'!D:D)</f>
        <v>877879.41999999993</v>
      </c>
      <c r="F9" s="16">
        <f>J9*D9</f>
        <v>1100385</v>
      </c>
      <c r="G9" s="16">
        <f>+E9-F9</f>
        <v>-222505.58000000007</v>
      </c>
      <c r="H9" s="15">
        <f>ABS(G9/F9)</f>
        <v>0.20220702754036093</v>
      </c>
      <c r="I9" s="16">
        <f>E9/D9</f>
        <v>11.966894586894586</v>
      </c>
      <c r="J9" s="16">
        <f>15</f>
        <v>15</v>
      </c>
      <c r="K9" s="16">
        <f t="shared" si="0"/>
        <v>-3.0331054131054138</v>
      </c>
    </row>
    <row r="10" spans="2:12" x14ac:dyDescent="0.25">
      <c r="B10" s="16"/>
      <c r="C10" s="19" t="s">
        <v>17</v>
      </c>
      <c r="D10" s="24">
        <f>SUM(D6:D9)</f>
        <v>116463</v>
      </c>
      <c r="E10" s="20">
        <f>SUM(E6:E9)</f>
        <v>3967891.56</v>
      </c>
      <c r="F10" s="20">
        <f>SUM(F6:F9)</f>
        <v>6542620</v>
      </c>
      <c r="G10" s="20">
        <f>+E10-F10</f>
        <v>-2574728.44</v>
      </c>
      <c r="H10" s="21">
        <f>ABS(G10/F10)</f>
        <v>0.39353171053798019</v>
      </c>
      <c r="I10" s="20">
        <f>E10/D10</f>
        <v>34.069975528708689</v>
      </c>
      <c r="J10" s="20">
        <f>F10/D10</f>
        <v>56.177670161338796</v>
      </c>
      <c r="K10" s="20">
        <f>I10-J10</f>
        <v>-22.107694632630107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2025-03-17T02:13:20Z</dcterms:modified>
</cp:coreProperties>
</file>