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5 MARZO\NOCHE\"/>
    </mc:Choice>
  </mc:AlternateContent>
  <xr:revisionPtr revIDLastSave="0" documentId="13_ncr:1_{C526BDC4-2B75-4A0E-857C-E892E7848893}" xr6:coauthVersionLast="47" xr6:coauthVersionMax="47" xr10:uidLastSave="{00000000-0000-0000-0000-000000000000}"/>
  <bookViews>
    <workbookView xWindow="18135" yWindow="6900" windowWidth="13410" windowHeight="8850" xr2:uid="{4DC6C92A-CD8A-4966-829B-0B6A986E825B}"/>
  </bookViews>
  <sheets>
    <sheet name="REPORTE DIARIO" sheetId="1" r:id="rId1"/>
    <sheet name="DATA" sheetId="4" r:id="rId2"/>
    <sheet name="EPR 15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34" i="1"/>
  <c r="C34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<sst xmlns="http://schemas.openxmlformats.org/spreadsheetml/2006/main" count="69" uniqueCount="35">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</sst>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D38" sqref="D3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6910</v>
      </c>
      <c r="D5" s="26">
        <v>556400.73</v>
      </c>
    </row>
    <row r="6" spans="2:8" x14ac:dyDescent="0.25">
      <c r="B6" s="1" t="s">
        <v>5</v>
      </c>
      <c r="C6" s="6">
        <v>8394</v>
      </c>
      <c r="D6" s="26">
        <v>440617.62999999995</v>
      </c>
    </row>
    <row r="7" spans="2:8" x14ac:dyDescent="0.25">
      <c r="B7" s="1" t="s">
        <v>6</v>
      </c>
      <c r="C7" s="6">
        <v>9611</v>
      </c>
      <c r="D7" s="26">
        <v>456326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49990</v>
      </c>
      <c r="D9" s="26">
        <v>551275.46</v>
      </c>
      <c r="F9" s="7"/>
    </row>
    <row r="10" spans="2:8" x14ac:dyDescent="0.25">
      <c r="B10" s="3" t="s">
        <v>8</v>
      </c>
      <c r="C10" s="8">
        <f>SUM(C5:C9)</f>
        <v>74926</v>
      </c>
      <c r="D10" s="4">
        <f>SUM(D5:D9)</f>
        <v>2004619.8199999998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3886</v>
      </c>
      <c r="D14" s="26">
        <v>271757.23</v>
      </c>
    </row>
    <row r="15" spans="2:8" x14ac:dyDescent="0.25">
      <c r="B15" s="9" t="s">
        <v>5</v>
      </c>
      <c r="C15" s="6">
        <v>1438</v>
      </c>
      <c r="D15" s="26">
        <v>40515.699999999997</v>
      </c>
    </row>
    <row r="16" spans="2:8" x14ac:dyDescent="0.25">
      <c r="B16" s="9" t="s">
        <v>6</v>
      </c>
      <c r="C16" s="6">
        <v>3189</v>
      </c>
      <c r="D16" s="26">
        <v>78242.17</v>
      </c>
    </row>
    <row r="17" spans="2:11" x14ac:dyDescent="0.25">
      <c r="B17" s="9" t="s">
        <v>7</v>
      </c>
      <c r="C17" s="6">
        <v>20920</v>
      </c>
      <c r="D17" s="26">
        <v>197945.35</v>
      </c>
    </row>
    <row r="18" spans="2:11" x14ac:dyDescent="0.25">
      <c r="B18" s="10" t="s">
        <v>8</v>
      </c>
      <c r="C18" s="8">
        <f>SUM(C14:C17)</f>
        <v>29433</v>
      </c>
      <c r="D18" s="4">
        <f>SUM(D14:D17)</f>
        <v>588460.44999999995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1888</v>
      </c>
      <c r="D22" s="26">
        <v>267968.69000000006</v>
      </c>
    </row>
    <row r="23" spans="2:11" x14ac:dyDescent="0.25">
      <c r="B23" s="9" t="s">
        <v>5</v>
      </c>
      <c r="C23" s="6">
        <v>1362</v>
      </c>
      <c r="D23" s="26">
        <v>144670.88</v>
      </c>
    </row>
    <row r="24" spans="2:11" x14ac:dyDescent="0.25">
      <c r="B24" s="9" t="s">
        <v>6</v>
      </c>
      <c r="C24" s="6">
        <v>15</v>
      </c>
      <c r="D24" s="26">
        <v>16354</v>
      </c>
    </row>
    <row r="25" spans="2:11" x14ac:dyDescent="0.25">
      <c r="B25" s="9" t="s">
        <v>7</v>
      </c>
      <c r="C25" s="6">
        <v>733</v>
      </c>
      <c r="D25" s="26">
        <v>35796</v>
      </c>
    </row>
    <row r="26" spans="2:11" x14ac:dyDescent="0.25">
      <c r="B26" s="10" t="s">
        <v>8</v>
      </c>
      <c r="C26" s="8">
        <f>SUM(C22:C25)</f>
        <v>3998</v>
      </c>
      <c r="D26" s="4">
        <f>SUM(D22:D25)</f>
        <v>464789.57000000007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1791</v>
      </c>
      <c r="D30" s="26">
        <v>266816.25</v>
      </c>
    </row>
    <row r="31" spans="2:11" x14ac:dyDescent="0.25">
      <c r="B31" s="9" t="s">
        <v>5</v>
      </c>
      <c r="C31" s="6">
        <v>633</v>
      </c>
      <c r="D31" s="26">
        <v>35229.11</v>
      </c>
    </row>
    <row r="32" spans="2:11" x14ac:dyDescent="0.25">
      <c r="B32" s="9" t="s">
        <v>6</v>
      </c>
      <c r="C32" s="6">
        <v>535</v>
      </c>
      <c r="D32" s="26">
        <v>14014</v>
      </c>
    </row>
    <row r="33" spans="2:5" x14ac:dyDescent="0.25">
      <c r="B33" s="9" t="s">
        <v>7</v>
      </c>
      <c r="C33" s="6">
        <v>1678</v>
      </c>
      <c r="D33" s="26">
        <v>722.11</v>
      </c>
    </row>
    <row r="34" spans="2:5" x14ac:dyDescent="0.25">
      <c r="B34" s="10" t="s">
        <v>8</v>
      </c>
      <c r="C34" s="8">
        <f>SUM(C30:C33)</f>
        <v>4637</v>
      </c>
      <c r="D34" s="4">
        <f>SUM(D30:D33)</f>
        <v>316781.46999999997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3033</v>
      </c>
      <c r="D38" s="26">
        <v>128339</v>
      </c>
    </row>
    <row r="39" spans="2:5" x14ac:dyDescent="0.25">
      <c r="B39" s="10" t="s">
        <v>8</v>
      </c>
      <c r="C39" s="8">
        <f>SUM(C38:C38)</f>
        <v>3033</v>
      </c>
      <c r="D39" s="4">
        <f>SUM(D38:D38)</f>
        <v>128339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SUM(C10+C34+C26+C18+C39)</f>
        <v>116027</v>
      </c>
      <c r="D42" s="13">
        <f>SUM(D10+D34+D26+D18+D39)</f>
        <v>3502990.3100000005</v>
      </c>
      <c r="E42" s="27"/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H6" sqref="H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15 MAR'!C6, 'REPORTE DIARIO'!C:C)</f>
        <v>17508</v>
      </c>
      <c r="E6" s="16">
        <f>SUMIF('REPORTE DIARIO'!B:B,'EPR 15 MAR'!C6, 'REPORTE DIARIO'!D:D)</f>
        <v>1491281.9</v>
      </c>
      <c r="F6" s="16">
        <f>J6*D6</f>
        <v>3001371.4285714286</v>
      </c>
      <c r="G6" s="16">
        <f>+E6-F6</f>
        <v>-1510089.5285714287</v>
      </c>
      <c r="H6" s="15">
        <f>ABS(G6/F6)</f>
        <v>0.50313317245449707</v>
      </c>
      <c r="I6" s="16">
        <f>E6/D6</f>
        <v>85.177170436371938</v>
      </c>
      <c r="J6" s="16">
        <f>(200/7) * 6</f>
        <v>171.42857142857144</v>
      </c>
      <c r="K6" s="16">
        <f>+I6-J6</f>
        <v>-86.251400992199507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15 MAR'!C7, 'REPORTE DIARIO'!C:C)</f>
        <v>11827</v>
      </c>
      <c r="E7" s="16">
        <f>SUMIF('REPORTE DIARIO'!B:B,'EPR 15 MAR'!C7, 'REPORTE DIARIO'!D:D)</f>
        <v>661033.31999999995</v>
      </c>
      <c r="F7" s="16">
        <f>J7*D7</f>
        <v>1115117.1428571427</v>
      </c>
      <c r="G7" s="16">
        <f>+E7-F7</f>
        <v>-454083.82285714278</v>
      </c>
      <c r="H7" s="15">
        <f>ABS(G7/F7)</f>
        <v>0.40720728379593685</v>
      </c>
      <c r="I7" s="16">
        <f>E7/D7</f>
        <v>55.891884670668802</v>
      </c>
      <c r="J7" s="16">
        <f>(110/7)*6</f>
        <v>94.285714285714278</v>
      </c>
      <c r="K7" s="16">
        <f t="shared" ref="K7:K9" si="0">+I7-J7</f>
        <v>-38.393829615045476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15 MAR'!C8, 'REPORTE DIARIO'!C:C)</f>
        <v>13350</v>
      </c>
      <c r="E8" s="16">
        <f>SUMIF('REPORTE DIARIO'!B:B,'EPR 15 MAR'!C8, 'REPORTE DIARIO'!D:D)</f>
        <v>564936.17000000004</v>
      </c>
      <c r="F8" s="16">
        <f>J8*D8</f>
        <v>514928.57142857142</v>
      </c>
      <c r="G8" s="16">
        <f>+E8-F8</f>
        <v>50007.598571428622</v>
      </c>
      <c r="H8" s="15">
        <f>ABS(G8/F8)</f>
        <v>9.7115602718823787E-2</v>
      </c>
      <c r="I8" s="16">
        <f>E8/D8</f>
        <v>42.317316104868915</v>
      </c>
      <c r="J8" s="16">
        <f>(45/7)*6</f>
        <v>38.571428571428569</v>
      </c>
      <c r="K8" s="16">
        <f t="shared" si="0"/>
        <v>3.7458875334403459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15 MAR'!C9, 'REPORTE DIARIO'!C:C)</f>
        <v>73321</v>
      </c>
      <c r="E9" s="16">
        <f>SUMIF('REPORTE DIARIO'!B:B,'EPR 15 MAR'!C9, 'REPORTE DIARIO'!D:D)</f>
        <v>785738.91999999993</v>
      </c>
      <c r="F9" s="16">
        <f>J9*D9</f>
        <v>942698.57142857148</v>
      </c>
      <c r="G9" s="16">
        <f>+E9-F9</f>
        <v>-156959.65142857155</v>
      </c>
      <c r="H9" s="15">
        <f>ABS(G9/F9)</f>
        <v>0.16650035990901513</v>
      </c>
      <c r="I9" s="16">
        <f>E9/D9</f>
        <v>10.71642394402695</v>
      </c>
      <c r="J9" s="16">
        <f>(15/7)*6</f>
        <v>12.857142857142858</v>
      </c>
      <c r="K9" s="16">
        <f t="shared" si="0"/>
        <v>-2.1407189131159079</v>
      </c>
    </row>
    <row r="10" spans="2:12" x14ac:dyDescent="0.25">
      <c r="B10" s="16"/>
      <c r="C10" s="19" t="s">
        <v>17</v>
      </c>
      <c r="D10" s="24">
        <f>SUM(D6:D9)</f>
        <v>116006</v>
      </c>
      <c r="E10" s="20">
        <f>SUM(E6:E9)</f>
        <v>3502990.3099999996</v>
      </c>
      <c r="F10" s="20">
        <f>SUM(F6:F9)</f>
        <v>5574115.7142857146</v>
      </c>
      <c r="G10" s="20">
        <f>+E10-F10</f>
        <v>-2071125.404285715</v>
      </c>
      <c r="H10" s="21">
        <f>ABS(G10/F10)</f>
        <v>0.37156125033028953</v>
      </c>
      <c r="I10" s="20">
        <f>E10/D10</f>
        <v>30.196630432908638</v>
      </c>
      <c r="J10" s="20">
        <f>F10/D10</f>
        <v>48.050236317825927</v>
      </c>
      <c r="K10" s="20">
        <f>I10-J10</f>
        <v>-17.85360588491729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2025-03-16T04:36:05Z</dcterms:modified>
</cp:coreProperties>
</file>