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1\15 MARZO\MAÑANA\"/>
    </mc:Choice>
  </mc:AlternateContent>
  <xr:revisionPtr revIDLastSave="0" documentId="13_ncr:1_{0EF54E5C-18A7-4ED1-97C6-D11CFAE2CC29}" xr6:coauthVersionLast="47" xr6:coauthVersionMax="47" xr10:uidLastSave="{00000000-0000-0000-0000-000000000000}"/>
  <bookViews>
    <workbookView xWindow="-120" yWindow="-120" windowWidth="51840" windowHeight="21120" activeTab="2" xr2:uid="{4DC6C92A-CD8A-4966-829B-0B6A986E825B}"/>
  </bookViews>
  <sheets>
    <sheet name="REPORTE DIARIO" sheetId="1" r:id="rId1"/>
    <sheet name="DATA" sheetId="4" r:id="rId2"/>
    <sheet name="EPR 14 MA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D39" i="1" l="1"/>
  <c r="C39" i="1"/>
  <c r="D34" i="1"/>
  <c r="C34" i="1"/>
  <c r="D26" i="1"/>
  <c r="C26" i="1"/>
  <c r="D18" i="1"/>
  <c r="C18" i="1"/>
  <c r="D10" i="1"/>
  <c r="C10" i="1"/>
  <c r="D6" i="3"/>
  <c r="F6" i="3" s="1"/>
  <c r="E7" i="3"/>
  <c r="E8" i="3"/>
  <c r="E9" i="3"/>
  <c r="E6" i="3"/>
  <c r="D7" i="3"/>
  <c r="F7" i="3" s="1"/>
  <c r="D8" i="3"/>
  <c r="F8" i="3" s="1"/>
  <c r="D9" i="3"/>
  <c r="F9" i="3" s="1"/>
  <c r="C42" i="1" l="1"/>
  <c r="D42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<sst xmlns="http://schemas.openxmlformats.org/spreadsheetml/2006/main" count="69" uniqueCount="35">
  <si>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</si>
  <si>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</si>
  <si>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</si>
  <si>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</si>
  <si>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</si>
  <si>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</si>
  <si>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</si>
  <si>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</si>
  <si>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</si>
  <si>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</si>
  <si>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</si>
  <si>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</si>
  <si>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</si>
  <si>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</si>
  <si>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</si>
  <si>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</si>
  <si>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</si>
  <si>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</si>
  <si>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</si>
  <si>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</si>
  <si>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</si>
  <si>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</si>
  <si>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</si>
  <si>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</si>
  <si>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</si>
  <si>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</si>
  <si>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</si>
  <si>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</si>
  <si>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</si>
  <si>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Samatha y Zareth</t>
  </si>
  <si>
    <t>Gabriel</t>
  </si>
  <si>
    <t>Fernando</t>
  </si>
  <si>
    <t>COBRANZA GENERAL  OLGUIN</t>
  </si>
  <si>
    <t>SALDO ACUMULADO SEMANA 11</t>
  </si>
  <si>
    <t>Samantha, Sofia, Edith, Olguin y Fernando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</si>
</sst>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2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0" xfId="1" applyFont="1"/>
    <xf numFmtId="4" fontId="0" fillId="0" borderId="1" xfId="0" applyNumberFormat="1" applyBorder="1"/>
    <xf numFmtId="0" fontId="7" fillId="0" borderId="0" xfId="0" applyFont="1"/>
    <xf numFmtId="43" fontId="0" fillId="0" borderId="1" xfId="0" applyNumberFormat="1" applyBorder="1"/>
    <xf numFmtId="43" fontId="0" fillId="0" borderId="0" xfId="0" applyNumberFormat="1" applyFill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42"/>
  <sheetViews>
    <sheetView showGridLines="0" workbookViewId="0">
      <selection activeCell="E20" sqref="E20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30" t="s">
        <v>0</v>
      </c>
      <c r="C3" s="30"/>
      <c r="D3" s="30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6849</v>
      </c>
      <c r="D5" s="26">
        <v>405683.24999999994</v>
      </c>
    </row>
    <row r="6" spans="2:8" x14ac:dyDescent="0.25">
      <c r="B6" s="1" t="s">
        <v>5</v>
      </c>
      <c r="C6" s="6">
        <v>8351</v>
      </c>
      <c r="D6" s="26">
        <v>321659.75999999995</v>
      </c>
    </row>
    <row r="7" spans="2:8" x14ac:dyDescent="0.25">
      <c r="B7" s="1" t="s">
        <v>6</v>
      </c>
      <c r="C7" s="6">
        <v>9478</v>
      </c>
      <c r="D7" s="26">
        <v>370938</v>
      </c>
    </row>
    <row r="8" spans="2:8" x14ac:dyDescent="0.25">
      <c r="B8" s="5" t="s">
        <v>12</v>
      </c>
      <c r="C8" s="7">
        <v>21</v>
      </c>
      <c r="D8" s="29">
        <v>0</v>
      </c>
    </row>
    <row r="9" spans="2:8" x14ac:dyDescent="0.25">
      <c r="B9" s="1" t="s">
        <v>7</v>
      </c>
      <c r="C9" s="6">
        <v>49585</v>
      </c>
      <c r="D9" s="26">
        <v>426816.95999999996</v>
      </c>
      <c r="F9" s="7"/>
    </row>
    <row r="10" spans="2:8" x14ac:dyDescent="0.25">
      <c r="B10" s="3" t="s">
        <v>8</v>
      </c>
      <c r="C10" s="8">
        <f>SUM(C5:C9)</f>
        <v>74284</v>
      </c>
      <c r="D10" s="4">
        <f>SUM(D5:D9)</f>
        <v>1525097.9699999997</v>
      </c>
      <c r="E10" s="11" t="s">
        <v>14</v>
      </c>
    </row>
    <row r="12" spans="2:8" x14ac:dyDescent="0.25">
      <c r="B12" s="31" t="s">
        <v>32</v>
      </c>
      <c r="C12" s="31"/>
      <c r="D12" s="31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3849</v>
      </c>
      <c r="D14" s="26">
        <v>245221.78</v>
      </c>
    </row>
    <row r="15" spans="2:8" x14ac:dyDescent="0.25">
      <c r="B15" s="9" t="s">
        <v>5</v>
      </c>
      <c r="C15" s="6">
        <v>1413</v>
      </c>
      <c r="D15" s="26">
        <v>36101.699999999997</v>
      </c>
    </row>
    <row r="16" spans="2:8" x14ac:dyDescent="0.25">
      <c r="B16" s="9" t="s">
        <v>6</v>
      </c>
      <c r="C16" s="6">
        <v>3162</v>
      </c>
      <c r="D16" s="26">
        <v>56706.58</v>
      </c>
    </row>
    <row r="17" spans="2:11" x14ac:dyDescent="0.25">
      <c r="B17" s="9" t="s">
        <v>7</v>
      </c>
      <c r="C17" s="6">
        <v>20887</v>
      </c>
      <c r="D17" s="26">
        <v>170110.76</v>
      </c>
    </row>
    <row r="18" spans="2:11" x14ac:dyDescent="0.25">
      <c r="B18" s="10" t="s">
        <v>8</v>
      </c>
      <c r="C18" s="8">
        <f>SUM(C14:C17)</f>
        <v>29311</v>
      </c>
      <c r="D18" s="4">
        <f>SUM(D14:D17)</f>
        <v>508140.82</v>
      </c>
    </row>
    <row r="20" spans="2:11" x14ac:dyDescent="0.25">
      <c r="B20" s="31" t="s">
        <v>10</v>
      </c>
      <c r="C20" s="31"/>
      <c r="D20" s="31"/>
    </row>
    <row r="21" spans="2:11" x14ac:dyDescent="0.25">
      <c r="B21" s="4" t="s">
        <v>1</v>
      </c>
      <c r="C21" s="4" t="s">
        <v>2</v>
      </c>
      <c r="D21" s="4" t="s">
        <v>3</v>
      </c>
    </row>
    <row r="22" spans="2:11" x14ac:dyDescent="0.25">
      <c r="B22" s="9" t="s">
        <v>4</v>
      </c>
      <c r="C22" s="6">
        <v>1885</v>
      </c>
      <c r="D22" s="26">
        <v>210853.69000000003</v>
      </c>
    </row>
    <row r="23" spans="2:11" x14ac:dyDescent="0.25">
      <c r="B23" s="9" t="s">
        <v>5</v>
      </c>
      <c r="C23" s="6">
        <v>1352</v>
      </c>
      <c r="D23" s="26">
        <v>107981.26999999999</v>
      </c>
    </row>
    <row r="24" spans="2:11" x14ac:dyDescent="0.25">
      <c r="B24" s="9" t="s">
        <v>6</v>
      </c>
      <c r="C24" s="6">
        <v>14</v>
      </c>
      <c r="D24" s="26">
        <v>16354</v>
      </c>
    </row>
    <row r="25" spans="2:11" x14ac:dyDescent="0.25">
      <c r="B25" s="9" t="s">
        <v>7</v>
      </c>
      <c r="C25" s="6">
        <v>720</v>
      </c>
      <c r="D25" s="26">
        <v>28296</v>
      </c>
    </row>
    <row r="26" spans="2:11" x14ac:dyDescent="0.25">
      <c r="B26" s="10" t="s">
        <v>8</v>
      </c>
      <c r="C26" s="8">
        <f>SUM(C22:C25)</f>
        <v>3971</v>
      </c>
      <c r="D26" s="4">
        <f>SUM(D22:D25)</f>
        <v>363484.96</v>
      </c>
    </row>
    <row r="27" spans="2:11" x14ac:dyDescent="0.25">
      <c r="K27" s="7"/>
    </row>
    <row r="28" spans="2:11" x14ac:dyDescent="0.25">
      <c r="B28" s="30" t="s">
        <v>9</v>
      </c>
      <c r="C28" s="30"/>
      <c r="D28" s="30"/>
    </row>
    <row r="29" spans="2:11" x14ac:dyDescent="0.25">
      <c r="B29" s="2" t="s">
        <v>1</v>
      </c>
      <c r="C29" s="2" t="s">
        <v>2</v>
      </c>
      <c r="D29" s="2" t="s">
        <v>3</v>
      </c>
    </row>
    <row r="30" spans="2:11" x14ac:dyDescent="0.25">
      <c r="B30" s="9" t="s">
        <v>4</v>
      </c>
      <c r="C30" s="6">
        <v>1790</v>
      </c>
      <c r="D30" s="26">
        <v>230648.16999999998</v>
      </c>
    </row>
    <row r="31" spans="2:11" x14ac:dyDescent="0.25">
      <c r="B31" s="9" t="s">
        <v>5</v>
      </c>
      <c r="C31" s="6">
        <v>633</v>
      </c>
      <c r="D31" s="26">
        <v>33641.11</v>
      </c>
    </row>
    <row r="32" spans="2:11" x14ac:dyDescent="0.25">
      <c r="B32" s="9" t="s">
        <v>6</v>
      </c>
      <c r="C32" s="6">
        <v>539</v>
      </c>
      <c r="D32" s="26">
        <v>8696</v>
      </c>
    </row>
    <row r="33" spans="2:5" x14ac:dyDescent="0.25">
      <c r="B33" s="9" t="s">
        <v>7</v>
      </c>
      <c r="C33" s="6">
        <v>1678</v>
      </c>
      <c r="D33" s="28">
        <v>0</v>
      </c>
    </row>
    <row r="34" spans="2:5" x14ac:dyDescent="0.25">
      <c r="B34" s="10" t="s">
        <v>8</v>
      </c>
      <c r="C34" s="8">
        <f>SUM(C30:C33)</f>
        <v>4640</v>
      </c>
      <c r="D34" s="4">
        <f>SUM(D30:D33)</f>
        <v>272985.27999999997</v>
      </c>
    </row>
    <row r="36" spans="2:5" x14ac:dyDescent="0.25">
      <c r="B36" s="31" t="s">
        <v>11</v>
      </c>
      <c r="C36" s="31"/>
      <c r="D36" s="31"/>
    </row>
    <row r="37" spans="2:5" x14ac:dyDescent="0.25">
      <c r="B37" s="4" t="s">
        <v>1</v>
      </c>
      <c r="C37" s="4" t="s">
        <v>2</v>
      </c>
      <c r="D37" s="4" t="s">
        <v>3</v>
      </c>
    </row>
    <row r="38" spans="2:5" x14ac:dyDescent="0.25">
      <c r="B38" s="9" t="s">
        <v>4</v>
      </c>
      <c r="C38" s="6">
        <v>3001</v>
      </c>
      <c r="D38" s="26">
        <v>111148</v>
      </c>
    </row>
    <row r="39" spans="2:5" x14ac:dyDescent="0.25">
      <c r="B39" s="10" t="s">
        <v>8</v>
      </c>
      <c r="C39" s="8">
        <f>SUM(C38:C38)</f>
        <v>3001</v>
      </c>
      <c r="D39" s="4">
        <f>SUM(D38:D38)</f>
        <v>111148</v>
      </c>
    </row>
    <row r="40" spans="2:5" x14ac:dyDescent="0.25">
      <c r="B40" s="25"/>
      <c r="C40" s="25"/>
      <c r="D40" s="25"/>
    </row>
    <row r="42" spans="2:5" x14ac:dyDescent="0.25">
      <c r="B42" s="12" t="s">
        <v>13</v>
      </c>
      <c r="C42" s="13">
        <f>SUM(C10+C34+C26+C18+C39)</f>
        <v>115207</v>
      </c>
      <c r="D42" s="13">
        <f>SUM(D10+D34+D26+D18+D39)</f>
        <v>2780857.03</v>
      </c>
      <c r="E42" s="27"/>
    </row>
  </sheetData>
  <mergeCells count="5">
    <mergeCell ref="B3:D3"/>
    <mergeCell ref="B12:D12"/>
    <mergeCell ref="B20:D20"/>
    <mergeCell ref="B28:D28"/>
    <mergeCell ref="B36:D36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tabSelected="1" zoomScale="145" zoomScaleNormal="145" workbookViewId="0">
      <selection activeCell="J10" sqref="J10"/>
    </sheetView>
  </sheetViews>
  <sheetFormatPr baseColWidth="10" defaultRowHeight="15" x14ac:dyDescent="0.25"/>
  <cols>
    <col min="2" max="2" width="18.140625" customWidth="1"/>
    <col min="3" max="3" width="34.4257812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33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29</v>
      </c>
      <c r="C6" s="1" t="s">
        <v>4</v>
      </c>
      <c r="D6" s="23">
        <f>SUMIF('REPORTE DIARIO'!B:B,'EPR 14 MAR'!C6, 'REPORTE DIARIO'!C:C)</f>
        <v>17374</v>
      </c>
      <c r="E6" s="16">
        <f>SUMIF('REPORTE DIARIO'!B:B,'EPR 14 MAR'!C6, 'REPORTE DIARIO'!D:D)</f>
        <v>1203554.8899999999</v>
      </c>
      <c r="F6" s="16">
        <f>J6*D6</f>
        <v>2978400.0000000005</v>
      </c>
      <c r="G6" s="16">
        <f>+E6-F6</f>
        <v>-1774845.1100000006</v>
      </c>
      <c r="H6" s="15">
        <f>ABS(G6/F6)</f>
        <v>0.59590555667472478</v>
      </c>
      <c r="I6" s="16">
        <f>E6/D6</f>
        <v>69.27333314147576</v>
      </c>
      <c r="J6" s="16">
        <f>(200/7) * 6</f>
        <v>171.42857142857144</v>
      </c>
      <c r="K6" s="16">
        <f>+I6-J6</f>
        <v>-102.15523828709568</v>
      </c>
      <c r="L6" s="15"/>
    </row>
    <row r="7" spans="2:12" x14ac:dyDescent="0.25">
      <c r="B7" s="16" t="s">
        <v>30</v>
      </c>
      <c r="C7" s="1" t="s">
        <v>5</v>
      </c>
      <c r="D7" s="23">
        <f>SUMIF('REPORTE DIARIO'!B:B,'EPR 14 MAR'!C7, 'REPORTE DIARIO'!C:C)</f>
        <v>11749</v>
      </c>
      <c r="E7" s="16">
        <f>SUMIF('REPORTE DIARIO'!B:B,'EPR 14 MAR'!C7, 'REPORTE DIARIO'!D:D)</f>
        <v>499383.83999999997</v>
      </c>
      <c r="F7" s="16">
        <f>J7*D7</f>
        <v>1107762.857142857</v>
      </c>
      <c r="G7" s="16">
        <f>+E7-F7</f>
        <v>-608379.01714285708</v>
      </c>
      <c r="H7" s="15">
        <f>ABS(G7/F7)</f>
        <v>0.54919607858309027</v>
      </c>
      <c r="I7" s="16">
        <f>E7/D7</f>
        <v>42.504369733594345</v>
      </c>
      <c r="J7" s="16">
        <f>(110/7)*6</f>
        <v>94.285714285714278</v>
      </c>
      <c r="K7" s="16">
        <f t="shared" ref="K7:K9" si="0">+I7-J7</f>
        <v>-51.781344552119933</v>
      </c>
      <c r="L7" s="15"/>
    </row>
    <row r="8" spans="2:12" x14ac:dyDescent="0.25">
      <c r="B8" s="16" t="s">
        <v>30</v>
      </c>
      <c r="C8" s="1" t="s">
        <v>6</v>
      </c>
      <c r="D8" s="23">
        <f>SUMIF('REPORTE DIARIO'!B:B,'EPR 14 MAR'!C8, 'REPORTE DIARIO'!C:C)</f>
        <v>13193</v>
      </c>
      <c r="E8" s="16">
        <f>SUMIF('REPORTE DIARIO'!B:B,'EPR 14 MAR'!C8, 'REPORTE DIARIO'!D:D)</f>
        <v>452694.58</v>
      </c>
      <c r="F8" s="16">
        <f>J8*D8</f>
        <v>508872.8571428571</v>
      </c>
      <c r="G8" s="16">
        <f>+E8-F8</f>
        <v>-56178.277142857085</v>
      </c>
      <c r="H8" s="15">
        <f>ABS(G8/F8)</f>
        <v>0.11039747228468509</v>
      </c>
      <c r="I8" s="16">
        <f>E8/D8</f>
        <v>34.313240354733573</v>
      </c>
      <c r="J8" s="16">
        <f>(45/7)*6</f>
        <v>38.571428571428569</v>
      </c>
      <c r="K8" s="16">
        <f t="shared" si="0"/>
        <v>-4.2581882166949967</v>
      </c>
      <c r="L8" s="15"/>
    </row>
    <row r="9" spans="2:12" x14ac:dyDescent="0.25">
      <c r="B9" s="16" t="s">
        <v>31</v>
      </c>
      <c r="C9" s="1" t="s">
        <v>7</v>
      </c>
      <c r="D9" s="23">
        <f>SUMIF('REPORTE DIARIO'!B:B,'EPR 14 MAR'!C9, 'REPORTE DIARIO'!C:C)</f>
        <v>72870</v>
      </c>
      <c r="E9" s="16">
        <f>SUMIF('REPORTE DIARIO'!B:B,'EPR 14 MAR'!C9, 'REPORTE DIARIO'!D:D)</f>
        <v>625223.72</v>
      </c>
      <c r="F9" s="16">
        <f>J9*D9</f>
        <v>936900</v>
      </c>
      <c r="G9" s="16">
        <f>+E9-F9</f>
        <v>-311676.28000000003</v>
      </c>
      <c r="H9" s="15">
        <f>ABS(G9/F9)</f>
        <v>0.33266760593446476</v>
      </c>
      <c r="I9" s="16">
        <f>E9/D9</f>
        <v>8.5799879236997381</v>
      </c>
      <c r="J9" s="16">
        <f>(15/7)*6</f>
        <v>12.857142857142858</v>
      </c>
      <c r="K9" s="16">
        <f t="shared" si="0"/>
        <v>-4.2771549334431196</v>
      </c>
    </row>
    <row r="10" spans="2:12" x14ac:dyDescent="0.25">
      <c r="B10" s="16"/>
      <c r="C10" s="19" t="s">
        <v>17</v>
      </c>
      <c r="D10" s="24">
        <f>SUM(D6:D9)</f>
        <v>115186</v>
      </c>
      <c r="E10" s="20">
        <f>SUM(E6:E9)</f>
        <v>2780857.0300000003</v>
      </c>
      <c r="F10" s="20">
        <f>SUM(F6:F9)</f>
        <v>5531935.7142857146</v>
      </c>
      <c r="G10" s="20">
        <f>+E10-F10</f>
        <v>-2751078.6842857143</v>
      </c>
      <c r="H10" s="21">
        <f>ABS(G10/F10)</f>
        <v>0.49730850580589847</v>
      </c>
      <c r="I10" s="20">
        <f>E10/D10</f>
        <v>24.142317903217407</v>
      </c>
      <c r="J10" s="20">
        <f>F10/D10</f>
        <v>48.02611180426193</v>
      </c>
      <c r="K10" s="20">
        <f>I10-J10</f>
        <v>-23.883793901044523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34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14 MAR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2025-03-01T19:30:03Z</cp:lastPrinted>
  <dcterms:created xsi:type="dcterms:W3CDTF">2025-01-27T15:11:28Z</dcterms:created>
  <dcterms:modified xsi:type="dcterms:W3CDTF">2025-03-15T15:13:12Z</dcterms:modified>
</cp:coreProperties>
</file>