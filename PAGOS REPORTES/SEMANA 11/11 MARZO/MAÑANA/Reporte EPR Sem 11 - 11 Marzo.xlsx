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05\Music\11 MARZO\"/>
    </mc:Choice>
  </mc:AlternateContent>
  <xr:revisionPtr revIDLastSave="0" documentId="13_ncr:1_{48007544-7F91-44AC-A0AD-EBFAFFCFED8D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9" i="3"/>
  <c r="J8" i="3"/>
  <c r="J7" i="3"/>
  <c r="D6" i="3"/>
  <c r="D39" i="1"/>
  <c r="C39" i="1"/>
  <c r="D34" i="1"/>
  <c r="C34" i="1"/>
  <c r="D18" i="1"/>
  <c r="C18" i="1"/>
  <c r="D26" i="1"/>
  <c r="C26" i="1"/>
  <c r="D10" i="1"/>
  <c r="C10" i="1"/>
  <c r="E7" i="3"/>
  <c r="E8" i="3"/>
  <c r="E9" i="3"/>
  <c r="E6" i="3"/>
  <c r="D7" i="3"/>
  <c r="D8" i="3"/>
  <c r="D9" i="3"/>
  <c r="F9" i="3" s="1"/>
  <c r="F8" i="3" l="1"/>
  <c r="G8" i="3" s="1"/>
  <c r="H8" i="3" s="1"/>
  <c r="F7" i="3"/>
  <c r="G7" i="3" s="1"/>
  <c r="H7" i="3" s="1"/>
  <c r="F6" i="3"/>
  <c r="C41" i="1"/>
  <c r="D41" i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<sst xmlns="http://schemas.openxmlformats.org/spreadsheetml/2006/main" count="69" uniqueCount="35">
  <si>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</si>
  <si>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</si>
  <si>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</si>
  <si>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</si>
  <si>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</si>
  <si>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</si>
  <si>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</si>
  <si>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</si>
  <si>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</si>
  <si>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</si>
  <si>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</si>
  <si>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</si>
  <si>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</si>
  <si>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</si>
  <si>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</si>
  <si>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</si>
  <si>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</si>
  <si>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</si>
  <si>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</si>
  <si>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</si>
  <si>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</si>
  <si>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</si>
  <si>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</si>
  <si>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</si>
  <si>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</si>
  <si>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</si>
  <si>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</si>
  <si>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</si>
  <si>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</si>
  <si>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</si>
  <si>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</si>
  <si>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</si>
  <si>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11 Marzo</t>
  </si>
  <si>
    <t>COBRANZA GENERAL  OLGUIN</t>
  </si>
  <si>
    <t xml:space="preserve">Samantha, Sofia, Edith, Erik y Fernando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</si>
</sst>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0" fontId="7" fillId="0" borderId="2" xfId="0" applyFont="1" applyBorder="1" applyAlignment="1">
      <alignment horizontal="center" vertical="top"/>
    </xf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" fontId="0" fillId="0" borderId="1" xfId="0" applyNumberFormat="1" applyBorder="1"/>
    <xf numFmtId="43" fontId="0" fillId="0" borderId="0" xfId="0" applyNumberFormat="1" applyFill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1"/>
  <sheetViews>
    <sheetView showGridLines="0" topLeftCell="A33" workbookViewId="0">
      <selection activeCell="B3" sqref="B3:D4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6634</v>
      </c>
      <c r="D5" s="29">
        <v>88326.55</v>
      </c>
    </row>
    <row r="6" spans="2:8" x14ac:dyDescent="0.3">
      <c r="B6" s="1" t="s">
        <v>5</v>
      </c>
      <c r="C6" s="6">
        <v>7993</v>
      </c>
      <c r="D6" s="29">
        <v>40240.54</v>
      </c>
    </row>
    <row r="7" spans="2:8" x14ac:dyDescent="0.3">
      <c r="B7" s="1" t="s">
        <v>6</v>
      </c>
      <c r="C7" s="6">
        <v>9189</v>
      </c>
      <c r="D7" s="29">
        <v>36363</v>
      </c>
    </row>
    <row r="8" spans="2:8" x14ac:dyDescent="0.3">
      <c r="B8" s="5" t="s">
        <v>12</v>
      </c>
      <c r="C8" s="7">
        <v>21</v>
      </c>
      <c r="D8" s="30">
        <v>0</v>
      </c>
    </row>
    <row r="9" spans="2:8" x14ac:dyDescent="0.3">
      <c r="B9" s="1" t="s">
        <v>7</v>
      </c>
      <c r="C9" s="6">
        <v>49407</v>
      </c>
      <c r="D9" s="29">
        <v>80351.11</v>
      </c>
      <c r="F9" s="7"/>
    </row>
    <row r="10" spans="2:8" x14ac:dyDescent="0.3">
      <c r="B10" s="3" t="s">
        <v>8</v>
      </c>
      <c r="C10" s="8">
        <f>SUM(C5:C9)</f>
        <v>73244</v>
      </c>
      <c r="D10" s="4">
        <f>SUM(D5:D9)</f>
        <v>245281.2</v>
      </c>
      <c r="E10" s="11" t="s">
        <v>14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1747</v>
      </c>
      <c r="D14" s="29">
        <v>72338</v>
      </c>
    </row>
    <row r="15" spans="2:8" x14ac:dyDescent="0.3">
      <c r="B15" s="9" t="s">
        <v>5</v>
      </c>
      <c r="C15" s="6">
        <v>939</v>
      </c>
      <c r="D15" s="29">
        <v>27479</v>
      </c>
    </row>
    <row r="16" spans="2:8" x14ac:dyDescent="0.3">
      <c r="B16" s="9" t="s">
        <v>6</v>
      </c>
      <c r="C16" s="6">
        <v>13</v>
      </c>
      <c r="D16" s="11">
        <v>0</v>
      </c>
    </row>
    <row r="17" spans="2:4" x14ac:dyDescent="0.3">
      <c r="B17" s="9" t="s">
        <v>7</v>
      </c>
      <c r="C17" s="6">
        <v>715</v>
      </c>
      <c r="D17" s="29">
        <v>1653</v>
      </c>
    </row>
    <row r="18" spans="2:4" x14ac:dyDescent="0.3">
      <c r="B18" s="10" t="s">
        <v>8</v>
      </c>
      <c r="C18" s="8">
        <f>SUM(C14:C17)</f>
        <v>3414</v>
      </c>
      <c r="D18" s="4">
        <f>SUM(D14:D17)</f>
        <v>101470</v>
      </c>
    </row>
    <row r="20" spans="2:4" x14ac:dyDescent="0.3">
      <c r="B20" s="28" t="s">
        <v>9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 s="6">
        <v>1691</v>
      </c>
      <c r="D22" s="29">
        <v>63966.63</v>
      </c>
    </row>
    <row r="23" spans="2:4" x14ac:dyDescent="0.3">
      <c r="B23" s="9" t="s">
        <v>5</v>
      </c>
      <c r="C23" s="6">
        <v>654</v>
      </c>
      <c r="D23" s="29">
        <v>2947</v>
      </c>
    </row>
    <row r="24" spans="2:4" x14ac:dyDescent="0.3">
      <c r="B24" s="9" t="s">
        <v>6</v>
      </c>
      <c r="C24" s="6">
        <v>579</v>
      </c>
      <c r="D24" s="29">
        <v>3416</v>
      </c>
    </row>
    <row r="25" spans="2:4" x14ac:dyDescent="0.3">
      <c r="B25" s="9" t="s">
        <v>7</v>
      </c>
      <c r="C25" s="6">
        <v>1816</v>
      </c>
      <c r="D25" s="26">
        <v>0</v>
      </c>
    </row>
    <row r="26" spans="2:4" x14ac:dyDescent="0.3">
      <c r="B26" s="10" t="s">
        <v>8</v>
      </c>
      <c r="C26" s="8">
        <f>SUM(C22:C25)</f>
        <v>4740</v>
      </c>
      <c r="D26" s="4">
        <f>SUM(D22:D25)</f>
        <v>70329.63</v>
      </c>
    </row>
    <row r="28" spans="2:4" x14ac:dyDescent="0.3">
      <c r="B28" s="27" t="s">
        <v>33</v>
      </c>
      <c r="C28" s="27"/>
      <c r="D28" s="27"/>
    </row>
    <row r="29" spans="2:4" x14ac:dyDescent="0.3">
      <c r="B29" s="4" t="s">
        <v>1</v>
      </c>
      <c r="C29" s="4" t="s">
        <v>2</v>
      </c>
      <c r="D29" s="4" t="s">
        <v>3</v>
      </c>
    </row>
    <row r="30" spans="2:4" x14ac:dyDescent="0.3">
      <c r="B30" s="9" t="s">
        <v>4</v>
      </c>
      <c r="C30" s="6">
        <v>3462</v>
      </c>
      <c r="D30" s="29">
        <v>17702</v>
      </c>
    </row>
    <row r="31" spans="2:4" x14ac:dyDescent="0.3">
      <c r="B31" s="9" t="s">
        <v>5</v>
      </c>
      <c r="C31" s="6">
        <v>1354</v>
      </c>
      <c r="D31" s="29">
        <v>2208.7399999999998</v>
      </c>
    </row>
    <row r="32" spans="2:4" x14ac:dyDescent="0.3">
      <c r="B32" s="9" t="s">
        <v>6</v>
      </c>
      <c r="C32" s="6">
        <v>3156</v>
      </c>
      <c r="D32" s="29">
        <v>4187.58</v>
      </c>
    </row>
    <row r="33" spans="2:4" x14ac:dyDescent="0.3">
      <c r="B33" s="9" t="s">
        <v>7</v>
      </c>
      <c r="C33" s="6">
        <v>21115</v>
      </c>
      <c r="D33" s="29">
        <v>34807</v>
      </c>
    </row>
    <row r="34" spans="2:4" x14ac:dyDescent="0.3">
      <c r="B34" s="10" t="s">
        <v>8</v>
      </c>
      <c r="C34" s="8">
        <f>SUM(C30:C33)</f>
        <v>29087</v>
      </c>
      <c r="D34" s="4">
        <f>SUM(D30:D33)</f>
        <v>58905.32</v>
      </c>
    </row>
    <row r="36" spans="2:4" x14ac:dyDescent="0.3">
      <c r="B36" s="27" t="s">
        <v>11</v>
      </c>
      <c r="C36" s="27"/>
      <c r="D36" s="27"/>
    </row>
    <row r="37" spans="2:4" x14ac:dyDescent="0.3">
      <c r="B37" s="4" t="s">
        <v>1</v>
      </c>
      <c r="C37" s="4" t="s">
        <v>2</v>
      </c>
      <c r="D37" s="4" t="s">
        <v>3</v>
      </c>
    </row>
    <row r="38" spans="2:4" x14ac:dyDescent="0.3">
      <c r="B38" s="9" t="s">
        <v>4</v>
      </c>
      <c r="C38" s="6">
        <v>5190</v>
      </c>
      <c r="D38" s="29">
        <v>43029</v>
      </c>
    </row>
    <row r="39" spans="2:4" x14ac:dyDescent="0.3">
      <c r="B39" s="10" t="s">
        <v>8</v>
      </c>
      <c r="C39" s="8">
        <f>SUM(C38:C38)</f>
        <v>5190</v>
      </c>
      <c r="D39" s="4">
        <f>SUM(D38:D38)</f>
        <v>43029</v>
      </c>
    </row>
    <row r="41" spans="2:4" x14ac:dyDescent="0.3">
      <c r="B41" s="12" t="s">
        <v>13</v>
      </c>
      <c r="C41" s="13">
        <f>SUM(C10+C26+C18+C34+C39)</f>
        <v>115675</v>
      </c>
      <c r="D41" s="13">
        <f>SUM(D10+D26+D18+D34+D39)</f>
        <v>519015.15</v>
      </c>
    </row>
  </sheetData>
  <mergeCells count="5">
    <mergeCell ref="B36:D36"/>
    <mergeCell ref="B12:D12"/>
    <mergeCell ref="B3:D3"/>
    <mergeCell ref="B20:D20"/>
    <mergeCell ref="B28:D28"/>
  </mergeCells>
  <pageMargins left="0.7" right="0.7" top="0.75" bottom="0.75" header="0.3" footer="0.3"/>
  <pageSetup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1"/>
  <sheetViews>
    <sheetView workbookViewId="0"/>
  </sheetViews>
  <sheetFormatPr baseColWidth="10" defaultRowHeight="14.4" x14ac:dyDescent="0.3"/>
  <cols>
    <col min="1" max="1" width="5" bestFit="1" customWidth="1"/>
    <col min="2" max="2" width="8" bestFit="1" customWidth="1"/>
    <col min="3" max="3" width="18.44140625" bestFit="1" customWidth="1"/>
    <col min="4" max="4" width="36.6640625" bestFit="1" customWidth="1"/>
    <col min="5" max="5" width="17.33203125" bestFit="1" customWidth="1"/>
    <col min="6" max="6" width="24.109375" bestFit="1" customWidth="1"/>
    <col min="7" max="7" width="18.5546875" bestFit="1" customWidth="1"/>
    <col min="8" max="8" width="9.6640625" bestFit="1" customWidth="1"/>
    <col min="9" max="9" width="14" bestFit="1" customWidth="1"/>
    <col min="10" max="10" width="15.88671875" bestFit="1" customWidth="1"/>
    <col min="11" max="11" width="14.33203125" bestFit="1" customWidth="1"/>
    <col min="12" max="12" width="40.88671875" bestFit="1" customWidth="1"/>
    <col min="13" max="13" width="48.33203125" bestFit="1" customWidth="1"/>
    <col min="14" max="14" width="12.88671875" bestFit="1" customWidth="1"/>
    <col min="15" max="15" width="16.44140625" bestFit="1" customWidth="1"/>
    <col min="16" max="16" width="18.44140625" bestFit="1" customWidth="1"/>
    <col min="17" max="17" width="14.33203125" bestFit="1" customWidth="1"/>
    <col min="18" max="18" width="21.33203125" bestFit="1" customWidth="1"/>
    <col min="19" max="19" width="13.88671875" bestFit="1" customWidth="1"/>
    <col min="20" max="20" width="13.5546875" bestFit="1" customWidth="1"/>
    <col min="21" max="21" width="17.88671875" bestFit="1" customWidth="1"/>
    <col min="22" max="22" width="18.44140625" bestFit="1" customWidth="1"/>
    <col min="23" max="23" width="24" bestFit="1" customWidth="1"/>
  </cols>
  <sheetData>
    <row r="1" spans="1:23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B2" sqref="B2:K14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" bestFit="1" customWidth="1"/>
    <col min="9" max="9" width="4.3320312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32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11 MAR'!C6, 'REPORTE DIARIO'!C:C)</f>
        <v>18724</v>
      </c>
      <c r="E6" s="16">
        <f>SUMIF('REPORTE DIARIO'!B:B,'EPR 11 MAR'!C6, 'REPORTE DIARIO'!D:D)</f>
        <v>285362.18</v>
      </c>
      <c r="F6" s="16">
        <f>J6*D6</f>
        <v>534971.42857142864</v>
      </c>
      <c r="G6" s="16">
        <f>+E6-F6</f>
        <v>-249609.24857142864</v>
      </c>
      <c r="H6" s="15">
        <f>ABS(G6/F6)</f>
        <v>0.46658426084170057</v>
      </c>
      <c r="I6" s="16">
        <f>E6/D6</f>
        <v>15.240449690237128</v>
      </c>
      <c r="J6" s="16">
        <f>200/7</f>
        <v>28.571428571428573</v>
      </c>
      <c r="K6" s="16">
        <f>+I6-J6</f>
        <v>-13.330978881191445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11 MAR'!C7, 'REPORTE DIARIO'!C:C)</f>
        <v>10940</v>
      </c>
      <c r="E7" s="16">
        <f>SUMIF('REPORTE DIARIO'!B:B,'EPR 11 MAR'!C7, 'REPORTE DIARIO'!D:D)</f>
        <v>72875.280000000013</v>
      </c>
      <c r="F7" s="16">
        <f>J7*D7</f>
        <v>171914.28571428571</v>
      </c>
      <c r="G7" s="16">
        <f>+E7-F7</f>
        <v>-99039.005714285697</v>
      </c>
      <c r="H7" s="15">
        <f>ABS(G7/F7)</f>
        <v>0.57609526342030903</v>
      </c>
      <c r="I7" s="16">
        <f>E7/D7</f>
        <v>6.661360146252286</v>
      </c>
      <c r="J7" s="16">
        <f>110/7</f>
        <v>15.714285714285714</v>
      </c>
      <c r="K7" s="16">
        <f t="shared" ref="K7:K9" si="0">+I7-J7</f>
        <v>-9.0529255680334266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11 MAR'!C8, 'REPORTE DIARIO'!C:C)</f>
        <v>12937</v>
      </c>
      <c r="E8" s="16">
        <f>SUMIF('REPORTE DIARIO'!B:B,'EPR 11 MAR'!C8, 'REPORTE DIARIO'!D:D)</f>
        <v>43966.58</v>
      </c>
      <c r="F8" s="16">
        <f>J8*D8</f>
        <v>83166.42857142858</v>
      </c>
      <c r="G8" s="16">
        <f>+E8-F8</f>
        <v>-39199.848571428578</v>
      </c>
      <c r="H8" s="15">
        <f>ABS(G8/F8)</f>
        <v>0.4713422139771371</v>
      </c>
      <c r="I8" s="16">
        <f>E8/D8</f>
        <v>3.3985143387184049</v>
      </c>
      <c r="J8" s="16">
        <f>45/7</f>
        <v>6.4285714285714288</v>
      </c>
      <c r="K8" s="16">
        <f t="shared" si="0"/>
        <v>-3.0300570898530239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11 MAR'!C9, 'REPORTE DIARIO'!C:C)</f>
        <v>73053</v>
      </c>
      <c r="E9" s="16">
        <f>SUMIF('REPORTE DIARIO'!B:B,'EPR 11 MAR'!C9, 'REPORTE DIARIO'!D:D)</f>
        <v>116811.11</v>
      </c>
      <c r="F9" s="16">
        <f>J9*D9</f>
        <v>156542.14285714284</v>
      </c>
      <c r="G9" s="16">
        <f>+E9-F9</f>
        <v>-39731.03285714284</v>
      </c>
      <c r="H9" s="15">
        <f>ABS(G9/F9)</f>
        <v>0.25380406919177395</v>
      </c>
      <c r="I9" s="16">
        <f>E9/D9</f>
        <v>1.5989912803033415</v>
      </c>
      <c r="J9" s="16">
        <f>15/7</f>
        <v>2.1428571428571428</v>
      </c>
      <c r="K9" s="16">
        <f t="shared" si="0"/>
        <v>-0.54386586255380132</v>
      </c>
    </row>
    <row r="10" spans="2:12" x14ac:dyDescent="0.3">
      <c r="B10" s="16"/>
      <c r="C10" s="19" t="s">
        <v>17</v>
      </c>
      <c r="D10" s="24">
        <f>SUM(D6:D9)</f>
        <v>115654</v>
      </c>
      <c r="E10" s="20">
        <f>SUM(E6:E9)</f>
        <v>519015.15</v>
      </c>
      <c r="F10" s="20">
        <f>SUM(F6:F9)</f>
        <v>946594.2857142858</v>
      </c>
      <c r="G10" s="20">
        <f>+E10-F10</f>
        <v>-427579.13571428577</v>
      </c>
      <c r="H10" s="21">
        <f>ABS(G10/F10)</f>
        <v>0.45170263772682823</v>
      </c>
      <c r="I10" s="20">
        <f>E10/D10</f>
        <v>4.4876541235063208</v>
      </c>
      <c r="J10" s="20">
        <f>F10/D10</f>
        <v>8.1847085765670524</v>
      </c>
      <c r="K10" s="20">
        <f>I10-J10</f>
        <v>-3.6970544530607317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HERNANDEZ</cp:lastModifiedBy>
  <cp:lastPrinted>2025-03-11T14:43:58Z</cp:lastPrinted>
  <dcterms:created xsi:type="dcterms:W3CDTF">2025-01-27T15:11:28Z</dcterms:created>
  <dcterms:modified xsi:type="dcterms:W3CDTF">2025-03-11T14:44:02Z</dcterms:modified>
</cp:coreProperties>
</file>