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05\Music\7 MARZO\"/>
    </mc:Choice>
  </mc:AlternateContent>
  <xr:revisionPtr revIDLastSave="0" documentId="13_ncr:1_{13CAF0B4-F9BF-4614-9BF4-B621FCC2A51A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<sst xmlns="http://schemas.openxmlformats.org/spreadsheetml/2006/main" count="70" uniqueCount="35">
  <si>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</si>
  <si>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</si>
  <si>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</si>
  <si>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</si>
  <si>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</si>
  <si>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</si>
  <si>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</si>
  <si>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</si>
  <si>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</si>
  <si>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</si>
  <si>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</si>
  <si>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</si>
  <si>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</si>
  <si>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</si>
  <si>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</si>
  <si>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</si>
  <si>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</si>
  <si>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</si>
  <si>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</si>
  <si>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</si>
  <si>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</si>
  <si>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</si>
  <si>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</si>
  <si>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</si>
  <si>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</si>
  <si>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</si>
  <si>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</si>
  <si>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</si>
  <si>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</si>
  <si>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</si>
  <si>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</si>
  <si>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</si>
  <si>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</si>
  <si>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Samantha, Sofia, Edith, Fernando e Itzayana</t>
  </si>
  <si>
    <t>SALDO ACUMULADO SEMANA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</si>
</sst>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0" fontId="7" fillId="0" borderId="2" xfId="0" applyFont="1" applyBorder="1" applyAlignment="1">
      <alignment horizontal="center" vertical="top"/>
    </xf>
    <xf numFmtId="43" fontId="0" fillId="0" borderId="1" xfId="0" applyNumberFormat="1" applyBorder="1"/>
    <xf numFmtId="4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2"/>
  <sheetViews>
    <sheetView showGridLines="0" topLeftCell="A26" workbookViewId="0">
      <selection activeCell="B3" sqref="B3:D4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30" t="s">
        <v>0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6603</v>
      </c>
      <c r="D5" s="28">
        <v>707598.7300000001</v>
      </c>
    </row>
    <row r="6" spans="2:8" x14ac:dyDescent="0.3">
      <c r="B6" s="1" t="s">
        <v>5</v>
      </c>
      <c r="C6" s="6">
        <v>8237</v>
      </c>
      <c r="D6" s="28">
        <v>344104.39</v>
      </c>
    </row>
    <row r="7" spans="2:8" x14ac:dyDescent="0.3">
      <c r="B7" s="1" t="s">
        <v>6</v>
      </c>
      <c r="C7" s="6">
        <v>8797</v>
      </c>
      <c r="D7" s="28">
        <v>153371.13999999998</v>
      </c>
    </row>
    <row r="8" spans="2:8" x14ac:dyDescent="0.3">
      <c r="B8" s="5" t="s">
        <v>12</v>
      </c>
      <c r="C8" s="7">
        <v>21</v>
      </c>
      <c r="D8" s="27">
        <v>0</v>
      </c>
    </row>
    <row r="9" spans="2:8" x14ac:dyDescent="0.3">
      <c r="B9" s="1" t="s">
        <v>7</v>
      </c>
      <c r="C9" s="6">
        <v>49184</v>
      </c>
      <c r="D9" s="28">
        <v>347941.49</v>
      </c>
      <c r="F9" s="7"/>
    </row>
    <row r="10" spans="2:8" x14ac:dyDescent="0.3">
      <c r="B10" s="3" t="s">
        <v>8</v>
      </c>
      <c r="C10" s="8">
        <f>SUM(C5:C9)</f>
        <v>72842</v>
      </c>
      <c r="D10" s="4">
        <f>SUM(D5:D9)</f>
        <v>1553015.75</v>
      </c>
      <c r="E10" s="11" t="s">
        <v>14</v>
      </c>
    </row>
    <row r="12" spans="2:8" x14ac:dyDescent="0.3">
      <c r="B12" s="30" t="s">
        <v>9</v>
      </c>
      <c r="C12" s="30"/>
      <c r="D12" s="30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6">
        <v>1686</v>
      </c>
      <c r="D14" s="28">
        <v>244564.39999999994</v>
      </c>
    </row>
    <row r="15" spans="2:8" x14ac:dyDescent="0.3">
      <c r="B15" s="9" t="s">
        <v>5</v>
      </c>
      <c r="C15" s="6">
        <v>665</v>
      </c>
      <c r="D15" s="28">
        <v>45379.9</v>
      </c>
    </row>
    <row r="16" spans="2:8" x14ac:dyDescent="0.3">
      <c r="B16" s="9" t="s">
        <v>6</v>
      </c>
      <c r="C16" s="6">
        <v>599</v>
      </c>
      <c r="D16" s="28">
        <v>14819</v>
      </c>
    </row>
    <row r="17" spans="2:4" x14ac:dyDescent="0.3">
      <c r="B17" s="9" t="s">
        <v>7</v>
      </c>
      <c r="C17" s="6">
        <v>1816</v>
      </c>
      <c r="D17" s="28">
        <v>1883</v>
      </c>
    </row>
    <row r="18" spans="2:4" x14ac:dyDescent="0.3">
      <c r="B18" s="10" t="s">
        <v>8</v>
      </c>
      <c r="C18" s="8">
        <f>SUM(C14:C17)</f>
        <v>4766</v>
      </c>
      <c r="D18" s="4">
        <f>SUM(D14:D17)</f>
        <v>306646.29999999993</v>
      </c>
    </row>
    <row r="20" spans="2:4" x14ac:dyDescent="0.3">
      <c r="B20" s="29" t="s">
        <v>10</v>
      </c>
      <c r="C20" s="29"/>
      <c r="D20" s="29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 s="6">
        <v>1728</v>
      </c>
      <c r="D22" s="28">
        <v>184168.49000000002</v>
      </c>
    </row>
    <row r="23" spans="2:4" x14ac:dyDescent="0.3">
      <c r="B23" s="9" t="s">
        <v>5</v>
      </c>
      <c r="C23" s="6">
        <v>910</v>
      </c>
      <c r="D23" s="28">
        <v>57123.45</v>
      </c>
    </row>
    <row r="24" spans="2:4" x14ac:dyDescent="0.3">
      <c r="B24" s="9" t="s">
        <v>6</v>
      </c>
      <c r="C24" s="6">
        <v>13</v>
      </c>
      <c r="D24" s="11">
        <v>0</v>
      </c>
    </row>
    <row r="25" spans="2:4" x14ac:dyDescent="0.3">
      <c r="B25" s="9" t="s">
        <v>7</v>
      </c>
      <c r="C25" s="6">
        <v>714</v>
      </c>
      <c r="D25" s="28">
        <v>2701</v>
      </c>
    </row>
    <row r="26" spans="2:4" x14ac:dyDescent="0.3">
      <c r="B26" s="10" t="s">
        <v>8</v>
      </c>
      <c r="C26" s="8">
        <f>SUM(C22:C25)</f>
        <v>3365</v>
      </c>
      <c r="D26" s="4">
        <f>SUM(D22:D25)</f>
        <v>243992.94</v>
      </c>
    </row>
    <row r="28" spans="2:4" x14ac:dyDescent="0.3">
      <c r="B28" s="29" t="s">
        <v>15</v>
      </c>
      <c r="C28" s="29"/>
      <c r="D28" s="29"/>
    </row>
    <row r="29" spans="2:4" x14ac:dyDescent="0.3">
      <c r="B29" s="4" t="s">
        <v>1</v>
      </c>
      <c r="C29" s="4" t="s">
        <v>2</v>
      </c>
      <c r="D29" s="4" t="s">
        <v>3</v>
      </c>
    </row>
    <row r="30" spans="2:4" x14ac:dyDescent="0.3">
      <c r="B30" s="9" t="s">
        <v>4</v>
      </c>
      <c r="C30" s="6">
        <v>1188</v>
      </c>
      <c r="D30" s="28">
        <v>101256.85</v>
      </c>
    </row>
    <row r="31" spans="2:4" x14ac:dyDescent="0.3">
      <c r="B31" s="9" t="s">
        <v>5</v>
      </c>
      <c r="C31" s="6">
        <v>2505</v>
      </c>
      <c r="D31" s="28">
        <v>39129.06</v>
      </c>
    </row>
    <row r="32" spans="2:4" x14ac:dyDescent="0.3">
      <c r="B32" s="9" t="s">
        <v>6</v>
      </c>
      <c r="C32" s="6">
        <v>2763</v>
      </c>
      <c r="D32" s="28">
        <v>30407</v>
      </c>
    </row>
    <row r="33" spans="2:4" x14ac:dyDescent="0.3">
      <c r="B33" s="14" t="s">
        <v>12</v>
      </c>
      <c r="C33" s="6">
        <v>1</v>
      </c>
      <c r="D33" s="11">
        <v>0</v>
      </c>
    </row>
    <row r="34" spans="2:4" x14ac:dyDescent="0.3">
      <c r="B34" s="9" t="s">
        <v>7</v>
      </c>
      <c r="C34" s="6">
        <v>13856</v>
      </c>
      <c r="D34" s="28">
        <v>47245.88</v>
      </c>
    </row>
    <row r="35" spans="2:4" x14ac:dyDescent="0.3">
      <c r="B35" s="10" t="s">
        <v>8</v>
      </c>
      <c r="C35" s="8">
        <f>SUM(C30:C34)</f>
        <v>20313</v>
      </c>
      <c r="D35" s="4">
        <f>SUM(D30:D34)</f>
        <v>218038.79</v>
      </c>
    </row>
    <row r="37" spans="2:4" x14ac:dyDescent="0.3">
      <c r="B37" s="29" t="s">
        <v>11</v>
      </c>
      <c r="C37" s="29"/>
      <c r="D37" s="29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5332</v>
      </c>
      <c r="D39" s="28">
        <v>92737.68</v>
      </c>
    </row>
    <row r="40" spans="2:4" x14ac:dyDescent="0.3">
      <c r="B40" s="10" t="s">
        <v>8</v>
      </c>
      <c r="C40" s="8">
        <f>SUM(C39:C39)</f>
        <v>5332</v>
      </c>
      <c r="D40" s="4">
        <f>SUM(D39:D39)</f>
        <v>92737.68</v>
      </c>
    </row>
    <row r="42" spans="2:4" x14ac:dyDescent="0.3">
      <c r="B42" s="12" t="s">
        <v>13</v>
      </c>
      <c r="C42" s="13">
        <f>SUM(C10+C18+C26+C35+C40)</f>
        <v>106618</v>
      </c>
      <c r="D42" s="13">
        <f>SUM(D10+D18+D26+D35+D40)</f>
        <v>2414431.46</v>
      </c>
    </row>
  </sheetData>
  <mergeCells count="5">
    <mergeCell ref="B37:D37"/>
    <mergeCell ref="B20:D20"/>
    <mergeCell ref="B3:D3"/>
    <mergeCell ref="B12:D12"/>
    <mergeCell ref="B28:D28"/>
  </mergeCells>
  <pageMargins left="0.7" right="0.7" top="0.75" bottom="0.75" header="0.3" footer="0.3"/>
  <pageSetup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1"/>
  <sheetViews>
    <sheetView workbookViewId="0"/>
  </sheetViews>
  <sheetFormatPr baseColWidth="10" defaultRowHeight="14.4" x14ac:dyDescent="0.3"/>
  <cols>
    <col min="1" max="1" width="5" bestFit="1" customWidth="1"/>
    <col min="2" max="2" width="8" bestFit="1" customWidth="1"/>
    <col min="3" max="3" width="18.44140625" bestFit="1" customWidth="1"/>
    <col min="4" max="4" width="36.6640625" bestFit="1" customWidth="1"/>
    <col min="5" max="5" width="17.33203125" bestFit="1" customWidth="1"/>
    <col min="6" max="6" width="24.109375" bestFit="1" customWidth="1"/>
    <col min="7" max="7" width="18.5546875" bestFit="1" customWidth="1"/>
    <col min="8" max="8" width="9.6640625" bestFit="1" customWidth="1"/>
    <col min="9" max="9" width="14" bestFit="1" customWidth="1"/>
    <col min="10" max="10" width="15.88671875" bestFit="1" customWidth="1"/>
    <col min="11" max="11" width="14.33203125" bestFit="1" customWidth="1"/>
    <col min="12" max="12" width="40.88671875" bestFit="1" customWidth="1"/>
    <col min="13" max="13" width="48.33203125" bestFit="1" customWidth="1"/>
    <col min="14" max="14" width="12.88671875" bestFit="1" customWidth="1"/>
    <col min="15" max="15" width="16.44140625" bestFit="1" customWidth="1"/>
    <col min="16" max="16" width="18.44140625" bestFit="1" customWidth="1"/>
    <col min="17" max="17" width="14.33203125" bestFit="1" customWidth="1"/>
    <col min="18" max="18" width="21.33203125" bestFit="1" customWidth="1"/>
    <col min="19" max="19" width="13.88671875" bestFit="1" customWidth="1"/>
    <col min="20" max="20" width="13.5546875" bestFit="1" customWidth="1"/>
    <col min="21" max="21" width="17.88671875" bestFit="1" customWidth="1"/>
    <col min="22" max="22" width="18.44140625" bestFit="1" customWidth="1"/>
    <col min="23" max="23" width="24" bestFit="1" customWidth="1"/>
  </cols>
  <sheetData>
    <row r="1" spans="1:23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B2" sqref="B2:K14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" bestFit="1" customWidth="1"/>
    <col min="9" max="9" width="4.3320312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9" t="s">
        <v>22</v>
      </c>
    </row>
    <row r="3" spans="2:12" x14ac:dyDescent="0.3">
      <c r="B3" s="18" t="s">
        <v>34</v>
      </c>
    </row>
    <row r="5" spans="2:12" x14ac:dyDescent="0.3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3">
      <c r="B6" s="17" t="s">
        <v>30</v>
      </c>
      <c r="C6" s="1" t="s">
        <v>4</v>
      </c>
      <c r="D6" s="24">
        <f>SUMIF('REPORTE DIARIO'!B:B,'EPR 1 MAR'!C6, 'REPORTE DIARIO'!C:C)</f>
        <v>16537</v>
      </c>
      <c r="E6" s="17">
        <f>SUMIF('REPORTE DIARIO'!B:B,'EPR 1 MAR'!C6, 'REPORTE DIARIO'!D:D)</f>
        <v>1330326.1500000001</v>
      </c>
      <c r="F6" s="17">
        <f>J6*D6</f>
        <v>3307400</v>
      </c>
      <c r="G6" s="17">
        <f>+E6-F6</f>
        <v>-1977073.8499999999</v>
      </c>
      <c r="H6" s="16">
        <f>ABS(G6/F6)</f>
        <v>0.59777282759871797</v>
      </c>
      <c r="I6" s="17">
        <f>E6/D6</f>
        <v>80.445434480256409</v>
      </c>
      <c r="J6" s="17">
        <v>200</v>
      </c>
      <c r="K6" s="17">
        <f>+I6-J6</f>
        <v>-119.55456551974359</v>
      </c>
      <c r="L6" s="16"/>
    </row>
    <row r="7" spans="2:12" x14ac:dyDescent="0.3">
      <c r="B7" s="17" t="s">
        <v>31</v>
      </c>
      <c r="C7" s="1" t="s">
        <v>5</v>
      </c>
      <c r="D7" s="24">
        <f>SUMIF('REPORTE DIARIO'!B:B,'EPR 1 MAR'!C7, 'REPORTE DIARIO'!C:C)</f>
        <v>12317</v>
      </c>
      <c r="E7" s="17">
        <f>SUMIF('REPORTE DIARIO'!B:B,'EPR 1 MAR'!C7, 'REPORTE DIARIO'!D:D)</f>
        <v>485736.80000000005</v>
      </c>
      <c r="F7" s="17">
        <f>J7*D7</f>
        <v>1354870</v>
      </c>
      <c r="G7" s="17">
        <f>+E7-F7</f>
        <v>-869133.2</v>
      </c>
      <c r="H7" s="16">
        <f>ABS(G7/F7)</f>
        <v>0.64148826086635613</v>
      </c>
      <c r="I7" s="17">
        <f>E7/D7</f>
        <v>39.436291304700823</v>
      </c>
      <c r="J7" s="17">
        <v>110</v>
      </c>
      <c r="K7" s="17">
        <f t="shared" ref="K7:K9" si="0">+I7-J7</f>
        <v>-70.563708695299169</v>
      </c>
      <c r="L7" s="16"/>
    </row>
    <row r="8" spans="2:12" x14ac:dyDescent="0.3">
      <c r="B8" s="17" t="s">
        <v>31</v>
      </c>
      <c r="C8" s="1" t="s">
        <v>6</v>
      </c>
      <c r="D8" s="24">
        <f>SUMIF('REPORTE DIARIO'!B:B,'EPR 1 MAR'!C8, 'REPORTE DIARIO'!C:C)</f>
        <v>12172</v>
      </c>
      <c r="E8" s="17">
        <f>SUMIF('REPORTE DIARIO'!B:B,'EPR 1 MAR'!C8, 'REPORTE DIARIO'!D:D)</f>
        <v>198597.13999999998</v>
      </c>
      <c r="F8" s="17">
        <f>J8*D8</f>
        <v>547740</v>
      </c>
      <c r="G8" s="17">
        <f>+E8-F8</f>
        <v>-349142.86</v>
      </c>
      <c r="H8" s="16">
        <f>ABS(G8/F8)</f>
        <v>0.63742443495088907</v>
      </c>
      <c r="I8" s="17">
        <f>E8/D8</f>
        <v>16.315900427209989</v>
      </c>
      <c r="J8" s="17">
        <v>45</v>
      </c>
      <c r="K8" s="17">
        <f t="shared" si="0"/>
        <v>-28.684099572790011</v>
      </c>
      <c r="L8" s="16"/>
    </row>
    <row r="9" spans="2:12" x14ac:dyDescent="0.3">
      <c r="B9" s="17" t="s">
        <v>32</v>
      </c>
      <c r="C9" s="1" t="s">
        <v>7</v>
      </c>
      <c r="D9" s="24">
        <f>SUMIF('REPORTE DIARIO'!B:B,'EPR 1 MAR'!C9, 'REPORTE DIARIO'!C:C)</f>
        <v>65570</v>
      </c>
      <c r="E9" s="17">
        <f>SUMIF('REPORTE DIARIO'!B:B,'EPR 1 MAR'!C9, 'REPORTE DIARIO'!D:D)</f>
        <v>399771.37</v>
      </c>
      <c r="F9" s="17">
        <f>J9*D9</f>
        <v>983550</v>
      </c>
      <c r="G9" s="17">
        <f>+E9-F9</f>
        <v>-583778.63</v>
      </c>
      <c r="H9" s="16">
        <f>ABS(G9/F9)</f>
        <v>0.59354240252147827</v>
      </c>
      <c r="I9" s="17">
        <f>E9/D9</f>
        <v>6.0968639621778253</v>
      </c>
      <c r="J9" s="17">
        <v>15</v>
      </c>
      <c r="K9" s="17">
        <f t="shared" si="0"/>
        <v>-8.9031360378221756</v>
      </c>
    </row>
    <row r="10" spans="2:12" x14ac:dyDescent="0.3">
      <c r="B10" s="17"/>
      <c r="C10" s="20" t="s">
        <v>18</v>
      </c>
      <c r="D10" s="25">
        <f>SUM(D6:D9)</f>
        <v>106596</v>
      </c>
      <c r="E10" s="21">
        <f>SUM(E6:E9)</f>
        <v>2414431.46</v>
      </c>
      <c r="F10" s="21">
        <f>SUM(F6:F9)</f>
        <v>6193560</v>
      </c>
      <c r="G10" s="21">
        <f>+E10-F10</f>
        <v>-3779128.54</v>
      </c>
      <c r="H10" s="22">
        <f>ABS(G10/F10)</f>
        <v>0.61017065145086191</v>
      </c>
      <c r="I10" s="21">
        <f>E10/D10</f>
        <v>22.650300761754661</v>
      </c>
      <c r="J10" s="21">
        <f>F10/D10</f>
        <v>58.103118315884274</v>
      </c>
      <c r="K10" s="21">
        <f>I10-J10</f>
        <v>-35.452817554129609</v>
      </c>
    </row>
    <row r="12" spans="2:12" x14ac:dyDescent="0.3">
      <c r="B12" s="23" t="s">
        <v>25</v>
      </c>
      <c r="I12" s="15"/>
    </row>
    <row r="13" spans="2:12" x14ac:dyDescent="0.3">
      <c r="B13" t="s">
        <v>26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HERNANDEZ</cp:lastModifiedBy>
  <cp:lastPrinted>2025-03-07T14:51:53Z</cp:lastPrinted>
  <dcterms:created xsi:type="dcterms:W3CDTF">2025-01-27T15:11:28Z</dcterms:created>
  <dcterms:modified xsi:type="dcterms:W3CDTF">2025-03-07T14:51:56Z</dcterms:modified>
</cp:coreProperties>
</file>