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1 MARZO\NOCHE\"/>
    </mc:Choice>
  </mc:AlternateContent>
  <xr:revisionPtr revIDLastSave="0" documentId="13_ncr:1_{B0F9A3DD-0C10-41C1-AE95-0D79D042C7E9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39" i="1"/>
  <c r="C39" i="1"/>
  <c r="D18" i="1"/>
  <c r="C18" i="1"/>
  <c r="D26" i="1"/>
  <c r="C26" i="1"/>
  <c r="D34" i="1"/>
  <c r="C34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<sst xmlns="http://schemas.openxmlformats.org/spreadsheetml/2006/main" count="69" uniqueCount="35">
  <si>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</si>
  <si>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</si>
  <si>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</si>
  <si>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</si>
  <si>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</si>
  <si>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</si>
  <si>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</si>
  <si>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</si>
  <si>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</si>
  <si>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</si>
  <si>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</si>
  <si>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</si>
  <si>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</si>
  <si>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</si>
  <si>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</si>
  <si>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</si>
  <si>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</si>
  <si>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</si>
  <si>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</si>
  <si>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</si>
  <si>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</si>
  <si>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</si>
  <si>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</si>
  <si>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</si>
  <si>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</si>
  <si>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</si>
  <si>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</si>
  <si>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</si>
  <si>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</si>
  <si>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</si>
  <si>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</si>
  <si>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</si>
  <si>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</si>
  <si>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11 MARZO</t>
  </si>
  <si>
    <t>Samantha, Sofia, Edith, Olguin y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</si>
</sst>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3" fontId="0" fillId="0" borderId="2" xfId="0" applyNumberForma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C39" sqref="C3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6970</v>
      </c>
      <c r="D5" s="28">
        <v>75657.320000000007</v>
      </c>
    </row>
    <row r="6" spans="2:8" x14ac:dyDescent="0.25">
      <c r="B6" s="1" t="s">
        <v>5</v>
      </c>
      <c r="C6" s="6">
        <v>8266</v>
      </c>
      <c r="D6" s="28">
        <v>51215</v>
      </c>
    </row>
    <row r="7" spans="2:8" x14ac:dyDescent="0.25">
      <c r="B7" s="1" t="s">
        <v>6</v>
      </c>
      <c r="C7" s="6">
        <v>9565</v>
      </c>
      <c r="D7" s="28">
        <v>19732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49575</v>
      </c>
      <c r="D9" s="28">
        <v>102344.03</v>
      </c>
      <c r="F9" s="7"/>
    </row>
    <row r="10" spans="2:8" x14ac:dyDescent="0.25">
      <c r="B10" s="3" t="s">
        <v>8</v>
      </c>
      <c r="C10" s="8">
        <f>SUM(C5:C9)</f>
        <v>74397</v>
      </c>
      <c r="D10" s="4">
        <f>SUM(D5:D9)</f>
        <v>248948.35</v>
      </c>
      <c r="E10" s="11" t="s">
        <v>14</v>
      </c>
    </row>
    <row r="12" spans="2:8" x14ac:dyDescent="0.25">
      <c r="B12" s="29" t="s">
        <v>32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3612</v>
      </c>
      <c r="D14" s="28">
        <v>45190</v>
      </c>
    </row>
    <row r="15" spans="2:8" x14ac:dyDescent="0.25">
      <c r="B15" s="9" t="s">
        <v>5</v>
      </c>
      <c r="C15" s="6">
        <v>1369</v>
      </c>
      <c r="D15" s="28">
        <v>4100</v>
      </c>
    </row>
    <row r="16" spans="2:8" x14ac:dyDescent="0.25">
      <c r="B16" s="9" t="s">
        <v>6</v>
      </c>
      <c r="C16" s="6">
        <v>3161</v>
      </c>
      <c r="D16" s="28">
        <v>1620</v>
      </c>
    </row>
    <row r="17" spans="2:11" x14ac:dyDescent="0.25">
      <c r="B17" s="9" t="s">
        <v>7</v>
      </c>
      <c r="C17" s="6">
        <v>20873</v>
      </c>
      <c r="D17" s="28">
        <v>12783</v>
      </c>
    </row>
    <row r="18" spans="2:11" x14ac:dyDescent="0.25">
      <c r="B18" s="10" t="s">
        <v>8</v>
      </c>
      <c r="C18" s="8">
        <f>SUM(C14:C17)</f>
        <v>29015</v>
      </c>
      <c r="D18" s="4">
        <f>SUM(D14:D17)</f>
        <v>63693</v>
      </c>
    </row>
    <row r="20" spans="2:11" x14ac:dyDescent="0.25">
      <c r="B20" s="29" t="s">
        <v>10</v>
      </c>
      <c r="C20" s="29"/>
      <c r="D20" s="29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1750</v>
      </c>
      <c r="D22" s="28">
        <v>30748.2</v>
      </c>
    </row>
    <row r="23" spans="2:11" x14ac:dyDescent="0.25">
      <c r="B23" s="9" t="s">
        <v>5</v>
      </c>
      <c r="C23" s="6">
        <v>936</v>
      </c>
      <c r="D23" s="28">
        <v>1371</v>
      </c>
    </row>
    <row r="24" spans="2:11" x14ac:dyDescent="0.25">
      <c r="B24" s="9" t="s">
        <v>6</v>
      </c>
      <c r="C24" s="6">
        <v>13</v>
      </c>
      <c r="D24" s="11">
        <v>0</v>
      </c>
    </row>
    <row r="25" spans="2:11" x14ac:dyDescent="0.25">
      <c r="B25" s="9" t="s">
        <v>7</v>
      </c>
      <c r="C25" s="6">
        <v>712</v>
      </c>
      <c r="D25" s="11">
        <v>0</v>
      </c>
    </row>
    <row r="26" spans="2:11" x14ac:dyDescent="0.25">
      <c r="B26" s="10" t="s">
        <v>8</v>
      </c>
      <c r="C26" s="8">
        <f>SUM(C22:C25)</f>
        <v>3411</v>
      </c>
      <c r="D26" s="4">
        <f>SUM(D22:D25)</f>
        <v>32119.200000000001</v>
      </c>
      <c r="K26" s="7"/>
    </row>
    <row r="28" spans="2:11" x14ac:dyDescent="0.25">
      <c r="B28" s="30" t="s">
        <v>9</v>
      </c>
      <c r="C28" s="30"/>
      <c r="D28" s="30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1698</v>
      </c>
      <c r="D30" s="28">
        <v>20735</v>
      </c>
    </row>
    <row r="31" spans="2:11" x14ac:dyDescent="0.25">
      <c r="B31" s="9" t="s">
        <v>5</v>
      </c>
      <c r="C31" s="6">
        <v>639</v>
      </c>
      <c r="D31" s="28">
        <v>1043</v>
      </c>
    </row>
    <row r="32" spans="2:11" x14ac:dyDescent="0.25">
      <c r="B32" s="9" t="s">
        <v>6</v>
      </c>
      <c r="C32" s="6">
        <v>571</v>
      </c>
      <c r="D32" s="28">
        <v>1008</v>
      </c>
    </row>
    <row r="33" spans="2:5" x14ac:dyDescent="0.25">
      <c r="B33" s="9" t="s">
        <v>7</v>
      </c>
      <c r="C33" s="6">
        <v>1779</v>
      </c>
      <c r="D33" s="31">
        <v>0</v>
      </c>
    </row>
    <row r="34" spans="2:5" x14ac:dyDescent="0.25">
      <c r="B34" s="10" t="s">
        <v>8</v>
      </c>
      <c r="C34" s="8">
        <f>SUM(C30:C33)</f>
        <v>4687</v>
      </c>
      <c r="D34" s="4">
        <f>SUM(D30:D33)</f>
        <v>22786</v>
      </c>
    </row>
    <row r="36" spans="2:5" x14ac:dyDescent="0.25">
      <c r="B36" s="29" t="s">
        <v>11</v>
      </c>
      <c r="C36" s="29"/>
      <c r="D36" s="29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5107</v>
      </c>
      <c r="D38" s="28">
        <v>10373</v>
      </c>
    </row>
    <row r="39" spans="2:5" x14ac:dyDescent="0.25">
      <c r="B39" s="10" t="s">
        <v>8</v>
      </c>
      <c r="C39" s="8">
        <f>SUM(C38:C38)</f>
        <v>5107</v>
      </c>
      <c r="D39" s="4">
        <f>SUM(D38:D38)</f>
        <v>10373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SUM(C10+C34+C26+C18+C39)</f>
        <v>116617</v>
      </c>
      <c r="D42" s="13">
        <f>SUM(D10+D34+D26+D18+D39)</f>
        <v>377919.55</v>
      </c>
    </row>
  </sheetData>
  <mergeCells count="5">
    <mergeCell ref="B20:D20"/>
    <mergeCell ref="B3:D3"/>
    <mergeCell ref="B28:D28"/>
    <mergeCell ref="B12:D12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B14" sqref="B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33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11 MAR'!C6, 'REPORTE DIARIO'!C:C)</f>
        <v>19137</v>
      </c>
      <c r="E6" s="16">
        <f>SUMIF('REPORTE DIARIO'!B:B,'EPR 11 MAR'!C6, 'REPORTE DIARIO'!D:D)</f>
        <v>182703.52000000002</v>
      </c>
      <c r="F6" s="16">
        <f>J6*D6</f>
        <v>546771.42857142864</v>
      </c>
      <c r="G6" s="16">
        <f>+E6-F6</f>
        <v>-364067.90857142862</v>
      </c>
      <c r="H6" s="15">
        <f>ABS(G6/F6)</f>
        <v>0.6658502795631499</v>
      </c>
      <c r="I6" s="16">
        <f>E6/D6</f>
        <v>9.5471348696242888</v>
      </c>
      <c r="J6" s="16">
        <f>200/7</f>
        <v>28.571428571428573</v>
      </c>
      <c r="K6" s="16">
        <f>+I6-J6</f>
        <v>-19.024293701804282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11 MAR'!C7, 'REPORTE DIARIO'!C:C)</f>
        <v>11210</v>
      </c>
      <c r="E7" s="16">
        <f>SUMIF('REPORTE DIARIO'!B:B,'EPR 11 MAR'!C7, 'REPORTE DIARIO'!D:D)</f>
        <v>57729</v>
      </c>
      <c r="F7" s="16">
        <f>J7*D7</f>
        <v>176157.14285714284</v>
      </c>
      <c r="G7" s="16">
        <f>+E7-F7</f>
        <v>-118428.14285714284</v>
      </c>
      <c r="H7" s="15">
        <f>ABS(G7/F7)</f>
        <v>0.67228691914686556</v>
      </c>
      <c r="I7" s="16">
        <f>E7/D7</f>
        <v>5.1497769848349684</v>
      </c>
      <c r="J7" s="16">
        <f>110/7</f>
        <v>15.714285714285714</v>
      </c>
      <c r="K7" s="16">
        <f t="shared" ref="K7:K9" si="0">+I7-J7</f>
        <v>-10.564508729450745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11 MAR'!C8, 'REPORTE DIARIO'!C:C)</f>
        <v>13310</v>
      </c>
      <c r="E8" s="16">
        <f>SUMIF('REPORTE DIARIO'!B:B,'EPR 11 MAR'!C8, 'REPORTE DIARIO'!D:D)</f>
        <v>22360</v>
      </c>
      <c r="F8" s="16">
        <f>J8*D8</f>
        <v>85564.285714285725</v>
      </c>
      <c r="G8" s="16">
        <f>+E8-F8</f>
        <v>-63204.285714285725</v>
      </c>
      <c r="H8" s="15">
        <f>ABS(G8/F8)</f>
        <v>0.73867601636196678</v>
      </c>
      <c r="I8" s="16">
        <f>E8/D8</f>
        <v>1.6799398948159279</v>
      </c>
      <c r="J8" s="16">
        <f>45/7</f>
        <v>6.4285714285714288</v>
      </c>
      <c r="K8" s="16">
        <f t="shared" si="0"/>
        <v>-4.7486315337555007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11 MAR'!C9, 'REPORTE DIARIO'!C:C)</f>
        <v>72939</v>
      </c>
      <c r="E9" s="16">
        <f>SUMIF('REPORTE DIARIO'!B:B,'EPR 11 MAR'!C9, 'REPORTE DIARIO'!D:D)</f>
        <v>115127.03</v>
      </c>
      <c r="F9" s="16">
        <f>J9*D9</f>
        <v>156297.85714285713</v>
      </c>
      <c r="G9" s="16">
        <f>+E9-F9</f>
        <v>-41170.827142857132</v>
      </c>
      <c r="H9" s="15">
        <f>ABS(G9/F9)</f>
        <v>0.26341261419359552</v>
      </c>
      <c r="I9" s="16">
        <f>E9/D9</f>
        <v>1.5784015410137238</v>
      </c>
      <c r="J9" s="16">
        <f>15/7</f>
        <v>2.1428571428571428</v>
      </c>
      <c r="K9" s="16">
        <f t="shared" si="0"/>
        <v>-0.56445560184341903</v>
      </c>
    </row>
    <row r="10" spans="2:12" x14ac:dyDescent="0.25">
      <c r="B10" s="16"/>
      <c r="C10" s="19" t="s">
        <v>17</v>
      </c>
      <c r="D10" s="24">
        <f>SUM(D6:D9)</f>
        <v>116596</v>
      </c>
      <c r="E10" s="20">
        <f>SUM(E6:E9)</f>
        <v>377919.55000000005</v>
      </c>
      <c r="F10" s="20">
        <f>SUM(F6:F9)</f>
        <v>964790.71428571432</v>
      </c>
      <c r="G10" s="20">
        <f>+E10-F10</f>
        <v>-586871.16428571427</v>
      </c>
      <c r="H10" s="21">
        <f>ABS(G10/F10)</f>
        <v>0.60828857035611716</v>
      </c>
      <c r="I10" s="20">
        <f>E10/D10</f>
        <v>3.2412737143641297</v>
      </c>
      <c r="J10" s="20">
        <f>F10/D10</f>
        <v>8.2746467656327347</v>
      </c>
      <c r="K10" s="20">
        <f>I10-J10</f>
        <v>-5.0333730512686046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2025-03-12T02:06:41Z</dcterms:modified>
</cp:coreProperties>
</file>