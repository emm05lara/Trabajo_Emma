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11 MARZO\NOCHE\"/>
    </mc:Choice>
  </mc:AlternateContent>
  <xr:revisionPtr revIDLastSave="0" documentId="13_ncr:1_{19FDF38F-0804-4EF1-A97F-1837ECAFB8BE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11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/>
  <c r="C39" i="1"/>
  <c r="D34" i="1"/>
  <c r="C34" i="1"/>
  <c r="D18" i="1"/>
  <c r="C18" i="1"/>
  <c r="D26" i="1"/>
  <c r="C2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<sst xmlns="http://schemas.openxmlformats.org/spreadsheetml/2006/main" count="69" uniqueCount="35">
  <si>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</si>
  <si>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</si>
  <si>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</si>
  <si>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</si>
  <si>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</si>
  <si>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</si>
  <si>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</si>
  <si>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</si>
  <si>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</si>
  <si>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</si>
  <si>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</si>
  <si>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</si>
  <si>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</si>
  <si>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</si>
  <si>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</si>
  <si>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</si>
  <si>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</si>
  <si>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</si>
  <si>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</si>
  <si>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</si>
  <si>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</si>
  <si>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</si>
  <si>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</si>
  <si>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</si>
  <si>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</si>
  <si>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</si>
  <si>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</si>
  <si>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</si>
  <si>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</si>
  <si>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</si>
  <si>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</si>
  <si>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</si>
  <si>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</si>
  <si>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11</t>
  </si>
  <si>
    <t>Samantha, Sofia, Edith, Olguin y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</si>
</sst>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3" fontId="0" fillId="0" borderId="1" xfId="0" applyNumberForma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tabSelected="1" workbookViewId="0">
      <selection activeCell="D42" sqref="D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6970</v>
      </c>
      <c r="D5" s="26">
        <v>163983.87</v>
      </c>
    </row>
    <row r="6" spans="2:8" x14ac:dyDescent="0.25">
      <c r="B6" s="1" t="s">
        <v>5</v>
      </c>
      <c r="C6" s="6">
        <v>8266</v>
      </c>
      <c r="D6" s="26">
        <v>91455.540000000008</v>
      </c>
    </row>
    <row r="7" spans="2:8" x14ac:dyDescent="0.25">
      <c r="B7" s="1" t="s">
        <v>6</v>
      </c>
      <c r="C7" s="6">
        <v>9565</v>
      </c>
      <c r="D7" s="26">
        <v>55783</v>
      </c>
    </row>
    <row r="8" spans="2:8" x14ac:dyDescent="0.25">
      <c r="B8" s="5" t="s">
        <v>12</v>
      </c>
      <c r="C8" s="7">
        <v>21</v>
      </c>
      <c r="D8" s="11">
        <v>0</v>
      </c>
    </row>
    <row r="9" spans="2:8" x14ac:dyDescent="0.25">
      <c r="B9" s="1" t="s">
        <v>7</v>
      </c>
      <c r="C9" s="6">
        <v>49575</v>
      </c>
      <c r="D9" s="26">
        <v>176934.14</v>
      </c>
      <c r="F9" s="7"/>
    </row>
    <row r="10" spans="2:8" x14ac:dyDescent="0.25">
      <c r="B10" s="3" t="s">
        <v>8</v>
      </c>
      <c r="C10" s="8">
        <f>SUM(C5:C9)</f>
        <v>74397</v>
      </c>
      <c r="D10" s="4">
        <f>SUM(D5:D9)</f>
        <v>488156.55000000005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1750</v>
      </c>
      <c r="D14" s="26">
        <v>93086.2</v>
      </c>
    </row>
    <row r="15" spans="2:8" x14ac:dyDescent="0.25">
      <c r="B15" s="9" t="s">
        <v>5</v>
      </c>
      <c r="C15" s="6">
        <v>936</v>
      </c>
      <c r="D15" s="26">
        <v>28850</v>
      </c>
    </row>
    <row r="16" spans="2:8" x14ac:dyDescent="0.25">
      <c r="B16" s="9" t="s">
        <v>6</v>
      </c>
      <c r="C16" s="6">
        <v>13</v>
      </c>
      <c r="D16" s="11">
        <v>0</v>
      </c>
    </row>
    <row r="17" spans="2:11" x14ac:dyDescent="0.25">
      <c r="B17" s="9" t="s">
        <v>7</v>
      </c>
      <c r="C17" s="6">
        <v>712</v>
      </c>
      <c r="D17" s="26">
        <v>1653</v>
      </c>
    </row>
    <row r="18" spans="2:11" x14ac:dyDescent="0.25">
      <c r="B18" s="10" t="s">
        <v>8</v>
      </c>
      <c r="C18" s="8">
        <f>SUM(C14:C17)</f>
        <v>3411</v>
      </c>
      <c r="D18" s="4">
        <f>SUM(D14:D17)</f>
        <v>123589.2</v>
      </c>
    </row>
    <row r="20" spans="2:11" x14ac:dyDescent="0.25">
      <c r="B20" s="28" t="s">
        <v>32</v>
      </c>
      <c r="C20" s="28"/>
      <c r="D20" s="28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3612</v>
      </c>
      <c r="D22" s="26">
        <v>62892</v>
      </c>
    </row>
    <row r="23" spans="2:11" x14ac:dyDescent="0.25">
      <c r="B23" s="9" t="s">
        <v>5</v>
      </c>
      <c r="C23" s="6">
        <v>1369</v>
      </c>
      <c r="D23" s="26">
        <v>6308.74</v>
      </c>
    </row>
    <row r="24" spans="2:11" x14ac:dyDescent="0.25">
      <c r="B24" s="9" t="s">
        <v>6</v>
      </c>
      <c r="C24" s="6">
        <v>3161</v>
      </c>
      <c r="D24" s="26">
        <v>5807.58</v>
      </c>
    </row>
    <row r="25" spans="2:11" x14ac:dyDescent="0.25">
      <c r="B25" s="9" t="s">
        <v>7</v>
      </c>
      <c r="C25" s="6">
        <v>20873</v>
      </c>
      <c r="D25" s="26">
        <v>46716</v>
      </c>
    </row>
    <row r="26" spans="2:11" x14ac:dyDescent="0.25">
      <c r="B26" s="10" t="s">
        <v>8</v>
      </c>
      <c r="C26" s="8">
        <f>SUM(C22:C25)</f>
        <v>29015</v>
      </c>
      <c r="D26" s="4">
        <f>SUM(D22:D25)</f>
        <v>121724.32</v>
      </c>
    </row>
    <row r="27" spans="2:11" x14ac:dyDescent="0.25">
      <c r="K27" s="7"/>
    </row>
    <row r="28" spans="2:11" x14ac:dyDescent="0.25">
      <c r="B28" s="29" t="s">
        <v>9</v>
      </c>
      <c r="C28" s="29"/>
      <c r="D28" s="29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1698</v>
      </c>
      <c r="D30" s="26">
        <v>84551.63</v>
      </c>
    </row>
    <row r="31" spans="2:11" x14ac:dyDescent="0.25">
      <c r="B31" s="9" t="s">
        <v>5</v>
      </c>
      <c r="C31" s="6">
        <v>639</v>
      </c>
      <c r="D31" s="26">
        <v>3990</v>
      </c>
    </row>
    <row r="32" spans="2:11" x14ac:dyDescent="0.25">
      <c r="B32" s="9" t="s">
        <v>6</v>
      </c>
      <c r="C32" s="6">
        <v>571</v>
      </c>
      <c r="D32" s="26">
        <v>4424</v>
      </c>
    </row>
    <row r="33" spans="2:5" x14ac:dyDescent="0.25">
      <c r="B33" s="9" t="s">
        <v>7</v>
      </c>
      <c r="C33" s="6">
        <v>1779</v>
      </c>
      <c r="D33" s="30">
        <v>0</v>
      </c>
    </row>
    <row r="34" spans="2:5" x14ac:dyDescent="0.25">
      <c r="B34" s="10" t="s">
        <v>8</v>
      </c>
      <c r="C34" s="8">
        <f>SUM(C30:C33)</f>
        <v>4687</v>
      </c>
      <c r="D34" s="4">
        <f>SUM(D30:D33)</f>
        <v>92965.63</v>
      </c>
    </row>
    <row r="36" spans="2:5" x14ac:dyDescent="0.25">
      <c r="B36" s="28" t="s">
        <v>11</v>
      </c>
      <c r="C36" s="28"/>
      <c r="D36" s="28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5107</v>
      </c>
      <c r="D38" s="26">
        <v>53402</v>
      </c>
    </row>
    <row r="39" spans="2:5" x14ac:dyDescent="0.25">
      <c r="B39" s="10" t="s">
        <v>8</v>
      </c>
      <c r="C39" s="8">
        <f>SUM(C38:C38)</f>
        <v>5107</v>
      </c>
      <c r="D39" s="4">
        <f>SUM(D38:D38)</f>
        <v>53402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SUM(C10+C34+C18+C26+C39)</f>
        <v>116617</v>
      </c>
      <c r="D42" s="13">
        <f>SUM(D10+D34+D18+D26+D39)</f>
        <v>879837.7</v>
      </c>
      <c r="E42" s="27"/>
    </row>
  </sheetData>
  <mergeCells count="5">
    <mergeCell ref="B3:D3"/>
    <mergeCell ref="B20:D20"/>
    <mergeCell ref="B12:D12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workbookViewId="0">
      <selection activeCell="B14" sqref="B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11 MAR'!C6, 'REPORTE DIARIO'!C:C)</f>
        <v>19137</v>
      </c>
      <c r="E6" s="16">
        <f>SUMIF('REPORTE DIARIO'!B:B,'EPR 11 MAR'!C6, 'REPORTE DIARIO'!D:D)</f>
        <v>457915.7</v>
      </c>
      <c r="F6" s="16">
        <f>J6*D6</f>
        <v>1093542.8571428573</v>
      </c>
      <c r="G6" s="16">
        <f>+E6-F6</f>
        <v>-635627.15714285732</v>
      </c>
      <c r="H6" s="15">
        <f>ABS(G6/F6)</f>
        <v>0.58125491195067158</v>
      </c>
      <c r="I6" s="16">
        <f>E6/D6</f>
        <v>23.928290745675916</v>
      </c>
      <c r="J6" s="16">
        <f>(200/7) * 2</f>
        <v>57.142857142857146</v>
      </c>
      <c r="K6" s="16">
        <f>+I6-J6</f>
        <v>-33.21456639718123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11 MAR'!C7, 'REPORTE DIARIO'!C:C)</f>
        <v>11210</v>
      </c>
      <c r="E7" s="16">
        <f>SUMIF('REPORTE DIARIO'!B:B,'EPR 11 MAR'!C7, 'REPORTE DIARIO'!D:D)</f>
        <v>130604.28000000001</v>
      </c>
      <c r="F7" s="16">
        <f>J7*D7</f>
        <v>352314.28571428568</v>
      </c>
      <c r="G7" s="16">
        <f>+E7-F7</f>
        <v>-221710.00571428565</v>
      </c>
      <c r="H7" s="15">
        <f>ABS(G7/F7)</f>
        <v>0.62929609926202246</v>
      </c>
      <c r="I7" s="16">
        <f>E7/D7</f>
        <v>11.650694023193578</v>
      </c>
      <c r="J7" s="16">
        <f>(110/7)*2</f>
        <v>31.428571428571427</v>
      </c>
      <c r="K7" s="16">
        <f t="shared" ref="K7:K9" si="0">+I7-J7</f>
        <v>-19.777877405377851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11 MAR'!C8, 'REPORTE DIARIO'!C:C)</f>
        <v>13310</v>
      </c>
      <c r="E8" s="16">
        <f>SUMIF('REPORTE DIARIO'!B:B,'EPR 11 MAR'!C8, 'REPORTE DIARIO'!D:D)</f>
        <v>66014.58</v>
      </c>
      <c r="F8" s="16">
        <f>J8*D8</f>
        <v>171128.57142857145</v>
      </c>
      <c r="G8" s="16">
        <f>+E8-F8</f>
        <v>-105113.99142857145</v>
      </c>
      <c r="H8" s="15">
        <f>ABS(G8/F8)</f>
        <v>0.61423986977210121</v>
      </c>
      <c r="I8" s="16">
        <f>E8/D8</f>
        <v>4.9597731029301277</v>
      </c>
      <c r="J8" s="16">
        <f>(45/7)*2</f>
        <v>12.857142857142858</v>
      </c>
      <c r="K8" s="16">
        <f t="shared" si="0"/>
        <v>-7.8973697542127299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11 MAR'!C9, 'REPORTE DIARIO'!C:C)</f>
        <v>72939</v>
      </c>
      <c r="E9" s="16">
        <f>SUMIF('REPORTE DIARIO'!B:B,'EPR 11 MAR'!C9, 'REPORTE DIARIO'!D:D)</f>
        <v>225303.14</v>
      </c>
      <c r="F9" s="16">
        <f>J9*D9</f>
        <v>312595.71428571426</v>
      </c>
      <c r="G9" s="16">
        <f>+E9-F9</f>
        <v>-87292.574285714247</v>
      </c>
      <c r="H9" s="15">
        <f>ABS(G9/F9)</f>
        <v>0.27925070721196238</v>
      </c>
      <c r="I9" s="16">
        <f>E9/D9</f>
        <v>3.0889255405201608</v>
      </c>
      <c r="J9" s="16">
        <f>(15/7)*2</f>
        <v>4.2857142857142856</v>
      </c>
      <c r="K9" s="16">
        <f t="shared" si="0"/>
        <v>-1.1967887451941248</v>
      </c>
    </row>
    <row r="10" spans="2:12" x14ac:dyDescent="0.25">
      <c r="B10" s="16"/>
      <c r="C10" s="19" t="s">
        <v>17</v>
      </c>
      <c r="D10" s="24">
        <f>SUM(D6:D9)</f>
        <v>116596</v>
      </c>
      <c r="E10" s="20">
        <f>SUM(E6:E9)</f>
        <v>879837.7</v>
      </c>
      <c r="F10" s="20">
        <f>SUM(F6:F9)</f>
        <v>1929581.4285714286</v>
      </c>
      <c r="G10" s="20">
        <f>+E10-F10</f>
        <v>-1049743.7285714287</v>
      </c>
      <c r="H10" s="21">
        <f>ABS(G10/F10)</f>
        <v>0.54402665418925056</v>
      </c>
      <c r="I10" s="20">
        <f>E10/D10</f>
        <v>7.5460367422553087</v>
      </c>
      <c r="J10" s="20">
        <f>F10/D10</f>
        <v>16.549293531265469</v>
      </c>
      <c r="K10" s="20">
        <f>I10-J10</f>
        <v>-9.0032567890101607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11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2025-03-12T02:13:13Z</dcterms:modified>
</cp:coreProperties>
</file>