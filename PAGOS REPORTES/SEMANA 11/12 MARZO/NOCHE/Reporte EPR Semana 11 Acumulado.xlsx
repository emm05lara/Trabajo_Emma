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12 MARZO\NOCHE\"/>
    </mc:Choice>
  </mc:AlternateContent>
  <xr:revisionPtr revIDLastSave="0" documentId="13_ncr:1_{6C462908-AD21-40C2-903B-9EA6BF0FC1D1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12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39" i="1" l="1"/>
  <c r="C39" i="1"/>
  <c r="D18" i="1"/>
  <c r="C18" i="1"/>
  <c r="D34" i="1"/>
  <c r="C34" i="1"/>
  <c r="D26" i="1"/>
  <c r="C2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42" i="1" l="1"/>
  <c r="D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<sst xmlns="http://schemas.openxmlformats.org/spreadsheetml/2006/main" count="69" uniqueCount="35">
  <si>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</si>
  <si>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</si>
  <si>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</si>
  <si>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</si>
  <si>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</si>
  <si>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</si>
  <si>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</si>
  <si>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</si>
  <si>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</si>
  <si>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</si>
  <si>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</si>
  <si>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</si>
  <si>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</si>
  <si>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</si>
  <si>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</si>
  <si>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</si>
  <si>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</si>
  <si>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</si>
  <si>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</si>
  <si>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</si>
  <si>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</si>
  <si>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</si>
  <si>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</si>
  <si>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</si>
  <si>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</si>
  <si>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</si>
  <si>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</si>
  <si>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</si>
  <si>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</si>
  <si>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</si>
  <si>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</si>
  <si>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</si>
  <si>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</si>
  <si>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SALDO ACUMULADO SEMANA 11</t>
  </si>
  <si>
    <t>Samantha, Sofia, Edith, Olguin y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</si>
</sst>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0" fontId="7" fillId="0" borderId="0" xfId="0" applyFont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43" fontId="0" fillId="0" borderId="0" xfId="0" applyNumberFormat="1" applyFill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workbookViewId="0">
      <selection activeCell="D42" sqref="D4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6840</v>
      </c>
      <c r="D5" s="26">
        <v>238357.52</v>
      </c>
    </row>
    <row r="6" spans="2:8" x14ac:dyDescent="0.25">
      <c r="B6" s="1" t="s">
        <v>5</v>
      </c>
      <c r="C6" s="6">
        <v>8164</v>
      </c>
      <c r="D6" s="26">
        <v>124069.95</v>
      </c>
    </row>
    <row r="7" spans="2:8" x14ac:dyDescent="0.25">
      <c r="B7" s="1" t="s">
        <v>6</v>
      </c>
      <c r="C7" s="6">
        <v>9362</v>
      </c>
      <c r="D7" s="26">
        <v>92380</v>
      </c>
    </row>
    <row r="8" spans="2:8" x14ac:dyDescent="0.25">
      <c r="B8" s="5" t="s">
        <v>12</v>
      </c>
      <c r="C8" s="7">
        <v>21</v>
      </c>
      <c r="D8" s="31">
        <v>0</v>
      </c>
    </row>
    <row r="9" spans="2:8" x14ac:dyDescent="0.25">
      <c r="B9" s="1" t="s">
        <v>7</v>
      </c>
      <c r="C9" s="6">
        <v>49504</v>
      </c>
      <c r="D9" s="26">
        <v>229512.13999999998</v>
      </c>
      <c r="F9" s="7"/>
    </row>
    <row r="10" spans="2:8" x14ac:dyDescent="0.25">
      <c r="B10" s="3" t="s">
        <v>8</v>
      </c>
      <c r="C10" s="8">
        <f>SUM(C5:C9)</f>
        <v>73891</v>
      </c>
      <c r="D10" s="4">
        <f>SUM(D5:D9)</f>
        <v>684319.61</v>
      </c>
      <c r="E10" s="11" t="s">
        <v>14</v>
      </c>
    </row>
    <row r="12" spans="2:8" x14ac:dyDescent="0.25">
      <c r="B12" s="29" t="s">
        <v>9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1835</v>
      </c>
      <c r="D14" s="26">
        <v>158703.13</v>
      </c>
    </row>
    <row r="15" spans="2:8" x14ac:dyDescent="0.25">
      <c r="B15" s="9" t="s">
        <v>5</v>
      </c>
      <c r="C15" s="6">
        <v>635</v>
      </c>
      <c r="D15" s="26">
        <v>20098</v>
      </c>
    </row>
    <row r="16" spans="2:8" x14ac:dyDescent="0.25">
      <c r="B16" s="9" t="s">
        <v>6</v>
      </c>
      <c r="C16" s="6">
        <v>541</v>
      </c>
      <c r="D16" s="26">
        <v>4424</v>
      </c>
    </row>
    <row r="17" spans="2:11" x14ac:dyDescent="0.25">
      <c r="B17" s="9" t="s">
        <v>7</v>
      </c>
      <c r="C17" s="6">
        <v>1678</v>
      </c>
      <c r="D17" s="28">
        <v>0</v>
      </c>
    </row>
    <row r="18" spans="2:11" x14ac:dyDescent="0.25">
      <c r="B18" s="10" t="s">
        <v>8</v>
      </c>
      <c r="C18" s="8">
        <f>SUM(C14:C17)</f>
        <v>4689</v>
      </c>
      <c r="D18" s="4">
        <f>SUM(D14:D17)</f>
        <v>183225.13</v>
      </c>
    </row>
    <row r="20" spans="2:11" x14ac:dyDescent="0.25">
      <c r="B20" s="30" t="s">
        <v>32</v>
      </c>
      <c r="C20" s="30"/>
      <c r="D20" s="30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3862</v>
      </c>
      <c r="D22" s="26">
        <v>79105</v>
      </c>
    </row>
    <row r="23" spans="2:11" x14ac:dyDescent="0.25">
      <c r="B23" s="9" t="s">
        <v>5</v>
      </c>
      <c r="C23" s="6">
        <v>1386</v>
      </c>
      <c r="D23" s="26">
        <v>6308.74</v>
      </c>
    </row>
    <row r="24" spans="2:11" x14ac:dyDescent="0.25">
      <c r="B24" s="9" t="s">
        <v>6</v>
      </c>
      <c r="C24" s="6">
        <v>3158</v>
      </c>
      <c r="D24" s="26">
        <v>8544.58</v>
      </c>
    </row>
    <row r="25" spans="2:11" x14ac:dyDescent="0.25">
      <c r="B25" s="9" t="s">
        <v>7</v>
      </c>
      <c r="C25" s="6">
        <v>20884</v>
      </c>
      <c r="D25" s="26">
        <v>82867</v>
      </c>
    </row>
    <row r="26" spans="2:11" x14ac:dyDescent="0.25">
      <c r="B26" s="10" t="s">
        <v>8</v>
      </c>
      <c r="C26" s="8">
        <f>SUM(C22:C25)</f>
        <v>29290</v>
      </c>
      <c r="D26" s="4">
        <f>SUM(D22:D25)</f>
        <v>176825.32</v>
      </c>
    </row>
    <row r="27" spans="2:11" x14ac:dyDescent="0.25">
      <c r="K27" s="7"/>
    </row>
    <row r="28" spans="2:11" x14ac:dyDescent="0.25">
      <c r="B28" s="30" t="s">
        <v>10</v>
      </c>
      <c r="C28" s="30"/>
      <c r="D28" s="30"/>
    </row>
    <row r="29" spans="2:11" x14ac:dyDescent="0.25">
      <c r="B29" s="4" t="s">
        <v>1</v>
      </c>
      <c r="C29" s="4" t="s">
        <v>2</v>
      </c>
      <c r="D29" s="4" t="s">
        <v>3</v>
      </c>
    </row>
    <row r="30" spans="2:11" x14ac:dyDescent="0.25">
      <c r="B30" s="9" t="s">
        <v>4</v>
      </c>
      <c r="C30" s="6">
        <v>1896</v>
      </c>
      <c r="D30" s="26">
        <v>123333.73999999999</v>
      </c>
    </row>
    <row r="31" spans="2:11" x14ac:dyDescent="0.25">
      <c r="B31" s="9" t="s">
        <v>5</v>
      </c>
      <c r="C31" s="6">
        <v>1111</v>
      </c>
      <c r="D31" s="26">
        <v>31317</v>
      </c>
    </row>
    <row r="32" spans="2:11" x14ac:dyDescent="0.25">
      <c r="B32" s="9" t="s">
        <v>6</v>
      </c>
      <c r="C32" s="6">
        <v>13</v>
      </c>
      <c r="D32" s="11">
        <v>0</v>
      </c>
    </row>
    <row r="33" spans="2:5" x14ac:dyDescent="0.25">
      <c r="B33" s="9" t="s">
        <v>7</v>
      </c>
      <c r="C33" s="6">
        <v>711</v>
      </c>
      <c r="D33" s="26">
        <v>2653</v>
      </c>
    </row>
    <row r="34" spans="2:5" x14ac:dyDescent="0.25">
      <c r="B34" s="10" t="s">
        <v>8</v>
      </c>
      <c r="C34" s="8">
        <f>SUM(C30:C33)</f>
        <v>3731</v>
      </c>
      <c r="D34" s="4">
        <f>SUM(D30:D33)</f>
        <v>157303.74</v>
      </c>
    </row>
    <row r="36" spans="2:5" x14ac:dyDescent="0.25">
      <c r="B36" s="30" t="s">
        <v>11</v>
      </c>
      <c r="C36" s="30"/>
      <c r="D36" s="30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2991</v>
      </c>
      <c r="D38" s="26">
        <v>65299</v>
      </c>
    </row>
    <row r="39" spans="2:5" x14ac:dyDescent="0.25">
      <c r="B39" s="10" t="s">
        <v>8</v>
      </c>
      <c r="C39" s="8">
        <f>SUM(C38:C38)</f>
        <v>2991</v>
      </c>
      <c r="D39" s="4">
        <f>SUM(D38:D38)</f>
        <v>65299</v>
      </c>
    </row>
    <row r="40" spans="2:5" x14ac:dyDescent="0.25">
      <c r="B40" s="25"/>
      <c r="C40" s="25"/>
      <c r="D40" s="25"/>
    </row>
    <row r="42" spans="2:5" x14ac:dyDescent="0.25">
      <c r="B42" s="12" t="s">
        <v>13</v>
      </c>
      <c r="C42" s="13">
        <f>SUM(C10+C18+C34+C26+C39)</f>
        <v>114592</v>
      </c>
      <c r="D42" s="13">
        <f>SUM(D10+D18+D34+D26+D39)</f>
        <v>1266972.8</v>
      </c>
      <c r="E42" s="27"/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33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12 MAR'!C6, 'REPORTE DIARIO'!C:C)</f>
        <v>17424</v>
      </c>
      <c r="E6" s="16">
        <f>SUMIF('REPORTE DIARIO'!B:B,'EPR 12 MAR'!C6, 'REPORTE DIARIO'!D:D)</f>
        <v>664798.39</v>
      </c>
      <c r="F6" s="16">
        <f>J6*D6</f>
        <v>1493485.7142857143</v>
      </c>
      <c r="G6" s="16">
        <f>+E6-F6</f>
        <v>-828687.32428571431</v>
      </c>
      <c r="H6" s="15">
        <f>ABS(G6/F6)</f>
        <v>0.5548679283363942</v>
      </c>
      <c r="I6" s="16">
        <f>E6/D6</f>
        <v>38.154177571166208</v>
      </c>
      <c r="J6" s="16">
        <f>(200/7) * 3</f>
        <v>85.714285714285722</v>
      </c>
      <c r="K6" s="16">
        <f>+I6-J6</f>
        <v>-47.560108143119514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12 MAR'!C7, 'REPORTE DIARIO'!C:C)</f>
        <v>11296</v>
      </c>
      <c r="E7" s="16">
        <f>SUMIF('REPORTE DIARIO'!B:B,'EPR 12 MAR'!C7, 'REPORTE DIARIO'!D:D)</f>
        <v>181793.69</v>
      </c>
      <c r="F7" s="16">
        <f>J7*D7</f>
        <v>532525.7142857142</v>
      </c>
      <c r="G7" s="16">
        <f>+E7-F7</f>
        <v>-350732.0242857142</v>
      </c>
      <c r="H7" s="15">
        <f>ABS(G7/F7)</f>
        <v>0.65861988421752937</v>
      </c>
      <c r="I7" s="16">
        <f>E7/D7</f>
        <v>16.093634029745044</v>
      </c>
      <c r="J7" s="16">
        <f>(110/7)*3</f>
        <v>47.142857142857139</v>
      </c>
      <c r="K7" s="16">
        <f t="shared" ref="K7:K9" si="0">+I7-J7</f>
        <v>-31.049223113112095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12 MAR'!C8, 'REPORTE DIARIO'!C:C)</f>
        <v>13074</v>
      </c>
      <c r="E8" s="16">
        <f>SUMIF('REPORTE DIARIO'!B:B,'EPR 12 MAR'!C8, 'REPORTE DIARIO'!D:D)</f>
        <v>105348.58</v>
      </c>
      <c r="F8" s="16">
        <f>J8*D8</f>
        <v>252141.42857142855</v>
      </c>
      <c r="G8" s="16">
        <f>+E8-F8</f>
        <v>-146792.84857142856</v>
      </c>
      <c r="H8" s="15">
        <f>ABS(G8/F8)</f>
        <v>0.5821845676179469</v>
      </c>
      <c r="I8" s="16">
        <f>E8/D8</f>
        <v>8.0578690530824542</v>
      </c>
      <c r="J8" s="16">
        <f>(45/7)*3</f>
        <v>19.285714285714285</v>
      </c>
      <c r="K8" s="16">
        <f t="shared" si="0"/>
        <v>-11.227845232631831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12 MAR'!C9, 'REPORTE DIARIO'!C:C)</f>
        <v>72777</v>
      </c>
      <c r="E9" s="16">
        <f>SUMIF('REPORTE DIARIO'!B:B,'EPR 12 MAR'!C9, 'REPORTE DIARIO'!D:D)</f>
        <v>315032.14</v>
      </c>
      <c r="F9" s="16">
        <f>J9*D9</f>
        <v>467852.1428571429</v>
      </c>
      <c r="G9" s="16">
        <f>+E9-F9</f>
        <v>-152820.00285714288</v>
      </c>
      <c r="H9" s="15">
        <f>ABS(G9/F9)</f>
        <v>0.32664166487275442</v>
      </c>
      <c r="I9" s="16">
        <f>E9/D9</f>
        <v>4.3287321543894368</v>
      </c>
      <c r="J9" s="16">
        <f>(15/7)*3</f>
        <v>6.4285714285714288</v>
      </c>
      <c r="K9" s="16">
        <f t="shared" si="0"/>
        <v>-2.099839274181992</v>
      </c>
    </row>
    <row r="10" spans="2:12" x14ac:dyDescent="0.25">
      <c r="B10" s="16"/>
      <c r="C10" s="19" t="s">
        <v>17</v>
      </c>
      <c r="D10" s="24">
        <f>SUM(D6:D9)</f>
        <v>114571</v>
      </c>
      <c r="E10" s="20">
        <f>SUM(E6:E9)</f>
        <v>1266972.8</v>
      </c>
      <c r="F10" s="20">
        <f>SUM(F6:F9)</f>
        <v>2746005</v>
      </c>
      <c r="G10" s="20">
        <f>+E10-F10</f>
        <v>-1479032.2</v>
      </c>
      <c r="H10" s="21">
        <f>ABS(G10/F10)</f>
        <v>0.53861234775610389</v>
      </c>
      <c r="I10" s="20">
        <f>E10/D10</f>
        <v>11.058407450401935</v>
      </c>
      <c r="J10" s="20">
        <f>F10/D10</f>
        <v>23.967714343071108</v>
      </c>
      <c r="K10" s="20">
        <f>I10-J10</f>
        <v>-12.909306892669173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12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2025-03-13T02:17:30Z</dcterms:modified>
</cp:coreProperties>
</file>