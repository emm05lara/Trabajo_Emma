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12 MARZO\NOCHE\"/>
    </mc:Choice>
  </mc:AlternateContent>
  <xr:revisionPtr revIDLastSave="0" documentId="13_ncr:1_{08701BB5-0FFE-46F0-AE37-AE6A6ABB92EB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12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F6" i="3" s="1"/>
  <c r="D39" i="1"/>
  <c r="C39" i="1"/>
  <c r="D18" i="1"/>
  <c r="C18" i="1"/>
  <c r="D26" i="1"/>
  <c r="C26" i="1"/>
  <c r="D34" i="1"/>
  <c r="C34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2" i="1" l="1"/>
  <c r="C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<sst xmlns="http://schemas.openxmlformats.org/spreadsheetml/2006/main" count="69" uniqueCount="35">
  <si>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</si>
  <si>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</si>
  <si>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</si>
  <si>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</si>
  <si>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</si>
  <si>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</si>
  <si>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</si>
  <si>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</si>
  <si>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</si>
  <si>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</si>
  <si>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</si>
  <si>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</si>
  <si>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</si>
  <si>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</si>
  <si>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</si>
  <si>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</si>
  <si>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</si>
  <si>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</si>
  <si>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</si>
  <si>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</si>
  <si>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</si>
  <si>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</si>
  <si>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</si>
  <si>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</si>
  <si>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</si>
  <si>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</si>
  <si>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</si>
  <si>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</si>
  <si>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</si>
  <si>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</si>
  <si>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</si>
  <si>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</si>
  <si>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</si>
  <si>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</si>
  <si>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COBRANZA 12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</si>
</sst>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0" fontId="7" fillId="0" borderId="0" xfId="0" applyFont="1"/>
    <xf numFmtId="4" fontId="0" fillId="0" borderId="2" xfId="0" applyNumberFormat="1" applyBorder="1"/>
    <xf numFmtId="43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tabSelected="1" workbookViewId="0">
      <selection activeCell="B3" sqref="B3:D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6840</v>
      </c>
      <c r="D5" s="28">
        <v>62123</v>
      </c>
    </row>
    <row r="6" spans="2:8" x14ac:dyDescent="0.25">
      <c r="B6" s="1" t="s">
        <v>5</v>
      </c>
      <c r="C6" s="6">
        <v>8164</v>
      </c>
      <c r="D6" s="28">
        <v>27365</v>
      </c>
    </row>
    <row r="7" spans="2:8" x14ac:dyDescent="0.25">
      <c r="B7" s="1" t="s">
        <v>6</v>
      </c>
      <c r="C7" s="6">
        <v>9362</v>
      </c>
      <c r="D7" s="28">
        <v>29625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49504</v>
      </c>
      <c r="D9" s="28">
        <v>53402</v>
      </c>
      <c r="F9" s="7"/>
    </row>
    <row r="10" spans="2:8" x14ac:dyDescent="0.25">
      <c r="B10" s="3" t="s">
        <v>8</v>
      </c>
      <c r="C10" s="8">
        <f>SUM(C5:C9)</f>
        <v>73891</v>
      </c>
      <c r="D10" s="4">
        <f>SUM(D5:D9)</f>
        <v>172515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3862</v>
      </c>
      <c r="D14" s="28">
        <v>15723</v>
      </c>
    </row>
    <row r="15" spans="2:8" x14ac:dyDescent="0.25">
      <c r="B15" s="9" t="s">
        <v>5</v>
      </c>
      <c r="C15" s="6">
        <v>1386</v>
      </c>
      <c r="D15" s="29">
        <v>0</v>
      </c>
    </row>
    <row r="16" spans="2:8" x14ac:dyDescent="0.25">
      <c r="B16" s="9" t="s">
        <v>6</v>
      </c>
      <c r="C16" s="6">
        <v>3158</v>
      </c>
      <c r="D16" s="28">
        <v>2737</v>
      </c>
    </row>
    <row r="17" spans="2:11" x14ac:dyDescent="0.25">
      <c r="B17" s="9" t="s">
        <v>7</v>
      </c>
      <c r="C17" s="6">
        <v>20884</v>
      </c>
      <c r="D17" s="28">
        <v>34947</v>
      </c>
    </row>
    <row r="18" spans="2:11" x14ac:dyDescent="0.25">
      <c r="B18" s="10" t="s">
        <v>8</v>
      </c>
      <c r="C18" s="8">
        <f>SUM(C14:C17)</f>
        <v>29290</v>
      </c>
      <c r="D18" s="4">
        <f>SUM(D14:D17)</f>
        <v>53407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1896</v>
      </c>
      <c r="D22" s="28">
        <v>39215</v>
      </c>
    </row>
    <row r="23" spans="2:11" x14ac:dyDescent="0.25">
      <c r="B23" s="9" t="s">
        <v>5</v>
      </c>
      <c r="C23" s="6">
        <v>1111</v>
      </c>
      <c r="D23" s="28">
        <v>1979</v>
      </c>
    </row>
    <row r="24" spans="2:11" x14ac:dyDescent="0.25">
      <c r="B24" s="9" t="s">
        <v>6</v>
      </c>
      <c r="C24" s="6">
        <v>13</v>
      </c>
      <c r="D24" s="11">
        <v>0</v>
      </c>
    </row>
    <row r="25" spans="2:11" x14ac:dyDescent="0.25">
      <c r="B25" s="9" t="s">
        <v>7</v>
      </c>
      <c r="C25" s="6">
        <v>711</v>
      </c>
      <c r="D25" s="28">
        <v>1000</v>
      </c>
    </row>
    <row r="26" spans="2:11" x14ac:dyDescent="0.25">
      <c r="B26" s="10" t="s">
        <v>8</v>
      </c>
      <c r="C26" s="8">
        <f>SUM(C22:C25)</f>
        <v>3731</v>
      </c>
      <c r="D26" s="4">
        <f>SUM(D22:D25)</f>
        <v>42194</v>
      </c>
      <c r="K26" s="7"/>
    </row>
    <row r="28" spans="2:11" x14ac:dyDescent="0.25">
      <c r="B28" s="31" t="s">
        <v>9</v>
      </c>
      <c r="C28" s="31"/>
      <c r="D28" s="31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1835</v>
      </c>
      <c r="D30" s="28">
        <v>74301.5</v>
      </c>
    </row>
    <row r="31" spans="2:11" x14ac:dyDescent="0.25">
      <c r="B31" s="9" t="s">
        <v>5</v>
      </c>
      <c r="C31" s="6">
        <v>635</v>
      </c>
      <c r="D31" s="28">
        <v>12538</v>
      </c>
    </row>
    <row r="32" spans="2:11" x14ac:dyDescent="0.25">
      <c r="B32" s="9" t="s">
        <v>6</v>
      </c>
      <c r="C32" s="6">
        <v>541</v>
      </c>
      <c r="D32" s="29">
        <v>0</v>
      </c>
    </row>
    <row r="33" spans="2:5" x14ac:dyDescent="0.25">
      <c r="B33" s="9" t="s">
        <v>7</v>
      </c>
      <c r="C33" s="6">
        <v>1678</v>
      </c>
      <c r="D33" s="29">
        <v>0</v>
      </c>
    </row>
    <row r="34" spans="2:5" x14ac:dyDescent="0.25">
      <c r="B34" s="10" t="s">
        <v>8</v>
      </c>
      <c r="C34" s="8">
        <f>SUM(C30:C33)</f>
        <v>4689</v>
      </c>
      <c r="D34" s="4">
        <f>SUM(D30:D33)</f>
        <v>86839.5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2991</v>
      </c>
      <c r="D38" s="28">
        <v>5692</v>
      </c>
    </row>
    <row r="39" spans="2:5" x14ac:dyDescent="0.25">
      <c r="B39" s="10" t="s">
        <v>8</v>
      </c>
      <c r="C39" s="8">
        <f>SUM(C38:C38)</f>
        <v>2991</v>
      </c>
      <c r="D39" s="4">
        <f>SUM(D38:D38)</f>
        <v>5692</v>
      </c>
    </row>
    <row r="40" spans="2:5" x14ac:dyDescent="0.25">
      <c r="B40" s="25"/>
      <c r="C40" s="25"/>
      <c r="D40" s="25"/>
    </row>
    <row r="41" spans="2:5" x14ac:dyDescent="0.25">
      <c r="E41" s="27"/>
    </row>
    <row r="42" spans="2:5" x14ac:dyDescent="0.25">
      <c r="B42" s="12" t="s">
        <v>13</v>
      </c>
      <c r="C42" s="13">
        <f>SUM(C10+C34+C26+C18+C39)</f>
        <v>114592</v>
      </c>
      <c r="D42" s="13">
        <f>SUM(D10+D34+D26+D18+D39)</f>
        <v>360647.5</v>
      </c>
    </row>
  </sheetData>
  <mergeCells count="5">
    <mergeCell ref="B20:D20"/>
    <mergeCell ref="B3:D3"/>
    <mergeCell ref="B28:D28"/>
    <mergeCell ref="B12:D12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workbookViewId="0">
      <selection activeCell="J6" sqref="J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12 MAR'!C6, 'REPORTE DIARIO'!C:C)</f>
        <v>17424</v>
      </c>
      <c r="E6" s="16">
        <f>SUMIF('REPORTE DIARIO'!B:B,'EPR 12 MAR'!C6, 'REPORTE DIARIO'!D:D)</f>
        <v>197054.5</v>
      </c>
      <c r="F6" s="16">
        <f>J6*D6</f>
        <v>497828.57142857148</v>
      </c>
      <c r="G6" s="16">
        <f>+E6-F6</f>
        <v>-300774.07142857148</v>
      </c>
      <c r="H6" s="15">
        <f>ABS(G6/F6)</f>
        <v>0.60417197543618006</v>
      </c>
      <c r="I6" s="16">
        <f>E6/D6</f>
        <v>11.309372130394857</v>
      </c>
      <c r="J6" s="16">
        <f>200/7</f>
        <v>28.571428571428573</v>
      </c>
      <c r="K6" s="16">
        <f>+I6-J6</f>
        <v>-17.262056441033714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12 MAR'!C7, 'REPORTE DIARIO'!C:C)</f>
        <v>11296</v>
      </c>
      <c r="E7" s="16">
        <f>SUMIF('REPORTE DIARIO'!B:B,'EPR 12 MAR'!C7, 'REPORTE DIARIO'!D:D)</f>
        <v>41882</v>
      </c>
      <c r="F7" s="16">
        <f>J7*D7</f>
        <v>177508.57142857142</v>
      </c>
      <c r="G7" s="16">
        <f>+E7-F7</f>
        <v>-135626.57142857142</v>
      </c>
      <c r="H7" s="15">
        <f>ABS(G7/F7)</f>
        <v>0.76405646407416949</v>
      </c>
      <c r="I7" s="16">
        <f>E7/D7</f>
        <v>3.7076841359773369</v>
      </c>
      <c r="J7" s="16">
        <f>110/7</f>
        <v>15.714285714285714</v>
      </c>
      <c r="K7" s="16">
        <f t="shared" ref="K7:K9" si="0">+I7-J7</f>
        <v>-12.006601578308377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12 MAR'!C8, 'REPORTE DIARIO'!C:C)</f>
        <v>13074</v>
      </c>
      <c r="E8" s="16">
        <f>SUMIF('REPORTE DIARIO'!B:B,'EPR 12 MAR'!C8, 'REPORTE DIARIO'!D:D)</f>
        <v>32362</v>
      </c>
      <c r="F8" s="16">
        <f>J8*D8</f>
        <v>84047.142857142855</v>
      </c>
      <c r="G8" s="16">
        <f>+E8-F8</f>
        <v>-51685.142857142855</v>
      </c>
      <c r="H8" s="15">
        <f>ABS(G8/F8)</f>
        <v>0.61495419237502758</v>
      </c>
      <c r="I8" s="16">
        <f>E8/D8</f>
        <v>2.4752944775891081</v>
      </c>
      <c r="J8" s="16">
        <f>45/7</f>
        <v>6.4285714285714288</v>
      </c>
      <c r="K8" s="16">
        <f t="shared" si="0"/>
        <v>-3.9532769509823207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12 MAR'!C9, 'REPORTE DIARIO'!C:C)</f>
        <v>72777</v>
      </c>
      <c r="E9" s="16">
        <f>SUMIF('REPORTE DIARIO'!B:B,'EPR 12 MAR'!C9, 'REPORTE DIARIO'!D:D)</f>
        <v>89349</v>
      </c>
      <c r="F9" s="16">
        <f>J9*D9</f>
        <v>155950.71428571429</v>
      </c>
      <c r="G9" s="16">
        <f>+E9-F9</f>
        <v>-66601.71428571429</v>
      </c>
      <c r="H9" s="15">
        <f>ABS(G9/F9)</f>
        <v>0.42706899157700923</v>
      </c>
      <c r="I9" s="16">
        <f>E9/D9</f>
        <v>1.2277093037635516</v>
      </c>
      <c r="J9" s="16">
        <f>15/7</f>
        <v>2.1428571428571428</v>
      </c>
      <c r="K9" s="16">
        <f t="shared" si="0"/>
        <v>-0.91514783909359121</v>
      </c>
    </row>
    <row r="10" spans="2:12" x14ac:dyDescent="0.25">
      <c r="B10" s="16"/>
      <c r="C10" s="19" t="s">
        <v>17</v>
      </c>
      <c r="D10" s="24">
        <f>SUM(D6:D9)</f>
        <v>114571</v>
      </c>
      <c r="E10" s="20">
        <f>SUM(E6:E9)</f>
        <v>360647.5</v>
      </c>
      <c r="F10" s="20">
        <f>SUM(F6:F9)</f>
        <v>915335.00000000012</v>
      </c>
      <c r="G10" s="20">
        <f>+E10-F10</f>
        <v>-554687.50000000012</v>
      </c>
      <c r="H10" s="21">
        <f>ABS(G10/F10)</f>
        <v>0.60599398034599361</v>
      </c>
      <c r="I10" s="20">
        <f>E10/D10</f>
        <v>3.1478079095058957</v>
      </c>
      <c r="J10" s="20">
        <f>F10/D10</f>
        <v>7.989238114357037</v>
      </c>
      <c r="K10" s="20">
        <f>I10-J10</f>
        <v>-4.8414302048511413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12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2025-03-13T02:12:18Z</dcterms:modified>
</cp:coreProperties>
</file>