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3 MARZO\NOCHE\"/>
    </mc:Choice>
  </mc:AlternateContent>
  <xr:revisionPtr revIDLastSave="0" documentId="13_ncr:1_{032DEB45-3D9D-47E6-ADD1-3F9991858E81}" xr6:coauthVersionLast="47" xr6:coauthVersionMax="47" xr10:uidLastSave="{00000000-0000-0000-0000-000000000000}"/>
  <bookViews>
    <workbookView xWindow="11925" yWindow="690" windowWidth="13410" windowHeight="8850" activeTab="2" xr2:uid="{4DC6C92A-CD8A-4966-829B-0B6A986E825B}"/>
  </bookViews>
  <sheets>
    <sheet name="REPORTE DIARIO" sheetId="1" r:id="rId1"/>
    <sheet name="DATA" sheetId="4" r:id="rId2"/>
    <sheet name="EPR 13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1" i="1"/>
  <c r="C31" i="1"/>
  <c r="D18" i="1"/>
  <c r="C18" i="1"/>
  <c r="D26" i="1"/>
  <c r="C26" i="1"/>
  <c r="D39" i="1"/>
  <c r="C39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<sst xmlns="http://schemas.openxmlformats.org/spreadsheetml/2006/main" count="69" uniqueCount="35">
  <si>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</si>
  <si>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</si>
  <si>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</si>
  <si>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</si>
  <si>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</si>
  <si>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</si>
  <si>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</si>
  <si>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</si>
  <si>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</si>
  <si>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</si>
  <si>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</si>
  <si>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</si>
  <si>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</si>
  <si>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</si>
  <si>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</si>
  <si>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</si>
  <si>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</si>
  <si>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</si>
  <si>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</si>
  <si>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</si>
  <si>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</si>
  <si>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</si>
  <si>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</si>
  <si>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</si>
  <si>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</si>
  <si>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</si>
  <si>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</si>
  <si>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</si>
  <si>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</si>
  <si>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</si>
  <si>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</si>
  <si>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</si>
  <si>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</si>
  <si>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</si>
  <si>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13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</si>
</sst>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D40" sqref="D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6849</v>
      </c>
      <c r="D5" s="28">
        <v>35902</v>
      </c>
    </row>
    <row r="6" spans="2:8" x14ac:dyDescent="0.25">
      <c r="B6" s="1" t="s">
        <v>5</v>
      </c>
      <c r="C6" s="6">
        <v>8351</v>
      </c>
      <c r="D6" s="28">
        <v>69762.3</v>
      </c>
    </row>
    <row r="7" spans="2:8" x14ac:dyDescent="0.25">
      <c r="B7" s="1" t="s">
        <v>6</v>
      </c>
      <c r="C7" s="6">
        <v>9478</v>
      </c>
      <c r="D7" s="28">
        <v>72547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49585</v>
      </c>
      <c r="D9" s="28">
        <v>17851</v>
      </c>
      <c r="F9" s="7"/>
    </row>
    <row r="10" spans="2:8" x14ac:dyDescent="0.25">
      <c r="B10" s="3" t="s">
        <v>8</v>
      </c>
      <c r="C10" s="8">
        <f>SUM(C5:C9)</f>
        <v>74284</v>
      </c>
      <c r="D10" s="4">
        <f>SUM(D5:D9)</f>
        <v>196062.3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3849</v>
      </c>
      <c r="D14" s="28">
        <v>27112.519999999997</v>
      </c>
    </row>
    <row r="15" spans="2:8" x14ac:dyDescent="0.25">
      <c r="B15" s="9" t="s">
        <v>5</v>
      </c>
      <c r="C15" s="6">
        <v>1413</v>
      </c>
      <c r="D15" s="28">
        <v>24521.96</v>
      </c>
    </row>
    <row r="16" spans="2:8" x14ac:dyDescent="0.25">
      <c r="B16" s="9" t="s">
        <v>6</v>
      </c>
      <c r="C16" s="6">
        <v>3162</v>
      </c>
      <c r="D16" s="28">
        <v>5603</v>
      </c>
    </row>
    <row r="17" spans="2:11" x14ac:dyDescent="0.25">
      <c r="B17" s="9" t="s">
        <v>7</v>
      </c>
      <c r="C17" s="6">
        <v>20887</v>
      </c>
      <c r="D17" s="28">
        <v>28784</v>
      </c>
    </row>
    <row r="18" spans="2:11" x14ac:dyDescent="0.25">
      <c r="B18" s="10" t="s">
        <v>8</v>
      </c>
      <c r="C18" s="8">
        <f>SUM(C14:C17)</f>
        <v>29311</v>
      </c>
      <c r="D18" s="4">
        <f>SUM(D14:D17)</f>
        <v>86021.48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1885</v>
      </c>
      <c r="D22" s="28">
        <v>18596.39</v>
      </c>
    </row>
    <row r="23" spans="2:11" x14ac:dyDescent="0.25">
      <c r="B23" s="9" t="s">
        <v>5</v>
      </c>
      <c r="C23" s="6">
        <v>1352</v>
      </c>
      <c r="D23" s="28">
        <v>15610.029999999999</v>
      </c>
    </row>
    <row r="24" spans="2:11" x14ac:dyDescent="0.25">
      <c r="B24" s="9" t="s">
        <v>6</v>
      </c>
      <c r="C24" s="6">
        <v>14</v>
      </c>
      <c r="D24" s="11">
        <v>0</v>
      </c>
    </row>
    <row r="25" spans="2:11" x14ac:dyDescent="0.25">
      <c r="B25" s="9" t="s">
        <v>7</v>
      </c>
      <c r="C25" s="6">
        <v>720</v>
      </c>
      <c r="D25" s="28">
        <v>5944</v>
      </c>
    </row>
    <row r="26" spans="2:11" x14ac:dyDescent="0.25">
      <c r="B26" s="10" t="s">
        <v>8</v>
      </c>
      <c r="C26" s="8">
        <f>SUM(C22:C25)</f>
        <v>3971</v>
      </c>
      <c r="D26" s="4">
        <f>SUM(D22:D25)</f>
        <v>40150.42</v>
      </c>
      <c r="K26" s="7"/>
    </row>
    <row r="28" spans="2:11" x14ac:dyDescent="0.25">
      <c r="B28" s="30" t="s">
        <v>11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3001</v>
      </c>
      <c r="D30" s="28">
        <v>32323</v>
      </c>
    </row>
    <row r="31" spans="2:11" x14ac:dyDescent="0.25">
      <c r="B31" s="10" t="s">
        <v>8</v>
      </c>
      <c r="C31" s="8">
        <f>SUM(C30:C30)</f>
        <v>3001</v>
      </c>
      <c r="D31" s="4">
        <f>SUM(D30:D30)</f>
        <v>32323</v>
      </c>
    </row>
    <row r="33" spans="2:5" x14ac:dyDescent="0.25">
      <c r="B33" s="31" t="s">
        <v>9</v>
      </c>
      <c r="C33" s="31"/>
      <c r="D33" s="31"/>
    </row>
    <row r="34" spans="2:5" x14ac:dyDescent="0.25">
      <c r="B34" s="2" t="s">
        <v>1</v>
      </c>
      <c r="C34" s="2" t="s">
        <v>2</v>
      </c>
      <c r="D34" s="2" t="s">
        <v>3</v>
      </c>
    </row>
    <row r="35" spans="2:5" x14ac:dyDescent="0.25">
      <c r="B35" s="9" t="s">
        <v>4</v>
      </c>
      <c r="C35" s="6">
        <v>1790</v>
      </c>
      <c r="D35" s="28">
        <v>6697.8899999999994</v>
      </c>
    </row>
    <row r="36" spans="2:5" x14ac:dyDescent="0.25">
      <c r="B36" s="9" t="s">
        <v>5</v>
      </c>
      <c r="C36" s="6">
        <v>633</v>
      </c>
      <c r="D36" s="28">
        <v>8153.26</v>
      </c>
    </row>
    <row r="37" spans="2:5" x14ac:dyDescent="0.25">
      <c r="B37" s="9" t="s">
        <v>6</v>
      </c>
      <c r="C37" s="6">
        <v>539</v>
      </c>
      <c r="D37" s="28">
        <v>412</v>
      </c>
    </row>
    <row r="38" spans="2:5" x14ac:dyDescent="0.25">
      <c r="B38" s="9" t="s">
        <v>7</v>
      </c>
      <c r="C38" s="6">
        <v>1678</v>
      </c>
      <c r="D38" s="29">
        <v>0</v>
      </c>
    </row>
    <row r="39" spans="2:5" x14ac:dyDescent="0.25">
      <c r="B39" s="10" t="s">
        <v>8</v>
      </c>
      <c r="C39" s="8">
        <f>SUM(C35:C38)</f>
        <v>4640</v>
      </c>
      <c r="D39" s="4">
        <f>SUM(D35:D38)</f>
        <v>15263.15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SUM(C10+C39+C26+C18+C31)</f>
        <v>115207</v>
      </c>
      <c r="D42" s="13">
        <f>SUM(D10+D39+D26+D18+D31)</f>
        <v>369820.35</v>
      </c>
    </row>
  </sheetData>
  <mergeCells count="5">
    <mergeCell ref="B20:D20"/>
    <mergeCell ref="B3:D3"/>
    <mergeCell ref="B33:D33"/>
    <mergeCell ref="B12:D12"/>
    <mergeCell ref="B28:D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13 MAR'!C6, 'REPORTE DIARIO'!C:C)</f>
        <v>17374</v>
      </c>
      <c r="E6" s="16">
        <f>SUMIF('REPORTE DIARIO'!B:B,'EPR 13 MAR'!C6, 'REPORTE DIARIO'!D:D)</f>
        <v>120631.8</v>
      </c>
      <c r="F6" s="16">
        <f>J6*D6</f>
        <v>496400</v>
      </c>
      <c r="G6" s="16">
        <f>+E6-F6</f>
        <v>-375768.2</v>
      </c>
      <c r="H6" s="15">
        <f>ABS(G6/F6)</f>
        <v>0.75698670427074943</v>
      </c>
      <c r="I6" s="16">
        <f>E6/D6</f>
        <v>6.9432370208357321</v>
      </c>
      <c r="J6" s="16">
        <f>200/7</f>
        <v>28.571428571428573</v>
      </c>
      <c r="K6" s="16">
        <f>+I6-J6</f>
        <v>-21.628191550592842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13 MAR'!C7, 'REPORTE DIARIO'!C:C)</f>
        <v>11749</v>
      </c>
      <c r="E7" s="16">
        <f>SUMIF('REPORTE DIARIO'!B:B,'EPR 13 MAR'!C7, 'REPORTE DIARIO'!D:D)</f>
        <v>118047.55</v>
      </c>
      <c r="F7" s="16">
        <f>J7*D7</f>
        <v>184627.14285714284</v>
      </c>
      <c r="G7" s="16">
        <f>+E7-F7</f>
        <v>-66579.592857142838</v>
      </c>
      <c r="H7" s="15">
        <f>ABS(G7/F7)</f>
        <v>0.3606164934733323</v>
      </c>
      <c r="I7" s="16">
        <f>E7/D7</f>
        <v>10.047455102561921</v>
      </c>
      <c r="J7" s="16">
        <f>110/7</f>
        <v>15.714285714285714</v>
      </c>
      <c r="K7" s="16">
        <f t="shared" ref="K7:K9" si="0">+I7-J7</f>
        <v>-5.6668306117237925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13 MAR'!C8, 'REPORTE DIARIO'!C:C)</f>
        <v>13193</v>
      </c>
      <c r="E8" s="16">
        <f>SUMIF('REPORTE DIARIO'!B:B,'EPR 13 MAR'!C8, 'REPORTE DIARIO'!D:D)</f>
        <v>78562</v>
      </c>
      <c r="F8" s="16">
        <f>J8*D8</f>
        <v>84812.142857142855</v>
      </c>
      <c r="G8" s="16">
        <f>+E8-F8</f>
        <v>-6250.1428571428551</v>
      </c>
      <c r="H8" s="15">
        <f>ABS(G8/F8)</f>
        <v>7.3693962286397643E-2</v>
      </c>
      <c r="I8" s="16">
        <f>E8/D8</f>
        <v>5.9548245281588725</v>
      </c>
      <c r="J8" s="16">
        <f>45/7</f>
        <v>6.4285714285714288</v>
      </c>
      <c r="K8" s="16">
        <f t="shared" si="0"/>
        <v>-0.47374690041255629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13 MAR'!C9, 'REPORTE DIARIO'!C:C)</f>
        <v>72870</v>
      </c>
      <c r="E9" s="16">
        <f>SUMIF('REPORTE DIARIO'!B:B,'EPR 13 MAR'!C9, 'REPORTE DIARIO'!D:D)</f>
        <v>52579</v>
      </c>
      <c r="F9" s="16">
        <f>J9*D9</f>
        <v>156150</v>
      </c>
      <c r="G9" s="16">
        <f>+E9-F9</f>
        <v>-103571</v>
      </c>
      <c r="H9" s="15">
        <f>ABS(G9/F9)</f>
        <v>0.66327889849503685</v>
      </c>
      <c r="I9" s="16">
        <f>E9/D9</f>
        <v>0.72154521751063538</v>
      </c>
      <c r="J9" s="16">
        <f>15/7</f>
        <v>2.1428571428571428</v>
      </c>
      <c r="K9" s="16">
        <f t="shared" si="0"/>
        <v>-1.4213119253465074</v>
      </c>
    </row>
    <row r="10" spans="2:12" x14ac:dyDescent="0.25">
      <c r="B10" s="16"/>
      <c r="C10" s="19" t="s">
        <v>17</v>
      </c>
      <c r="D10" s="24">
        <f>SUM(D6:D9)</f>
        <v>115186</v>
      </c>
      <c r="E10" s="20">
        <f>SUM(E6:E9)</f>
        <v>369820.35</v>
      </c>
      <c r="F10" s="20">
        <f>SUM(F6:F9)</f>
        <v>921989.28571428568</v>
      </c>
      <c r="G10" s="20">
        <f>+E10-F10</f>
        <v>-552168.9357142857</v>
      </c>
      <c r="H10" s="21">
        <f>ABS(G10/F10)</f>
        <v>0.59888866852341793</v>
      </c>
      <c r="I10" s="20">
        <f>E10/D10</f>
        <v>3.2106362752417827</v>
      </c>
      <c r="J10" s="20">
        <f>F10/D10</f>
        <v>8.0043519673769872</v>
      </c>
      <c r="K10" s="20">
        <f>I10-J10</f>
        <v>-4.7937156921352049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2025-03-14T02:07:50Z</dcterms:modified>
</cp:coreProperties>
</file>