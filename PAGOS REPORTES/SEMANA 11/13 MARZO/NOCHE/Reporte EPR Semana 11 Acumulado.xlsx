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13 MARZO\NOCHE\"/>
    </mc:Choice>
  </mc:AlternateContent>
  <xr:revisionPtr revIDLastSave="0" documentId="13_ncr:1_{6A72E244-77DD-44FB-9EFD-76C4B44A0189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3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 l="1"/>
  <c r="C39" i="1"/>
  <c r="D26" i="1"/>
  <c r="C26" i="1"/>
  <c r="D34" i="1"/>
  <c r="C34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<sst xmlns="http://schemas.openxmlformats.org/spreadsheetml/2006/main" count="69" uniqueCount="35">
  <si>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</si>
  <si>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</si>
  <si>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</si>
  <si>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</si>
  <si>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</si>
  <si>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</si>
  <si>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</si>
  <si>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</si>
  <si>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</si>
  <si>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</si>
  <si>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</si>
  <si>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</si>
  <si>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</si>
  <si>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</si>
  <si>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</si>
  <si>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</si>
  <si>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</si>
  <si>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</si>
  <si>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</si>
  <si>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</si>
  <si>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</si>
  <si>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</si>
  <si>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</si>
  <si>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</si>
  <si>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</si>
  <si>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</si>
  <si>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</si>
  <si>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</si>
  <si>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</si>
  <si>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</si>
  <si>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</si>
  <si>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</si>
  <si>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</si>
  <si>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11</t>
  </si>
  <si>
    <t>Samantha, Sofia, Edith, Olguin y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</si>
</sst>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1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D39" sqref="D3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6849</v>
      </c>
      <c r="D5" s="26">
        <v>280235.59999999998</v>
      </c>
    </row>
    <row r="6" spans="2:8" x14ac:dyDescent="0.25">
      <c r="B6" s="1" t="s">
        <v>5</v>
      </c>
      <c r="C6" s="6">
        <v>8351</v>
      </c>
      <c r="D6" s="26">
        <v>233588.25</v>
      </c>
    </row>
    <row r="7" spans="2:8" x14ac:dyDescent="0.25">
      <c r="B7" s="1" t="s">
        <v>6</v>
      </c>
      <c r="C7" s="6">
        <v>9478</v>
      </c>
      <c r="D7" s="26">
        <v>171660</v>
      </c>
    </row>
    <row r="8" spans="2:8" x14ac:dyDescent="0.25">
      <c r="B8" s="5" t="s">
        <v>12</v>
      </c>
      <c r="C8" s="7">
        <v>21</v>
      </c>
      <c r="D8" s="29">
        <v>0</v>
      </c>
    </row>
    <row r="9" spans="2:8" x14ac:dyDescent="0.25">
      <c r="B9" s="1" t="s">
        <v>7</v>
      </c>
      <c r="C9" s="6">
        <v>49585</v>
      </c>
      <c r="D9" s="26">
        <v>248210.13999999998</v>
      </c>
      <c r="F9" s="7"/>
    </row>
    <row r="10" spans="2:8" x14ac:dyDescent="0.25">
      <c r="B10" s="3" t="s">
        <v>8</v>
      </c>
      <c r="C10" s="8">
        <f>SUM(C5:C9)</f>
        <v>74284</v>
      </c>
      <c r="D10" s="4">
        <f>SUM(D5:D9)</f>
        <v>933693.99</v>
      </c>
      <c r="E10" s="11" t="s">
        <v>14</v>
      </c>
    </row>
    <row r="12" spans="2:8" x14ac:dyDescent="0.25">
      <c r="B12" s="31" t="s">
        <v>32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3849</v>
      </c>
      <c r="D14" s="26">
        <v>109176.52</v>
      </c>
    </row>
    <row r="15" spans="2:8" x14ac:dyDescent="0.25">
      <c r="B15" s="9" t="s">
        <v>5</v>
      </c>
      <c r="C15" s="6">
        <v>1413</v>
      </c>
      <c r="D15" s="26">
        <v>30957.699999999997</v>
      </c>
    </row>
    <row r="16" spans="2:8" x14ac:dyDescent="0.25">
      <c r="B16" s="9" t="s">
        <v>6</v>
      </c>
      <c r="C16" s="6">
        <v>3162</v>
      </c>
      <c r="D16" s="26">
        <v>14147.58</v>
      </c>
    </row>
    <row r="17" spans="2:11" x14ac:dyDescent="0.25">
      <c r="B17" s="9" t="s">
        <v>7</v>
      </c>
      <c r="C17" s="6">
        <v>20887</v>
      </c>
      <c r="D17" s="26">
        <v>112081</v>
      </c>
    </row>
    <row r="18" spans="2:11" x14ac:dyDescent="0.25">
      <c r="B18" s="10" t="s">
        <v>8</v>
      </c>
      <c r="C18" s="8">
        <f>SUM(C14:C17)</f>
        <v>29311</v>
      </c>
      <c r="D18" s="4">
        <f>SUM(D14:D17)</f>
        <v>266362.8</v>
      </c>
    </row>
    <row r="20" spans="2:11" x14ac:dyDescent="0.25">
      <c r="B20" s="30" t="s">
        <v>9</v>
      </c>
      <c r="C20" s="30"/>
      <c r="D20" s="30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1790</v>
      </c>
      <c r="D22" s="26">
        <v>163557.01999999999</v>
      </c>
    </row>
    <row r="23" spans="2:11" x14ac:dyDescent="0.25">
      <c r="B23" s="9" t="s">
        <v>5</v>
      </c>
      <c r="C23" s="6">
        <v>633</v>
      </c>
      <c r="D23" s="26">
        <v>32482.6</v>
      </c>
    </row>
    <row r="24" spans="2:11" x14ac:dyDescent="0.25">
      <c r="B24" s="9" t="s">
        <v>6</v>
      </c>
      <c r="C24" s="6">
        <v>539</v>
      </c>
      <c r="D24" s="26">
        <v>4836</v>
      </c>
    </row>
    <row r="25" spans="2:11" x14ac:dyDescent="0.25">
      <c r="B25" s="9" t="s">
        <v>7</v>
      </c>
      <c r="C25" s="6">
        <v>1678</v>
      </c>
      <c r="D25" s="28">
        <v>0</v>
      </c>
    </row>
    <row r="26" spans="2:11" x14ac:dyDescent="0.25">
      <c r="B26" s="10" t="s">
        <v>8</v>
      </c>
      <c r="C26" s="8">
        <f>SUM(C22:C25)</f>
        <v>4640</v>
      </c>
      <c r="D26" s="4">
        <f>SUM(D22:D25)</f>
        <v>200875.62</v>
      </c>
    </row>
    <row r="27" spans="2:11" x14ac:dyDescent="0.25">
      <c r="K27" s="7"/>
    </row>
    <row r="28" spans="2:11" x14ac:dyDescent="0.25">
      <c r="B28" s="31" t="s">
        <v>10</v>
      </c>
      <c r="C28" s="31"/>
      <c r="D28" s="31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1885</v>
      </c>
      <c r="D30" s="26">
        <v>142955.14000000001</v>
      </c>
    </row>
    <row r="31" spans="2:11" x14ac:dyDescent="0.25">
      <c r="B31" s="9" t="s">
        <v>5</v>
      </c>
      <c r="C31" s="6">
        <v>1352</v>
      </c>
      <c r="D31" s="26">
        <v>47060.03</v>
      </c>
    </row>
    <row r="32" spans="2:11" x14ac:dyDescent="0.25">
      <c r="B32" s="9" t="s">
        <v>6</v>
      </c>
      <c r="C32" s="6">
        <v>14</v>
      </c>
      <c r="D32" s="26">
        <v>621</v>
      </c>
    </row>
    <row r="33" spans="2:5" x14ac:dyDescent="0.25">
      <c r="B33" s="9" t="s">
        <v>7</v>
      </c>
      <c r="C33" s="6">
        <v>720</v>
      </c>
      <c r="D33" s="26">
        <v>8097</v>
      </c>
    </row>
    <row r="34" spans="2:5" x14ac:dyDescent="0.25">
      <c r="B34" s="10" t="s">
        <v>8</v>
      </c>
      <c r="C34" s="8">
        <f>SUM(C30:C33)</f>
        <v>3971</v>
      </c>
      <c r="D34" s="4">
        <f>SUM(D30:D33)</f>
        <v>198733.17</v>
      </c>
    </row>
    <row r="36" spans="2:5" x14ac:dyDescent="0.25">
      <c r="B36" s="31" t="s">
        <v>11</v>
      </c>
      <c r="C36" s="31"/>
      <c r="D36" s="31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3001</v>
      </c>
      <c r="D38" s="26">
        <v>97622</v>
      </c>
    </row>
    <row r="39" spans="2:5" x14ac:dyDescent="0.25">
      <c r="B39" s="10" t="s">
        <v>8</v>
      </c>
      <c r="C39" s="8">
        <f>SUM(C38:C38)</f>
        <v>3001</v>
      </c>
      <c r="D39" s="4">
        <f>SUM(D38:D38)</f>
        <v>97622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SUM(C10+C26+C34+C18+C39)</f>
        <v>115207</v>
      </c>
      <c r="D42" s="13">
        <f>SUM(D10+D26+D34+D18+D39)</f>
        <v>1697287.5799999998</v>
      </c>
      <c r="E42" s="27"/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D10" sqref="D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13 MAR'!C6, 'REPORTE DIARIO'!C:C)</f>
        <v>17374</v>
      </c>
      <c r="E6" s="16">
        <f>SUMIF('REPORTE DIARIO'!B:B,'EPR 13 MAR'!C6, 'REPORTE DIARIO'!D:D)</f>
        <v>793546.28</v>
      </c>
      <c r="F6" s="16">
        <f>J6*D6</f>
        <v>1985600</v>
      </c>
      <c r="G6" s="16">
        <f>+E6-F6</f>
        <v>-1192053.72</v>
      </c>
      <c r="H6" s="15">
        <f>ABS(G6/F6)</f>
        <v>0.6003493755036261</v>
      </c>
      <c r="I6" s="16">
        <f>E6/D6</f>
        <v>45.674357085299874</v>
      </c>
      <c r="J6" s="16">
        <f>(200/7) * 4</f>
        <v>114.28571428571429</v>
      </c>
      <c r="K6" s="16">
        <f>+I6-J6</f>
        <v>-68.611357200414417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13 MAR'!C7, 'REPORTE DIARIO'!C:C)</f>
        <v>11749</v>
      </c>
      <c r="E7" s="16">
        <f>SUMIF('REPORTE DIARIO'!B:B,'EPR 13 MAR'!C7, 'REPORTE DIARIO'!D:D)</f>
        <v>344088.57999999996</v>
      </c>
      <c r="F7" s="16">
        <f>J7*D7</f>
        <v>738508.57142857136</v>
      </c>
      <c r="G7" s="16">
        <f>+E7-F7</f>
        <v>-394419.9914285714</v>
      </c>
      <c r="H7" s="15">
        <f>ABS(G7/F7)</f>
        <v>0.53407638947995573</v>
      </c>
      <c r="I7" s="16">
        <f>E7/D7</f>
        <v>29.286626946974206</v>
      </c>
      <c r="J7" s="16">
        <f>(110/7)*4</f>
        <v>62.857142857142854</v>
      </c>
      <c r="K7" s="16">
        <f t="shared" ref="K7:K9" si="0">+I7-J7</f>
        <v>-33.570515910168652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13 MAR'!C8, 'REPORTE DIARIO'!C:C)</f>
        <v>13193</v>
      </c>
      <c r="E8" s="16">
        <f>SUMIF('REPORTE DIARIO'!B:B,'EPR 13 MAR'!C8, 'REPORTE DIARIO'!D:D)</f>
        <v>191264.58</v>
      </c>
      <c r="F8" s="16">
        <f>J8*D8</f>
        <v>339248.57142857142</v>
      </c>
      <c r="G8" s="16">
        <f>+E8-F8</f>
        <v>-147983.99142857143</v>
      </c>
      <c r="H8" s="15">
        <f>ABS(G8/F8)</f>
        <v>0.4362110967937543</v>
      </c>
      <c r="I8" s="16">
        <f>E8/D8</f>
        <v>14.497428939589176</v>
      </c>
      <c r="J8" s="16">
        <f>(45/7)*4</f>
        <v>25.714285714285715</v>
      </c>
      <c r="K8" s="16">
        <f t="shared" si="0"/>
        <v>-11.21685677469654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13 MAR'!C9, 'REPORTE DIARIO'!C:C)</f>
        <v>72870</v>
      </c>
      <c r="E9" s="16">
        <f>SUMIF('REPORTE DIARIO'!B:B,'EPR 13 MAR'!C9, 'REPORTE DIARIO'!D:D)</f>
        <v>368388.14</v>
      </c>
      <c r="F9" s="16">
        <f>J9*D9</f>
        <v>624600</v>
      </c>
      <c r="G9" s="16">
        <f>+E9-F9</f>
        <v>-256211.86</v>
      </c>
      <c r="H9" s="15">
        <f>ABS(G9/F9)</f>
        <v>0.41020150496317642</v>
      </c>
      <c r="I9" s="16">
        <f>E9/D9</f>
        <v>5.0554156717442025</v>
      </c>
      <c r="J9" s="16">
        <f>(15/7)*4</f>
        <v>8.5714285714285712</v>
      </c>
      <c r="K9" s="16">
        <f t="shared" si="0"/>
        <v>-3.5160128996843687</v>
      </c>
    </row>
    <row r="10" spans="2:12" x14ac:dyDescent="0.25">
      <c r="B10" s="16"/>
      <c r="C10" s="19" t="s">
        <v>17</v>
      </c>
      <c r="D10" s="24">
        <f>SUM(D6:D9)</f>
        <v>115186</v>
      </c>
      <c r="E10" s="20">
        <f>SUM(E6:E9)</f>
        <v>1697287.58</v>
      </c>
      <c r="F10" s="20">
        <f>SUM(F6:F9)</f>
        <v>3687957.1428571427</v>
      </c>
      <c r="G10" s="20">
        <f>+E10-F10</f>
        <v>-1990669.5628571426</v>
      </c>
      <c r="H10" s="21">
        <f>ABS(G10/F10)</f>
        <v>0.5397756768168207</v>
      </c>
      <c r="I10" s="20">
        <f>E10/D10</f>
        <v>14.735189866824093</v>
      </c>
      <c r="J10" s="20">
        <f>F10/D10</f>
        <v>32.017407869507949</v>
      </c>
      <c r="K10" s="20">
        <f>I10-J10</f>
        <v>-17.282218002683855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2025-03-14T02:12:58Z</dcterms:modified>
</cp:coreProperties>
</file>