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1 ABRIL\NOCHE\"/>
    </mc:Choice>
  </mc:AlternateContent>
  <xr:revisionPtr revIDLastSave="0" documentId="13_ncr:1_{DF92EA08-B0C5-40CA-A03C-0888EDB4468E}" xr6:coauthVersionLast="47" xr6:coauthVersionMax="47" xr10:uidLastSave="{00000000-0000-0000-0000-000000000000}"/>
  <bookViews>
    <workbookView xWindow="4320" yWindow="4320" windowWidth="10875" windowHeight="7575" xr2:uid="{4DC6C92A-CD8A-4966-829B-0B6A986E825B}"/>
  </bookViews>
  <sheets>
    <sheet name="REPORTE DIARIO" sheetId="1" r:id="rId1"/>
    <sheet name="DATA" sheetId="4" r:id="rId2"/>
    <sheet name="EPR 1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19" i="1"/>
  <c r="C19" i="1"/>
  <c r="D40" i="1" l="1"/>
  <c r="C40" i="1"/>
  <c r="D35" i="1"/>
  <c r="C35" i="1"/>
  <c r="D27" i="1"/>
  <c r="C27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<sst xmlns="http://schemas.openxmlformats.org/spreadsheetml/2006/main" count="88" uniqueCount="37">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</sst>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9" workbookViewId="0">
      <selection activeCell="D55" sqref="D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7267</v>
      </c>
      <c r="D5" s="25">
        <v>233288.15000000002</v>
      </c>
    </row>
    <row r="6" spans="2:8" x14ac:dyDescent="0.25">
      <c r="B6" s="1" t="s">
        <v>5</v>
      </c>
      <c r="C6" s="6">
        <v>7887</v>
      </c>
      <c r="D6" s="25">
        <v>253759.56</v>
      </c>
    </row>
    <row r="7" spans="2:8" x14ac:dyDescent="0.25">
      <c r="B7" s="1" t="s">
        <v>6</v>
      </c>
      <c r="C7" s="6">
        <v>10326</v>
      </c>
      <c r="D7" s="25">
        <v>68709.45</v>
      </c>
    </row>
    <row r="8" spans="2:8" x14ac:dyDescent="0.25">
      <c r="B8" s="5" t="s">
        <v>12</v>
      </c>
      <c r="C8" s="7">
        <v>21</v>
      </c>
      <c r="D8" s="25">
        <v>1150</v>
      </c>
    </row>
    <row r="9" spans="2:8" x14ac:dyDescent="0.25">
      <c r="B9" s="1" t="s">
        <v>7</v>
      </c>
      <c r="C9" s="6">
        <v>29580</v>
      </c>
      <c r="D9" s="25">
        <v>246104.42</v>
      </c>
      <c r="F9" s="7"/>
    </row>
    <row r="10" spans="2:8" x14ac:dyDescent="0.25">
      <c r="B10" s="3" t="s">
        <v>8</v>
      </c>
      <c r="C10" s="8">
        <f>SUM(C5:C9)</f>
        <v>55081</v>
      </c>
      <c r="D10" s="4">
        <f>SUM(D5:D9)</f>
        <v>803011.58000000007</v>
      </c>
      <c r="E10" s="11" t="s">
        <v>14</v>
      </c>
    </row>
    <row r="12" spans="2:8" x14ac:dyDescent="0.25">
      <c r="B12" s="28" t="s">
        <v>34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3099</v>
      </c>
      <c r="D14" s="25">
        <v>92161.83</v>
      </c>
    </row>
    <row r="15" spans="2:8" x14ac:dyDescent="0.25">
      <c r="B15" s="1" t="s">
        <v>5</v>
      </c>
      <c r="C15" s="6">
        <v>1762</v>
      </c>
      <c r="D15" s="25">
        <v>21495.570000000003</v>
      </c>
    </row>
    <row r="16" spans="2:8" x14ac:dyDescent="0.25">
      <c r="B16" s="1" t="s">
        <v>6</v>
      </c>
      <c r="C16" s="6">
        <v>3531</v>
      </c>
      <c r="D16" s="25">
        <v>15908.630000000001</v>
      </c>
    </row>
    <row r="17" spans="2:11" x14ac:dyDescent="0.25">
      <c r="B17" s="5" t="s">
        <v>12</v>
      </c>
      <c r="C17" s="7">
        <v>2</v>
      </c>
      <c r="D17" s="27">
        <v>0</v>
      </c>
    </row>
    <row r="18" spans="2:11" x14ac:dyDescent="0.25">
      <c r="B18" s="1" t="s">
        <v>7</v>
      </c>
      <c r="C18" s="6">
        <v>21200</v>
      </c>
      <c r="D18" s="25">
        <v>79894.010000000009</v>
      </c>
    </row>
    <row r="19" spans="2:11" x14ac:dyDescent="0.25">
      <c r="B19" s="3" t="s">
        <v>8</v>
      </c>
      <c r="C19" s="8">
        <f>SUM(C14:C18)</f>
        <v>29594</v>
      </c>
      <c r="D19" s="4">
        <f>SUM(D14:D18)</f>
        <v>209460.04000000004</v>
      </c>
    </row>
    <row r="21" spans="2:11" x14ac:dyDescent="0.25">
      <c r="B21" s="29" t="s">
        <v>10</v>
      </c>
      <c r="C21" s="29"/>
      <c r="D21" s="29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1503</v>
      </c>
      <c r="D23" s="25">
        <v>70403.199999999997</v>
      </c>
    </row>
    <row r="24" spans="2:11" x14ac:dyDescent="0.25">
      <c r="B24" s="9" t="s">
        <v>5</v>
      </c>
      <c r="C24" s="6">
        <v>1422</v>
      </c>
      <c r="D24" s="25">
        <v>73861.59</v>
      </c>
    </row>
    <row r="25" spans="2:11" x14ac:dyDescent="0.25">
      <c r="B25" s="9" t="s">
        <v>6</v>
      </c>
      <c r="C25" s="6">
        <v>755</v>
      </c>
      <c r="D25" s="25">
        <v>4780</v>
      </c>
    </row>
    <row r="26" spans="2:11" x14ac:dyDescent="0.25">
      <c r="B26" s="9" t="s">
        <v>7</v>
      </c>
      <c r="C26" s="6">
        <v>8493</v>
      </c>
      <c r="D26" s="25">
        <v>22326</v>
      </c>
    </row>
    <row r="27" spans="2:11" x14ac:dyDescent="0.25">
      <c r="B27" s="10" t="s">
        <v>8</v>
      </c>
      <c r="C27" s="8">
        <f>SUM(C23:C26)</f>
        <v>12173</v>
      </c>
      <c r="D27" s="4">
        <f>SUM(D23:D26)</f>
        <v>171370.78999999998</v>
      </c>
      <c r="K27" s="7"/>
    </row>
    <row r="29" spans="2:11" x14ac:dyDescent="0.25">
      <c r="B29" s="28" t="s">
        <v>9</v>
      </c>
      <c r="C29" s="28"/>
      <c r="D29" s="28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1258</v>
      </c>
      <c r="D31" s="25">
        <v>84505.4</v>
      </c>
    </row>
    <row r="32" spans="2:11" x14ac:dyDescent="0.25">
      <c r="B32" s="9" t="s">
        <v>5</v>
      </c>
      <c r="C32" s="6">
        <v>1191</v>
      </c>
      <c r="D32" s="25">
        <v>27841</v>
      </c>
    </row>
    <row r="33" spans="2:4" x14ac:dyDescent="0.25">
      <c r="B33" s="9" t="s">
        <v>6</v>
      </c>
      <c r="C33" s="6">
        <v>2996</v>
      </c>
      <c r="D33" s="25">
        <v>21000</v>
      </c>
    </row>
    <row r="34" spans="2:4" x14ac:dyDescent="0.25">
      <c r="B34" s="9" t="s">
        <v>7</v>
      </c>
      <c r="C34" s="6">
        <v>1900</v>
      </c>
      <c r="D34" s="25">
        <v>1166</v>
      </c>
    </row>
    <row r="35" spans="2:4" x14ac:dyDescent="0.25">
      <c r="B35" s="10" t="s">
        <v>8</v>
      </c>
      <c r="C35" s="8">
        <f>SUM(C31:C34)</f>
        <v>7345</v>
      </c>
      <c r="D35" s="4">
        <f>SUM(D31:D34)</f>
        <v>134512.4</v>
      </c>
    </row>
    <row r="37" spans="2:4" x14ac:dyDescent="0.25">
      <c r="B37" s="29" t="s">
        <v>11</v>
      </c>
      <c r="C37" s="29"/>
      <c r="D37" s="29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2807</v>
      </c>
      <c r="D39" s="25">
        <v>21527</v>
      </c>
    </row>
    <row r="40" spans="2:4" x14ac:dyDescent="0.25">
      <c r="B40" s="10" t="s">
        <v>8</v>
      </c>
      <c r="C40" s="8">
        <f>SUM(C39:C39)</f>
        <v>2807</v>
      </c>
      <c r="D40" s="4">
        <f>SUM(D39:D39)</f>
        <v>21527</v>
      </c>
    </row>
    <row r="42" spans="2:4" x14ac:dyDescent="0.25">
      <c r="B42" s="28" t="s">
        <v>35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0</v>
      </c>
      <c r="D44" s="26">
        <v>0</v>
      </c>
    </row>
    <row r="45" spans="2:4" x14ac:dyDescent="0.25">
      <c r="B45" s="1" t="s">
        <v>5</v>
      </c>
      <c r="C45" s="6">
        <v>122</v>
      </c>
      <c r="D45" s="26">
        <v>0</v>
      </c>
    </row>
    <row r="46" spans="2:4" x14ac:dyDescent="0.25">
      <c r="B46" s="1" t="s">
        <v>6</v>
      </c>
      <c r="C46" s="6">
        <v>164</v>
      </c>
      <c r="D46" s="26">
        <v>0</v>
      </c>
    </row>
    <row r="47" spans="2:4" x14ac:dyDescent="0.25">
      <c r="B47" s="1" t="s">
        <v>7</v>
      </c>
      <c r="C47" s="6">
        <v>1326</v>
      </c>
      <c r="D47" s="25">
        <v>6291</v>
      </c>
    </row>
    <row r="48" spans="2:4" x14ac:dyDescent="0.25">
      <c r="B48" s="3" t="s">
        <v>8</v>
      </c>
      <c r="C48" s="8">
        <f>SUM(C44:C47)</f>
        <v>1612</v>
      </c>
      <c r="D48" s="8">
        <f>SUM(D44:D47)</f>
        <v>6291</v>
      </c>
    </row>
    <row r="50" spans="2:4" x14ac:dyDescent="0.25">
      <c r="B50" s="29" t="s">
        <v>32</v>
      </c>
      <c r="C50" s="29"/>
      <c r="D50" s="29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5">
        <v>2000</v>
      </c>
    </row>
    <row r="53" spans="2:4" x14ac:dyDescent="0.25">
      <c r="B53" s="9" t="s">
        <v>5</v>
      </c>
      <c r="C53" s="6">
        <v>180</v>
      </c>
      <c r="D53" s="27">
        <v>0</v>
      </c>
    </row>
    <row r="54" spans="2:4" x14ac:dyDescent="0.25">
      <c r="B54" s="9" t="s">
        <v>6</v>
      </c>
      <c r="C54" s="6">
        <v>68</v>
      </c>
      <c r="D54" s="27">
        <v>0</v>
      </c>
    </row>
    <row r="55" spans="2:4" x14ac:dyDescent="0.25">
      <c r="B55" s="9" t="s">
        <v>7</v>
      </c>
      <c r="C55" s="6">
        <v>10</v>
      </c>
      <c r="D55" s="27">
        <v>0</v>
      </c>
    </row>
    <row r="56" spans="2:4" x14ac:dyDescent="0.25">
      <c r="B56" s="10" t="s">
        <v>8</v>
      </c>
      <c r="C56" s="8">
        <f>SUM(C52:C55)</f>
        <v>326</v>
      </c>
      <c r="D56" s="4">
        <f>SUM(D52:D55)</f>
        <v>2000</v>
      </c>
    </row>
    <row r="58" spans="2:4" x14ac:dyDescent="0.25">
      <c r="B58" s="12" t="s">
        <v>13</v>
      </c>
      <c r="C58" s="13">
        <f>SUM(C10+C27+C56+C35+C40+C19+C48)</f>
        <v>108938</v>
      </c>
      <c r="D58" s="13">
        <f>SUM(D10+D27+D56+D35+D40+D19+D48)</f>
        <v>1348172.81</v>
      </c>
    </row>
  </sheetData>
  <mergeCells count="7">
    <mergeCell ref="B12:D12"/>
    <mergeCell ref="B42:D42"/>
    <mergeCell ref="B3:D3"/>
    <mergeCell ref="B50:D50"/>
    <mergeCell ref="B21:D21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 ABR'!C6, 'REPORTE DIARIO'!C:C)</f>
        <v>16002</v>
      </c>
      <c r="E6" s="16">
        <f>SUMIF('REPORTE DIARIO'!B:B,'EPR 1 ABR'!C6, 'REPORTE DIARIO'!D:D)</f>
        <v>503885.58000000007</v>
      </c>
      <c r="F6" s="16">
        <f>J6*D6</f>
        <v>914400</v>
      </c>
      <c r="G6" s="16">
        <f>+E6-F6</f>
        <v>-410514.41999999993</v>
      </c>
      <c r="H6" s="15">
        <f>ABS(G6/F6)</f>
        <v>0.44894402887139101</v>
      </c>
      <c r="I6" s="16">
        <f>E6/D6</f>
        <v>31.488912635920514</v>
      </c>
      <c r="J6" s="16">
        <f>(200/7)*2</f>
        <v>57.142857142857146</v>
      </c>
      <c r="K6" s="16">
        <f>+I6-J6</f>
        <v>-25.653944506936632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 ABR'!C7, 'REPORTE DIARIO'!C:C)</f>
        <v>12564</v>
      </c>
      <c r="E7" s="16">
        <f>SUMIF('REPORTE DIARIO'!B:B,'EPR 1 ABR'!C7, 'REPORTE DIARIO'!D:D)</f>
        <v>376957.72</v>
      </c>
      <c r="F7" s="16">
        <f>J7*D7</f>
        <v>394868.57142857142</v>
      </c>
      <c r="G7" s="16">
        <f>+E7-F7</f>
        <v>-17910.851428571448</v>
      </c>
      <c r="H7" s="15">
        <f>ABS(G7/F7)</f>
        <v>4.5359019999421199E-2</v>
      </c>
      <c r="I7" s="16">
        <f>E7/D7</f>
        <v>30.003002228589619</v>
      </c>
      <c r="J7" s="16">
        <f>(110/7)*2</f>
        <v>31.428571428571427</v>
      </c>
      <c r="K7" s="16">
        <f t="shared" ref="K7:K9" si="0">+I7-J7</f>
        <v>-1.4255691999818083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 ABR'!C8, 'REPORTE DIARIO'!C:C)</f>
        <v>17840</v>
      </c>
      <c r="E8" s="16">
        <f>SUMIF('REPORTE DIARIO'!B:B,'EPR 1 ABR'!C8, 'REPORTE DIARIO'!D:D)</f>
        <v>110398.08</v>
      </c>
      <c r="F8" s="16">
        <f>J8*D8</f>
        <v>229371.42857142858</v>
      </c>
      <c r="G8" s="16">
        <f>+E8-F8</f>
        <v>-118973.34857142858</v>
      </c>
      <c r="H8" s="15">
        <f>ABS(G8/F8)</f>
        <v>0.5186929745889387</v>
      </c>
      <c r="I8" s="16">
        <f>E8/D8</f>
        <v>6.1882331838565028</v>
      </c>
      <c r="J8" s="16">
        <f>(45/7)*2</f>
        <v>12.857142857142858</v>
      </c>
      <c r="K8" s="16">
        <f t="shared" si="0"/>
        <v>-6.6689096732863549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 ABR'!C9, 'REPORTE DIARIO'!C:C)</f>
        <v>62509</v>
      </c>
      <c r="E9" s="16">
        <f>SUMIF('REPORTE DIARIO'!B:B,'EPR 1 ABR'!C9, 'REPORTE DIARIO'!D:D)</f>
        <v>355781.43000000005</v>
      </c>
      <c r="F9" s="16">
        <f>J9*D9</f>
        <v>267895.71428571426</v>
      </c>
      <c r="G9" s="16">
        <f>+E9-F9</f>
        <v>87885.71571428579</v>
      </c>
      <c r="H9" s="15">
        <f>ABS(G9/F9)</f>
        <v>0.32805943144187266</v>
      </c>
      <c r="I9" s="16">
        <f>E9/D9</f>
        <v>5.6916832776080248</v>
      </c>
      <c r="J9" s="16">
        <f>(15/7)*2</f>
        <v>4.2857142857142856</v>
      </c>
      <c r="K9" s="16">
        <f t="shared" si="0"/>
        <v>1.4059689918937393</v>
      </c>
    </row>
    <row r="10" spans="2:12" x14ac:dyDescent="0.25">
      <c r="B10" s="16"/>
      <c r="C10" s="19" t="s">
        <v>17</v>
      </c>
      <c r="D10" s="24">
        <f>SUM(D6:D9)</f>
        <v>108915</v>
      </c>
      <c r="E10" s="20">
        <f>SUM(E6:E9)</f>
        <v>1347022.81</v>
      </c>
      <c r="F10" s="20">
        <f>SUM(F6:F9)</f>
        <v>1806535.7142857143</v>
      </c>
      <c r="G10" s="20">
        <f>+E10-F10</f>
        <v>-459512.90428571426</v>
      </c>
      <c r="H10" s="21">
        <f>ABS(G10/F10)</f>
        <v>0.2543613727932309</v>
      </c>
      <c r="I10" s="20">
        <f>E10/D10</f>
        <v>12.367651930404444</v>
      </c>
      <c r="J10" s="20">
        <f>F10/D10</f>
        <v>16.586656698211581</v>
      </c>
      <c r="K10" s="20">
        <f>I10-J10</f>
        <v>-4.219004767807137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2025-04-02T03:11:22Z</dcterms:modified>
</cp:coreProperties>
</file>