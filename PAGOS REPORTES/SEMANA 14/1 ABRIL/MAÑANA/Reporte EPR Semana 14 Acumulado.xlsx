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4\1 ABRIL\MAÑANA\"/>
    </mc:Choice>
  </mc:AlternateContent>
  <xr:revisionPtr revIDLastSave="0" documentId="13_ncr:1_{75E2F9B8-5889-4943-A22C-C5B8C7B45125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DATA" sheetId="4" r:id="rId2"/>
    <sheet name="EPR 1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J9" i="3"/>
  <c r="J8" i="3"/>
  <c r="J7" i="3"/>
  <c r="J6" i="3"/>
  <c r="D56" i="1"/>
  <c r="C56" i="1"/>
  <c r="D19" i="1"/>
  <c r="C19" i="1"/>
  <c r="D40" i="1" l="1"/>
  <c r="C40" i="1"/>
  <c r="D35" i="1"/>
  <c r="C35" i="1"/>
  <c r="D27" i="1"/>
  <c r="C27" i="1"/>
  <c r="D48" i="1"/>
  <c r="C48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<sst xmlns="http://schemas.openxmlformats.org/spreadsheetml/2006/main" count="88" uniqueCount="37">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</sst>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39" workbookViewId="0">
      <selection activeCell="C56" sqref="C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7267</v>
      </c>
      <c r="D5" s="25">
        <v>125036.07000000002</v>
      </c>
    </row>
    <row r="6" spans="2:8" x14ac:dyDescent="0.3">
      <c r="B6" s="1" t="s">
        <v>5</v>
      </c>
      <c r="C6" s="6">
        <v>7825</v>
      </c>
      <c r="D6" s="25">
        <v>163349.56</v>
      </c>
    </row>
    <row r="7" spans="2:8" x14ac:dyDescent="0.3">
      <c r="B7" s="1" t="s">
        <v>6</v>
      </c>
      <c r="C7" s="6">
        <v>10275</v>
      </c>
      <c r="D7" s="25">
        <v>39447.449999999997</v>
      </c>
    </row>
    <row r="8" spans="2:8" x14ac:dyDescent="0.3">
      <c r="B8" s="5" t="s">
        <v>12</v>
      </c>
      <c r="C8" s="7">
        <v>21</v>
      </c>
      <c r="D8" s="11">
        <v>0</v>
      </c>
    </row>
    <row r="9" spans="2:8" x14ac:dyDescent="0.3">
      <c r="B9" s="1" t="s">
        <v>7</v>
      </c>
      <c r="C9" s="6">
        <v>29569</v>
      </c>
      <c r="D9" s="25">
        <v>158399.87</v>
      </c>
      <c r="F9" s="7"/>
    </row>
    <row r="10" spans="2:8" x14ac:dyDescent="0.3">
      <c r="B10" s="3" t="s">
        <v>8</v>
      </c>
      <c r="C10" s="8">
        <f>SUM(C5:C9)</f>
        <v>54957</v>
      </c>
      <c r="D10" s="4">
        <f>SUM(D5:D9)</f>
        <v>486232.95</v>
      </c>
      <c r="E10" s="11" t="s">
        <v>14</v>
      </c>
    </row>
    <row r="12" spans="2:8" x14ac:dyDescent="0.3">
      <c r="B12" s="28" t="s">
        <v>34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3099</v>
      </c>
      <c r="D14" s="25">
        <v>64214.83</v>
      </c>
    </row>
    <row r="15" spans="2:8" x14ac:dyDescent="0.3">
      <c r="B15" s="1" t="s">
        <v>5</v>
      </c>
      <c r="C15" s="6">
        <v>1708</v>
      </c>
      <c r="D15" s="25">
        <v>17594.010000000002</v>
      </c>
    </row>
    <row r="16" spans="2:8" x14ac:dyDescent="0.3">
      <c r="B16" s="1" t="s">
        <v>6</v>
      </c>
      <c r="C16" s="6">
        <v>3496</v>
      </c>
      <c r="D16" s="25">
        <v>8795.630000000001</v>
      </c>
    </row>
    <row r="17" spans="2:11" x14ac:dyDescent="0.3">
      <c r="B17" s="5" t="s">
        <v>12</v>
      </c>
      <c r="C17" s="7">
        <v>2</v>
      </c>
      <c r="D17" s="27">
        <v>0</v>
      </c>
    </row>
    <row r="18" spans="2:11" x14ac:dyDescent="0.3">
      <c r="B18" s="1" t="s">
        <v>7</v>
      </c>
      <c r="C18" s="6">
        <v>21196</v>
      </c>
      <c r="D18" s="25">
        <v>44087.01</v>
      </c>
    </row>
    <row r="19" spans="2:11" x14ac:dyDescent="0.3">
      <c r="B19" s="3" t="s">
        <v>8</v>
      </c>
      <c r="C19" s="8">
        <f>SUM(C14:C18)</f>
        <v>29501</v>
      </c>
      <c r="D19" s="4">
        <f>SUM(D14:D18)</f>
        <v>134691.48000000001</v>
      </c>
    </row>
    <row r="21" spans="2:11" x14ac:dyDescent="0.3">
      <c r="B21" s="29" t="s">
        <v>10</v>
      </c>
      <c r="C21" s="29"/>
      <c r="D21" s="29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1492</v>
      </c>
      <c r="D23" s="25">
        <v>45194.42</v>
      </c>
    </row>
    <row r="24" spans="2:11" x14ac:dyDescent="0.3">
      <c r="B24" s="9" t="s">
        <v>5</v>
      </c>
      <c r="C24" s="6">
        <v>1413</v>
      </c>
      <c r="D24" s="25">
        <v>55142.59</v>
      </c>
    </row>
    <row r="25" spans="2:11" x14ac:dyDescent="0.3">
      <c r="B25" s="9" t="s">
        <v>6</v>
      </c>
      <c r="C25" s="6">
        <v>753</v>
      </c>
      <c r="D25" s="25">
        <v>3257</v>
      </c>
    </row>
    <row r="26" spans="2:11" x14ac:dyDescent="0.3">
      <c r="B26" s="9" t="s">
        <v>7</v>
      </c>
      <c r="C26" s="6">
        <v>8486</v>
      </c>
      <c r="D26" s="25">
        <v>10294</v>
      </c>
    </row>
    <row r="27" spans="2:11" x14ac:dyDescent="0.3">
      <c r="B27" s="10" t="s">
        <v>8</v>
      </c>
      <c r="C27" s="8">
        <f>SUM(C23:C26)</f>
        <v>12144</v>
      </c>
      <c r="D27" s="4">
        <f>SUM(D23:D26)</f>
        <v>113888.01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1248</v>
      </c>
      <c r="D31" s="25">
        <v>48983.839999999997</v>
      </c>
    </row>
    <row r="32" spans="2:11" x14ac:dyDescent="0.3">
      <c r="B32" s="9" t="s">
        <v>5</v>
      </c>
      <c r="C32" s="6">
        <v>1184</v>
      </c>
      <c r="D32" s="25">
        <v>18040.73</v>
      </c>
    </row>
    <row r="33" spans="2:4" x14ac:dyDescent="0.3">
      <c r="B33" s="9" t="s">
        <v>6</v>
      </c>
      <c r="C33" s="6">
        <v>2996</v>
      </c>
      <c r="D33" s="25">
        <v>1000</v>
      </c>
    </row>
    <row r="34" spans="2:4" x14ac:dyDescent="0.3">
      <c r="B34" s="9" t="s">
        <v>7</v>
      </c>
      <c r="C34" s="6">
        <v>1900</v>
      </c>
      <c r="D34" s="25">
        <v>652</v>
      </c>
    </row>
    <row r="35" spans="2:4" x14ac:dyDescent="0.3">
      <c r="B35" s="10" t="s">
        <v>8</v>
      </c>
      <c r="C35" s="8">
        <f>SUM(C31:C34)</f>
        <v>7328</v>
      </c>
      <c r="D35" s="4">
        <f>SUM(D31:D34)</f>
        <v>68676.569999999992</v>
      </c>
    </row>
    <row r="37" spans="2:4" x14ac:dyDescent="0.3">
      <c r="B37" s="29" t="s">
        <v>11</v>
      </c>
      <c r="C37" s="29"/>
      <c r="D37" s="29"/>
    </row>
    <row r="38" spans="2:4" x14ac:dyDescent="0.3">
      <c r="B38" s="4" t="s">
        <v>1</v>
      </c>
      <c r="C38" s="4" t="s">
        <v>2</v>
      </c>
      <c r="D38" s="4" t="s">
        <v>3</v>
      </c>
    </row>
    <row r="39" spans="2:4" x14ac:dyDescent="0.3">
      <c r="B39" s="9" t="s">
        <v>4</v>
      </c>
      <c r="C39" s="6">
        <v>2807</v>
      </c>
      <c r="D39" s="25">
        <v>13940</v>
      </c>
    </row>
    <row r="40" spans="2:4" x14ac:dyDescent="0.3">
      <c r="B40" s="10" t="s">
        <v>8</v>
      </c>
      <c r="C40" s="8">
        <f>SUM(C39:C39)</f>
        <v>2807</v>
      </c>
      <c r="D40" s="4">
        <f>SUM(D39:D39)</f>
        <v>13940</v>
      </c>
    </row>
    <row r="42" spans="2:4" x14ac:dyDescent="0.3">
      <c r="B42" s="29" t="s">
        <v>32</v>
      </c>
      <c r="C42" s="29"/>
      <c r="D42" s="29"/>
    </row>
    <row r="43" spans="2:4" x14ac:dyDescent="0.3">
      <c r="B43" s="4" t="s">
        <v>1</v>
      </c>
      <c r="C43" s="4" t="s">
        <v>2</v>
      </c>
      <c r="D43" s="4" t="s">
        <v>3</v>
      </c>
    </row>
    <row r="44" spans="2:4" x14ac:dyDescent="0.3">
      <c r="B44" s="9" t="s">
        <v>4</v>
      </c>
      <c r="C44" s="6">
        <v>68</v>
      </c>
      <c r="D44" s="25">
        <v>2000</v>
      </c>
    </row>
    <row r="45" spans="2:4" x14ac:dyDescent="0.3">
      <c r="B45" s="9" t="s">
        <v>5</v>
      </c>
      <c r="C45" s="6">
        <v>167</v>
      </c>
      <c r="D45" s="27">
        <v>0</v>
      </c>
    </row>
    <row r="46" spans="2:4" x14ac:dyDescent="0.3">
      <c r="B46" s="9" t="s">
        <v>6</v>
      </c>
      <c r="C46" s="6">
        <v>34</v>
      </c>
      <c r="D46" s="27">
        <v>0</v>
      </c>
    </row>
    <row r="47" spans="2:4" x14ac:dyDescent="0.3">
      <c r="B47" s="9" t="s">
        <v>7</v>
      </c>
      <c r="C47" s="6">
        <v>10</v>
      </c>
      <c r="D47" s="27">
        <v>0</v>
      </c>
    </row>
    <row r="48" spans="2:4" x14ac:dyDescent="0.3">
      <c r="B48" s="10" t="s">
        <v>8</v>
      </c>
      <c r="C48" s="8">
        <f>SUM(C44:C47)</f>
        <v>279</v>
      </c>
      <c r="D48" s="4">
        <f>SUM(D44:D47)</f>
        <v>2000</v>
      </c>
    </row>
    <row r="50" spans="2:4" x14ac:dyDescent="0.3">
      <c r="B50" s="28" t="s">
        <v>35</v>
      </c>
      <c r="C50" s="28"/>
      <c r="D50" s="28"/>
    </row>
    <row r="51" spans="2:4" x14ac:dyDescent="0.3">
      <c r="B51" s="2" t="s">
        <v>1</v>
      </c>
      <c r="C51" s="2" t="s">
        <v>2</v>
      </c>
      <c r="D51" s="2" t="s">
        <v>3</v>
      </c>
    </row>
    <row r="52" spans="2:4" x14ac:dyDescent="0.3">
      <c r="B52" s="9" t="s">
        <v>4</v>
      </c>
      <c r="C52" s="6">
        <v>0</v>
      </c>
      <c r="D52" s="26">
        <v>0</v>
      </c>
    </row>
    <row r="53" spans="2:4" x14ac:dyDescent="0.3">
      <c r="B53" s="1" t="s">
        <v>5</v>
      </c>
      <c r="C53" s="6">
        <v>121</v>
      </c>
      <c r="D53" s="26">
        <v>0</v>
      </c>
    </row>
    <row r="54" spans="2:4" x14ac:dyDescent="0.3">
      <c r="B54" s="1" t="s">
        <v>6</v>
      </c>
      <c r="C54" s="6">
        <v>164</v>
      </c>
      <c r="D54" s="26">
        <v>0</v>
      </c>
    </row>
    <row r="55" spans="2:4" x14ac:dyDescent="0.3">
      <c r="B55" s="1" t="s">
        <v>7</v>
      </c>
      <c r="C55" s="6">
        <v>1097</v>
      </c>
      <c r="D55" s="25">
        <v>1855</v>
      </c>
    </row>
    <row r="56" spans="2:4" x14ac:dyDescent="0.3">
      <c r="B56" s="3" t="s">
        <v>8</v>
      </c>
      <c r="C56" s="8">
        <f>SUM(C52:C55)</f>
        <v>1382</v>
      </c>
      <c r="D56" s="4">
        <f>SUM(D52:D55)</f>
        <v>1855</v>
      </c>
    </row>
    <row r="58" spans="2:4" x14ac:dyDescent="0.3">
      <c r="B58" s="12" t="s">
        <v>13</v>
      </c>
      <c r="C58" s="13">
        <f>SUM(C10+C27+C48+C35+C40+C19+C56)</f>
        <v>108398</v>
      </c>
      <c r="D58" s="13">
        <f>SUM(D10+D27+D48+D35+D40+D19+D56)</f>
        <v>821284.00999999989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07" zoomScaleNormal="107" workbookViewId="0">
      <selection activeCell="B7" sqref="B7"/>
    </sheetView>
  </sheetViews>
  <sheetFormatPr baseColWidth="10" defaultRowHeight="14.4" x14ac:dyDescent="0.3"/>
  <cols>
    <col min="2" max="2" width="18.109375" customWidth="1"/>
    <col min="3" max="3" width="34.441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29</v>
      </c>
      <c r="C6" s="1" t="s">
        <v>4</v>
      </c>
      <c r="D6" s="23">
        <f>SUMIF('REPORTE DIARIO'!B:B,'EPR 1 ABR'!C6, 'REPORTE DIARIO'!C:C)</f>
        <v>15981</v>
      </c>
      <c r="E6" s="16">
        <f>SUMIF('REPORTE DIARIO'!B:B,'EPR 1 ABR'!C6, 'REPORTE DIARIO'!D:D)</f>
        <v>299369.16000000003</v>
      </c>
      <c r="F6" s="16">
        <f>J6*D6</f>
        <v>913200</v>
      </c>
      <c r="G6" s="16">
        <f>+E6-F6</f>
        <v>-613830.84</v>
      </c>
      <c r="H6" s="15">
        <f>ABS(G6/F6)</f>
        <v>0.67217568988173448</v>
      </c>
      <c r="I6" s="16">
        <f>E6/D6</f>
        <v>18.732817721043741</v>
      </c>
      <c r="J6" s="16">
        <f>(200/7)*2</f>
        <v>57.142857142857146</v>
      </c>
      <c r="K6" s="16">
        <f>+I6-J6</f>
        <v>-38.410039421813408</v>
      </c>
      <c r="L6" s="15"/>
    </row>
    <row r="7" spans="2:12" x14ac:dyDescent="0.3">
      <c r="B7" s="16" t="s">
        <v>30</v>
      </c>
      <c r="C7" s="1" t="s">
        <v>5</v>
      </c>
      <c r="D7" s="23">
        <f>SUMIF('REPORTE DIARIO'!B:B,'EPR 1 ABR'!C7, 'REPORTE DIARIO'!C:C)</f>
        <v>12418</v>
      </c>
      <c r="E7" s="16">
        <f>SUMIF('REPORTE DIARIO'!B:B,'EPR 1 ABR'!C7, 'REPORTE DIARIO'!D:D)</f>
        <v>254126.89</v>
      </c>
      <c r="F7" s="16">
        <f>J7*D7</f>
        <v>390280</v>
      </c>
      <c r="G7" s="16">
        <f>+E7-F7</f>
        <v>-136153.10999999999</v>
      </c>
      <c r="H7" s="15">
        <f>ABS(G7/F7)</f>
        <v>0.34886007481807929</v>
      </c>
      <c r="I7" s="16">
        <f>E7/D7</f>
        <v>20.46439764857465</v>
      </c>
      <c r="J7" s="16">
        <f>(110/7)*2</f>
        <v>31.428571428571427</v>
      </c>
      <c r="K7" s="16">
        <f t="shared" ref="K7:K9" si="0">+I7-J7</f>
        <v>-10.964173779996777</v>
      </c>
      <c r="L7" s="15"/>
    </row>
    <row r="8" spans="2:12" x14ac:dyDescent="0.3">
      <c r="B8" s="16" t="s">
        <v>30</v>
      </c>
      <c r="C8" s="1" t="s">
        <v>6</v>
      </c>
      <c r="D8" s="23">
        <f>SUMIF('REPORTE DIARIO'!B:B,'EPR 1 ABR'!C8, 'REPORTE DIARIO'!C:C)</f>
        <v>17718</v>
      </c>
      <c r="E8" s="16">
        <f>SUMIF('REPORTE DIARIO'!B:B,'EPR 1 ABR'!C8, 'REPORTE DIARIO'!D:D)</f>
        <v>52500.08</v>
      </c>
      <c r="F8" s="16">
        <f>J8*D8</f>
        <v>227802.85714285716</v>
      </c>
      <c r="G8" s="16">
        <f>+E8-F8</f>
        <v>-175302.77714285714</v>
      </c>
      <c r="H8" s="15">
        <f>ABS(G8/F8)</f>
        <v>0.76953721889854632</v>
      </c>
      <c r="I8" s="16">
        <f>E8/D8</f>
        <v>2.9630928998758326</v>
      </c>
      <c r="J8" s="16">
        <f>(45/7)*2</f>
        <v>12.857142857142858</v>
      </c>
      <c r="K8" s="16">
        <f t="shared" si="0"/>
        <v>-9.8940499572670255</v>
      </c>
      <c r="L8" s="15"/>
    </row>
    <row r="9" spans="2:12" x14ac:dyDescent="0.3">
      <c r="B9" s="16" t="s">
        <v>31</v>
      </c>
      <c r="C9" s="1" t="s">
        <v>7</v>
      </c>
      <c r="D9" s="23">
        <f>SUMIF('REPORTE DIARIO'!B:B,'EPR 1 ABR'!C9, 'REPORTE DIARIO'!C:C)</f>
        <v>62258</v>
      </c>
      <c r="E9" s="16">
        <f>SUMIF('REPORTE DIARIO'!B:B,'EPR 1 ABR'!C9, 'REPORTE DIARIO'!D:D)</f>
        <v>215287.88</v>
      </c>
      <c r="F9" s="16">
        <f>J9*D9</f>
        <v>266820</v>
      </c>
      <c r="G9" s="16">
        <f>+E9-F9</f>
        <v>-51532.119999999995</v>
      </c>
      <c r="H9" s="15">
        <f>ABS(G9/F9)</f>
        <v>0.19313439772131022</v>
      </c>
      <c r="I9" s="16">
        <f>E9/D9</f>
        <v>3.457995438337242</v>
      </c>
      <c r="J9" s="16">
        <f>(15/7)*2</f>
        <v>4.2857142857142856</v>
      </c>
      <c r="K9" s="16">
        <f t="shared" si="0"/>
        <v>-0.8277188473770436</v>
      </c>
    </row>
    <row r="10" spans="2:12" x14ac:dyDescent="0.3">
      <c r="B10" s="16"/>
      <c r="C10" s="19" t="s">
        <v>17</v>
      </c>
      <c r="D10" s="24">
        <f>SUM(D6:D9)</f>
        <v>108375</v>
      </c>
      <c r="E10" s="20">
        <f>SUM(E6:E9)</f>
        <v>821284.01</v>
      </c>
      <c r="F10" s="20">
        <f>SUM(F6:F9)</f>
        <v>1798102.8571428573</v>
      </c>
      <c r="G10" s="20">
        <f>+E10-F10</f>
        <v>-976818.84714285727</v>
      </c>
      <c r="H10" s="21">
        <f>ABS(G10/F10)</f>
        <v>0.54324970524489302</v>
      </c>
      <c r="I10" s="20">
        <f>E10/D10</f>
        <v>7.5781684890426764</v>
      </c>
      <c r="J10" s="20">
        <f>F10/D10</f>
        <v>16.591491184709177</v>
      </c>
      <c r="K10" s="20">
        <f>I10-J10</f>
        <v>-9.0133226956665009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2025-03-01T19:30:03Z</cp:lastPrinted>
  <dcterms:created xsi:type="dcterms:W3CDTF">2025-01-27T15:11:28Z</dcterms:created>
  <dcterms:modified xsi:type="dcterms:W3CDTF">2025-04-01T14:05:08Z</dcterms:modified>
</cp:coreProperties>
</file>