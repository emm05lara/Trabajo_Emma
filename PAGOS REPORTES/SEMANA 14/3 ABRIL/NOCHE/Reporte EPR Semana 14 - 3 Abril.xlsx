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3 ABRIL\NOCHE\"/>
    </mc:Choice>
  </mc:AlternateContent>
  <xr:revisionPtr revIDLastSave="0" documentId="13_ncr:1_{CAAFAD8A-C578-4A9B-8502-8F73EE9EBFE5}" xr6:coauthVersionLast="47" xr6:coauthVersionMax="47" xr10:uidLastSave="{00000000-0000-0000-0000-000000000000}"/>
  <bookViews>
    <workbookView xWindow="12375" yWindow="690" windowWidth="10875" windowHeight="7575" xr2:uid="{4DC6C92A-CD8A-4966-829B-0B6A986E825B}"/>
  </bookViews>
  <sheets>
    <sheet name="REPORTE DIARIO" sheetId="1" r:id="rId1"/>
    <sheet name="DATA" sheetId="4" r:id="rId2"/>
    <sheet name="EPR 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27" i="1" l="1"/>
  <c r="C27" i="1"/>
  <c r="J9" i="3"/>
  <c r="J8" i="3"/>
  <c r="J7" i="3"/>
  <c r="J6" i="3"/>
  <c r="D6" i="3"/>
  <c r="F6" i="3" s="1"/>
  <c r="D40" i="1"/>
  <c r="C40" i="1"/>
  <c r="D56" i="1"/>
  <c r="C56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<sst xmlns="http://schemas.openxmlformats.org/spreadsheetml/2006/main" count="87" uniqueCount="36">
  <si>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</si>
  <si>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</si>
  <si>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</si>
  <si>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</si>
  <si>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</si>
  <si>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</si>
  <si>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</si>
  <si>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</si>
  <si>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</si>
  <si>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</si>
  <si>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</si>
  <si>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</si>
  <si>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</si>
  <si>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</si>
  <si>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</si>
  <si>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</si>
  <si>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</si>
  <si>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</si>
  <si>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</si>
  <si>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</si>
  <si>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</si>
  <si>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</si>
  <si>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</si>
  <si>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</si>
  <si>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</si>
  <si>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</si>
  <si>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</si>
  <si>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</si>
  <si>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</si>
  <si>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</si>
  <si>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</si>
  <si>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</si>
  <si>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</si>
  <si>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</si>
  <si>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</si>
  <si>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03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</si>
</sst>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5928</v>
      </c>
      <c r="D5" s="25">
        <v>54688.800000000003</v>
      </c>
    </row>
    <row r="6" spans="2:8" x14ac:dyDescent="0.25">
      <c r="B6" s="1" t="s">
        <v>5</v>
      </c>
      <c r="C6" s="6">
        <v>6641</v>
      </c>
      <c r="D6" s="25">
        <v>74491</v>
      </c>
    </row>
    <row r="7" spans="2:8" x14ac:dyDescent="0.25">
      <c r="B7" s="1" t="s">
        <v>6</v>
      </c>
      <c r="C7" s="6">
        <v>9854</v>
      </c>
      <c r="D7" s="25">
        <v>22097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28805</v>
      </c>
      <c r="D9" s="25">
        <v>52132.06</v>
      </c>
    </row>
    <row r="10" spans="2:8" x14ac:dyDescent="0.25">
      <c r="B10" s="3" t="s">
        <v>8</v>
      </c>
      <c r="C10" s="8">
        <f>SUM(C5:C9)</f>
        <v>51249</v>
      </c>
      <c r="D10" s="4">
        <f>SUM(D5:D9)</f>
        <v>203408.86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1469</v>
      </c>
      <c r="D14" s="25">
        <v>73021.8</v>
      </c>
    </row>
    <row r="15" spans="2:8" x14ac:dyDescent="0.25">
      <c r="B15" s="9" t="s">
        <v>5</v>
      </c>
      <c r="C15" s="6">
        <v>1491</v>
      </c>
      <c r="D15" s="25">
        <v>52796</v>
      </c>
    </row>
    <row r="16" spans="2:8" x14ac:dyDescent="0.25">
      <c r="B16" s="9" t="s">
        <v>6</v>
      </c>
      <c r="C16" s="6">
        <v>838</v>
      </c>
      <c r="D16" s="25">
        <v>1305</v>
      </c>
    </row>
    <row r="17" spans="2:11" x14ac:dyDescent="0.25">
      <c r="B17" s="9" t="s">
        <v>7</v>
      </c>
      <c r="C17" s="6">
        <v>8338</v>
      </c>
      <c r="D17" s="25">
        <v>38427</v>
      </c>
    </row>
    <row r="18" spans="2:11" x14ac:dyDescent="0.25">
      <c r="B18" s="10" t="s">
        <v>8</v>
      </c>
      <c r="C18" s="8">
        <f>SUM(C14:C17)</f>
        <v>12136</v>
      </c>
      <c r="D18" s="4">
        <f>SUM(D14:D17)</f>
        <v>165549.79999999999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2330</v>
      </c>
      <c r="D22" s="25">
        <v>22337.61</v>
      </c>
    </row>
    <row r="23" spans="2:11" x14ac:dyDescent="0.25">
      <c r="B23" s="1" t="s">
        <v>5</v>
      </c>
      <c r="C23" s="6">
        <v>1438</v>
      </c>
      <c r="D23" s="25">
        <v>786</v>
      </c>
    </row>
    <row r="24" spans="2:11" x14ac:dyDescent="0.25">
      <c r="B24" s="1" t="s">
        <v>6</v>
      </c>
      <c r="C24" s="6">
        <v>3421</v>
      </c>
      <c r="D24" s="25">
        <v>2146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21146</v>
      </c>
      <c r="D26" s="25">
        <v>18912.809999999998</v>
      </c>
      <c r="K26" s="7"/>
    </row>
    <row r="27" spans="2:11" x14ac:dyDescent="0.25">
      <c r="B27" s="3" t="s">
        <v>8</v>
      </c>
      <c r="C27" s="8">
        <f>SUM(C22:C26)</f>
        <v>28337</v>
      </c>
      <c r="D27" s="4">
        <f>SUM(D22:D26)</f>
        <v>44182.42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1194</v>
      </c>
      <c r="D31" s="25">
        <v>6706.63</v>
      </c>
    </row>
    <row r="32" spans="2:11" x14ac:dyDescent="0.25">
      <c r="B32" s="9" t="s">
        <v>5</v>
      </c>
      <c r="C32" s="6">
        <v>1281</v>
      </c>
      <c r="D32" s="25">
        <v>4474</v>
      </c>
    </row>
    <row r="33" spans="2:4" x14ac:dyDescent="0.25">
      <c r="B33" s="9" t="s">
        <v>6</v>
      </c>
      <c r="C33" s="6">
        <v>2933</v>
      </c>
      <c r="D33" s="25">
        <v>15627</v>
      </c>
    </row>
    <row r="34" spans="2:4" x14ac:dyDescent="0.25">
      <c r="B34" s="9" t="s">
        <v>7</v>
      </c>
      <c r="C34" s="6">
        <v>1828</v>
      </c>
      <c r="D34" s="26">
        <v>0</v>
      </c>
    </row>
    <row r="35" spans="2:4" x14ac:dyDescent="0.25">
      <c r="B35" s="10" t="s">
        <v>8</v>
      </c>
      <c r="C35" s="8">
        <f>SUM(C31:C34)</f>
        <v>7236</v>
      </c>
      <c r="D35" s="4">
        <f>SUM(D31:D34)</f>
        <v>26807.63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2741</v>
      </c>
      <c r="D39" s="25">
        <v>3646</v>
      </c>
    </row>
    <row r="40" spans="2:4" x14ac:dyDescent="0.25">
      <c r="B40" s="10" t="s">
        <v>8</v>
      </c>
      <c r="C40" s="8">
        <f>SUM(C39:C39)</f>
        <v>2741</v>
      </c>
      <c r="D40" s="4">
        <f>SUM(D39:D39)</f>
        <v>3646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102</v>
      </c>
      <c r="D45" s="25">
        <v>400</v>
      </c>
    </row>
    <row r="46" spans="2:4" x14ac:dyDescent="0.25">
      <c r="B46" s="1" t="s">
        <v>6</v>
      </c>
      <c r="C46" s="6">
        <v>130</v>
      </c>
      <c r="D46" s="26">
        <v>0</v>
      </c>
    </row>
    <row r="47" spans="2:4" x14ac:dyDescent="0.25">
      <c r="B47" s="1" t="s">
        <v>7</v>
      </c>
      <c r="C47" s="6">
        <v>1422</v>
      </c>
      <c r="D47" s="26">
        <v>0</v>
      </c>
    </row>
    <row r="48" spans="2:4" x14ac:dyDescent="0.25">
      <c r="B48" s="3" t="s">
        <v>8</v>
      </c>
      <c r="C48" s="8">
        <f>SUM(C44:C47)</f>
        <v>1654</v>
      </c>
      <c r="D48" s="4">
        <f>SUM(D44:D47)</f>
        <v>400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62</v>
      </c>
      <c r="D53" s="26">
        <v>0</v>
      </c>
    </row>
    <row r="54" spans="2:4" x14ac:dyDescent="0.25">
      <c r="B54" s="9" t="s">
        <v>6</v>
      </c>
      <c r="C54" s="6">
        <v>13</v>
      </c>
      <c r="D54" s="26">
        <v>0</v>
      </c>
    </row>
    <row r="55" spans="2:4" x14ac:dyDescent="0.25">
      <c r="B55" s="9" t="s">
        <v>7</v>
      </c>
      <c r="C55" s="6">
        <v>9</v>
      </c>
      <c r="D55" s="26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0</v>
      </c>
    </row>
    <row r="58" spans="2:4" x14ac:dyDescent="0.25">
      <c r="B58" s="11" t="s">
        <v>13</v>
      </c>
      <c r="C58" s="12">
        <f>SUM(C10+C35+C18+C56+C40+C27+C48)</f>
        <v>103505</v>
      </c>
      <c r="D58" s="12">
        <f>SUM(D10+D35+D18+D56+D40+D27+D48)</f>
        <v>443994.70999999996</v>
      </c>
    </row>
  </sheetData>
  <mergeCells count="7">
    <mergeCell ref="B3:D3"/>
    <mergeCell ref="B29:D29"/>
    <mergeCell ref="B50:D50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3 ABR'!C6, 'REPORTE DIARIO'!C:C)</f>
        <v>13730</v>
      </c>
      <c r="E6" s="15">
        <f>SUMIF('REPORTE DIARIO'!B:B,'EPR 3 ABR'!C6, 'REPORTE DIARIO'!D:D)</f>
        <v>160400.84000000003</v>
      </c>
      <c r="F6" s="15">
        <f>J6*D6</f>
        <v>392285.71428571432</v>
      </c>
      <c r="G6" s="15">
        <f>+E6-F6</f>
        <v>-231884.87428571429</v>
      </c>
      <c r="H6" s="14">
        <f>ABS(G6/F6)</f>
        <v>0.59111220684632193</v>
      </c>
      <c r="I6" s="15">
        <f>E6/D6</f>
        <v>11.682508375819376</v>
      </c>
      <c r="J6" s="15">
        <f>200/7</f>
        <v>28.571428571428573</v>
      </c>
      <c r="K6" s="15">
        <f>+I6-J6</f>
        <v>-16.888920195609195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3 ABR'!C7, 'REPORTE DIARIO'!C:C)</f>
        <v>11015</v>
      </c>
      <c r="E7" s="15">
        <f>SUMIF('REPORTE DIARIO'!B:B,'EPR 3 ABR'!C7, 'REPORTE DIARIO'!D:D)</f>
        <v>132947</v>
      </c>
      <c r="F7" s="15">
        <f>J7*D7</f>
        <v>173092.85714285713</v>
      </c>
      <c r="G7" s="15">
        <f>+E7-F7</f>
        <v>-40145.85714285713</v>
      </c>
      <c r="H7" s="14">
        <f>ABS(G7/F7)</f>
        <v>0.23193248875500344</v>
      </c>
      <c r="I7" s="15">
        <f>E7/D7</f>
        <v>12.069632319564231</v>
      </c>
      <c r="J7" s="15">
        <f>110/7</f>
        <v>15.714285714285714</v>
      </c>
      <c r="K7" s="15">
        <f t="shared" ref="K7:K9" si="0">+I7-J7</f>
        <v>-3.6446533947214821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3 ABR'!C8, 'REPORTE DIARIO'!C:C)</f>
        <v>17189</v>
      </c>
      <c r="E8" s="15">
        <f>SUMIF('REPORTE DIARIO'!B:B,'EPR 3 ABR'!C8, 'REPORTE DIARIO'!D:D)</f>
        <v>41175</v>
      </c>
      <c r="F8" s="15">
        <f>J8*D8</f>
        <v>110500.71428571429</v>
      </c>
      <c r="G8" s="15">
        <f>+E8-F8</f>
        <v>-69325.71428571429</v>
      </c>
      <c r="H8" s="14">
        <f>ABS(G8/F8)</f>
        <v>0.62737797428588049</v>
      </c>
      <c r="I8" s="15">
        <f>E8/D8</f>
        <v>2.3954273081621968</v>
      </c>
      <c r="J8" s="15">
        <f>45/7</f>
        <v>6.4285714285714288</v>
      </c>
      <c r="K8" s="15">
        <f t="shared" si="0"/>
        <v>-4.033144120409232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3 ABR'!C9, 'REPORTE DIARIO'!C:C)</f>
        <v>61548</v>
      </c>
      <c r="E9" s="15">
        <f>SUMIF('REPORTE DIARIO'!B:B,'EPR 3 ABR'!C9, 'REPORTE DIARIO'!D:D)</f>
        <v>109471.87</v>
      </c>
      <c r="F9" s="15">
        <f>J9*D9</f>
        <v>131888.57142857142</v>
      </c>
      <c r="G9" s="15">
        <f>+E9-F9</f>
        <v>-22416.701428571425</v>
      </c>
      <c r="H9" s="14">
        <f>ABS(G9/F9)</f>
        <v>0.16996697428565238</v>
      </c>
      <c r="I9" s="15">
        <f>E9/D9</f>
        <v>1.7786421979593163</v>
      </c>
      <c r="J9" s="15">
        <f>15/7</f>
        <v>2.1428571428571428</v>
      </c>
      <c r="K9" s="15">
        <f t="shared" si="0"/>
        <v>-0.36421494489782646</v>
      </c>
    </row>
    <row r="10" spans="2:12" x14ac:dyDescent="0.25">
      <c r="B10" s="15"/>
      <c r="C10" s="18" t="s">
        <v>16</v>
      </c>
      <c r="D10" s="23">
        <f>SUM(D6:D9)</f>
        <v>103482</v>
      </c>
      <c r="E10" s="19">
        <f>SUM(E6:E9)</f>
        <v>443994.71</v>
      </c>
      <c r="F10" s="19">
        <f>SUM(F6:F9)</f>
        <v>807767.85714285728</v>
      </c>
      <c r="G10" s="19">
        <f>+E10-F10</f>
        <v>-363773.14714285725</v>
      </c>
      <c r="H10" s="20">
        <f>ABS(G10/F10)</f>
        <v>0.45034367724107444</v>
      </c>
      <c r="I10" s="19">
        <f>E10/D10</f>
        <v>4.290550143986394</v>
      </c>
      <c r="J10" s="19">
        <f>F10/D10</f>
        <v>7.8058779028512912</v>
      </c>
      <c r="K10" s="19">
        <f>I10-J10</f>
        <v>-3.5153277588648972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2025-04-04T02:16:48Z</dcterms:modified>
</cp:coreProperties>
</file>