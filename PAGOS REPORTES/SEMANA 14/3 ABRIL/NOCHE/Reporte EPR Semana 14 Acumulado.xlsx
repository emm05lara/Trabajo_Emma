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3 ABRIL\NOCHE\"/>
    </mc:Choice>
  </mc:AlternateContent>
  <xr:revisionPtr revIDLastSave="0" documentId="13_ncr:1_{EC501638-30C6-4B99-A95C-805F44053FB1}" xr6:coauthVersionLast="47" xr6:coauthVersionMax="47" xr10:uidLastSave="{00000000-0000-0000-0000-000000000000}"/>
  <bookViews>
    <workbookView xWindow="12720" yWindow="1035" windowWidth="10875" windowHeight="7575" activeTab="2" xr2:uid="{4DC6C92A-CD8A-4966-829B-0B6A986E825B}"/>
  </bookViews>
  <sheets>
    <sheet name="REPORTE DIARIO" sheetId="1" r:id="rId1"/>
    <sheet name="DATA" sheetId="4" r:id="rId2"/>
    <sheet name="EPR 3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27" i="1"/>
  <c r="C27" i="1"/>
  <c r="D40" i="1" l="1"/>
  <c r="C40" i="1"/>
  <c r="D35" i="1"/>
  <c r="C35" i="1"/>
  <c r="D18" i="1"/>
  <c r="C18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<sst xmlns="http://schemas.openxmlformats.org/spreadsheetml/2006/main" count="88" uniqueCount="37">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</sst>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0" workbookViewId="0">
      <selection activeCell="D13" sqref="D1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5928</v>
      </c>
      <c r="D5" s="25">
        <v>331788.04000000004</v>
      </c>
    </row>
    <row r="6" spans="2:8" x14ac:dyDescent="0.25">
      <c r="B6" s="1" t="s">
        <v>5</v>
      </c>
      <c r="C6" s="6">
        <v>6641</v>
      </c>
      <c r="D6" s="25">
        <v>348037.8</v>
      </c>
    </row>
    <row r="7" spans="2:8" x14ac:dyDescent="0.25">
      <c r="B7" s="1" t="s">
        <v>6</v>
      </c>
      <c r="C7" s="6">
        <v>9854</v>
      </c>
      <c r="D7" s="25">
        <v>169329.72</v>
      </c>
    </row>
    <row r="8" spans="2:8" x14ac:dyDescent="0.25">
      <c r="B8" s="5" t="s">
        <v>12</v>
      </c>
      <c r="C8" s="7">
        <v>21</v>
      </c>
      <c r="D8" s="25">
        <v>1150</v>
      </c>
    </row>
    <row r="9" spans="2:8" x14ac:dyDescent="0.25">
      <c r="B9" s="1" t="s">
        <v>7</v>
      </c>
      <c r="C9" s="6">
        <v>28805</v>
      </c>
      <c r="D9" s="25">
        <v>355819.30000000005</v>
      </c>
      <c r="F9" s="7"/>
    </row>
    <row r="10" spans="2:8" x14ac:dyDescent="0.25">
      <c r="B10" s="3" t="s">
        <v>8</v>
      </c>
      <c r="C10" s="8">
        <f>SUM(C5:C9)</f>
        <v>51249</v>
      </c>
      <c r="D10" s="4">
        <f>SUM(D5:D9)</f>
        <v>1206124.8600000001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1469</v>
      </c>
      <c r="D14" s="25">
        <v>169296.12</v>
      </c>
    </row>
    <row r="15" spans="2:8" x14ac:dyDescent="0.25">
      <c r="B15" s="9" t="s">
        <v>5</v>
      </c>
      <c r="C15" s="6">
        <v>1491</v>
      </c>
      <c r="D15" s="25">
        <v>196409.75</v>
      </c>
    </row>
    <row r="16" spans="2:8" x14ac:dyDescent="0.25">
      <c r="B16" s="9" t="s">
        <v>6</v>
      </c>
      <c r="C16" s="6">
        <v>838</v>
      </c>
      <c r="D16" s="25">
        <v>15439</v>
      </c>
    </row>
    <row r="17" spans="2:11" x14ac:dyDescent="0.25">
      <c r="B17" s="9" t="s">
        <v>7</v>
      </c>
      <c r="C17" s="6">
        <v>8338</v>
      </c>
      <c r="D17" s="25">
        <v>63500</v>
      </c>
    </row>
    <row r="18" spans="2:11" x14ac:dyDescent="0.25">
      <c r="B18" s="10" t="s">
        <v>8</v>
      </c>
      <c r="C18" s="8">
        <f>SUM(C14:C17)</f>
        <v>12136</v>
      </c>
      <c r="D18" s="4">
        <f>SUM(D14:D17)</f>
        <v>444644.87</v>
      </c>
    </row>
    <row r="20" spans="2:11" x14ac:dyDescent="0.25">
      <c r="B20" s="28" t="s">
        <v>34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2330</v>
      </c>
      <c r="D22" s="25">
        <v>179388.36</v>
      </c>
    </row>
    <row r="23" spans="2:11" x14ac:dyDescent="0.25">
      <c r="B23" s="1" t="s">
        <v>5</v>
      </c>
      <c r="C23" s="6">
        <v>1438</v>
      </c>
      <c r="D23" s="25">
        <v>23915.570000000003</v>
      </c>
    </row>
    <row r="24" spans="2:11" x14ac:dyDescent="0.25">
      <c r="B24" s="1" t="s">
        <v>6</v>
      </c>
      <c r="C24" s="6">
        <v>3421</v>
      </c>
      <c r="D24" s="25">
        <v>25015.63</v>
      </c>
    </row>
    <row r="25" spans="2:11" x14ac:dyDescent="0.25">
      <c r="B25" s="5" t="s">
        <v>12</v>
      </c>
      <c r="C25" s="7">
        <v>2</v>
      </c>
      <c r="D25" s="27">
        <v>0</v>
      </c>
    </row>
    <row r="26" spans="2:11" x14ac:dyDescent="0.25">
      <c r="B26" s="1" t="s">
        <v>7</v>
      </c>
      <c r="C26" s="6">
        <v>21146</v>
      </c>
      <c r="D26" s="25">
        <v>118332.82</v>
      </c>
    </row>
    <row r="27" spans="2:11" x14ac:dyDescent="0.25">
      <c r="B27" s="3" t="s">
        <v>8</v>
      </c>
      <c r="C27" s="8">
        <f>SUM(C22:C26)</f>
        <v>28337</v>
      </c>
      <c r="D27" s="4">
        <f>SUM(D22:D26)</f>
        <v>346652.38</v>
      </c>
      <c r="K27" s="7"/>
    </row>
    <row r="29" spans="2:11" x14ac:dyDescent="0.25">
      <c r="B29" s="28" t="s">
        <v>9</v>
      </c>
      <c r="C29" s="28"/>
      <c r="D29" s="28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1194</v>
      </c>
      <c r="D31" s="25">
        <v>105784.53000000003</v>
      </c>
    </row>
    <row r="32" spans="2:11" x14ac:dyDescent="0.25">
      <c r="B32" s="9" t="s">
        <v>5</v>
      </c>
      <c r="C32" s="6">
        <v>1281</v>
      </c>
      <c r="D32" s="25">
        <v>88708.07</v>
      </c>
    </row>
    <row r="33" spans="2:4" x14ac:dyDescent="0.25">
      <c r="B33" s="9" t="s">
        <v>6</v>
      </c>
      <c r="C33" s="6">
        <v>2933</v>
      </c>
      <c r="D33" s="25">
        <v>36627</v>
      </c>
    </row>
    <row r="34" spans="2:4" x14ac:dyDescent="0.25">
      <c r="B34" s="9" t="s">
        <v>7</v>
      </c>
      <c r="C34" s="6">
        <v>1828</v>
      </c>
      <c r="D34" s="25">
        <v>18275</v>
      </c>
    </row>
    <row r="35" spans="2:4" x14ac:dyDescent="0.25">
      <c r="B35" s="10" t="s">
        <v>8</v>
      </c>
      <c r="C35" s="8">
        <f>SUM(C31:C34)</f>
        <v>7236</v>
      </c>
      <c r="D35" s="4">
        <f>SUM(D31:D34)</f>
        <v>249394.60000000003</v>
      </c>
    </row>
    <row r="37" spans="2:4" x14ac:dyDescent="0.25">
      <c r="B37" s="29" t="s">
        <v>11</v>
      </c>
      <c r="C37" s="29"/>
      <c r="D37" s="29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2741</v>
      </c>
      <c r="D39" s="25">
        <v>28072</v>
      </c>
    </row>
    <row r="40" spans="2:4" x14ac:dyDescent="0.25">
      <c r="B40" s="10" t="s">
        <v>8</v>
      </c>
      <c r="C40" s="8">
        <f>SUM(C39:C39)</f>
        <v>2741</v>
      </c>
      <c r="D40" s="4">
        <f>SUM(D39:D39)</f>
        <v>28072</v>
      </c>
    </row>
    <row r="42" spans="2:4" x14ac:dyDescent="0.25">
      <c r="B42" s="28" t="s">
        <v>35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0</v>
      </c>
      <c r="D44" s="26">
        <v>0</v>
      </c>
    </row>
    <row r="45" spans="2:4" x14ac:dyDescent="0.25">
      <c r="B45" s="1" t="s">
        <v>5</v>
      </c>
      <c r="C45" s="6">
        <v>102</v>
      </c>
      <c r="D45" s="25">
        <v>400</v>
      </c>
    </row>
    <row r="46" spans="2:4" x14ac:dyDescent="0.25">
      <c r="B46" s="1" t="s">
        <v>6</v>
      </c>
      <c r="C46" s="6">
        <v>130</v>
      </c>
      <c r="D46" s="26">
        <v>0</v>
      </c>
    </row>
    <row r="47" spans="2:4" x14ac:dyDescent="0.25">
      <c r="B47" s="1" t="s">
        <v>7</v>
      </c>
      <c r="C47" s="6">
        <v>1422</v>
      </c>
      <c r="D47" s="25">
        <v>6291</v>
      </c>
    </row>
    <row r="48" spans="2:4" x14ac:dyDescent="0.25">
      <c r="B48" s="3" t="s">
        <v>8</v>
      </c>
      <c r="C48" s="8">
        <f>SUM(C44:C47)</f>
        <v>1654</v>
      </c>
      <c r="D48" s="4">
        <f>SUM(D45:D47)</f>
        <v>6691</v>
      </c>
    </row>
    <row r="50" spans="2:4" x14ac:dyDescent="0.25">
      <c r="B50" s="29" t="s">
        <v>32</v>
      </c>
      <c r="C50" s="29"/>
      <c r="D50" s="29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5">
        <v>2000</v>
      </c>
    </row>
    <row r="53" spans="2:4" x14ac:dyDescent="0.25">
      <c r="B53" s="9" t="s">
        <v>5</v>
      </c>
      <c r="C53" s="6">
        <v>62</v>
      </c>
      <c r="D53" s="27">
        <v>0</v>
      </c>
    </row>
    <row r="54" spans="2:4" x14ac:dyDescent="0.25">
      <c r="B54" s="9" t="s">
        <v>6</v>
      </c>
      <c r="C54" s="6">
        <v>13</v>
      </c>
      <c r="D54" s="27">
        <v>0</v>
      </c>
    </row>
    <row r="55" spans="2:4" x14ac:dyDescent="0.25">
      <c r="B55" s="9" t="s">
        <v>7</v>
      </c>
      <c r="C55" s="6">
        <v>9</v>
      </c>
      <c r="D55" s="27">
        <v>0</v>
      </c>
    </row>
    <row r="56" spans="2:4" x14ac:dyDescent="0.25">
      <c r="B56" s="10" t="s">
        <v>8</v>
      </c>
      <c r="C56" s="8">
        <f>SUM(C52:C55)</f>
        <v>152</v>
      </c>
      <c r="D56" s="4">
        <f>SUM(D52:D55)</f>
        <v>2000</v>
      </c>
    </row>
    <row r="58" spans="2:4" x14ac:dyDescent="0.25">
      <c r="B58" s="12" t="s">
        <v>13</v>
      </c>
      <c r="C58" s="13">
        <f>SUM(C10+C18+C56+C35+C40+C27+C48)</f>
        <v>103505</v>
      </c>
      <c r="D58" s="13">
        <f>SUM(D10+D18+D56+D35+D40+D27+D48)</f>
        <v>2283579.71</v>
      </c>
    </row>
  </sheetData>
  <mergeCells count="7">
    <mergeCell ref="B20:D20"/>
    <mergeCell ref="B42:D42"/>
    <mergeCell ref="B3:D3"/>
    <mergeCell ref="B50:D50"/>
    <mergeCell ref="B12:D12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I7" sqref="I7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3 ABR'!C6, 'REPORTE DIARIO'!C:C)</f>
        <v>13730</v>
      </c>
      <c r="E6" s="16">
        <f>SUMIF('REPORTE DIARIO'!B:B,'EPR 3 ABR'!C6, 'REPORTE DIARIO'!D:D)</f>
        <v>816329.05</v>
      </c>
      <c r="F6" s="16">
        <f>J6*D6</f>
        <v>1569142.8571428573</v>
      </c>
      <c r="G6" s="16">
        <f>+E6-F6</f>
        <v>-752813.80714285723</v>
      </c>
      <c r="H6" s="15">
        <f>ABS(G6/F6)</f>
        <v>0.47976116624180626</v>
      </c>
      <c r="I6" s="16">
        <f>E6/D6</f>
        <v>59.455866715222143</v>
      </c>
      <c r="J6" s="16">
        <f>(200/7)*4</f>
        <v>114.28571428571429</v>
      </c>
      <c r="K6" s="16">
        <f>+I6-J6</f>
        <v>-54.829847570492149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3 ABR'!C7, 'REPORTE DIARIO'!C:C)</f>
        <v>11015</v>
      </c>
      <c r="E7" s="16">
        <f>SUMIF('REPORTE DIARIO'!B:B,'EPR 3 ABR'!C7, 'REPORTE DIARIO'!D:D)</f>
        <v>657471.18999999994</v>
      </c>
      <c r="F7" s="16">
        <f>J7*D7</f>
        <v>692371.42857142852</v>
      </c>
      <c r="G7" s="16">
        <f>+E7-F7</f>
        <v>-34900.238571428577</v>
      </c>
      <c r="H7" s="15">
        <f>ABS(G7/F7)</f>
        <v>5.040681508686503E-2</v>
      </c>
      <c r="I7" s="16">
        <f>E7/D7</f>
        <v>59.688714480254191</v>
      </c>
      <c r="J7" s="16">
        <f>(110/7)*4</f>
        <v>62.857142857142854</v>
      </c>
      <c r="K7" s="16">
        <f t="shared" ref="K7:K9" si="0">+I7-J7</f>
        <v>-3.168428376888663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3 ABR'!C8, 'REPORTE DIARIO'!C:C)</f>
        <v>17189</v>
      </c>
      <c r="E8" s="16">
        <f>SUMIF('REPORTE DIARIO'!B:B,'EPR 3 ABR'!C8, 'REPORTE DIARIO'!D:D)</f>
        <v>246411.35</v>
      </c>
      <c r="F8" s="16">
        <f>J8*D8</f>
        <v>442002.85714285716</v>
      </c>
      <c r="G8" s="16">
        <f>+E8-F8</f>
        <v>-195591.50714285715</v>
      </c>
      <c r="H8" s="15">
        <f>ABS(G8/F8)</f>
        <v>0.44251186159106926</v>
      </c>
      <c r="I8" s="16">
        <f>E8/D8</f>
        <v>14.335409273372505</v>
      </c>
      <c r="J8" s="16">
        <f>(45/7)*4</f>
        <v>25.714285714285715</v>
      </c>
      <c r="K8" s="16">
        <f t="shared" si="0"/>
        <v>-11.37887644091321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3 ABR'!C9, 'REPORTE DIARIO'!C:C)</f>
        <v>61548</v>
      </c>
      <c r="E9" s="16">
        <f>SUMIF('REPORTE DIARIO'!B:B,'EPR 3 ABR'!C9, 'REPORTE DIARIO'!D:D)</f>
        <v>562218.12000000011</v>
      </c>
      <c r="F9" s="16">
        <f>J9*D9</f>
        <v>527554.28571428568</v>
      </c>
      <c r="G9" s="16">
        <f>+E9-F9</f>
        <v>34663.834285714431</v>
      </c>
      <c r="H9" s="15">
        <f>ABS(G9/F9)</f>
        <v>6.5706667966465473E-2</v>
      </c>
      <c r="I9" s="16">
        <f>E9/D9</f>
        <v>9.1346285825697038</v>
      </c>
      <c r="J9" s="16">
        <f>(15/7)*4</f>
        <v>8.5714285714285712</v>
      </c>
      <c r="K9" s="16">
        <f t="shared" si="0"/>
        <v>0.56320001114113261</v>
      </c>
    </row>
    <row r="10" spans="2:12" x14ac:dyDescent="0.25">
      <c r="B10" s="16"/>
      <c r="C10" s="19" t="s">
        <v>17</v>
      </c>
      <c r="D10" s="24">
        <f>SUM(D6:D9)</f>
        <v>103482</v>
      </c>
      <c r="E10" s="20">
        <f>SUM(E6:E9)</f>
        <v>2282429.71</v>
      </c>
      <c r="F10" s="20">
        <f>SUM(F6:F9)</f>
        <v>3231071.4285714291</v>
      </c>
      <c r="G10" s="20">
        <f>+E10-F10</f>
        <v>-948641.71857142914</v>
      </c>
      <c r="H10" s="21">
        <f>ABS(G10/F10)</f>
        <v>0.29359973604509793</v>
      </c>
      <c r="I10" s="20">
        <f>E10/D10</f>
        <v>22.056296843895556</v>
      </c>
      <c r="J10" s="20">
        <f>F10/D10</f>
        <v>31.223511611405165</v>
      </c>
      <c r="K10" s="20">
        <f>I10-J10</f>
        <v>-9.1672147675096092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3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2025-04-04T02:20:14Z</dcterms:modified>
</cp:coreProperties>
</file>