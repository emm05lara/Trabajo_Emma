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14\4 ABRIL\MAÑANA\"/>
    </mc:Choice>
  </mc:AlternateContent>
  <xr:revisionPtr revIDLastSave="0" documentId="13_ncr:1_{D9EFBEAB-8C91-4070-9ED4-2FB202E4C12F}" xr6:coauthVersionLast="47" xr6:coauthVersionMax="47" xr10:uidLastSave="{00000000-0000-0000-0000-000000000000}"/>
  <bookViews>
    <workbookView xWindow="-108" yWindow="-108" windowWidth="23256" windowHeight="12456" activeTab="2" xr2:uid="{4DC6C92A-CD8A-4966-829B-0B6A986E825B}"/>
  </bookViews>
  <sheets>
    <sheet name="REPORTE DIARIO" sheetId="1" r:id="rId1"/>
    <sheet name="DATA" sheetId="4" r:id="rId2"/>
    <sheet name="EPR 4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27" i="1"/>
  <c r="C27" i="1"/>
  <c r="D40" i="1" l="1"/>
  <c r="C40" i="1"/>
  <c r="D35" i="1"/>
  <c r="C35" i="1"/>
  <c r="D18" i="1"/>
  <c r="C18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<sst xmlns="http://schemas.openxmlformats.org/spreadsheetml/2006/main" count="88" uniqueCount="37">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</sst>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48" workbookViewId="0">
      <selection activeCell="B50" sqref="B50:D58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5917</v>
      </c>
      <c r="D5" s="25">
        <v>338334.14</v>
      </c>
    </row>
    <row r="6" spans="2:8" x14ac:dyDescent="0.3">
      <c r="B6" s="1" t="s">
        <v>5</v>
      </c>
      <c r="C6" s="6">
        <v>6627</v>
      </c>
      <c r="D6" s="25">
        <v>402745.8</v>
      </c>
    </row>
    <row r="7" spans="2:8" x14ac:dyDescent="0.3">
      <c r="B7" s="1" t="s">
        <v>6</v>
      </c>
      <c r="C7" s="6">
        <v>9837</v>
      </c>
      <c r="D7" s="25">
        <v>171368.72</v>
      </c>
    </row>
    <row r="8" spans="2:8" x14ac:dyDescent="0.3">
      <c r="B8" s="5" t="s">
        <v>12</v>
      </c>
      <c r="C8" s="7">
        <v>21</v>
      </c>
      <c r="D8" s="25">
        <v>1150</v>
      </c>
    </row>
    <row r="9" spans="2:8" x14ac:dyDescent="0.3">
      <c r="B9" s="1" t="s">
        <v>7</v>
      </c>
      <c r="C9" s="6">
        <v>28805</v>
      </c>
      <c r="D9" s="25">
        <v>366649.19000000006</v>
      </c>
      <c r="F9" s="7"/>
    </row>
    <row r="10" spans="2:8" x14ac:dyDescent="0.3">
      <c r="B10" s="3" t="s">
        <v>8</v>
      </c>
      <c r="C10" s="8">
        <f>SUM(C5:C9)</f>
        <v>51207</v>
      </c>
      <c r="D10" s="4">
        <f>SUM(D5:D9)</f>
        <v>1280247.8500000001</v>
      </c>
      <c r="E10" s="11" t="s">
        <v>14</v>
      </c>
    </row>
    <row r="12" spans="2:8" x14ac:dyDescent="0.3">
      <c r="B12" s="29" t="s">
        <v>10</v>
      </c>
      <c r="C12" s="29"/>
      <c r="D12" s="29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1463</v>
      </c>
      <c r="D14" s="25">
        <v>158317.5</v>
      </c>
    </row>
    <row r="15" spans="2:8" x14ac:dyDescent="0.3">
      <c r="B15" s="9" t="s">
        <v>5</v>
      </c>
      <c r="C15" s="6">
        <v>1488</v>
      </c>
      <c r="D15" s="25">
        <v>198342.93</v>
      </c>
    </row>
    <row r="16" spans="2:8" x14ac:dyDescent="0.3">
      <c r="B16" s="9" t="s">
        <v>6</v>
      </c>
      <c r="C16" s="6">
        <v>838</v>
      </c>
      <c r="D16" s="25">
        <v>15873</v>
      </c>
    </row>
    <row r="17" spans="2:11" x14ac:dyDescent="0.3">
      <c r="B17" s="9" t="s">
        <v>7</v>
      </c>
      <c r="C17" s="6">
        <v>8338</v>
      </c>
      <c r="D17" s="25">
        <v>63626.45</v>
      </c>
    </row>
    <row r="18" spans="2:11" x14ac:dyDescent="0.3">
      <c r="B18" s="10" t="s">
        <v>8</v>
      </c>
      <c r="C18" s="8">
        <f>SUM(C14:C17)</f>
        <v>12127</v>
      </c>
      <c r="D18" s="4">
        <f>SUM(D14:D17)</f>
        <v>436159.88</v>
      </c>
    </row>
    <row r="20" spans="2:11" x14ac:dyDescent="0.3">
      <c r="B20" s="28" t="s">
        <v>34</v>
      </c>
      <c r="C20" s="28"/>
      <c r="D20" s="28"/>
    </row>
    <row r="21" spans="2:11" x14ac:dyDescent="0.3">
      <c r="B21" s="2" t="s">
        <v>1</v>
      </c>
      <c r="C21" s="2" t="s">
        <v>2</v>
      </c>
      <c r="D21" s="2" t="s">
        <v>3</v>
      </c>
    </row>
    <row r="22" spans="2:11" x14ac:dyDescent="0.3">
      <c r="B22" s="1" t="s">
        <v>4</v>
      </c>
      <c r="C22" s="6">
        <v>2315</v>
      </c>
      <c r="D22" s="25">
        <v>184824.36</v>
      </c>
    </row>
    <row r="23" spans="2:11" x14ac:dyDescent="0.3">
      <c r="B23" s="1" t="s">
        <v>5</v>
      </c>
      <c r="C23" s="6">
        <v>1421</v>
      </c>
      <c r="D23" s="25">
        <v>24729.570000000003</v>
      </c>
    </row>
    <row r="24" spans="2:11" x14ac:dyDescent="0.3">
      <c r="B24" s="1" t="s">
        <v>6</v>
      </c>
      <c r="C24" s="6">
        <v>3415</v>
      </c>
      <c r="D24" s="25">
        <v>25938.63</v>
      </c>
    </row>
    <row r="25" spans="2:11" x14ac:dyDescent="0.3">
      <c r="B25" s="5" t="s">
        <v>12</v>
      </c>
      <c r="C25" s="7">
        <v>2</v>
      </c>
      <c r="D25" s="27">
        <v>0</v>
      </c>
    </row>
    <row r="26" spans="2:11" x14ac:dyDescent="0.3">
      <c r="B26" s="1" t="s">
        <v>7</v>
      </c>
      <c r="C26" s="6">
        <v>21142</v>
      </c>
      <c r="D26" s="25">
        <v>124994.51000000001</v>
      </c>
    </row>
    <row r="27" spans="2:11" x14ac:dyDescent="0.3">
      <c r="B27" s="3" t="s">
        <v>8</v>
      </c>
      <c r="C27" s="8">
        <f>SUM(C22:C26)</f>
        <v>28295</v>
      </c>
      <c r="D27" s="4">
        <f>SUM(D22:D26)</f>
        <v>360487.07</v>
      </c>
      <c r="K27" s="7"/>
    </row>
    <row r="29" spans="2:11" x14ac:dyDescent="0.3">
      <c r="B29" s="28" t="s">
        <v>9</v>
      </c>
      <c r="C29" s="28"/>
      <c r="D29" s="28"/>
    </row>
    <row r="30" spans="2:11" x14ac:dyDescent="0.3">
      <c r="B30" s="2" t="s">
        <v>1</v>
      </c>
      <c r="C30" s="2" t="s">
        <v>2</v>
      </c>
      <c r="D30" s="2" t="s">
        <v>3</v>
      </c>
    </row>
    <row r="31" spans="2:11" x14ac:dyDescent="0.3">
      <c r="B31" s="9" t="s">
        <v>4</v>
      </c>
      <c r="C31" s="6">
        <v>1192</v>
      </c>
      <c r="D31" s="25">
        <v>107948.82000000002</v>
      </c>
    </row>
    <row r="32" spans="2:11" x14ac:dyDescent="0.3">
      <c r="B32" s="9" t="s">
        <v>5</v>
      </c>
      <c r="C32" s="6">
        <v>1278</v>
      </c>
      <c r="D32" s="25">
        <v>89691.07</v>
      </c>
    </row>
    <row r="33" spans="2:4" x14ac:dyDescent="0.3">
      <c r="B33" s="9" t="s">
        <v>6</v>
      </c>
      <c r="C33" s="6">
        <v>2933</v>
      </c>
      <c r="D33" s="25">
        <v>36627</v>
      </c>
    </row>
    <row r="34" spans="2:4" x14ac:dyDescent="0.3">
      <c r="B34" s="9" t="s">
        <v>7</v>
      </c>
      <c r="C34" s="6">
        <v>1828</v>
      </c>
      <c r="D34" s="25">
        <v>18275</v>
      </c>
    </row>
    <row r="35" spans="2:4" x14ac:dyDescent="0.3">
      <c r="B35" s="10" t="s">
        <v>8</v>
      </c>
      <c r="C35" s="8">
        <f>SUM(C31:C34)</f>
        <v>7231</v>
      </c>
      <c r="D35" s="4">
        <f>SUM(D31:D34)</f>
        <v>252541.89</v>
      </c>
    </row>
    <row r="37" spans="2:4" x14ac:dyDescent="0.3">
      <c r="B37" s="29" t="s">
        <v>11</v>
      </c>
      <c r="C37" s="29"/>
      <c r="D37" s="29"/>
    </row>
    <row r="38" spans="2:4" x14ac:dyDescent="0.3">
      <c r="B38" s="4" t="s">
        <v>1</v>
      </c>
      <c r="C38" s="4" t="s">
        <v>2</v>
      </c>
      <c r="D38" s="4" t="s">
        <v>3</v>
      </c>
    </row>
    <row r="39" spans="2:4" x14ac:dyDescent="0.3">
      <c r="B39" s="9" t="s">
        <v>4</v>
      </c>
      <c r="C39" s="6">
        <v>2740</v>
      </c>
      <c r="D39" s="25">
        <v>27753</v>
      </c>
    </row>
    <row r="40" spans="2:4" x14ac:dyDescent="0.3">
      <c r="B40" s="10" t="s">
        <v>8</v>
      </c>
      <c r="C40" s="8">
        <f>SUM(C39:C39)</f>
        <v>2740</v>
      </c>
      <c r="D40" s="4">
        <f>SUM(D39:D39)</f>
        <v>27753</v>
      </c>
    </row>
    <row r="42" spans="2:4" x14ac:dyDescent="0.3">
      <c r="B42" s="28" t="s">
        <v>35</v>
      </c>
      <c r="C42" s="28"/>
      <c r="D42" s="28"/>
    </row>
    <row r="43" spans="2:4" x14ac:dyDescent="0.3">
      <c r="B43" s="2" t="s">
        <v>1</v>
      </c>
      <c r="C43" s="2" t="s">
        <v>2</v>
      </c>
      <c r="D43" s="2" t="s">
        <v>3</v>
      </c>
    </row>
    <row r="44" spans="2:4" x14ac:dyDescent="0.3">
      <c r="B44" s="9" t="s">
        <v>4</v>
      </c>
      <c r="C44" s="6">
        <v>0</v>
      </c>
      <c r="D44" s="25">
        <v>400</v>
      </c>
    </row>
    <row r="45" spans="2:4" x14ac:dyDescent="0.3">
      <c r="B45" s="1" t="s">
        <v>5</v>
      </c>
      <c r="C45" s="6">
        <v>101</v>
      </c>
      <c r="D45" s="26">
        <v>0</v>
      </c>
    </row>
    <row r="46" spans="2:4" x14ac:dyDescent="0.3">
      <c r="B46" s="1" t="s">
        <v>6</v>
      </c>
      <c r="C46" s="6">
        <v>130</v>
      </c>
      <c r="D46" s="26">
        <v>0</v>
      </c>
    </row>
    <row r="47" spans="2:4" x14ac:dyDescent="0.3">
      <c r="B47" s="1" t="s">
        <v>7</v>
      </c>
      <c r="C47" s="6">
        <v>1401</v>
      </c>
      <c r="D47" s="25">
        <v>6291</v>
      </c>
    </row>
    <row r="48" spans="2:4" x14ac:dyDescent="0.3">
      <c r="B48" s="3" t="s">
        <v>8</v>
      </c>
      <c r="C48" s="8">
        <f>SUM(C44:C47)</f>
        <v>1632</v>
      </c>
      <c r="D48" s="4">
        <f>SUM(D45:D47)</f>
        <v>6291</v>
      </c>
    </row>
    <row r="50" spans="2:4" x14ac:dyDescent="0.3">
      <c r="B50" s="29" t="s">
        <v>32</v>
      </c>
      <c r="C50" s="29"/>
      <c r="D50" s="29"/>
    </row>
    <row r="51" spans="2:4" x14ac:dyDescent="0.3">
      <c r="B51" s="4" t="s">
        <v>1</v>
      </c>
      <c r="C51" s="4" t="s">
        <v>2</v>
      </c>
      <c r="D51" s="4" t="s">
        <v>3</v>
      </c>
    </row>
    <row r="52" spans="2:4" x14ac:dyDescent="0.3">
      <c r="B52" s="9" t="s">
        <v>4</v>
      </c>
      <c r="C52" s="6">
        <v>68</v>
      </c>
      <c r="D52" s="25">
        <v>2000</v>
      </c>
    </row>
    <row r="53" spans="2:4" x14ac:dyDescent="0.3">
      <c r="B53" s="9" t="s">
        <v>5</v>
      </c>
      <c r="C53" s="6">
        <v>62</v>
      </c>
      <c r="D53" s="27">
        <v>0</v>
      </c>
    </row>
    <row r="54" spans="2:4" x14ac:dyDescent="0.3">
      <c r="B54" s="9" t="s">
        <v>6</v>
      </c>
      <c r="C54" s="6">
        <v>13</v>
      </c>
      <c r="D54" s="27">
        <v>0</v>
      </c>
    </row>
    <row r="55" spans="2:4" x14ac:dyDescent="0.3">
      <c r="B55" s="9" t="s">
        <v>7</v>
      </c>
      <c r="C55" s="6">
        <v>9</v>
      </c>
      <c r="D55" s="27">
        <v>0</v>
      </c>
    </row>
    <row r="56" spans="2:4" x14ac:dyDescent="0.3">
      <c r="B56" s="10" t="s">
        <v>8</v>
      </c>
      <c r="C56" s="8">
        <f>SUM(C52:C55)</f>
        <v>152</v>
      </c>
      <c r="D56" s="4">
        <f>SUM(D52:D55)</f>
        <v>2000</v>
      </c>
    </row>
    <row r="58" spans="2:4" x14ac:dyDescent="0.3">
      <c r="B58" s="12" t="s">
        <v>13</v>
      </c>
      <c r="C58" s="13">
        <f>SUM(C10+C18+C56+C35+C40+C27+C48)</f>
        <v>103384</v>
      </c>
      <c r="D58" s="13">
        <f>SUM(D10+D18+D56+D35+D40+D27+D48)</f>
        <v>2365480.69</v>
      </c>
    </row>
  </sheetData>
  <mergeCells count="7">
    <mergeCell ref="B20:D20"/>
    <mergeCell ref="B42:D42"/>
    <mergeCell ref="B3:D3"/>
    <mergeCell ref="B50:D50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topLeftCell="B1" zoomScale="145" zoomScaleNormal="145" workbookViewId="0">
      <selection activeCell="B2" sqref="B2:K14"/>
    </sheetView>
  </sheetViews>
  <sheetFormatPr baseColWidth="10" defaultRowHeight="14.4" x14ac:dyDescent="0.3"/>
  <cols>
    <col min="2" max="2" width="18.109375" customWidth="1"/>
    <col min="3" max="3" width="34.441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36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29</v>
      </c>
      <c r="C6" s="1" t="s">
        <v>4</v>
      </c>
      <c r="D6" s="23">
        <f>SUMIF('REPORTE DIARIO'!B:B,'EPR 4 ABR'!C6, 'REPORTE DIARIO'!C:C)</f>
        <v>13695</v>
      </c>
      <c r="E6" s="16">
        <f>SUMIF('REPORTE DIARIO'!B:B,'EPR 4 ABR'!C6, 'REPORTE DIARIO'!D:D)</f>
        <v>819577.82000000007</v>
      </c>
      <c r="F6" s="16">
        <f>J6*D6</f>
        <v>1956428.5714285716</v>
      </c>
      <c r="G6" s="16">
        <f>+E6-F6</f>
        <v>-1136850.7514285715</v>
      </c>
      <c r="H6" s="15">
        <f>ABS(G6/F6)</f>
        <v>0.58108472143117929</v>
      </c>
      <c r="I6" s="16">
        <f>E6/D6</f>
        <v>59.845039795545823</v>
      </c>
      <c r="J6" s="16">
        <f>(200/7)*5</f>
        <v>142.85714285714286</v>
      </c>
      <c r="K6" s="16">
        <f>+I6-J6</f>
        <v>-83.012103061597031</v>
      </c>
      <c r="L6" s="15"/>
    </row>
    <row r="7" spans="2:12" x14ac:dyDescent="0.3">
      <c r="B7" s="16" t="s">
        <v>30</v>
      </c>
      <c r="C7" s="1" t="s">
        <v>5</v>
      </c>
      <c r="D7" s="23">
        <f>SUMIF('REPORTE DIARIO'!B:B,'EPR 4 ABR'!C7, 'REPORTE DIARIO'!C:C)</f>
        <v>10977</v>
      </c>
      <c r="E7" s="16">
        <f>SUMIF('REPORTE DIARIO'!B:B,'EPR 4 ABR'!C7, 'REPORTE DIARIO'!D:D)</f>
        <v>715509.36999999988</v>
      </c>
      <c r="F7" s="16">
        <f>J7*D7</f>
        <v>862478.57142857136</v>
      </c>
      <c r="G7" s="16">
        <f>+E7-F7</f>
        <v>-146969.20142857148</v>
      </c>
      <c r="H7" s="15">
        <f>ABS(G7/F7)</f>
        <v>0.17040330774263551</v>
      </c>
      <c r="I7" s="16">
        <f>E7/D7</f>
        <v>65.182597248792916</v>
      </c>
      <c r="J7" s="16">
        <f>(110/7)*5</f>
        <v>78.571428571428569</v>
      </c>
      <c r="K7" s="16">
        <f t="shared" ref="K7:K9" si="0">+I7-J7</f>
        <v>-13.388831322635653</v>
      </c>
      <c r="L7" s="15"/>
    </row>
    <row r="8" spans="2:12" x14ac:dyDescent="0.3">
      <c r="B8" s="16" t="s">
        <v>30</v>
      </c>
      <c r="C8" s="1" t="s">
        <v>6</v>
      </c>
      <c r="D8" s="23">
        <f>SUMIF('REPORTE DIARIO'!B:B,'EPR 4 ABR'!C8, 'REPORTE DIARIO'!C:C)</f>
        <v>17166</v>
      </c>
      <c r="E8" s="16">
        <f>SUMIF('REPORTE DIARIO'!B:B,'EPR 4 ABR'!C8, 'REPORTE DIARIO'!D:D)</f>
        <v>249807.35</v>
      </c>
      <c r="F8" s="16">
        <f>J8*D8</f>
        <v>551764.2857142858</v>
      </c>
      <c r="G8" s="16">
        <f>+E8-F8</f>
        <v>-301956.93571428582</v>
      </c>
      <c r="H8" s="15">
        <f>ABS(G8/F8)</f>
        <v>0.54725712325397757</v>
      </c>
      <c r="I8" s="16">
        <f>E8/D8</f>
        <v>14.55244960969358</v>
      </c>
      <c r="J8" s="16">
        <f>(45/7)*5</f>
        <v>32.142857142857146</v>
      </c>
      <c r="K8" s="16">
        <f t="shared" si="0"/>
        <v>-17.590407533163564</v>
      </c>
      <c r="L8" s="15"/>
    </row>
    <row r="9" spans="2:12" x14ac:dyDescent="0.3">
      <c r="B9" s="16" t="s">
        <v>31</v>
      </c>
      <c r="C9" s="1" t="s">
        <v>7</v>
      </c>
      <c r="D9" s="23">
        <f>SUMIF('REPORTE DIARIO'!B:B,'EPR 4 ABR'!C9, 'REPORTE DIARIO'!C:C)</f>
        <v>61523</v>
      </c>
      <c r="E9" s="16">
        <f>SUMIF('REPORTE DIARIO'!B:B,'EPR 4 ABR'!C9, 'REPORTE DIARIO'!D:D)</f>
        <v>579836.15000000014</v>
      </c>
      <c r="F9" s="16">
        <f>J9*D9</f>
        <v>659175</v>
      </c>
      <c r="G9" s="16">
        <f>+E9-F9</f>
        <v>-79338.84999999986</v>
      </c>
      <c r="H9" s="15">
        <f>ABS(G9/F9)</f>
        <v>0.12036082982516003</v>
      </c>
      <c r="I9" s="16">
        <f>E9/D9</f>
        <v>9.4247053947304291</v>
      </c>
      <c r="J9" s="16">
        <f>(15/7)*5</f>
        <v>10.714285714285714</v>
      </c>
      <c r="K9" s="16">
        <f t="shared" si="0"/>
        <v>-1.2895803195552844</v>
      </c>
    </row>
    <row r="10" spans="2:12" x14ac:dyDescent="0.3">
      <c r="B10" s="16"/>
      <c r="C10" s="19" t="s">
        <v>17</v>
      </c>
      <c r="D10" s="24">
        <f>SUM(D6:D9)</f>
        <v>103361</v>
      </c>
      <c r="E10" s="20">
        <f>SUM(E6:E9)</f>
        <v>2364730.6900000004</v>
      </c>
      <c r="F10" s="20">
        <f>SUM(F6:F9)</f>
        <v>4029846.4285714286</v>
      </c>
      <c r="G10" s="20">
        <f>+E10-F10</f>
        <v>-1665115.7385714282</v>
      </c>
      <c r="H10" s="21">
        <f>ABS(G10/F10)</f>
        <v>0.41319582968865343</v>
      </c>
      <c r="I10" s="20">
        <f>E10/D10</f>
        <v>22.878365050647734</v>
      </c>
      <c r="J10" s="20">
        <f>F10/D10</f>
        <v>38.988075082201497</v>
      </c>
      <c r="K10" s="20">
        <f>I10-J10</f>
        <v>-16.109710031553764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4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2025-04-04T14:45:27Z</cp:lastPrinted>
  <dcterms:created xsi:type="dcterms:W3CDTF">2025-01-27T15:11:28Z</dcterms:created>
  <dcterms:modified xsi:type="dcterms:W3CDTF">2025-04-04T14:45:32Z</dcterms:modified>
</cp:coreProperties>
</file>