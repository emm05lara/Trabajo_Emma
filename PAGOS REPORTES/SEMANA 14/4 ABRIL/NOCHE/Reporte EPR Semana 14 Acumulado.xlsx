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4\4 ABRIL\NOCHE\"/>
    </mc:Choice>
  </mc:AlternateContent>
  <xr:revisionPtr revIDLastSave="0" documentId="13_ncr:1_{621CC422-2D57-49E2-8BCA-69D3F3529C35}" xr6:coauthVersionLast="47" xr6:coauthVersionMax="47" xr10:uidLastSave="{00000000-0000-0000-0000-000000000000}"/>
  <bookViews>
    <workbookView xWindow="15480" yWindow="3795" windowWidth="10875" windowHeight="7575" activeTab="2" xr2:uid="{4DC6C92A-CD8A-4966-829B-0B6A986E825B}"/>
  </bookViews>
  <sheets>
    <sheet name="REPORTE DIARIO" sheetId="1" r:id="rId1"/>
    <sheet name="DATA" sheetId="4" r:id="rId2"/>
    <sheet name="EPR 4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8" i="1" l="1"/>
  <c r="J9" i="3"/>
  <c r="J8" i="3"/>
  <c r="J7" i="3"/>
  <c r="J6" i="3"/>
  <c r="C48" i="1"/>
  <c r="D27" i="1"/>
  <c r="C27" i="1"/>
  <c r="D40" i="1" l="1"/>
  <c r="C40" i="1"/>
  <c r="D35" i="1"/>
  <c r="C35" i="1"/>
  <c r="D18" i="1"/>
  <c r="C18" i="1"/>
  <c r="D56" i="1"/>
  <c r="C56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58" i="1" l="1"/>
  <c r="D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<sst xmlns="http://schemas.openxmlformats.org/spreadsheetml/2006/main" count="88" uniqueCount="37">
  <si>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</si>
  <si>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</si>
  <si>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</si>
  <si>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</si>
  <si>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</si>
  <si>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</si>
  <si>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</si>
  <si>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</si>
  <si>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</si>
  <si>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</si>
  <si>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</si>
  <si>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</si>
  <si>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</si>
  <si>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</si>
  <si>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</si>
  <si>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</si>
  <si>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</si>
  <si>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</si>
  <si>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</si>
  <si>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</si>
  <si>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</si>
  <si>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</si>
  <si>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</si>
  <si>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</si>
  <si>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</si>
  <si>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</si>
  <si>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</si>
  <si>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</si>
  <si>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</si>
  <si>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</si>
  <si>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</si>
  <si>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</si>
  <si>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</si>
  <si>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Samantha, Samantha 2, Sofia, Edith, Olguin, Fernando y Federico</t>
  </si>
  <si>
    <t>COBRANZA GENERAL  SAMANTHA 2</t>
  </si>
  <si>
    <t>COBRANZA GENERAL  FEDERICO</t>
  </si>
  <si>
    <t>SALDO ACUMULADO SEMANA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</si>
</sst>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2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opLeftCell="A13" workbookViewId="0">
      <selection activeCell="D56" sqref="D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5920</v>
      </c>
      <c r="D5" s="25">
        <v>486779.14</v>
      </c>
    </row>
    <row r="6" spans="2:8" x14ac:dyDescent="0.25">
      <c r="B6" s="1" t="s">
        <v>5</v>
      </c>
      <c r="C6" s="6">
        <v>6656</v>
      </c>
      <c r="D6" s="25">
        <v>493474.8</v>
      </c>
    </row>
    <row r="7" spans="2:8" x14ac:dyDescent="0.25">
      <c r="B7" s="1" t="s">
        <v>6</v>
      </c>
      <c r="C7" s="6">
        <v>9854</v>
      </c>
      <c r="D7" s="25">
        <v>206085.72</v>
      </c>
    </row>
    <row r="8" spans="2:8" x14ac:dyDescent="0.25">
      <c r="B8" s="5" t="s">
        <v>12</v>
      </c>
      <c r="C8" s="7">
        <v>21</v>
      </c>
      <c r="D8" s="25">
        <v>1150</v>
      </c>
    </row>
    <row r="9" spans="2:8" x14ac:dyDescent="0.25">
      <c r="B9" s="1" t="s">
        <v>7</v>
      </c>
      <c r="C9" s="6">
        <v>28822</v>
      </c>
      <c r="D9" s="25">
        <v>431918.11000000004</v>
      </c>
      <c r="F9" s="7"/>
    </row>
    <row r="10" spans="2:8" x14ac:dyDescent="0.25">
      <c r="B10" s="3" t="s">
        <v>8</v>
      </c>
      <c r="C10" s="8">
        <f>SUM(C5:C9)</f>
        <v>51273</v>
      </c>
      <c r="D10" s="4">
        <f>SUM(D5:D9)</f>
        <v>1619407.77</v>
      </c>
      <c r="E10" s="11" t="s">
        <v>14</v>
      </c>
    </row>
    <row r="12" spans="2:8" x14ac:dyDescent="0.25">
      <c r="B12" s="29" t="s">
        <v>10</v>
      </c>
      <c r="C12" s="29"/>
      <c r="D12" s="29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1466</v>
      </c>
      <c r="D14" s="25">
        <v>179445.47</v>
      </c>
    </row>
    <row r="15" spans="2:8" x14ac:dyDescent="0.25">
      <c r="B15" s="9" t="s">
        <v>5</v>
      </c>
      <c r="C15" s="6">
        <v>1495</v>
      </c>
      <c r="D15" s="25">
        <v>218725.93</v>
      </c>
    </row>
    <row r="16" spans="2:8" x14ac:dyDescent="0.25">
      <c r="B16" s="9" t="s">
        <v>6</v>
      </c>
      <c r="C16" s="6">
        <v>840</v>
      </c>
      <c r="D16" s="25">
        <v>20249</v>
      </c>
    </row>
    <row r="17" spans="2:11" x14ac:dyDescent="0.25">
      <c r="B17" s="9" t="s">
        <v>7</v>
      </c>
      <c r="C17" s="6">
        <v>8341</v>
      </c>
      <c r="D17" s="25">
        <v>82390.45</v>
      </c>
    </row>
    <row r="18" spans="2:11" x14ac:dyDescent="0.25">
      <c r="B18" s="10" t="s">
        <v>8</v>
      </c>
      <c r="C18" s="8">
        <f>SUM(C14:C17)</f>
        <v>12142</v>
      </c>
      <c r="D18" s="4">
        <f>SUM(D14:D17)</f>
        <v>500810.85000000003</v>
      </c>
    </row>
    <row r="20" spans="2:11" x14ac:dyDescent="0.25">
      <c r="B20" s="28" t="s">
        <v>34</v>
      </c>
      <c r="C20" s="28"/>
      <c r="D20" s="28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1" t="s">
        <v>4</v>
      </c>
      <c r="C22" s="6">
        <v>2357</v>
      </c>
      <c r="D22" s="25">
        <v>207534.65999999997</v>
      </c>
    </row>
    <row r="23" spans="2:11" x14ac:dyDescent="0.25">
      <c r="B23" s="1" t="s">
        <v>5</v>
      </c>
      <c r="C23" s="6">
        <v>1431</v>
      </c>
      <c r="D23" s="25">
        <v>48253.570000000007</v>
      </c>
    </row>
    <row r="24" spans="2:11" x14ac:dyDescent="0.25">
      <c r="B24" s="1" t="s">
        <v>6</v>
      </c>
      <c r="C24" s="6">
        <v>3415</v>
      </c>
      <c r="D24" s="25">
        <v>32667.63</v>
      </c>
    </row>
    <row r="25" spans="2:11" x14ac:dyDescent="0.25">
      <c r="B25" s="5" t="s">
        <v>12</v>
      </c>
      <c r="C25" s="7">
        <v>2</v>
      </c>
      <c r="D25" s="27">
        <v>0</v>
      </c>
    </row>
    <row r="26" spans="2:11" x14ac:dyDescent="0.25">
      <c r="B26" s="1" t="s">
        <v>7</v>
      </c>
      <c r="C26" s="6">
        <v>21143</v>
      </c>
      <c r="D26" s="25">
        <v>157593.51</v>
      </c>
    </row>
    <row r="27" spans="2:11" x14ac:dyDescent="0.25">
      <c r="B27" s="3" t="s">
        <v>8</v>
      </c>
      <c r="C27" s="8">
        <f>SUM(C22:C26)</f>
        <v>28348</v>
      </c>
      <c r="D27" s="4">
        <f>SUM(D22:D26)</f>
        <v>446049.37</v>
      </c>
      <c r="K27" s="7"/>
    </row>
    <row r="29" spans="2:11" x14ac:dyDescent="0.25">
      <c r="B29" s="28" t="s">
        <v>9</v>
      </c>
      <c r="C29" s="28"/>
      <c r="D29" s="28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1195</v>
      </c>
      <c r="D31" s="25">
        <v>132954.82</v>
      </c>
    </row>
    <row r="32" spans="2:11" x14ac:dyDescent="0.25">
      <c r="B32" s="9" t="s">
        <v>5</v>
      </c>
      <c r="C32" s="6">
        <v>1282</v>
      </c>
      <c r="D32" s="25">
        <v>95371.07</v>
      </c>
    </row>
    <row r="33" spans="2:4" x14ac:dyDescent="0.25">
      <c r="B33" s="9" t="s">
        <v>6</v>
      </c>
      <c r="C33" s="6">
        <v>2933</v>
      </c>
      <c r="D33" s="25">
        <v>37325</v>
      </c>
    </row>
    <row r="34" spans="2:4" x14ac:dyDescent="0.25">
      <c r="B34" s="9" t="s">
        <v>7</v>
      </c>
      <c r="C34" s="6">
        <v>1828</v>
      </c>
      <c r="D34" s="25">
        <v>19385</v>
      </c>
    </row>
    <row r="35" spans="2:4" x14ac:dyDescent="0.25">
      <c r="B35" s="10" t="s">
        <v>8</v>
      </c>
      <c r="C35" s="8">
        <f>SUM(C31:C34)</f>
        <v>7238</v>
      </c>
      <c r="D35" s="4">
        <f>SUM(D31:D34)</f>
        <v>285035.89</v>
      </c>
    </row>
    <row r="37" spans="2:4" x14ac:dyDescent="0.25">
      <c r="B37" s="29" t="s">
        <v>11</v>
      </c>
      <c r="C37" s="29"/>
      <c r="D37" s="29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2740</v>
      </c>
      <c r="D39" s="25">
        <v>47004</v>
      </c>
    </row>
    <row r="40" spans="2:4" x14ac:dyDescent="0.25">
      <c r="B40" s="10" t="s">
        <v>8</v>
      </c>
      <c r="C40" s="8">
        <f>SUM(C39:C39)</f>
        <v>2740</v>
      </c>
      <c r="D40" s="4">
        <f>SUM(D39:D39)</f>
        <v>47004</v>
      </c>
    </row>
    <row r="42" spans="2:4" x14ac:dyDescent="0.25">
      <c r="B42" s="28" t="s">
        <v>35</v>
      </c>
      <c r="C42" s="28"/>
      <c r="D42" s="28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</v>
      </c>
      <c r="D44" s="11">
        <v>0</v>
      </c>
    </row>
    <row r="45" spans="2:4" x14ac:dyDescent="0.25">
      <c r="B45" s="1" t="s">
        <v>5</v>
      </c>
      <c r="C45" s="6">
        <v>110</v>
      </c>
      <c r="D45" s="25">
        <v>400</v>
      </c>
    </row>
    <row r="46" spans="2:4" x14ac:dyDescent="0.25">
      <c r="B46" s="1" t="s">
        <v>6</v>
      </c>
      <c r="C46" s="6">
        <v>135</v>
      </c>
      <c r="D46" s="26">
        <v>0</v>
      </c>
    </row>
    <row r="47" spans="2:4" x14ac:dyDescent="0.25">
      <c r="B47" s="1" t="s">
        <v>7</v>
      </c>
      <c r="C47" s="6">
        <v>1494</v>
      </c>
      <c r="D47" s="25">
        <v>8044</v>
      </c>
    </row>
    <row r="48" spans="2:4" x14ac:dyDescent="0.25">
      <c r="B48" s="3" t="s">
        <v>8</v>
      </c>
      <c r="C48" s="8">
        <f>SUM(C44:C47)</f>
        <v>1742</v>
      </c>
      <c r="D48" s="4">
        <f>SUM(D44:D47)</f>
        <v>8444</v>
      </c>
    </row>
    <row r="50" spans="2:4" x14ac:dyDescent="0.25">
      <c r="B50" s="29" t="s">
        <v>32</v>
      </c>
      <c r="C50" s="29"/>
      <c r="D50" s="29"/>
    </row>
    <row r="51" spans="2:4" x14ac:dyDescent="0.25">
      <c r="B51" s="4" t="s">
        <v>1</v>
      </c>
      <c r="C51" s="4" t="s">
        <v>2</v>
      </c>
      <c r="D51" s="4" t="s">
        <v>3</v>
      </c>
    </row>
    <row r="52" spans="2:4" x14ac:dyDescent="0.25">
      <c r="B52" s="9" t="s">
        <v>4</v>
      </c>
      <c r="C52" s="6">
        <v>68</v>
      </c>
      <c r="D52" s="25">
        <v>2000</v>
      </c>
    </row>
    <row r="53" spans="2:4" x14ac:dyDescent="0.25">
      <c r="B53" s="9" t="s">
        <v>5</v>
      </c>
      <c r="C53" s="6">
        <v>62</v>
      </c>
      <c r="D53" s="27">
        <v>0</v>
      </c>
    </row>
    <row r="54" spans="2:4" x14ac:dyDescent="0.25">
      <c r="B54" s="9" t="s">
        <v>6</v>
      </c>
      <c r="C54" s="6">
        <v>13</v>
      </c>
      <c r="D54" s="27">
        <v>0</v>
      </c>
    </row>
    <row r="55" spans="2:4" x14ac:dyDescent="0.25">
      <c r="B55" s="9" t="s">
        <v>7</v>
      </c>
      <c r="C55" s="6">
        <v>9</v>
      </c>
      <c r="D55" s="27">
        <v>0</v>
      </c>
    </row>
    <row r="56" spans="2:4" x14ac:dyDescent="0.25">
      <c r="B56" s="10" t="s">
        <v>8</v>
      </c>
      <c r="C56" s="8">
        <f>SUM(C52:C55)</f>
        <v>152</v>
      </c>
      <c r="D56" s="4">
        <f>SUM(D52:D55)</f>
        <v>2000</v>
      </c>
    </row>
    <row r="58" spans="2:4" x14ac:dyDescent="0.25">
      <c r="B58" s="12" t="s">
        <v>13</v>
      </c>
      <c r="C58" s="13">
        <f>SUM(C10+C18+C56+C35+C40+C27+C48)</f>
        <v>103635</v>
      </c>
      <c r="D58" s="13">
        <f>SUM(D10+D18+D56+D35+D40+D27+D48)</f>
        <v>2908751.8800000004</v>
      </c>
    </row>
  </sheetData>
  <mergeCells count="7">
    <mergeCell ref="B20:D20"/>
    <mergeCell ref="B42:D42"/>
    <mergeCell ref="B3:D3"/>
    <mergeCell ref="B50:D50"/>
    <mergeCell ref="B12:D12"/>
    <mergeCell ref="B29:D29"/>
    <mergeCell ref="B37:D3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B2" sqref="B2:K14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4 ABR'!C6, 'REPORTE DIARIO'!C:C)</f>
        <v>13749</v>
      </c>
      <c r="E6" s="16">
        <f>SUMIF('REPORTE DIARIO'!B:B,'EPR 4 ABR'!C6, 'REPORTE DIARIO'!D:D)</f>
        <v>1055718.0900000001</v>
      </c>
      <c r="F6" s="16">
        <f>J6*D6</f>
        <v>1964142.8571428573</v>
      </c>
      <c r="G6" s="16">
        <f>+E6-F6</f>
        <v>-908424.76714285719</v>
      </c>
      <c r="H6" s="15">
        <f>ABS(G6/F6)</f>
        <v>0.46250442723107132</v>
      </c>
      <c r="I6" s="16">
        <f>E6/D6</f>
        <v>76.785081824132675</v>
      </c>
      <c r="J6" s="16">
        <f>(200/7)*5</f>
        <v>142.85714285714286</v>
      </c>
      <c r="K6" s="16">
        <f>+I6-J6</f>
        <v>-66.072061033010186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4 ABR'!C7, 'REPORTE DIARIO'!C:C)</f>
        <v>11036</v>
      </c>
      <c r="E7" s="16">
        <f>SUMIF('REPORTE DIARIO'!B:B,'EPR 4 ABR'!C7, 'REPORTE DIARIO'!D:D)</f>
        <v>856225.37000000011</v>
      </c>
      <c r="F7" s="16">
        <f>J7*D7</f>
        <v>867114.28571428568</v>
      </c>
      <c r="G7" s="16">
        <f>+E7-F7</f>
        <v>-10888.915714285569</v>
      </c>
      <c r="H7" s="15">
        <f>ABS(G7/F7)</f>
        <v>1.2557647698441298E-2</v>
      </c>
      <c r="I7" s="16">
        <f>E7/D7</f>
        <v>77.584756252265322</v>
      </c>
      <c r="J7" s="16">
        <f>(110/7)*5</f>
        <v>78.571428571428569</v>
      </c>
      <c r="K7" s="16">
        <f t="shared" ref="K7:K9" si="0">+I7-J7</f>
        <v>-0.98667231916324738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4 ABR'!C8, 'REPORTE DIARIO'!C:C)</f>
        <v>17190</v>
      </c>
      <c r="E8" s="16">
        <f>SUMIF('REPORTE DIARIO'!B:B,'EPR 4 ABR'!C8, 'REPORTE DIARIO'!D:D)</f>
        <v>296327.34999999998</v>
      </c>
      <c r="F8" s="16">
        <f>J8*D8</f>
        <v>552535.71428571432</v>
      </c>
      <c r="G8" s="16">
        <f>+E8-F8</f>
        <v>-256208.36428571434</v>
      </c>
      <c r="H8" s="15">
        <f>ABS(G8/F8)</f>
        <v>0.46369557236119197</v>
      </c>
      <c r="I8" s="16">
        <f>E8/D8</f>
        <v>17.238356602675974</v>
      </c>
      <c r="J8" s="16">
        <f>(45/7)*5</f>
        <v>32.142857142857146</v>
      </c>
      <c r="K8" s="16">
        <f t="shared" si="0"/>
        <v>-14.904500540181171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4 ABR'!C9, 'REPORTE DIARIO'!C:C)</f>
        <v>61637</v>
      </c>
      <c r="E9" s="16">
        <f>SUMIF('REPORTE DIARIO'!B:B,'EPR 4 ABR'!C9, 'REPORTE DIARIO'!D:D)</f>
        <v>699331.07000000007</v>
      </c>
      <c r="F9" s="16">
        <f>J9*D9</f>
        <v>660396.42857142852</v>
      </c>
      <c r="G9" s="16">
        <f>+E9-F9</f>
        <v>38934.641428571544</v>
      </c>
      <c r="H9" s="15">
        <f>ABS(G9/F9)</f>
        <v>5.8956468787687226E-2</v>
      </c>
      <c r="I9" s="16">
        <f>E9/D9</f>
        <v>11.345962165582362</v>
      </c>
      <c r="J9" s="16">
        <f>(15/7)*5</f>
        <v>10.714285714285714</v>
      </c>
      <c r="K9" s="16">
        <f t="shared" si="0"/>
        <v>0.63167645129664862</v>
      </c>
    </row>
    <row r="10" spans="2:12" x14ac:dyDescent="0.25">
      <c r="B10" s="16"/>
      <c r="C10" s="19" t="s">
        <v>17</v>
      </c>
      <c r="D10" s="24">
        <f>SUM(D6:D9)</f>
        <v>103612</v>
      </c>
      <c r="E10" s="20">
        <f>SUM(E6:E9)</f>
        <v>2907601.88</v>
      </c>
      <c r="F10" s="20">
        <f>SUM(F6:F9)</f>
        <v>4044189.2857142859</v>
      </c>
      <c r="G10" s="20">
        <f>+E10-F10</f>
        <v>-1136587.405714286</v>
      </c>
      <c r="H10" s="21">
        <f>ABS(G10/F10)</f>
        <v>0.28104208913494061</v>
      </c>
      <c r="I10" s="20">
        <f>E10/D10</f>
        <v>28.062404740763618</v>
      </c>
      <c r="J10" s="20">
        <f>F10/D10</f>
        <v>39.032055029478109</v>
      </c>
      <c r="K10" s="20">
        <f>I10-J10</f>
        <v>-10.96965028871449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4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2025-04-05T02:16:27Z</dcterms:modified>
</cp:coreProperties>
</file>