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4 ABRIL\NOCHE\"/>
    </mc:Choice>
  </mc:AlternateContent>
  <xr:revisionPtr revIDLastSave="0" documentId="13_ncr:1_{A400CBE5-F24B-4685-AF44-09774917C373}" xr6:coauthVersionLast="47" xr6:coauthVersionMax="47" xr10:uidLastSave="{00000000-0000-0000-0000-000000000000}"/>
  <bookViews>
    <workbookView xWindow="15135" yWindow="3450" windowWidth="10875" windowHeight="7575" xr2:uid="{4DC6C92A-CD8A-4966-829B-0B6A986E825B}"/>
  </bookViews>
  <sheets>
    <sheet name="REPORTE DIARIO" sheetId="1" r:id="rId1"/>
    <sheet name="DATA" sheetId="4" r:id="rId2"/>
    <sheet name="EPR 4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C48" i="1"/>
  <c r="D19" i="1" l="1"/>
  <c r="C19" i="1"/>
  <c r="J9" i="3"/>
  <c r="J8" i="3"/>
  <c r="J7" i="3"/>
  <c r="J6" i="3"/>
  <c r="D6" i="3"/>
  <c r="F6" i="3" s="1"/>
  <c r="D40" i="1"/>
  <c r="C40" i="1"/>
  <c r="D56" i="1"/>
  <c r="C56" i="1"/>
  <c r="D27" i="1"/>
  <c r="C27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<sst xmlns="http://schemas.openxmlformats.org/spreadsheetml/2006/main" count="87" uniqueCount="36">
  <si>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</si>
  <si>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</si>
  <si>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</si>
  <si>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</si>
  <si>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</si>
  <si>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</si>
  <si>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</si>
  <si>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</si>
  <si>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</si>
  <si>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</si>
  <si>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</si>
  <si>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</si>
  <si>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</si>
  <si>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</si>
  <si>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</si>
  <si>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</si>
  <si>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</si>
  <si>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</si>
  <si>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</si>
  <si>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</si>
  <si>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</si>
  <si>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</si>
  <si>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</si>
  <si>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</si>
  <si>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</si>
  <si>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</si>
  <si>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</si>
  <si>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</si>
  <si>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</si>
  <si>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</si>
  <si>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</si>
  <si>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</si>
  <si>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GENERAL  SAMANTHA 2</t>
  </si>
  <si>
    <t>COBRANZA GENERAL  FEDERICO</t>
  </si>
  <si>
    <t>Samantha, Samantha 2, Sofia, Edith, Olguin, Fernando y Federico</t>
  </si>
  <si>
    <t>COBRANZA 04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</si>
</sst>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 applyFill="1" applyBorder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3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5920</v>
      </c>
      <c r="D5" s="25">
        <v>149345</v>
      </c>
    </row>
    <row r="6" spans="2:8" x14ac:dyDescent="0.25">
      <c r="B6" s="1" t="s">
        <v>5</v>
      </c>
      <c r="C6" s="6">
        <v>6656</v>
      </c>
      <c r="D6" s="25">
        <v>90729</v>
      </c>
    </row>
    <row r="7" spans="2:8" x14ac:dyDescent="0.25">
      <c r="B7" s="1" t="s">
        <v>6</v>
      </c>
      <c r="C7" s="6">
        <v>9854</v>
      </c>
      <c r="D7" s="25">
        <v>34717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28822</v>
      </c>
      <c r="D9" s="25">
        <v>66662.84</v>
      </c>
    </row>
    <row r="10" spans="2:8" x14ac:dyDescent="0.25">
      <c r="B10" s="3" t="s">
        <v>8</v>
      </c>
      <c r="C10" s="8">
        <f>SUM(C5:C9)</f>
        <v>51273</v>
      </c>
      <c r="D10" s="4">
        <f>SUM(D5:D9)</f>
        <v>341453.83999999997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2357</v>
      </c>
      <c r="D14" s="25">
        <v>22792.3</v>
      </c>
    </row>
    <row r="15" spans="2:8" x14ac:dyDescent="0.25">
      <c r="B15" s="1" t="s">
        <v>5</v>
      </c>
      <c r="C15" s="6">
        <v>1431</v>
      </c>
      <c r="D15" s="25">
        <v>23524</v>
      </c>
    </row>
    <row r="16" spans="2:8" x14ac:dyDescent="0.25">
      <c r="B16" s="1" t="s">
        <v>6</v>
      </c>
      <c r="C16" s="6">
        <v>3415</v>
      </c>
      <c r="D16" s="25">
        <v>6729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21143</v>
      </c>
      <c r="D18" s="25">
        <v>32599</v>
      </c>
    </row>
    <row r="19" spans="2:11" x14ac:dyDescent="0.25">
      <c r="B19" s="3" t="s">
        <v>8</v>
      </c>
      <c r="C19" s="8">
        <f>SUM(C14:C18)</f>
        <v>28348</v>
      </c>
      <c r="D19" s="4">
        <f>SUM(D14:D18)</f>
        <v>85644.3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1466</v>
      </c>
      <c r="D23" s="25">
        <v>21127.97</v>
      </c>
    </row>
    <row r="24" spans="2:11" x14ac:dyDescent="0.25">
      <c r="B24" s="9" t="s">
        <v>5</v>
      </c>
      <c r="C24" s="6">
        <v>1495</v>
      </c>
      <c r="D24" s="25">
        <v>21034</v>
      </c>
    </row>
    <row r="25" spans="2:11" x14ac:dyDescent="0.25">
      <c r="B25" s="9" t="s">
        <v>6</v>
      </c>
      <c r="C25" s="6">
        <v>840</v>
      </c>
      <c r="D25" s="25">
        <v>4376</v>
      </c>
    </row>
    <row r="26" spans="2:11" x14ac:dyDescent="0.25">
      <c r="B26" s="9" t="s">
        <v>7</v>
      </c>
      <c r="C26" s="6">
        <v>8341</v>
      </c>
      <c r="D26" s="25">
        <v>18764</v>
      </c>
      <c r="K26" s="7"/>
    </row>
    <row r="27" spans="2:11" x14ac:dyDescent="0.25">
      <c r="B27" s="10" t="s">
        <v>8</v>
      </c>
      <c r="C27" s="8">
        <f>SUM(C23:C26)</f>
        <v>12142</v>
      </c>
      <c r="D27" s="4">
        <f>SUM(D23:D26)</f>
        <v>65301.97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1195</v>
      </c>
      <c r="D31" s="25">
        <v>27219</v>
      </c>
    </row>
    <row r="32" spans="2:11" x14ac:dyDescent="0.25">
      <c r="B32" s="9" t="s">
        <v>5</v>
      </c>
      <c r="C32" s="6">
        <v>1282</v>
      </c>
      <c r="D32" s="25">
        <v>6187</v>
      </c>
    </row>
    <row r="33" spans="2:4" x14ac:dyDescent="0.25">
      <c r="B33" s="9" t="s">
        <v>6</v>
      </c>
      <c r="C33" s="6">
        <v>2933</v>
      </c>
      <c r="D33" s="25">
        <v>698</v>
      </c>
    </row>
    <row r="34" spans="2:4" x14ac:dyDescent="0.25">
      <c r="B34" s="9" t="s">
        <v>7</v>
      </c>
      <c r="C34" s="6">
        <v>1828</v>
      </c>
      <c r="D34" s="25">
        <v>1110</v>
      </c>
    </row>
    <row r="35" spans="2:4" x14ac:dyDescent="0.25">
      <c r="B35" s="10" t="s">
        <v>8</v>
      </c>
      <c r="C35" s="8">
        <f>SUM(C31:C34)</f>
        <v>7238</v>
      </c>
      <c r="D35" s="4">
        <f>SUM(D31:D34)</f>
        <v>35214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2740</v>
      </c>
      <c r="D39" s="25">
        <v>19251</v>
      </c>
    </row>
    <row r="40" spans="2:4" x14ac:dyDescent="0.25">
      <c r="B40" s="10" t="s">
        <v>8</v>
      </c>
      <c r="C40" s="8">
        <f>SUM(C39:C39)</f>
        <v>2740</v>
      </c>
      <c r="D40" s="4">
        <f>SUM(D39:D39)</f>
        <v>19251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</v>
      </c>
      <c r="D44" s="26">
        <v>0</v>
      </c>
    </row>
    <row r="45" spans="2:4" x14ac:dyDescent="0.25">
      <c r="B45" s="1" t="s">
        <v>5</v>
      </c>
      <c r="C45" s="6">
        <v>110</v>
      </c>
      <c r="D45" s="26">
        <v>0</v>
      </c>
    </row>
    <row r="46" spans="2:4" x14ac:dyDescent="0.25">
      <c r="B46" s="1" t="s">
        <v>6</v>
      </c>
      <c r="C46" s="6">
        <v>135</v>
      </c>
      <c r="D46" s="26">
        <v>0</v>
      </c>
    </row>
    <row r="47" spans="2:4" x14ac:dyDescent="0.25">
      <c r="B47" s="1" t="s">
        <v>7</v>
      </c>
      <c r="C47" s="6">
        <v>1494</v>
      </c>
      <c r="D47" s="25">
        <v>1753</v>
      </c>
    </row>
    <row r="48" spans="2:4" x14ac:dyDescent="0.25">
      <c r="B48" s="3" t="s">
        <v>8</v>
      </c>
      <c r="C48" s="8">
        <f>SUM(C44:C47)</f>
        <v>1742</v>
      </c>
      <c r="D48" s="4">
        <f>SUM(D44:D47)</f>
        <v>1753</v>
      </c>
    </row>
    <row r="50" spans="2:4" x14ac:dyDescent="0.25">
      <c r="B50" s="28" t="s">
        <v>31</v>
      </c>
      <c r="C50" s="28"/>
      <c r="D50" s="28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6">
        <v>0</v>
      </c>
    </row>
    <row r="53" spans="2:4" x14ac:dyDescent="0.25">
      <c r="B53" s="9" t="s">
        <v>5</v>
      </c>
      <c r="C53" s="6">
        <v>62</v>
      </c>
      <c r="D53" s="26">
        <v>0</v>
      </c>
    </row>
    <row r="54" spans="2:4" x14ac:dyDescent="0.25">
      <c r="B54" s="9" t="s">
        <v>6</v>
      </c>
      <c r="C54" s="6">
        <v>13</v>
      </c>
      <c r="D54" s="26">
        <v>0</v>
      </c>
    </row>
    <row r="55" spans="2:4" x14ac:dyDescent="0.25">
      <c r="B55" s="9" t="s">
        <v>7</v>
      </c>
      <c r="C55" s="6">
        <v>9</v>
      </c>
      <c r="D55" s="26">
        <v>0</v>
      </c>
    </row>
    <row r="56" spans="2:4" x14ac:dyDescent="0.25">
      <c r="B56" s="10" t="s">
        <v>8</v>
      </c>
      <c r="C56" s="8">
        <f>SUM(C52:C55)</f>
        <v>152</v>
      </c>
      <c r="D56" s="4">
        <f>SUM(D52:D55)</f>
        <v>0</v>
      </c>
    </row>
    <row r="58" spans="2:4" x14ac:dyDescent="0.25">
      <c r="B58" s="11" t="s">
        <v>13</v>
      </c>
      <c r="C58" s="12">
        <f>SUM(C10+C35+C27+C56+C40+C19+C48)</f>
        <v>103635</v>
      </c>
      <c r="D58" s="12">
        <f>SUM(D10+D35+D27+D56+D40+D19+D48)</f>
        <v>548618.11</v>
      </c>
    </row>
  </sheetData>
  <mergeCells count="7">
    <mergeCell ref="B3:D3"/>
    <mergeCell ref="B29:D29"/>
    <mergeCell ref="B50:D50"/>
    <mergeCell ref="B37:D37"/>
    <mergeCell ref="B42:D42"/>
    <mergeCell ref="B12:D12"/>
    <mergeCell ref="B21:D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J6" sqref="J6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4 ABR'!C6, 'REPORTE DIARIO'!C:C)</f>
        <v>13749</v>
      </c>
      <c r="E6" s="15">
        <f>SUMIF('REPORTE DIARIO'!B:B,'EPR 4 ABR'!C6, 'REPORTE DIARIO'!D:D)</f>
        <v>239735.27</v>
      </c>
      <c r="F6" s="15">
        <f>J6*D6</f>
        <v>392828.57142857148</v>
      </c>
      <c r="G6" s="15">
        <f>+E6-F6</f>
        <v>-153093.30142857149</v>
      </c>
      <c r="H6" s="14">
        <f>ABS(G6/F6)</f>
        <v>0.38972038330060377</v>
      </c>
      <c r="I6" s="15">
        <f>E6/D6</f>
        <v>17.436560477125607</v>
      </c>
      <c r="J6" s="15">
        <f>200/7</f>
        <v>28.571428571428573</v>
      </c>
      <c r="K6" s="15">
        <f>+I6-J6</f>
        <v>-11.134868094302966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4 ABR'!C7, 'REPORTE DIARIO'!C:C)</f>
        <v>11036</v>
      </c>
      <c r="E7" s="15">
        <f>SUMIF('REPORTE DIARIO'!B:B,'EPR 4 ABR'!C7, 'REPORTE DIARIO'!D:D)</f>
        <v>141474</v>
      </c>
      <c r="F7" s="15">
        <f>J7*D7</f>
        <v>173422.85714285713</v>
      </c>
      <c r="G7" s="15">
        <f>+E7-F7</f>
        <v>-31948.85714285713</v>
      </c>
      <c r="H7" s="14">
        <f>ABS(G7/F7)</f>
        <v>0.18422518040133112</v>
      </c>
      <c r="I7" s="15">
        <f>E7/D7</f>
        <v>12.819318593693367</v>
      </c>
      <c r="J7" s="15">
        <f>110/7</f>
        <v>15.714285714285714</v>
      </c>
      <c r="K7" s="15">
        <f t="shared" ref="K7:K9" si="0">+I7-J7</f>
        <v>-2.8949671205923462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4 ABR'!C8, 'REPORTE DIARIO'!C:C)</f>
        <v>17190</v>
      </c>
      <c r="E8" s="15">
        <f>SUMIF('REPORTE DIARIO'!B:B,'EPR 4 ABR'!C8, 'REPORTE DIARIO'!D:D)</f>
        <v>46520</v>
      </c>
      <c r="F8" s="15">
        <f>J8*D8</f>
        <v>110507.14285714286</v>
      </c>
      <c r="G8" s="15">
        <f>+E8-F8</f>
        <v>-63987.142857142855</v>
      </c>
      <c r="H8" s="14">
        <f>ABS(G8/F8)</f>
        <v>0.57903173679787989</v>
      </c>
      <c r="I8" s="15">
        <f>E8/D8</f>
        <v>2.7062245491564862</v>
      </c>
      <c r="J8" s="15">
        <f>45/7</f>
        <v>6.4285714285714288</v>
      </c>
      <c r="K8" s="15">
        <f t="shared" si="0"/>
        <v>-3.7223468794149426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4 ABR'!C9, 'REPORTE DIARIO'!C:C)</f>
        <v>61637</v>
      </c>
      <c r="E9" s="15">
        <f>SUMIF('REPORTE DIARIO'!B:B,'EPR 4 ABR'!C9, 'REPORTE DIARIO'!D:D)</f>
        <v>120888.84</v>
      </c>
      <c r="F9" s="15">
        <f>J9*D9</f>
        <v>132079.28571428571</v>
      </c>
      <c r="G9" s="15">
        <f>+E9-F9</f>
        <v>-11190.445714285714</v>
      </c>
      <c r="H9" s="14">
        <f>ABS(G9/F9)</f>
        <v>8.4725213751480441E-2</v>
      </c>
      <c r="I9" s="15">
        <f>E9/D9</f>
        <v>1.9613031133896848</v>
      </c>
      <c r="J9" s="15">
        <f>15/7</f>
        <v>2.1428571428571428</v>
      </c>
      <c r="K9" s="15">
        <f t="shared" si="0"/>
        <v>-0.18155402946745802</v>
      </c>
    </row>
    <row r="10" spans="2:12" x14ac:dyDescent="0.25">
      <c r="B10" s="15"/>
      <c r="C10" s="18" t="s">
        <v>16</v>
      </c>
      <c r="D10" s="23">
        <f>SUM(D6:D9)</f>
        <v>103612</v>
      </c>
      <c r="E10" s="19">
        <f>SUM(E6:E9)</f>
        <v>548618.11</v>
      </c>
      <c r="F10" s="19">
        <f>SUM(F6:F9)</f>
        <v>808837.85714285716</v>
      </c>
      <c r="G10" s="19">
        <f>+E10-F10</f>
        <v>-260219.74714285717</v>
      </c>
      <c r="H10" s="20">
        <f>ABS(G10/F10)</f>
        <v>0.32172053378171328</v>
      </c>
      <c r="I10" s="19">
        <f>E10/D10</f>
        <v>5.294928290159441</v>
      </c>
      <c r="J10" s="19">
        <f>F10/D10</f>
        <v>7.8064110058956215</v>
      </c>
      <c r="K10" s="19">
        <f>I10-J10</f>
        <v>-2.5114827157361805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4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2025-04-05T02:10:42Z</dcterms:modified>
</cp:coreProperties>
</file>