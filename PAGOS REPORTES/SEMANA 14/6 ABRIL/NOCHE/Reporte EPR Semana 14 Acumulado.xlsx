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6 ABRIL\NOCHE\"/>
    </mc:Choice>
  </mc:AlternateContent>
  <xr:revisionPtr revIDLastSave="0" documentId="13_ncr:1_{2F0EB76C-BCB5-435C-8B21-011F4BCA8981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<sst xmlns="http://schemas.openxmlformats.org/spreadsheetml/2006/main" count="88" uniqueCount="37">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</sst>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3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5881</v>
      </c>
      <c r="D5" s="25">
        <v>714335.41999999993</v>
      </c>
    </row>
    <row r="6" spans="2:8" x14ac:dyDescent="0.25">
      <c r="B6" s="1" t="s">
        <v>5</v>
      </c>
      <c r="C6" s="6">
        <v>6717</v>
      </c>
      <c r="D6" s="25">
        <v>623937.35</v>
      </c>
    </row>
    <row r="7" spans="2:8" x14ac:dyDescent="0.25">
      <c r="B7" s="1" t="s">
        <v>6</v>
      </c>
      <c r="C7" s="6">
        <v>9854</v>
      </c>
      <c r="D7" s="25">
        <v>302512.71999999997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28872</v>
      </c>
      <c r="D9" s="25">
        <v>598105.13000000012</v>
      </c>
      <c r="F9" s="7"/>
    </row>
    <row r="10" spans="2:8" x14ac:dyDescent="0.25">
      <c r="B10" s="3" t="s">
        <v>8</v>
      </c>
      <c r="C10" s="8">
        <f>SUM(C5:C9)</f>
        <v>51345</v>
      </c>
      <c r="D10" s="4">
        <f>SUM(D5:D9)</f>
        <v>2240040.62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1668</v>
      </c>
      <c r="D14" s="25">
        <v>256804.7</v>
      </c>
    </row>
    <row r="15" spans="2:8" x14ac:dyDescent="0.25">
      <c r="B15" s="9" t="s">
        <v>5</v>
      </c>
      <c r="C15" s="6">
        <v>1503</v>
      </c>
      <c r="D15" s="25">
        <v>262607.21999999997</v>
      </c>
    </row>
    <row r="16" spans="2:8" x14ac:dyDescent="0.25">
      <c r="B16" s="9" t="s">
        <v>6</v>
      </c>
      <c r="C16" s="6">
        <v>847</v>
      </c>
      <c r="D16" s="25">
        <v>26274</v>
      </c>
    </row>
    <row r="17" spans="2:11" x14ac:dyDescent="0.25">
      <c r="B17" s="9" t="s">
        <v>7</v>
      </c>
      <c r="C17" s="6">
        <v>8351</v>
      </c>
      <c r="D17" s="25">
        <v>93165.45</v>
      </c>
    </row>
    <row r="18" spans="2:11" x14ac:dyDescent="0.25">
      <c r="B18" s="10" t="s">
        <v>8</v>
      </c>
      <c r="C18" s="8">
        <f>SUM(C14:C17)</f>
        <v>12369</v>
      </c>
      <c r="D18" s="4">
        <f>SUM(D14:D17)</f>
        <v>638851.36999999988</v>
      </c>
    </row>
    <row r="20" spans="2:11" x14ac:dyDescent="0.25">
      <c r="B20" s="28" t="s">
        <v>34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2509</v>
      </c>
      <c r="D22" s="25">
        <v>270115.65999999997</v>
      </c>
    </row>
    <row r="23" spans="2:11" x14ac:dyDescent="0.25">
      <c r="B23" s="1" t="s">
        <v>5</v>
      </c>
      <c r="C23" s="6">
        <v>1409</v>
      </c>
      <c r="D23" s="25">
        <v>79736.570000000007</v>
      </c>
    </row>
    <row r="24" spans="2:11" x14ac:dyDescent="0.25">
      <c r="B24" s="1" t="s">
        <v>6</v>
      </c>
      <c r="C24" s="6">
        <v>3380</v>
      </c>
      <c r="D24" s="25">
        <v>55763.630000000005</v>
      </c>
    </row>
    <row r="25" spans="2:11" x14ac:dyDescent="0.25">
      <c r="B25" s="5" t="s">
        <v>12</v>
      </c>
      <c r="C25" s="7">
        <v>2</v>
      </c>
      <c r="D25" s="27">
        <v>0</v>
      </c>
    </row>
    <row r="26" spans="2:11" x14ac:dyDescent="0.25">
      <c r="B26" s="1" t="s">
        <v>7</v>
      </c>
      <c r="C26" s="6">
        <v>21141</v>
      </c>
      <c r="D26" s="25">
        <v>219608.58000000002</v>
      </c>
    </row>
    <row r="27" spans="2:11" x14ac:dyDescent="0.25">
      <c r="B27" s="3" t="s">
        <v>8</v>
      </c>
      <c r="C27" s="8">
        <f>SUM(C22:C26)</f>
        <v>28441</v>
      </c>
      <c r="D27" s="4">
        <f>SUM(D22:D26)</f>
        <v>625224.43999999994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1397</v>
      </c>
      <c r="D31" s="25">
        <v>263624.53000000003</v>
      </c>
    </row>
    <row r="32" spans="2:11" x14ac:dyDescent="0.25">
      <c r="B32" s="9" t="s">
        <v>5</v>
      </c>
      <c r="C32" s="6">
        <v>1293</v>
      </c>
      <c r="D32" s="25">
        <v>134703.07</v>
      </c>
    </row>
    <row r="33" spans="2:4" x14ac:dyDescent="0.25">
      <c r="B33" s="9" t="s">
        <v>6</v>
      </c>
      <c r="C33" s="6">
        <v>2932</v>
      </c>
      <c r="D33" s="25">
        <v>40301</v>
      </c>
    </row>
    <row r="34" spans="2:4" x14ac:dyDescent="0.25">
      <c r="B34" s="9" t="s">
        <v>7</v>
      </c>
      <c r="C34" s="6">
        <v>1828</v>
      </c>
      <c r="D34" s="25">
        <v>22966</v>
      </c>
    </row>
    <row r="35" spans="2:4" x14ac:dyDescent="0.25">
      <c r="B35" s="10" t="s">
        <v>8</v>
      </c>
      <c r="C35" s="8">
        <f>SUM(C31:C34)</f>
        <v>7450</v>
      </c>
      <c r="D35" s="4">
        <f>SUM(D31:D34)</f>
        <v>461594.60000000003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2735</v>
      </c>
      <c r="D39" s="25">
        <v>76820</v>
      </c>
    </row>
    <row r="40" spans="2:4" x14ac:dyDescent="0.25">
      <c r="B40" s="10" t="s">
        <v>8</v>
      </c>
      <c r="C40" s="8">
        <f>SUM(C39:C39)</f>
        <v>2735</v>
      </c>
      <c r="D40" s="4">
        <f>SUM(D39:D39)</f>
        <v>76820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35</v>
      </c>
      <c r="D44" s="25">
        <v>2019</v>
      </c>
    </row>
    <row r="45" spans="2:4" x14ac:dyDescent="0.25">
      <c r="B45" s="1" t="s">
        <v>5</v>
      </c>
      <c r="C45" s="6">
        <v>139</v>
      </c>
      <c r="D45" s="25">
        <v>400</v>
      </c>
    </row>
    <row r="46" spans="2:4" x14ac:dyDescent="0.25">
      <c r="B46" s="1" t="s">
        <v>6</v>
      </c>
      <c r="C46" s="6">
        <v>153</v>
      </c>
      <c r="D46" s="26">
        <v>0</v>
      </c>
    </row>
    <row r="47" spans="2:4" x14ac:dyDescent="0.25">
      <c r="B47" s="1" t="s">
        <v>7</v>
      </c>
      <c r="C47" s="6">
        <v>1691</v>
      </c>
      <c r="D47" s="25">
        <v>14973</v>
      </c>
    </row>
    <row r="48" spans="2:4" x14ac:dyDescent="0.25">
      <c r="B48" s="3" t="s">
        <v>8</v>
      </c>
      <c r="C48" s="8">
        <f>SUM(C44:C47)</f>
        <v>2018</v>
      </c>
      <c r="D48" s="4">
        <f>SUM(D44:D47)</f>
        <v>17392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2970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2970</v>
      </c>
    </row>
    <row r="58" spans="2:4" x14ac:dyDescent="0.25">
      <c r="B58" s="12" t="s">
        <v>13</v>
      </c>
      <c r="C58" s="13">
        <f>SUM(C10+C18+C56+C35+C40+C27+C48)</f>
        <v>104510</v>
      </c>
      <c r="D58" s="13">
        <f>SUM(D10+D18+D56+D35+D40+D27+D48)</f>
        <v>4062893.0300000003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6 ABR'!C6, 'REPORTE DIARIO'!C:C)</f>
        <v>14293</v>
      </c>
      <c r="E6" s="16">
        <f>SUMIF('REPORTE DIARIO'!B:B,'EPR 6 ABR'!C6, 'REPORTE DIARIO'!D:D)</f>
        <v>1586689.3099999998</v>
      </c>
      <c r="F6" s="16">
        <f>J6*D6</f>
        <v>2858600</v>
      </c>
      <c r="G6" s="16">
        <f>+E6-F6</f>
        <v>-1271910.6900000002</v>
      </c>
      <c r="H6" s="15">
        <f>ABS(G6/F6)</f>
        <v>0.44494182117120273</v>
      </c>
      <c r="I6" s="16">
        <f>E6/D6</f>
        <v>111.01163576575945</v>
      </c>
      <c r="J6" s="16">
        <f>(200/7)*7</f>
        <v>200</v>
      </c>
      <c r="K6" s="16">
        <f>+I6-J6</f>
        <v>-88.988364234240549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6 ABR'!C7, 'REPORTE DIARIO'!C:C)</f>
        <v>11123</v>
      </c>
      <c r="E7" s="16">
        <f>SUMIF('REPORTE DIARIO'!B:B,'EPR 6 ABR'!C7, 'REPORTE DIARIO'!D:D)</f>
        <v>1101384.21</v>
      </c>
      <c r="F7" s="16">
        <f>J7*D7</f>
        <v>1223530</v>
      </c>
      <c r="G7" s="16">
        <f>+E7-F7</f>
        <v>-122145.79000000004</v>
      </c>
      <c r="H7" s="15">
        <f>ABS(G7/F7)</f>
        <v>9.9830645754497266E-2</v>
      </c>
      <c r="I7" s="16">
        <f>E7/D7</f>
        <v>99.018628967005299</v>
      </c>
      <c r="J7" s="16">
        <f>(110/7)*7</f>
        <v>110</v>
      </c>
      <c r="K7" s="16">
        <f t="shared" ref="K7:K9" si="0">+I7-J7</f>
        <v>-10.981371032994701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6 ABR'!C8, 'REPORTE DIARIO'!C:C)</f>
        <v>17179</v>
      </c>
      <c r="E8" s="16">
        <f>SUMIF('REPORTE DIARIO'!B:B,'EPR 6 ABR'!C8, 'REPORTE DIARIO'!D:D)</f>
        <v>424851.35</v>
      </c>
      <c r="F8" s="16">
        <f>J8*D8</f>
        <v>773055</v>
      </c>
      <c r="G8" s="16">
        <f>+E8-F8</f>
        <v>-348203.65</v>
      </c>
      <c r="H8" s="15">
        <f>ABS(G8/F8)</f>
        <v>0.45042545485120727</v>
      </c>
      <c r="I8" s="16">
        <f>E8/D8</f>
        <v>24.730854531695673</v>
      </c>
      <c r="J8" s="16">
        <f>(45/7)*7</f>
        <v>45</v>
      </c>
      <c r="K8" s="16">
        <f t="shared" si="0"/>
        <v>-20.269145468304327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6 ABR'!C9, 'REPORTE DIARIO'!C:C)</f>
        <v>61892</v>
      </c>
      <c r="E9" s="16">
        <f>SUMIF('REPORTE DIARIO'!B:B,'EPR 6 ABR'!C9, 'REPORTE DIARIO'!D:D)</f>
        <v>948818.16000000015</v>
      </c>
      <c r="F9" s="16">
        <f>J9*D9</f>
        <v>928380</v>
      </c>
      <c r="G9" s="16">
        <f>+E9-F9</f>
        <v>20438.160000000149</v>
      </c>
      <c r="H9" s="15">
        <f>ABS(G9/F9)</f>
        <v>2.2014864602856749E-2</v>
      </c>
      <c r="I9" s="16">
        <f>E9/D9</f>
        <v>15.33022296904285</v>
      </c>
      <c r="J9" s="16">
        <f>(15/7)*7</f>
        <v>15</v>
      </c>
      <c r="K9" s="16">
        <f t="shared" si="0"/>
        <v>0.33022296904285042</v>
      </c>
    </row>
    <row r="10" spans="2:12" x14ac:dyDescent="0.25">
      <c r="B10" s="16"/>
      <c r="C10" s="19" t="s">
        <v>17</v>
      </c>
      <c r="D10" s="24">
        <f>SUM(D6:D9)</f>
        <v>104487</v>
      </c>
      <c r="E10" s="20">
        <f>SUM(E6:E9)</f>
        <v>4061743.03</v>
      </c>
      <c r="F10" s="20">
        <f>SUM(F6:F9)</f>
        <v>5783565</v>
      </c>
      <c r="G10" s="20">
        <f>+E10-F10</f>
        <v>-1721821.9700000002</v>
      </c>
      <c r="H10" s="21">
        <f>ABS(G10/F10)</f>
        <v>0.29770945256083403</v>
      </c>
      <c r="I10" s="20">
        <f>E10/D10</f>
        <v>38.87319025333295</v>
      </c>
      <c r="J10" s="20">
        <f>F10/D10</f>
        <v>55.352005512647509</v>
      </c>
      <c r="K10" s="20">
        <f>I10-J10</f>
        <v>-16.478815259314558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2025-04-07T02:03:50Z</dcterms:modified>
</cp:coreProperties>
</file>