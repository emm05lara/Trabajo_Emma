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4\6 ABRIL\MAÑANA\"/>
    </mc:Choice>
  </mc:AlternateContent>
  <xr:revisionPtr revIDLastSave="0" documentId="13_ncr:1_{30F0C869-8E56-4FAE-B811-37963CF2C313}" xr6:coauthVersionLast="47" xr6:coauthVersionMax="47" xr10:uidLastSave="{00000000-0000-0000-0000-000000000000}"/>
  <bookViews>
    <workbookView xWindow="18240" yWindow="6555" windowWidth="10875" windowHeight="7575" xr2:uid="{4DC6C92A-CD8A-4966-829B-0B6A986E825B}"/>
  </bookViews>
  <sheets>
    <sheet name="REPORTE DIARIO" sheetId="1" r:id="rId1"/>
    <sheet name="DATA" sheetId="4" r:id="rId2"/>
    <sheet name="EPR 6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48" i="1"/>
  <c r="C48" i="1"/>
  <c r="D27" i="1"/>
  <c r="C27" i="1"/>
  <c r="D40" i="1" l="1"/>
  <c r="C40" i="1"/>
  <c r="D35" i="1"/>
  <c r="C35" i="1"/>
  <c r="D18" i="1"/>
  <c r="C18" i="1"/>
  <c r="D56" i="1"/>
  <c r="C5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<sst xmlns="http://schemas.openxmlformats.org/spreadsheetml/2006/main" count="88" uniqueCount="37">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</sst>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2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28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5876</v>
      </c>
      <c r="D5" s="25">
        <v>659838.17999999993</v>
      </c>
    </row>
    <row r="6" spans="2:8" x14ac:dyDescent="0.25">
      <c r="B6" s="1" t="s">
        <v>5</v>
      </c>
      <c r="C6" s="6">
        <v>6660</v>
      </c>
      <c r="D6" s="25">
        <v>570865.35</v>
      </c>
    </row>
    <row r="7" spans="2:8" x14ac:dyDescent="0.25">
      <c r="B7" s="1" t="s">
        <v>6</v>
      </c>
      <c r="C7" s="6">
        <v>9830</v>
      </c>
      <c r="D7" s="25">
        <v>267432.71999999997</v>
      </c>
    </row>
    <row r="8" spans="2:8" x14ac:dyDescent="0.25">
      <c r="B8" s="5" t="s">
        <v>12</v>
      </c>
      <c r="C8" s="7">
        <v>21</v>
      </c>
      <c r="D8" s="25">
        <v>1150</v>
      </c>
    </row>
    <row r="9" spans="2:8" x14ac:dyDescent="0.25">
      <c r="B9" s="1" t="s">
        <v>7</v>
      </c>
      <c r="C9" s="6">
        <v>28836</v>
      </c>
      <c r="D9" s="25">
        <v>537259.13000000012</v>
      </c>
      <c r="F9" s="7"/>
    </row>
    <row r="10" spans="2:8" x14ac:dyDescent="0.25">
      <c r="B10" s="3" t="s">
        <v>8</v>
      </c>
      <c r="C10" s="8">
        <f>SUM(C5:C9)</f>
        <v>51223</v>
      </c>
      <c r="D10" s="4">
        <f>SUM(D5:D9)</f>
        <v>2036545.38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1661</v>
      </c>
      <c r="D14" s="25">
        <v>239004.7</v>
      </c>
    </row>
    <row r="15" spans="2:8" x14ac:dyDescent="0.25">
      <c r="B15" s="9" t="s">
        <v>5</v>
      </c>
      <c r="C15" s="6">
        <v>1494</v>
      </c>
      <c r="D15" s="25">
        <v>245401.31999999998</v>
      </c>
    </row>
    <row r="16" spans="2:8" x14ac:dyDescent="0.25">
      <c r="B16" s="9" t="s">
        <v>6</v>
      </c>
      <c r="C16" s="6">
        <v>843</v>
      </c>
      <c r="D16" s="25">
        <v>25477</v>
      </c>
    </row>
    <row r="17" spans="2:11" x14ac:dyDescent="0.25">
      <c r="B17" s="9" t="s">
        <v>7</v>
      </c>
      <c r="C17" s="6">
        <v>8346</v>
      </c>
      <c r="D17" s="25">
        <v>87055.45</v>
      </c>
    </row>
    <row r="18" spans="2:11" x14ac:dyDescent="0.25">
      <c r="B18" s="10" t="s">
        <v>8</v>
      </c>
      <c r="C18" s="8">
        <f>SUM(C14:C17)</f>
        <v>12344</v>
      </c>
      <c r="D18" s="4">
        <f>SUM(D14:D17)</f>
        <v>596938.47</v>
      </c>
    </row>
    <row r="20" spans="2:11" x14ac:dyDescent="0.25">
      <c r="B20" s="28" t="s">
        <v>34</v>
      </c>
      <c r="C20" s="28"/>
      <c r="D20" s="28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2408</v>
      </c>
      <c r="D22" s="25">
        <v>251812.65999999997</v>
      </c>
    </row>
    <row r="23" spans="2:11" x14ac:dyDescent="0.25">
      <c r="B23" s="1" t="s">
        <v>5</v>
      </c>
      <c r="C23" s="6">
        <v>1389</v>
      </c>
      <c r="D23" s="25">
        <v>66702.570000000007</v>
      </c>
    </row>
    <row r="24" spans="2:11" x14ac:dyDescent="0.25">
      <c r="B24" s="1" t="s">
        <v>6</v>
      </c>
      <c r="C24" s="6">
        <v>3380</v>
      </c>
      <c r="D24" s="25">
        <v>46901.630000000005</v>
      </c>
    </row>
    <row r="25" spans="2:11" x14ac:dyDescent="0.25">
      <c r="B25" s="5" t="s">
        <v>12</v>
      </c>
      <c r="C25" s="7">
        <v>2</v>
      </c>
      <c r="D25" s="27">
        <v>0</v>
      </c>
    </row>
    <row r="26" spans="2:11" x14ac:dyDescent="0.25">
      <c r="B26" s="1" t="s">
        <v>7</v>
      </c>
      <c r="C26" s="6">
        <v>21138</v>
      </c>
      <c r="D26" s="25">
        <v>200699.55000000002</v>
      </c>
    </row>
    <row r="27" spans="2:11" x14ac:dyDescent="0.25">
      <c r="B27" s="3" t="s">
        <v>8</v>
      </c>
      <c r="C27" s="8">
        <f>SUM(C22:C26)</f>
        <v>28317</v>
      </c>
      <c r="D27" s="4">
        <f>SUM(D22:D26)</f>
        <v>566116.41</v>
      </c>
      <c r="K27" s="7"/>
    </row>
    <row r="29" spans="2:11" x14ac:dyDescent="0.25">
      <c r="B29" s="28" t="s">
        <v>9</v>
      </c>
      <c r="C29" s="28"/>
      <c r="D29" s="28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1390</v>
      </c>
      <c r="D31" s="25">
        <v>218751.14</v>
      </c>
    </row>
    <row r="32" spans="2:11" x14ac:dyDescent="0.25">
      <c r="B32" s="9" t="s">
        <v>5</v>
      </c>
      <c r="C32" s="6">
        <v>1286</v>
      </c>
      <c r="D32" s="25">
        <v>107446.07</v>
      </c>
    </row>
    <row r="33" spans="2:4" x14ac:dyDescent="0.25">
      <c r="B33" s="9" t="s">
        <v>6</v>
      </c>
      <c r="C33" s="6">
        <v>2932</v>
      </c>
      <c r="D33" s="25">
        <v>38583</v>
      </c>
    </row>
    <row r="34" spans="2:4" x14ac:dyDescent="0.25">
      <c r="B34" s="9" t="s">
        <v>7</v>
      </c>
      <c r="C34" s="6">
        <v>1828</v>
      </c>
      <c r="D34" s="25">
        <v>22275</v>
      </c>
    </row>
    <row r="35" spans="2:4" x14ac:dyDescent="0.25">
      <c r="B35" s="10" t="s">
        <v>8</v>
      </c>
      <c r="C35" s="8">
        <f>SUM(C31:C34)</f>
        <v>7436</v>
      </c>
      <c r="D35" s="4">
        <f>SUM(D31:D34)</f>
        <v>387055.21</v>
      </c>
    </row>
    <row r="37" spans="2:4" x14ac:dyDescent="0.25">
      <c r="B37" s="29" t="s">
        <v>11</v>
      </c>
      <c r="C37" s="29"/>
      <c r="D37" s="29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2735</v>
      </c>
      <c r="D39" s="25">
        <v>61786</v>
      </c>
    </row>
    <row r="40" spans="2:4" x14ac:dyDescent="0.25">
      <c r="B40" s="10" t="s">
        <v>8</v>
      </c>
      <c r="C40" s="8">
        <f>SUM(C39:C39)</f>
        <v>2735</v>
      </c>
      <c r="D40" s="4">
        <f>SUM(D39:D39)</f>
        <v>61786</v>
      </c>
    </row>
    <row r="42" spans="2:4" x14ac:dyDescent="0.25">
      <c r="B42" s="28" t="s">
        <v>35</v>
      </c>
      <c r="C42" s="28"/>
      <c r="D42" s="28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31</v>
      </c>
      <c r="D44" s="25">
        <v>2019</v>
      </c>
    </row>
    <row r="45" spans="2:4" x14ac:dyDescent="0.25">
      <c r="B45" s="1" t="s">
        <v>5</v>
      </c>
      <c r="C45" s="6">
        <v>122</v>
      </c>
      <c r="D45" s="25">
        <v>400</v>
      </c>
    </row>
    <row r="46" spans="2:4" x14ac:dyDescent="0.25">
      <c r="B46" s="1" t="s">
        <v>6</v>
      </c>
      <c r="C46" s="6">
        <v>143</v>
      </c>
      <c r="D46" s="26">
        <v>0</v>
      </c>
    </row>
    <row r="47" spans="2:4" x14ac:dyDescent="0.25">
      <c r="B47" s="1" t="s">
        <v>7</v>
      </c>
      <c r="C47" s="6">
        <v>1559</v>
      </c>
      <c r="D47" s="25">
        <v>10332</v>
      </c>
    </row>
    <row r="48" spans="2:4" x14ac:dyDescent="0.25">
      <c r="B48" s="3" t="s">
        <v>8</v>
      </c>
      <c r="C48" s="8">
        <f>SUM(C44:C47)</f>
        <v>1855</v>
      </c>
      <c r="D48" s="4">
        <f>SUM(D44:D47)</f>
        <v>12751</v>
      </c>
    </row>
    <row r="50" spans="2:4" x14ac:dyDescent="0.25">
      <c r="B50" s="29" t="s">
        <v>32</v>
      </c>
      <c r="C50" s="29"/>
      <c r="D50" s="29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68</v>
      </c>
      <c r="D52" s="25">
        <v>2970</v>
      </c>
    </row>
    <row r="53" spans="2:4" x14ac:dyDescent="0.25">
      <c r="B53" s="9" t="s">
        <v>5</v>
      </c>
      <c r="C53" s="6">
        <v>62</v>
      </c>
      <c r="D53" s="27">
        <v>0</v>
      </c>
    </row>
    <row r="54" spans="2:4" x14ac:dyDescent="0.25">
      <c r="B54" s="9" t="s">
        <v>6</v>
      </c>
      <c r="C54" s="6">
        <v>13</v>
      </c>
      <c r="D54" s="27">
        <v>0</v>
      </c>
    </row>
    <row r="55" spans="2:4" x14ac:dyDescent="0.25">
      <c r="B55" s="9" t="s">
        <v>7</v>
      </c>
      <c r="C55" s="6">
        <v>9</v>
      </c>
      <c r="D55" s="27">
        <v>0</v>
      </c>
    </row>
    <row r="56" spans="2:4" x14ac:dyDescent="0.25">
      <c r="B56" s="10" t="s">
        <v>8</v>
      </c>
      <c r="C56" s="8">
        <f>SUM(C52:C55)</f>
        <v>152</v>
      </c>
      <c r="D56" s="4">
        <f>SUM(D52:D55)</f>
        <v>2970</v>
      </c>
    </row>
    <row r="58" spans="2:4" x14ac:dyDescent="0.25">
      <c r="B58" s="12" t="s">
        <v>13</v>
      </c>
      <c r="C58" s="13">
        <f>SUM(C10+C18+C56+C35+C40+C27+C48)</f>
        <v>104062</v>
      </c>
      <c r="D58" s="13">
        <f>SUM(D10+D18+D56+D35+D40+D27+D48)</f>
        <v>3664162.4699999997</v>
      </c>
    </row>
  </sheetData>
  <mergeCells count="7">
    <mergeCell ref="B20:D20"/>
    <mergeCell ref="B42:D42"/>
    <mergeCell ref="B3:D3"/>
    <mergeCell ref="B50:D50"/>
    <mergeCell ref="B12:D12"/>
    <mergeCell ref="B29:D29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6 ABR'!C6, 'REPORTE DIARIO'!C:C)</f>
        <v>14169</v>
      </c>
      <c r="E6" s="16">
        <f>SUMIF('REPORTE DIARIO'!B:B,'EPR 6 ABR'!C6, 'REPORTE DIARIO'!D:D)</f>
        <v>1436181.6799999997</v>
      </c>
      <c r="F6" s="16">
        <f>J6*D6</f>
        <v>2833800</v>
      </c>
      <c r="G6" s="16">
        <f>+E6-F6</f>
        <v>-1397618.3200000003</v>
      </c>
      <c r="H6" s="15">
        <f>ABS(G6/F6)</f>
        <v>0.49319582186463418</v>
      </c>
      <c r="I6" s="16">
        <f>E6/D6</f>
        <v>101.36083562707317</v>
      </c>
      <c r="J6" s="16">
        <f>(200/7)*7</f>
        <v>200</v>
      </c>
      <c r="K6" s="16">
        <f>+I6-J6</f>
        <v>-98.639164372926828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6 ABR'!C7, 'REPORTE DIARIO'!C:C)</f>
        <v>11013</v>
      </c>
      <c r="E7" s="16">
        <f>SUMIF('REPORTE DIARIO'!B:B,'EPR 6 ABR'!C7, 'REPORTE DIARIO'!D:D)</f>
        <v>990815.31</v>
      </c>
      <c r="F7" s="16">
        <f>J7*D7</f>
        <v>1211430</v>
      </c>
      <c r="G7" s="16">
        <f>+E7-F7</f>
        <v>-220614.68999999994</v>
      </c>
      <c r="H7" s="15">
        <f>ABS(G7/F7)</f>
        <v>0.18211096802951879</v>
      </c>
      <c r="I7" s="16">
        <f>E7/D7</f>
        <v>89.967793516752934</v>
      </c>
      <c r="J7" s="16">
        <f>(110/7)*7</f>
        <v>110</v>
      </c>
      <c r="K7" s="16">
        <f t="shared" ref="K7:K9" si="0">+I7-J7</f>
        <v>-20.032206483247066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6 ABR'!C8, 'REPORTE DIARIO'!C:C)</f>
        <v>17141</v>
      </c>
      <c r="E8" s="16">
        <f>SUMIF('REPORTE DIARIO'!B:B,'EPR 6 ABR'!C8, 'REPORTE DIARIO'!D:D)</f>
        <v>378394.35</v>
      </c>
      <c r="F8" s="16">
        <f>J8*D8</f>
        <v>771345</v>
      </c>
      <c r="G8" s="16">
        <f>+E8-F8</f>
        <v>-392950.65</v>
      </c>
      <c r="H8" s="15">
        <f>ABS(G8/F8)</f>
        <v>0.50943566108550653</v>
      </c>
      <c r="I8" s="16">
        <f>E8/D8</f>
        <v>22.075395251152205</v>
      </c>
      <c r="J8" s="16">
        <f>(45/7)*7</f>
        <v>45</v>
      </c>
      <c r="K8" s="16">
        <f t="shared" si="0"/>
        <v>-22.924604748847795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6 ABR'!C9, 'REPORTE DIARIO'!C:C)</f>
        <v>61716</v>
      </c>
      <c r="E9" s="16">
        <f>SUMIF('REPORTE DIARIO'!B:B,'EPR 6 ABR'!C9, 'REPORTE DIARIO'!D:D)</f>
        <v>857621.13000000012</v>
      </c>
      <c r="F9" s="16">
        <f>J9*D9</f>
        <v>925740</v>
      </c>
      <c r="G9" s="16">
        <f>+E9-F9</f>
        <v>-68118.869999999879</v>
      </c>
      <c r="H9" s="15">
        <f>ABS(G9/F9)</f>
        <v>7.3583155097543457E-2</v>
      </c>
      <c r="I9" s="16">
        <f>E9/D9</f>
        <v>13.896252673536848</v>
      </c>
      <c r="J9" s="16">
        <f>(15/7)*7</f>
        <v>15</v>
      </c>
      <c r="K9" s="16">
        <f t="shared" si="0"/>
        <v>-1.1037473264631519</v>
      </c>
    </row>
    <row r="10" spans="2:12" x14ac:dyDescent="0.25">
      <c r="B10" s="16"/>
      <c r="C10" s="19" t="s">
        <v>17</v>
      </c>
      <c r="D10" s="24">
        <f>SUM(D6:D9)</f>
        <v>104039</v>
      </c>
      <c r="E10" s="20">
        <f>SUM(E6:E9)</f>
        <v>3663012.4699999997</v>
      </c>
      <c r="F10" s="20">
        <f>SUM(F6:F9)</f>
        <v>5742315</v>
      </c>
      <c r="G10" s="20">
        <f>+E10-F10</f>
        <v>-2079302.5300000003</v>
      </c>
      <c r="H10" s="21">
        <f>ABS(G10/F10)</f>
        <v>0.36210178821607664</v>
      </c>
      <c r="I10" s="20">
        <f>E10/D10</f>
        <v>35.208070723478691</v>
      </c>
      <c r="J10" s="20">
        <f>F10/D10</f>
        <v>55.193869606589836</v>
      </c>
      <c r="K10" s="20">
        <f>I10-J10</f>
        <v>-19.985798883111144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6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2025-04-06T15:49:10Z</dcterms:modified>
</cp:coreProperties>
</file>