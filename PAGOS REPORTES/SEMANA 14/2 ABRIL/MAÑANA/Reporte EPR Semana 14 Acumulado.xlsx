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14\2 ABRIL\MAÑANA\"/>
    </mc:Choice>
  </mc:AlternateContent>
  <xr:revisionPtr revIDLastSave="0" documentId="13_ncr:1_{3CD01929-D7BA-4D3F-84CA-6A234BCF4AF5}" xr6:coauthVersionLast="47" xr6:coauthVersionMax="47" xr10:uidLastSave="{00000000-0000-0000-0000-000000000000}"/>
  <bookViews>
    <workbookView xWindow="-108" yWindow="-108" windowWidth="23256" windowHeight="12456" xr2:uid="{4DC6C92A-CD8A-4966-829B-0B6A986E825B}"/>
  </bookViews>
  <sheets>
    <sheet name="REPORTE DIARIO" sheetId="1" r:id="rId1"/>
    <sheet name="DATA" sheetId="4" r:id="rId2"/>
    <sheet name="EPR 2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19" i="1"/>
  <c r="C19" i="1"/>
  <c r="D40" i="1" l="1"/>
  <c r="C40" i="1"/>
  <c r="D35" i="1"/>
  <c r="C35" i="1"/>
  <c r="D27" i="1"/>
  <c r="C27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<sst xmlns="http://schemas.openxmlformats.org/spreadsheetml/2006/main" count="88" uniqueCount="37">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</sst>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4" fontId="3" fillId="3" borderId="0" xfId="1" applyNumberFormat="1" applyFont="1" applyFill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35" workbookViewId="0">
      <selection activeCell="C56" sqref="C56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7195</v>
      </c>
      <c r="D5" s="25">
        <v>236245.10999999996</v>
      </c>
    </row>
    <row r="6" spans="2:8" x14ac:dyDescent="0.3">
      <c r="B6" s="1" t="s">
        <v>5</v>
      </c>
      <c r="C6" s="6">
        <v>7719</v>
      </c>
      <c r="D6" s="25">
        <v>252026.56</v>
      </c>
    </row>
    <row r="7" spans="2:8" x14ac:dyDescent="0.3">
      <c r="B7" s="1" t="s">
        <v>6</v>
      </c>
      <c r="C7" s="6">
        <v>10316</v>
      </c>
      <c r="D7" s="25">
        <v>70332.45</v>
      </c>
    </row>
    <row r="8" spans="2:8" x14ac:dyDescent="0.3">
      <c r="B8" s="5" t="s">
        <v>12</v>
      </c>
      <c r="C8" s="7">
        <v>21</v>
      </c>
      <c r="D8" s="25">
        <v>1150</v>
      </c>
    </row>
    <row r="9" spans="2:8" x14ac:dyDescent="0.3">
      <c r="B9" s="1" t="s">
        <v>7</v>
      </c>
      <c r="C9" s="6">
        <v>29580</v>
      </c>
      <c r="D9" s="25">
        <v>250965.42</v>
      </c>
      <c r="F9" s="7"/>
    </row>
    <row r="10" spans="2:8" x14ac:dyDescent="0.3">
      <c r="B10" s="3" t="s">
        <v>8</v>
      </c>
      <c r="C10" s="8">
        <f>SUM(C5:C9)</f>
        <v>54831</v>
      </c>
      <c r="D10" s="4">
        <f>SUM(D5:D9)</f>
        <v>810719.53999999992</v>
      </c>
      <c r="E10" s="11" t="s">
        <v>14</v>
      </c>
    </row>
    <row r="12" spans="2:8" x14ac:dyDescent="0.3">
      <c r="B12" s="28" t="s">
        <v>34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1" t="s">
        <v>4</v>
      </c>
      <c r="C14" s="6">
        <v>3020</v>
      </c>
      <c r="D14" s="25">
        <v>94192.450000000012</v>
      </c>
    </row>
    <row r="15" spans="2:8" x14ac:dyDescent="0.3">
      <c r="B15" s="1" t="s">
        <v>5</v>
      </c>
      <c r="C15" s="6">
        <v>1701</v>
      </c>
      <c r="D15" s="25">
        <v>22117.570000000003</v>
      </c>
    </row>
    <row r="16" spans="2:8" x14ac:dyDescent="0.3">
      <c r="B16" s="1" t="s">
        <v>6</v>
      </c>
      <c r="C16" s="6">
        <v>3524</v>
      </c>
      <c r="D16" s="25">
        <v>16454.629999999997</v>
      </c>
    </row>
    <row r="17" spans="2:11" x14ac:dyDescent="0.3">
      <c r="B17" s="5" t="s">
        <v>12</v>
      </c>
      <c r="C17" s="7">
        <v>2</v>
      </c>
      <c r="D17" s="27">
        <v>0</v>
      </c>
    </row>
    <row r="18" spans="2:11" x14ac:dyDescent="0.3">
      <c r="B18" s="1" t="s">
        <v>7</v>
      </c>
      <c r="C18" s="6">
        <v>21195</v>
      </c>
      <c r="D18" s="25">
        <v>79921.010000000009</v>
      </c>
    </row>
    <row r="19" spans="2:11" x14ac:dyDescent="0.3">
      <c r="B19" s="3" t="s">
        <v>8</v>
      </c>
      <c r="C19" s="8">
        <f>SUM(C14:C18)</f>
        <v>29442</v>
      </c>
      <c r="D19" s="4">
        <f>SUM(D14:D18)</f>
        <v>212685.66000000003</v>
      </c>
    </row>
    <row r="21" spans="2:11" x14ac:dyDescent="0.3">
      <c r="B21" s="29" t="s">
        <v>10</v>
      </c>
      <c r="C21" s="29"/>
      <c r="D21" s="29"/>
    </row>
    <row r="22" spans="2:11" x14ac:dyDescent="0.3">
      <c r="B22" s="4" t="s">
        <v>1</v>
      </c>
      <c r="C22" s="4" t="s">
        <v>2</v>
      </c>
      <c r="D22" s="4" t="s">
        <v>3</v>
      </c>
    </row>
    <row r="23" spans="2:11" x14ac:dyDescent="0.3">
      <c r="B23" s="9" t="s">
        <v>4</v>
      </c>
      <c r="C23" s="6">
        <v>1491</v>
      </c>
      <c r="D23" s="25">
        <v>75921.390000000014</v>
      </c>
    </row>
    <row r="24" spans="2:11" x14ac:dyDescent="0.3">
      <c r="B24" s="9" t="s">
        <v>5</v>
      </c>
      <c r="C24" s="6">
        <v>1393</v>
      </c>
      <c r="D24" s="25">
        <v>74951.590000000011</v>
      </c>
    </row>
    <row r="25" spans="2:11" x14ac:dyDescent="0.3">
      <c r="B25" s="9" t="s">
        <v>6</v>
      </c>
      <c r="C25" s="6">
        <v>755</v>
      </c>
      <c r="D25" s="25">
        <v>4780</v>
      </c>
    </row>
    <row r="26" spans="2:11" x14ac:dyDescent="0.3">
      <c r="B26" s="9" t="s">
        <v>7</v>
      </c>
      <c r="C26" s="6">
        <v>8493</v>
      </c>
      <c r="D26" s="25">
        <v>22626</v>
      </c>
    </row>
    <row r="27" spans="2:11" x14ac:dyDescent="0.3">
      <c r="B27" s="10" t="s">
        <v>8</v>
      </c>
      <c r="C27" s="8">
        <f>SUM(C23:C26)</f>
        <v>12132</v>
      </c>
      <c r="D27" s="4">
        <f>SUM(D23:D26)</f>
        <v>178278.98000000004</v>
      </c>
      <c r="K27" s="7"/>
    </row>
    <row r="29" spans="2:11" x14ac:dyDescent="0.3">
      <c r="B29" s="28" t="s">
        <v>9</v>
      </c>
      <c r="C29" s="28"/>
      <c r="D29" s="28"/>
    </row>
    <row r="30" spans="2:11" x14ac:dyDescent="0.3">
      <c r="B30" s="2" t="s">
        <v>1</v>
      </c>
      <c r="C30" s="2" t="s">
        <v>2</v>
      </c>
      <c r="D30" s="2" t="s">
        <v>3</v>
      </c>
    </row>
    <row r="31" spans="2:11" x14ac:dyDescent="0.3">
      <c r="B31" s="9" t="s">
        <v>4</v>
      </c>
      <c r="C31" s="6">
        <v>1255</v>
      </c>
      <c r="D31" s="25">
        <v>88045.400000000009</v>
      </c>
    </row>
    <row r="32" spans="2:11" x14ac:dyDescent="0.3">
      <c r="B32" s="9" t="s">
        <v>5</v>
      </c>
      <c r="C32" s="6">
        <v>1188</v>
      </c>
      <c r="D32" s="25">
        <v>27997</v>
      </c>
    </row>
    <row r="33" spans="2:4" x14ac:dyDescent="0.3">
      <c r="B33" s="9" t="s">
        <v>6</v>
      </c>
      <c r="C33" s="6">
        <v>2996</v>
      </c>
      <c r="D33" s="25">
        <v>21000</v>
      </c>
    </row>
    <row r="34" spans="2:4" x14ac:dyDescent="0.3">
      <c r="B34" s="9" t="s">
        <v>7</v>
      </c>
      <c r="C34" s="6">
        <v>1900</v>
      </c>
      <c r="D34" s="25">
        <v>1166</v>
      </c>
    </row>
    <row r="35" spans="2:4" x14ac:dyDescent="0.3">
      <c r="B35" s="10" t="s">
        <v>8</v>
      </c>
      <c r="C35" s="8">
        <f>SUM(C31:C34)</f>
        <v>7339</v>
      </c>
      <c r="D35" s="4">
        <f>SUM(D31:D34)</f>
        <v>138208.40000000002</v>
      </c>
    </row>
    <row r="37" spans="2:4" x14ac:dyDescent="0.3">
      <c r="B37" s="29" t="s">
        <v>11</v>
      </c>
      <c r="C37" s="29"/>
      <c r="D37" s="29"/>
    </row>
    <row r="38" spans="2:4" x14ac:dyDescent="0.3">
      <c r="B38" s="4" t="s">
        <v>1</v>
      </c>
      <c r="C38" s="4" t="s">
        <v>2</v>
      </c>
      <c r="D38" s="4" t="s">
        <v>3</v>
      </c>
    </row>
    <row r="39" spans="2:4" x14ac:dyDescent="0.3">
      <c r="B39" s="9" t="s">
        <v>4</v>
      </c>
      <c r="C39" s="6">
        <v>2803</v>
      </c>
      <c r="D39" s="25">
        <v>21527</v>
      </c>
    </row>
    <row r="40" spans="2:4" x14ac:dyDescent="0.3">
      <c r="B40" s="10" t="s">
        <v>8</v>
      </c>
      <c r="C40" s="8">
        <f>SUM(C39:C39)</f>
        <v>2803</v>
      </c>
      <c r="D40" s="4">
        <f>SUM(D39:D39)</f>
        <v>21527</v>
      </c>
    </row>
    <row r="42" spans="2:4" x14ac:dyDescent="0.3">
      <c r="B42" s="28" t="s">
        <v>35</v>
      </c>
      <c r="C42" s="28"/>
      <c r="D42" s="28"/>
    </row>
    <row r="43" spans="2:4" x14ac:dyDescent="0.3">
      <c r="B43" s="2" t="s">
        <v>1</v>
      </c>
      <c r="C43" s="2" t="s">
        <v>2</v>
      </c>
      <c r="D43" s="2" t="s">
        <v>3</v>
      </c>
    </row>
    <row r="44" spans="2:4" x14ac:dyDescent="0.3">
      <c r="B44" s="9" t="s">
        <v>4</v>
      </c>
      <c r="C44" s="6">
        <v>0</v>
      </c>
      <c r="D44" s="26">
        <v>0</v>
      </c>
    </row>
    <row r="45" spans="2:4" x14ac:dyDescent="0.3">
      <c r="B45" s="1" t="s">
        <v>5</v>
      </c>
      <c r="C45" s="6">
        <v>121</v>
      </c>
      <c r="D45" s="26">
        <v>0</v>
      </c>
    </row>
    <row r="46" spans="2:4" x14ac:dyDescent="0.3">
      <c r="B46" s="1" t="s">
        <v>6</v>
      </c>
      <c r="C46" s="6">
        <v>164</v>
      </c>
      <c r="D46" s="26">
        <v>0</v>
      </c>
    </row>
    <row r="47" spans="2:4" x14ac:dyDescent="0.3">
      <c r="B47" s="1" t="s">
        <v>7</v>
      </c>
      <c r="C47" s="6">
        <v>1305</v>
      </c>
      <c r="D47" s="25">
        <v>6291</v>
      </c>
    </row>
    <row r="48" spans="2:4" x14ac:dyDescent="0.3">
      <c r="B48" s="3" t="s">
        <v>8</v>
      </c>
      <c r="C48" s="8">
        <f>SUM(C44:C47)</f>
        <v>1590</v>
      </c>
      <c r="D48" s="30">
        <f>SUM(D44:D47)</f>
        <v>6291</v>
      </c>
    </row>
    <row r="50" spans="2:4" x14ac:dyDescent="0.3">
      <c r="B50" s="29" t="s">
        <v>32</v>
      </c>
      <c r="C50" s="29"/>
      <c r="D50" s="29"/>
    </row>
    <row r="51" spans="2:4" x14ac:dyDescent="0.3">
      <c r="B51" s="4" t="s">
        <v>1</v>
      </c>
      <c r="C51" s="4" t="s">
        <v>2</v>
      </c>
      <c r="D51" s="4" t="s">
        <v>3</v>
      </c>
    </row>
    <row r="52" spans="2:4" x14ac:dyDescent="0.3">
      <c r="B52" s="9" t="s">
        <v>4</v>
      </c>
      <c r="C52" s="6">
        <v>68</v>
      </c>
      <c r="D52" s="25">
        <v>2000</v>
      </c>
    </row>
    <row r="53" spans="2:4" x14ac:dyDescent="0.3">
      <c r="B53" s="9" t="s">
        <v>5</v>
      </c>
      <c r="C53" s="6">
        <v>180</v>
      </c>
      <c r="D53" s="27">
        <v>0</v>
      </c>
    </row>
    <row r="54" spans="2:4" x14ac:dyDescent="0.3">
      <c r="B54" s="9" t="s">
        <v>6</v>
      </c>
      <c r="C54" s="6">
        <v>68</v>
      </c>
      <c r="D54" s="27">
        <v>0</v>
      </c>
    </row>
    <row r="55" spans="2:4" x14ac:dyDescent="0.3">
      <c r="B55" s="9" t="s">
        <v>7</v>
      </c>
      <c r="C55" s="6">
        <v>10</v>
      </c>
      <c r="D55" s="27">
        <v>0</v>
      </c>
    </row>
    <row r="56" spans="2:4" x14ac:dyDescent="0.3">
      <c r="B56" s="10" t="s">
        <v>8</v>
      </c>
      <c r="C56" s="8">
        <f>SUM(C52:C55)</f>
        <v>326</v>
      </c>
      <c r="D56" s="4">
        <f>SUM(D52:D55)</f>
        <v>2000</v>
      </c>
    </row>
    <row r="58" spans="2:4" x14ac:dyDescent="0.3">
      <c r="B58" s="12" t="s">
        <v>13</v>
      </c>
      <c r="C58" s="13">
        <f>SUM(C10+C27+C56+C35+C40+C19+C48)</f>
        <v>108463</v>
      </c>
      <c r="D58" s="13">
        <f>SUM(D10+D27+D56+D35+D40+D19+D48)</f>
        <v>1369710.58</v>
      </c>
    </row>
  </sheetData>
  <mergeCells count="7">
    <mergeCell ref="B12:D12"/>
    <mergeCell ref="B42:D42"/>
    <mergeCell ref="B3:D3"/>
    <mergeCell ref="B50:D50"/>
    <mergeCell ref="B21:D21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4.4" x14ac:dyDescent="0.3"/>
  <cols>
    <col min="2" max="2" width="18.109375" customWidth="1"/>
    <col min="3" max="3" width="34.441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36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29</v>
      </c>
      <c r="C6" s="1" t="s">
        <v>4</v>
      </c>
      <c r="D6" s="23">
        <f>SUMIF('REPORTE DIARIO'!B:B,'EPR 2 ABR'!C6, 'REPORTE DIARIO'!C:C)</f>
        <v>15832</v>
      </c>
      <c r="E6" s="16">
        <f>SUMIF('REPORTE DIARIO'!B:B,'EPR 2 ABR'!C6, 'REPORTE DIARIO'!D:D)</f>
        <v>517931.35</v>
      </c>
      <c r="F6" s="16">
        <f>J6*D6</f>
        <v>1357028.5714285716</v>
      </c>
      <c r="G6" s="16">
        <f>+E6-F6</f>
        <v>-839097.22142857162</v>
      </c>
      <c r="H6" s="15">
        <f>ABS(G6/F6)</f>
        <v>0.6183342334091293</v>
      </c>
      <c r="I6" s="16">
        <f>E6/D6</f>
        <v>32.714208564931781</v>
      </c>
      <c r="J6" s="16">
        <f>(200/7)*3</f>
        <v>85.714285714285722</v>
      </c>
      <c r="K6" s="16">
        <f>+I6-J6</f>
        <v>-53.000077149353942</v>
      </c>
      <c r="L6" s="15"/>
    </row>
    <row r="7" spans="2:12" x14ac:dyDescent="0.3">
      <c r="B7" s="16" t="s">
        <v>30</v>
      </c>
      <c r="C7" s="1" t="s">
        <v>5</v>
      </c>
      <c r="D7" s="23">
        <f>SUMIF('REPORTE DIARIO'!B:B,'EPR 2 ABR'!C7, 'REPORTE DIARIO'!C:C)</f>
        <v>12302</v>
      </c>
      <c r="E7" s="16">
        <f>SUMIF('REPORTE DIARIO'!B:B,'EPR 2 ABR'!C7, 'REPORTE DIARIO'!D:D)</f>
        <v>377092.72000000003</v>
      </c>
      <c r="F7" s="16">
        <f>J7*D7</f>
        <v>579951.42857142852</v>
      </c>
      <c r="G7" s="16">
        <f>+E7-F7</f>
        <v>-202858.70857142849</v>
      </c>
      <c r="H7" s="15">
        <f>ABS(G7/F7)</f>
        <v>0.34978568648606029</v>
      </c>
      <c r="I7" s="16">
        <f>E7/D7</f>
        <v>30.652960494228584</v>
      </c>
      <c r="J7" s="16">
        <f>(110/7)*3</f>
        <v>47.142857142857139</v>
      </c>
      <c r="K7" s="16">
        <f t="shared" ref="K7:K9" si="0">+I7-J7</f>
        <v>-16.489896648628555</v>
      </c>
      <c r="L7" s="15"/>
    </row>
    <row r="8" spans="2:12" x14ac:dyDescent="0.3">
      <c r="B8" s="16" t="s">
        <v>30</v>
      </c>
      <c r="C8" s="1" t="s">
        <v>6</v>
      </c>
      <c r="D8" s="23">
        <f>SUMIF('REPORTE DIARIO'!B:B,'EPR 2 ABR'!C8, 'REPORTE DIARIO'!C:C)</f>
        <v>17823</v>
      </c>
      <c r="E8" s="16">
        <f>SUMIF('REPORTE DIARIO'!B:B,'EPR 2 ABR'!C8, 'REPORTE DIARIO'!D:D)</f>
        <v>112567.07999999999</v>
      </c>
      <c r="F8" s="16">
        <f>J8*D8</f>
        <v>343729.28571428568</v>
      </c>
      <c r="G8" s="16">
        <f>+E8-F8</f>
        <v>-231162.20571428569</v>
      </c>
      <c r="H8" s="15">
        <f>ABS(G8/F8)</f>
        <v>0.67251239659117124</v>
      </c>
      <c r="I8" s="16">
        <f>E8/D8</f>
        <v>6.3158323514559829</v>
      </c>
      <c r="J8" s="16">
        <f>(45/7)*3</f>
        <v>19.285714285714285</v>
      </c>
      <c r="K8" s="16">
        <f t="shared" si="0"/>
        <v>-12.969881934258302</v>
      </c>
      <c r="L8" s="15"/>
    </row>
    <row r="9" spans="2:12" x14ac:dyDescent="0.3">
      <c r="B9" s="16" t="s">
        <v>31</v>
      </c>
      <c r="C9" s="1" t="s">
        <v>7</v>
      </c>
      <c r="D9" s="23">
        <f>SUMIF('REPORTE DIARIO'!B:B,'EPR 2 ABR'!C9, 'REPORTE DIARIO'!C:C)</f>
        <v>62483</v>
      </c>
      <c r="E9" s="16">
        <f>SUMIF('REPORTE DIARIO'!B:B,'EPR 2 ABR'!C9, 'REPORTE DIARIO'!D:D)</f>
        <v>360969.43000000005</v>
      </c>
      <c r="F9" s="16">
        <f>J9*D9</f>
        <v>401676.42857142858</v>
      </c>
      <c r="G9" s="16">
        <f>+E9-F9</f>
        <v>-40706.998571428529</v>
      </c>
      <c r="H9" s="15">
        <f>ABS(G9/F9)</f>
        <v>0.1013427616756201</v>
      </c>
      <c r="I9" s="16">
        <f>E9/D9</f>
        <v>5.7770822463710134</v>
      </c>
      <c r="J9" s="16">
        <f>(15/7)*3</f>
        <v>6.4285714285714288</v>
      </c>
      <c r="K9" s="16">
        <f t="shared" si="0"/>
        <v>-0.65148918220041541</v>
      </c>
    </row>
    <row r="10" spans="2:12" x14ac:dyDescent="0.3">
      <c r="B10" s="16"/>
      <c r="C10" s="19" t="s">
        <v>17</v>
      </c>
      <c r="D10" s="24">
        <f>SUM(D6:D9)</f>
        <v>108440</v>
      </c>
      <c r="E10" s="20">
        <f>SUM(E6:E9)</f>
        <v>1368560.58</v>
      </c>
      <c r="F10" s="20">
        <f>SUM(F6:F9)</f>
        <v>2682385.7142857141</v>
      </c>
      <c r="G10" s="20">
        <f>+E10-F10</f>
        <v>-1313825.134285714</v>
      </c>
      <c r="H10" s="21">
        <f>ABS(G10/F10)</f>
        <v>0.48979724552237608</v>
      </c>
      <c r="I10" s="20">
        <f>E10/D10</f>
        <v>12.620440612320177</v>
      </c>
      <c r="J10" s="20">
        <f>F10/D10</f>
        <v>24.73612794435369</v>
      </c>
      <c r="K10" s="20">
        <f>I10-J10</f>
        <v>-12.115687332033513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2025-03-01T19:30:03Z</cp:lastPrinted>
  <dcterms:created xsi:type="dcterms:W3CDTF">2025-01-27T15:11:28Z</dcterms:created>
  <dcterms:modified xsi:type="dcterms:W3CDTF">2025-04-02T14:40:54Z</dcterms:modified>
</cp:coreProperties>
</file>