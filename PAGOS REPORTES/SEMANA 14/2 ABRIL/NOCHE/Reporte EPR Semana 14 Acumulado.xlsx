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4\2 ABRIL\NOCHE\"/>
    </mc:Choice>
  </mc:AlternateContent>
  <xr:revisionPtr revIDLastSave="0" documentId="13_ncr:1_{582DBA3B-2B49-4F38-B3B8-8A3310CA843A}" xr6:coauthVersionLast="47" xr6:coauthVersionMax="47" xr10:uidLastSave="{00000000-0000-0000-0000-000000000000}"/>
  <bookViews>
    <workbookView xWindow="-120" yWindow="-120" windowWidth="51840" windowHeight="21120" activeTab="2" xr2:uid="{4DC6C92A-CD8A-4966-829B-0B6A986E825B}"/>
  </bookViews>
  <sheets>
    <sheet name="REPORTE DIARIO" sheetId="1" r:id="rId1"/>
    <sheet name="DATA" sheetId="4" r:id="rId2"/>
    <sheet name="EPR 2 AB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3" l="1"/>
  <c r="J9" i="3"/>
  <c r="J7" i="3"/>
  <c r="J6" i="3"/>
  <c r="D48" i="1"/>
  <c r="C48" i="1"/>
  <c r="D19" i="1"/>
  <c r="C19" i="1"/>
  <c r="D40" i="1" l="1"/>
  <c r="C40" i="1"/>
  <c r="D35" i="1"/>
  <c r="C35" i="1"/>
  <c r="D27" i="1"/>
  <c r="C27" i="1"/>
  <c r="D56" i="1"/>
  <c r="C56" i="1"/>
  <c r="D10" i="1"/>
  <c r="C10" i="1"/>
  <c r="D6" i="3"/>
  <c r="F6" i="3" s="1"/>
  <c r="E7" i="3"/>
  <c r="E8" i="3"/>
  <c r="E9" i="3"/>
  <c r="E6" i="3"/>
  <c r="D7" i="3"/>
  <c r="F7" i="3" s="1"/>
  <c r="D8" i="3"/>
  <c r="F8" i="3" s="1"/>
  <c r="D9" i="3"/>
  <c r="F9" i="3" s="1"/>
  <c r="C58" i="1" l="1"/>
  <c r="D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<sst xmlns="http://schemas.openxmlformats.org/spreadsheetml/2006/main" count="88" uniqueCount="37">
  <si>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</si>
  <si>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</si>
  <si>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</si>
  <si>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</si>
  <si>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</si>
  <si>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</si>
  <si>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</si>
  <si>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</si>
  <si>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</si>
  <si>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</si>
  <si>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</si>
  <si>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</si>
  <si>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</si>
  <si>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</si>
  <si>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</si>
  <si>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</si>
  <si>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</si>
  <si>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</si>
  <si>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</si>
  <si>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</si>
  <si>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</si>
  <si>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</si>
  <si>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</si>
  <si>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</si>
  <si>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</si>
  <si>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</si>
  <si>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</si>
  <si>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</si>
  <si>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</si>
  <si>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</si>
  <si>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</si>
  <si>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</si>
  <si>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OLGUIN</t>
  </si>
  <si>
    <t>Samantha, Samantha 2, Sofia, Edith, Olguin, Fernando y Federico</t>
  </si>
  <si>
    <t>COBRANZA GENERAL  SAMANTHA 2</t>
  </si>
  <si>
    <t>COBRANZA GENERAL  FEDERICO</t>
  </si>
  <si>
    <t>SALDO ACUMULADO SEMANA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</si>
</sst>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2" xfId="0" applyNumberFormat="1" applyBorder="1"/>
    <xf numFmtId="43" fontId="0" fillId="0" borderId="1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opLeftCell="A16" workbookViewId="0">
      <selection activeCell="G50" sqref="G50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6006</v>
      </c>
      <c r="D5" s="25">
        <v>275026.24</v>
      </c>
    </row>
    <row r="6" spans="2:8" x14ac:dyDescent="0.25">
      <c r="B6" s="1" t="s">
        <v>5</v>
      </c>
      <c r="C6" s="6">
        <v>6660</v>
      </c>
      <c r="D6" s="25">
        <v>269644.79999999999</v>
      </c>
    </row>
    <row r="7" spans="2:8" x14ac:dyDescent="0.25">
      <c r="B7" s="1" t="s">
        <v>6</v>
      </c>
      <c r="C7" s="6">
        <v>9837</v>
      </c>
      <c r="D7" s="25">
        <v>126439.45</v>
      </c>
    </row>
    <row r="8" spans="2:8" x14ac:dyDescent="0.25">
      <c r="B8" s="5" t="s">
        <v>12</v>
      </c>
      <c r="C8" s="7">
        <v>21</v>
      </c>
      <c r="D8" s="25">
        <v>1150</v>
      </c>
    </row>
    <row r="9" spans="2:8" x14ac:dyDescent="0.25">
      <c r="B9" s="1" t="s">
        <v>7</v>
      </c>
      <c r="C9" s="6">
        <v>28927</v>
      </c>
      <c r="D9" s="25">
        <v>298089.23000000004</v>
      </c>
      <c r="F9" s="7"/>
    </row>
    <row r="10" spans="2:8" x14ac:dyDescent="0.25">
      <c r="B10" s="3" t="s">
        <v>8</v>
      </c>
      <c r="C10" s="8">
        <f>SUM(C5:C9)</f>
        <v>51451</v>
      </c>
      <c r="D10" s="4">
        <f>SUM(D5:D9)</f>
        <v>970349.72</v>
      </c>
      <c r="E10" s="11" t="s">
        <v>14</v>
      </c>
    </row>
    <row r="12" spans="2:8" x14ac:dyDescent="0.25">
      <c r="B12" s="28" t="s">
        <v>34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2351</v>
      </c>
      <c r="D14" s="25">
        <v>157974.63</v>
      </c>
    </row>
    <row r="15" spans="2:8" x14ac:dyDescent="0.25">
      <c r="B15" s="1" t="s">
        <v>5</v>
      </c>
      <c r="C15" s="6">
        <v>1402</v>
      </c>
      <c r="D15" s="25">
        <v>23129.570000000003</v>
      </c>
    </row>
    <row r="16" spans="2:8" x14ac:dyDescent="0.25">
      <c r="B16" s="1" t="s">
        <v>6</v>
      </c>
      <c r="C16" s="6">
        <v>3411</v>
      </c>
      <c r="D16" s="25">
        <v>19463.63</v>
      </c>
    </row>
    <row r="17" spans="2:11" x14ac:dyDescent="0.25">
      <c r="B17" s="5" t="s">
        <v>12</v>
      </c>
      <c r="C17" s="7">
        <v>2</v>
      </c>
      <c r="D17" s="27">
        <v>0</v>
      </c>
    </row>
    <row r="18" spans="2:11" x14ac:dyDescent="0.25">
      <c r="B18" s="1" t="s">
        <v>7</v>
      </c>
      <c r="C18" s="6">
        <v>21182</v>
      </c>
      <c r="D18" s="25">
        <v>97612.010000000009</v>
      </c>
    </row>
    <row r="19" spans="2:11" x14ac:dyDescent="0.25">
      <c r="B19" s="3" t="s">
        <v>8</v>
      </c>
      <c r="C19" s="8">
        <f>SUM(C14:C18)</f>
        <v>28348</v>
      </c>
      <c r="D19" s="4">
        <f>SUM(D14:D18)</f>
        <v>298179.84000000003</v>
      </c>
    </row>
    <row r="21" spans="2:11" x14ac:dyDescent="0.25">
      <c r="B21" s="29" t="s">
        <v>10</v>
      </c>
      <c r="C21" s="29"/>
      <c r="D21" s="29"/>
    </row>
    <row r="22" spans="2:11" x14ac:dyDescent="0.25">
      <c r="B22" s="4" t="s">
        <v>1</v>
      </c>
      <c r="C22" s="4" t="s">
        <v>2</v>
      </c>
      <c r="D22" s="4" t="s">
        <v>3</v>
      </c>
    </row>
    <row r="23" spans="2:11" x14ac:dyDescent="0.25">
      <c r="B23" s="9" t="s">
        <v>4</v>
      </c>
      <c r="C23" s="6">
        <v>1506</v>
      </c>
      <c r="D23" s="25">
        <v>96224.320000000007</v>
      </c>
    </row>
    <row r="24" spans="2:11" x14ac:dyDescent="0.25">
      <c r="B24" s="9" t="s">
        <v>5</v>
      </c>
      <c r="C24" s="6">
        <v>1407</v>
      </c>
      <c r="D24" s="25">
        <v>79140.750000000015</v>
      </c>
    </row>
    <row r="25" spans="2:11" x14ac:dyDescent="0.25">
      <c r="B25" s="9" t="s">
        <v>6</v>
      </c>
      <c r="C25" s="6">
        <v>824</v>
      </c>
      <c r="D25" s="25">
        <v>13647</v>
      </c>
    </row>
    <row r="26" spans="2:11" x14ac:dyDescent="0.25">
      <c r="B26" s="9" t="s">
        <v>7</v>
      </c>
      <c r="C26" s="6">
        <v>8495</v>
      </c>
      <c r="D26" s="25">
        <v>25573</v>
      </c>
    </row>
    <row r="27" spans="2:11" x14ac:dyDescent="0.25">
      <c r="B27" s="10" t="s">
        <v>8</v>
      </c>
      <c r="C27" s="8">
        <f>SUM(C23:C26)</f>
        <v>12232</v>
      </c>
      <c r="D27" s="4">
        <f>SUM(D23:D26)</f>
        <v>214585.07</v>
      </c>
      <c r="K27" s="7"/>
    </row>
    <row r="29" spans="2:11" x14ac:dyDescent="0.25">
      <c r="B29" s="28" t="s">
        <v>9</v>
      </c>
      <c r="C29" s="28"/>
      <c r="D29" s="28"/>
    </row>
    <row r="30" spans="2:11" x14ac:dyDescent="0.25">
      <c r="B30" s="2" t="s">
        <v>1</v>
      </c>
      <c r="C30" s="2" t="s">
        <v>2</v>
      </c>
      <c r="D30" s="2" t="s">
        <v>3</v>
      </c>
    </row>
    <row r="31" spans="2:11" x14ac:dyDescent="0.25">
      <c r="B31" s="9" t="s">
        <v>4</v>
      </c>
      <c r="C31" s="6">
        <v>1270</v>
      </c>
      <c r="D31" s="25">
        <v>95995.900000000009</v>
      </c>
    </row>
    <row r="32" spans="2:11" x14ac:dyDescent="0.25">
      <c r="B32" s="9" t="s">
        <v>5</v>
      </c>
      <c r="C32" s="6">
        <v>1199</v>
      </c>
      <c r="D32" s="25">
        <v>77338</v>
      </c>
    </row>
    <row r="33" spans="2:4" x14ac:dyDescent="0.25">
      <c r="B33" s="9" t="s">
        <v>6</v>
      </c>
      <c r="C33" s="6">
        <v>2994</v>
      </c>
      <c r="D33" s="25">
        <v>21000</v>
      </c>
    </row>
    <row r="34" spans="2:4" x14ac:dyDescent="0.25">
      <c r="B34" s="9" t="s">
        <v>7</v>
      </c>
      <c r="C34" s="6">
        <v>1900</v>
      </c>
      <c r="D34" s="25">
        <v>18275</v>
      </c>
    </row>
    <row r="35" spans="2:4" x14ac:dyDescent="0.25">
      <c r="B35" s="10" t="s">
        <v>8</v>
      </c>
      <c r="C35" s="8">
        <f>SUM(C31:C34)</f>
        <v>7363</v>
      </c>
      <c r="D35" s="4">
        <f>SUM(D31:D34)</f>
        <v>212608.90000000002</v>
      </c>
    </row>
    <row r="37" spans="2:4" x14ac:dyDescent="0.25">
      <c r="B37" s="29" t="s">
        <v>11</v>
      </c>
      <c r="C37" s="29"/>
      <c r="D37" s="29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 s="6">
        <v>2798</v>
      </c>
      <c r="D39" s="25">
        <v>24426</v>
      </c>
    </row>
    <row r="40" spans="2:4" x14ac:dyDescent="0.25">
      <c r="B40" s="10" t="s">
        <v>8</v>
      </c>
      <c r="C40" s="8">
        <f>SUM(C39:C39)</f>
        <v>2798</v>
      </c>
      <c r="D40" s="4">
        <f>SUM(D39:D39)</f>
        <v>24426</v>
      </c>
    </row>
    <row r="42" spans="2:4" x14ac:dyDescent="0.25">
      <c r="B42" s="28" t="s">
        <v>35</v>
      </c>
      <c r="C42" s="28"/>
      <c r="D42" s="28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6">
        <v>0</v>
      </c>
      <c r="D44" s="26">
        <v>0</v>
      </c>
    </row>
    <row r="45" spans="2:4" x14ac:dyDescent="0.25">
      <c r="B45" s="1" t="s">
        <v>5</v>
      </c>
      <c r="C45" s="6">
        <v>108</v>
      </c>
      <c r="D45" s="26">
        <v>0</v>
      </c>
    </row>
    <row r="46" spans="2:4" x14ac:dyDescent="0.25">
      <c r="B46" s="1" t="s">
        <v>6</v>
      </c>
      <c r="C46" s="6">
        <v>134</v>
      </c>
      <c r="D46" s="26">
        <v>0</v>
      </c>
    </row>
    <row r="47" spans="2:4" x14ac:dyDescent="0.25">
      <c r="B47" s="1" t="s">
        <v>7</v>
      </c>
      <c r="C47" s="6">
        <v>1405</v>
      </c>
      <c r="D47" s="25">
        <v>6291</v>
      </c>
    </row>
    <row r="48" spans="2:4" x14ac:dyDescent="0.25">
      <c r="B48" s="3" t="s">
        <v>8</v>
      </c>
      <c r="C48" s="8">
        <f>SUM(C44:C47)</f>
        <v>1647</v>
      </c>
      <c r="D48" s="4">
        <f>SUM(D44:D47)</f>
        <v>6291</v>
      </c>
    </row>
    <row r="50" spans="2:4" x14ac:dyDescent="0.25">
      <c r="B50" s="29" t="s">
        <v>32</v>
      </c>
      <c r="C50" s="29"/>
      <c r="D50" s="29"/>
    </row>
    <row r="51" spans="2:4" x14ac:dyDescent="0.25">
      <c r="B51" s="4" t="s">
        <v>1</v>
      </c>
      <c r="C51" s="4" t="s">
        <v>2</v>
      </c>
      <c r="D51" s="4" t="s">
        <v>3</v>
      </c>
    </row>
    <row r="52" spans="2:4" x14ac:dyDescent="0.25">
      <c r="B52" s="9" t="s">
        <v>4</v>
      </c>
      <c r="C52" s="6">
        <v>68</v>
      </c>
      <c r="D52" s="25">
        <v>2000</v>
      </c>
    </row>
    <row r="53" spans="2:4" x14ac:dyDescent="0.25">
      <c r="B53" s="9" t="s">
        <v>5</v>
      </c>
      <c r="C53" s="6">
        <v>66</v>
      </c>
      <c r="D53" s="27">
        <v>0</v>
      </c>
    </row>
    <row r="54" spans="2:4" x14ac:dyDescent="0.25">
      <c r="B54" s="9" t="s">
        <v>6</v>
      </c>
      <c r="C54" s="6">
        <v>13</v>
      </c>
      <c r="D54" s="27">
        <v>0</v>
      </c>
    </row>
    <row r="55" spans="2:4" x14ac:dyDescent="0.25">
      <c r="B55" s="9" t="s">
        <v>7</v>
      </c>
      <c r="C55" s="6">
        <v>10</v>
      </c>
      <c r="D55" s="27">
        <v>0</v>
      </c>
    </row>
    <row r="56" spans="2:4" x14ac:dyDescent="0.25">
      <c r="B56" s="10" t="s">
        <v>8</v>
      </c>
      <c r="C56" s="8">
        <f>SUM(C52:C55)</f>
        <v>157</v>
      </c>
      <c r="D56" s="4">
        <f>SUM(D52:D55)</f>
        <v>2000</v>
      </c>
    </row>
    <row r="58" spans="2:4" x14ac:dyDescent="0.25">
      <c r="B58" s="12" t="s">
        <v>13</v>
      </c>
      <c r="C58" s="13">
        <f>SUM(C10+C27+C56+C35+C40+C19+C48)</f>
        <v>103996</v>
      </c>
      <c r="D58" s="13">
        <f>SUM(D10+D27+D56+D35+D40+D19+D48)</f>
        <v>1728440.53</v>
      </c>
    </row>
  </sheetData>
  <mergeCells count="7">
    <mergeCell ref="B12:D12"/>
    <mergeCell ref="B42:D42"/>
    <mergeCell ref="B3:D3"/>
    <mergeCell ref="B50:D50"/>
    <mergeCell ref="B21:D21"/>
    <mergeCell ref="B29:D29"/>
    <mergeCell ref="B37:D37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45" zoomScaleNormal="145" workbookViewId="0">
      <selection activeCell="J6" sqref="J6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" t="s">
        <v>4</v>
      </c>
      <c r="D6" s="23">
        <f>SUMIF('REPORTE DIARIO'!B:B,'EPR 2 ABR'!C6, 'REPORTE DIARIO'!C:C)</f>
        <v>13999</v>
      </c>
      <c r="E6" s="16">
        <f>SUMIF('REPORTE DIARIO'!B:B,'EPR 2 ABR'!C6, 'REPORTE DIARIO'!D:D)</f>
        <v>651647.09</v>
      </c>
      <c r="F6" s="16">
        <f>J6*D6</f>
        <v>1199914.2857142859</v>
      </c>
      <c r="G6" s="16">
        <f>+E6-F6</f>
        <v>-548267.19571428595</v>
      </c>
      <c r="H6" s="15">
        <f>ABS(G6/F6)</f>
        <v>0.45692196704526528</v>
      </c>
      <c r="I6" s="16">
        <f>E6/D6</f>
        <v>46.549545681834417</v>
      </c>
      <c r="J6" s="16">
        <f>(200/7)*3</f>
        <v>85.714285714285722</v>
      </c>
      <c r="K6" s="16">
        <f>+I6-J6</f>
        <v>-39.164740032451306</v>
      </c>
      <c r="L6" s="15"/>
    </row>
    <row r="7" spans="2:12" x14ac:dyDescent="0.25">
      <c r="B7" s="16" t="s">
        <v>30</v>
      </c>
      <c r="C7" s="1" t="s">
        <v>5</v>
      </c>
      <c r="D7" s="23">
        <f>SUMIF('REPORTE DIARIO'!B:B,'EPR 2 ABR'!C7, 'REPORTE DIARIO'!C:C)</f>
        <v>10842</v>
      </c>
      <c r="E7" s="16">
        <f>SUMIF('REPORTE DIARIO'!B:B,'EPR 2 ABR'!C7, 'REPORTE DIARIO'!D:D)</f>
        <v>449253.12</v>
      </c>
      <c r="F7" s="16">
        <f>J7*D7</f>
        <v>511122.8571428571</v>
      </c>
      <c r="G7" s="16">
        <f>+E7-F7</f>
        <v>-61869.737142857106</v>
      </c>
      <c r="H7" s="15">
        <f>ABS(G7/F7)</f>
        <v>0.12104670389562469</v>
      </c>
      <c r="I7" s="16">
        <f>E7/D7</f>
        <v>41.436369673491974</v>
      </c>
      <c r="J7" s="16">
        <f>(110/7)*3</f>
        <v>47.142857142857139</v>
      </c>
      <c r="K7" s="16">
        <f t="shared" ref="K7:K9" si="0">+I7-J7</f>
        <v>-5.7064874693651646</v>
      </c>
      <c r="L7" s="15"/>
    </row>
    <row r="8" spans="2:12" x14ac:dyDescent="0.25">
      <c r="B8" s="16" t="s">
        <v>30</v>
      </c>
      <c r="C8" s="1" t="s">
        <v>6</v>
      </c>
      <c r="D8" s="23">
        <f>SUMIF('REPORTE DIARIO'!B:B,'EPR 2 ABR'!C8, 'REPORTE DIARIO'!C:C)</f>
        <v>17213</v>
      </c>
      <c r="E8" s="16">
        <f>SUMIF('REPORTE DIARIO'!B:B,'EPR 2 ABR'!C8, 'REPORTE DIARIO'!D:D)</f>
        <v>180550.08</v>
      </c>
      <c r="F8" s="16">
        <f>J8*D8</f>
        <v>331965</v>
      </c>
      <c r="G8" s="16">
        <f>+E8-F8</f>
        <v>-151414.92000000001</v>
      </c>
      <c r="H8" s="15">
        <f>ABS(G8/F8)</f>
        <v>0.45611712078080524</v>
      </c>
      <c r="I8" s="16">
        <f>E8/D8</f>
        <v>10.489169813513042</v>
      </c>
      <c r="J8" s="16">
        <f>(45/7)*3</f>
        <v>19.285714285714285</v>
      </c>
      <c r="K8" s="16">
        <f t="shared" si="0"/>
        <v>-8.7965444722012425</v>
      </c>
      <c r="L8" s="15"/>
    </row>
    <row r="9" spans="2:12" x14ac:dyDescent="0.25">
      <c r="B9" s="16" t="s">
        <v>31</v>
      </c>
      <c r="C9" s="1" t="s">
        <v>7</v>
      </c>
      <c r="D9" s="23">
        <f>SUMIF('REPORTE DIARIO'!B:B,'EPR 2 ABR'!C9, 'REPORTE DIARIO'!C:C)</f>
        <v>61919</v>
      </c>
      <c r="E9" s="16">
        <f>SUMIF('REPORTE DIARIO'!B:B,'EPR 2 ABR'!C9, 'REPORTE DIARIO'!D:D)</f>
        <v>445840.24000000005</v>
      </c>
      <c r="F9" s="16">
        <f>J9*D9</f>
        <v>398050.71428571432</v>
      </c>
      <c r="G9" s="16">
        <f>+E9-F9</f>
        <v>47789.52571428573</v>
      </c>
      <c r="H9" s="15">
        <f>ABS(G9/F9)</f>
        <v>0.12005888696881771</v>
      </c>
      <c r="I9" s="16">
        <f>E9/D9</f>
        <v>7.2003785590852569</v>
      </c>
      <c r="J9" s="16">
        <f>(15/7)*3</f>
        <v>6.4285714285714288</v>
      </c>
      <c r="K9" s="16">
        <f t="shared" si="0"/>
        <v>0.7718071305138281</v>
      </c>
    </row>
    <row r="10" spans="2:12" x14ac:dyDescent="0.25">
      <c r="B10" s="16"/>
      <c r="C10" s="19" t="s">
        <v>17</v>
      </c>
      <c r="D10" s="24">
        <f>SUM(D6:D9)</f>
        <v>103973</v>
      </c>
      <c r="E10" s="20">
        <f>SUM(E6:E9)</f>
        <v>1727290.53</v>
      </c>
      <c r="F10" s="20">
        <f>SUM(F6:F9)</f>
        <v>2441052.8571428573</v>
      </c>
      <c r="G10" s="20">
        <f>+E10-F10</f>
        <v>-713762.32714285725</v>
      </c>
      <c r="H10" s="21">
        <f>ABS(G10/F10)</f>
        <v>0.29239937392354709</v>
      </c>
      <c r="I10" s="20">
        <f>E10/D10</f>
        <v>16.612875746588056</v>
      </c>
      <c r="J10" s="20">
        <f>F10/D10</f>
        <v>23.47775727489692</v>
      </c>
      <c r="K10" s="20">
        <f>I10-J10</f>
        <v>-6.8648815283088638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 ABR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2025-04-03T03:01:51Z</dcterms:modified>
</cp:coreProperties>
</file>