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2 ABRIL\NOCHE\"/>
    </mc:Choice>
  </mc:AlternateContent>
  <xr:revisionPtr revIDLastSave="0" documentId="13_ncr:1_{2A066E23-4496-46E0-8DA1-6AC441B3BD45}" xr6:coauthVersionLast="47" xr6:coauthVersionMax="47" xr10:uidLastSave="{00000000-0000-0000-0000-000000000000}"/>
  <bookViews>
    <workbookView xWindow="6045" yWindow="6045" windowWidth="10875" windowHeight="7575" activeTab="2" xr2:uid="{4DC6C92A-CD8A-4966-829B-0B6A986E825B}"/>
  </bookViews>
  <sheets>
    <sheet name="REPORTE DIARIO" sheetId="1" r:id="rId1"/>
    <sheet name="DATA" sheetId="4" r:id="rId2"/>
    <sheet name="EPR 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19" i="1" l="1"/>
  <c r="C19" i="1"/>
  <c r="J9" i="3"/>
  <c r="J8" i="3"/>
  <c r="J7" i="3"/>
  <c r="J6" i="3"/>
  <c r="D6" i="3"/>
  <c r="F6" i="3" s="1"/>
  <c r="D40" i="1"/>
  <c r="C40" i="1"/>
  <c r="D56" i="1"/>
  <c r="C56" i="1"/>
  <c r="D35" i="1"/>
  <c r="C35" i="1"/>
  <c r="D27" i="1"/>
  <c r="C27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<sst xmlns="http://schemas.openxmlformats.org/spreadsheetml/2006/main" count="87" uniqueCount="36">
  <si>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</si>
  <si>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</si>
  <si>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</si>
  <si>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</si>
  <si>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</si>
  <si>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</si>
  <si>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</si>
  <si>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</si>
  <si>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</si>
  <si>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</si>
  <si>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</si>
  <si>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</si>
  <si>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</si>
  <si>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</si>
  <si>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</si>
  <si>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</si>
  <si>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</si>
  <si>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</si>
  <si>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</si>
  <si>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</si>
  <si>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</si>
  <si>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</si>
  <si>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</si>
  <si>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</si>
  <si>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</si>
  <si>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</si>
  <si>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</si>
  <si>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</si>
  <si>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</si>
  <si>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</si>
  <si>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</si>
  <si>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</si>
  <si>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</si>
  <si>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</si>
  <si>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</si>
  <si>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02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</si>
</sst>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6006</v>
      </c>
      <c r="D5" s="25">
        <v>39781.129999999997</v>
      </c>
    </row>
    <row r="6" spans="2:8" x14ac:dyDescent="0.25">
      <c r="B6" s="1" t="s">
        <v>5</v>
      </c>
      <c r="C6" s="6">
        <v>6660</v>
      </c>
      <c r="D6" s="25">
        <v>17618.239999999998</v>
      </c>
    </row>
    <row r="7" spans="2:8" x14ac:dyDescent="0.25">
      <c r="B7" s="1" t="s">
        <v>6</v>
      </c>
      <c r="C7" s="6">
        <v>9837</v>
      </c>
      <c r="D7" s="25">
        <v>56607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28927</v>
      </c>
      <c r="D9" s="25">
        <v>48223.81</v>
      </c>
    </row>
    <row r="10" spans="2:8" x14ac:dyDescent="0.25">
      <c r="B10" s="3" t="s">
        <v>8</v>
      </c>
      <c r="C10" s="8">
        <f>SUM(C5:C9)</f>
        <v>51451</v>
      </c>
      <c r="D10" s="4">
        <f>SUM(D5:D9)</f>
        <v>162230.18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2351</v>
      </c>
      <c r="D14" s="25">
        <v>65056.06</v>
      </c>
    </row>
    <row r="15" spans="2:8" x14ac:dyDescent="0.25">
      <c r="B15" s="1" t="s">
        <v>5</v>
      </c>
      <c r="C15" s="6">
        <v>1402</v>
      </c>
      <c r="D15" s="25">
        <v>1012</v>
      </c>
    </row>
    <row r="16" spans="2:8" x14ac:dyDescent="0.25">
      <c r="B16" s="1" t="s">
        <v>6</v>
      </c>
      <c r="C16" s="6">
        <v>3411</v>
      </c>
      <c r="D16" s="25">
        <v>3009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21182</v>
      </c>
      <c r="D18" s="25">
        <v>17718</v>
      </c>
    </row>
    <row r="19" spans="2:11" x14ac:dyDescent="0.25">
      <c r="B19" s="3" t="s">
        <v>8</v>
      </c>
      <c r="C19" s="8">
        <f>SUM(C14:C18)</f>
        <v>28348</v>
      </c>
      <c r="D19" s="4">
        <f>SUM(D14:D18)</f>
        <v>86795.06</v>
      </c>
    </row>
    <row r="21" spans="2:11" x14ac:dyDescent="0.25">
      <c r="B21" s="27" t="s">
        <v>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9" t="s">
        <v>4</v>
      </c>
      <c r="C23" s="6">
        <v>1270</v>
      </c>
      <c r="D23" s="25">
        <v>7960.5</v>
      </c>
    </row>
    <row r="24" spans="2:11" x14ac:dyDescent="0.25">
      <c r="B24" s="9" t="s">
        <v>5</v>
      </c>
      <c r="C24" s="6">
        <v>1199</v>
      </c>
      <c r="D24" s="25">
        <v>49341</v>
      </c>
    </row>
    <row r="25" spans="2:11" x14ac:dyDescent="0.25">
      <c r="B25" s="9" t="s">
        <v>6</v>
      </c>
      <c r="C25" s="6">
        <v>2994</v>
      </c>
      <c r="D25" s="26">
        <v>0</v>
      </c>
    </row>
    <row r="26" spans="2:11" x14ac:dyDescent="0.25">
      <c r="B26" s="9" t="s">
        <v>7</v>
      </c>
      <c r="C26" s="6">
        <v>1900</v>
      </c>
      <c r="D26" s="25">
        <v>17109</v>
      </c>
      <c r="K26" s="7"/>
    </row>
    <row r="27" spans="2:11" x14ac:dyDescent="0.25">
      <c r="B27" s="10" t="s">
        <v>8</v>
      </c>
      <c r="C27" s="8">
        <f>SUM(C23:C26)</f>
        <v>7363</v>
      </c>
      <c r="D27" s="4">
        <f>SUM(D23:D26)</f>
        <v>74410.5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1506</v>
      </c>
      <c r="D31" s="25">
        <v>20639.93</v>
      </c>
    </row>
    <row r="32" spans="2:11" x14ac:dyDescent="0.25">
      <c r="B32" s="9" t="s">
        <v>5</v>
      </c>
      <c r="C32" s="6">
        <v>1407</v>
      </c>
      <c r="D32" s="25">
        <v>4189.16</v>
      </c>
    </row>
    <row r="33" spans="2:4" x14ac:dyDescent="0.25">
      <c r="B33" s="9" t="s">
        <v>6</v>
      </c>
      <c r="C33" s="6">
        <v>824</v>
      </c>
      <c r="D33" s="25">
        <v>8867</v>
      </c>
    </row>
    <row r="34" spans="2:4" x14ac:dyDescent="0.25">
      <c r="B34" s="9" t="s">
        <v>7</v>
      </c>
      <c r="C34" s="6">
        <v>8495</v>
      </c>
      <c r="D34" s="25">
        <v>3447</v>
      </c>
    </row>
    <row r="35" spans="2:4" x14ac:dyDescent="0.25">
      <c r="B35" s="10" t="s">
        <v>8</v>
      </c>
      <c r="C35" s="8">
        <f>SUM(C31:C34)</f>
        <v>12232</v>
      </c>
      <c r="D35" s="4">
        <f>SUM(D31:D34)</f>
        <v>37143.089999999997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2798</v>
      </c>
      <c r="D39" s="25">
        <v>2899</v>
      </c>
    </row>
    <row r="40" spans="2:4" x14ac:dyDescent="0.25">
      <c r="B40" s="10" t="s">
        <v>8</v>
      </c>
      <c r="C40" s="8">
        <f>SUM(C39:C39)</f>
        <v>2798</v>
      </c>
      <c r="D40" s="4">
        <f>SUM(D39:D39)</f>
        <v>2899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0</v>
      </c>
      <c r="D44" s="26">
        <v>0</v>
      </c>
    </row>
    <row r="45" spans="2:4" x14ac:dyDescent="0.25">
      <c r="B45" s="1" t="s">
        <v>5</v>
      </c>
      <c r="C45" s="6">
        <v>108</v>
      </c>
      <c r="D45" s="26">
        <v>0</v>
      </c>
    </row>
    <row r="46" spans="2:4" x14ac:dyDescent="0.25">
      <c r="B46" s="1" t="s">
        <v>6</v>
      </c>
      <c r="C46" s="6">
        <v>134</v>
      </c>
      <c r="D46" s="26">
        <v>0</v>
      </c>
    </row>
    <row r="47" spans="2:4" x14ac:dyDescent="0.25">
      <c r="B47" s="1" t="s">
        <v>7</v>
      </c>
      <c r="C47" s="6">
        <v>1405</v>
      </c>
      <c r="D47" s="26">
        <v>0</v>
      </c>
    </row>
    <row r="48" spans="2:4" x14ac:dyDescent="0.25">
      <c r="B48" s="3" t="s">
        <v>8</v>
      </c>
      <c r="C48" s="8">
        <f>SUM(C44:C47)</f>
        <v>1647</v>
      </c>
      <c r="D48" s="4">
        <f>SUM(D44:D47)</f>
        <v>0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6">
        <v>0</v>
      </c>
    </row>
    <row r="53" spans="2:4" x14ac:dyDescent="0.25">
      <c r="B53" s="9" t="s">
        <v>5</v>
      </c>
      <c r="C53" s="6">
        <v>66</v>
      </c>
      <c r="D53" s="26">
        <v>0</v>
      </c>
    </row>
    <row r="54" spans="2:4" x14ac:dyDescent="0.25">
      <c r="B54" s="9" t="s">
        <v>6</v>
      </c>
      <c r="C54" s="6">
        <v>13</v>
      </c>
      <c r="D54" s="26">
        <v>0</v>
      </c>
    </row>
    <row r="55" spans="2:4" x14ac:dyDescent="0.25">
      <c r="B55" s="9" t="s">
        <v>7</v>
      </c>
      <c r="C55" s="6">
        <v>10</v>
      </c>
      <c r="D55" s="26">
        <v>0</v>
      </c>
    </row>
    <row r="56" spans="2:4" x14ac:dyDescent="0.25">
      <c r="B56" s="10" t="s">
        <v>8</v>
      </c>
      <c r="C56" s="8">
        <f>SUM(C52:C55)</f>
        <v>157</v>
      </c>
      <c r="D56" s="4">
        <f>SUM(D52:D55)</f>
        <v>0</v>
      </c>
    </row>
    <row r="58" spans="2:4" x14ac:dyDescent="0.25">
      <c r="B58" s="11" t="s">
        <v>13</v>
      </c>
      <c r="C58" s="12">
        <f>SUM(C10+C27+C35+C56+C40+C19+C48)</f>
        <v>103996</v>
      </c>
      <c r="D58" s="12">
        <f>SUM(D10+D27+D35+D56+D40+D19+D48)</f>
        <v>363477.83</v>
      </c>
    </row>
  </sheetData>
  <mergeCells count="7">
    <mergeCell ref="B3:D3"/>
    <mergeCell ref="B21:D21"/>
    <mergeCell ref="B50:D50"/>
    <mergeCell ref="B37:D37"/>
    <mergeCell ref="B42:D42"/>
    <mergeCell ref="B12:D12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 ABR'!C6, 'REPORTE DIARIO'!C:C)</f>
        <v>13999</v>
      </c>
      <c r="E6" s="15">
        <f>SUMIF('REPORTE DIARIO'!B:B,'EPR 2 ABR'!C6, 'REPORTE DIARIO'!D:D)</f>
        <v>136336.62</v>
      </c>
      <c r="F6" s="15">
        <f>J6*D6</f>
        <v>399971.42857142858</v>
      </c>
      <c r="G6" s="15">
        <f>+E6-F6</f>
        <v>-263634.80857142858</v>
      </c>
      <c r="H6" s="14">
        <f>ABS(G6/F6)</f>
        <v>0.65913410243588832</v>
      </c>
      <c r="I6" s="15">
        <f>E6/D6</f>
        <v>9.7390256446889065</v>
      </c>
      <c r="J6" s="15">
        <f>200/7</f>
        <v>28.571428571428573</v>
      </c>
      <c r="K6" s="15">
        <f>+I6-J6</f>
        <v>-18.832402926739668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 ABR'!C7, 'REPORTE DIARIO'!C:C)</f>
        <v>10842</v>
      </c>
      <c r="E7" s="15">
        <f>SUMIF('REPORTE DIARIO'!B:B,'EPR 2 ABR'!C7, 'REPORTE DIARIO'!D:D)</f>
        <v>72160.399999999994</v>
      </c>
      <c r="F7" s="15">
        <f>J7*D7</f>
        <v>170374.28571428571</v>
      </c>
      <c r="G7" s="15">
        <f>+E7-F7</f>
        <v>-98213.885714285716</v>
      </c>
      <c r="H7" s="14">
        <f>ABS(G7/F7)</f>
        <v>0.57645955962502726</v>
      </c>
      <c r="I7" s="15">
        <f>E7/D7</f>
        <v>6.6556354916067137</v>
      </c>
      <c r="J7" s="15">
        <f>110/7</f>
        <v>15.714285714285714</v>
      </c>
      <c r="K7" s="15">
        <f t="shared" ref="K7:K9" si="0">+I7-J7</f>
        <v>-9.0586502226789989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 ABR'!C8, 'REPORTE DIARIO'!C:C)</f>
        <v>17213</v>
      </c>
      <c r="E8" s="15">
        <f>SUMIF('REPORTE DIARIO'!B:B,'EPR 2 ABR'!C8, 'REPORTE DIARIO'!D:D)</f>
        <v>68483</v>
      </c>
      <c r="F8" s="15">
        <f>J8*D8</f>
        <v>110655</v>
      </c>
      <c r="G8" s="15">
        <f>+E8-F8</f>
        <v>-42172</v>
      </c>
      <c r="H8" s="14">
        <f>ABS(G8/F8)</f>
        <v>0.38111246667570375</v>
      </c>
      <c r="I8" s="15">
        <f>E8/D8</f>
        <v>3.9785627142276185</v>
      </c>
      <c r="J8" s="15">
        <f>45/7</f>
        <v>6.4285714285714288</v>
      </c>
      <c r="K8" s="15">
        <f t="shared" si="0"/>
        <v>-2.4500087143438103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 ABR'!C9, 'REPORTE DIARIO'!C:C)</f>
        <v>61919</v>
      </c>
      <c r="E9" s="15">
        <f>SUMIF('REPORTE DIARIO'!B:B,'EPR 2 ABR'!C9, 'REPORTE DIARIO'!D:D)</f>
        <v>86497.81</v>
      </c>
      <c r="F9" s="15">
        <f>J9*D9</f>
        <v>132683.57142857142</v>
      </c>
      <c r="G9" s="15">
        <f>+E9-F9</f>
        <v>-46185.761428571423</v>
      </c>
      <c r="H9" s="14">
        <f>ABS(G9/F9)</f>
        <v>0.34808952556296663</v>
      </c>
      <c r="I9" s="15">
        <f>E9/D9</f>
        <v>1.3969510166507857</v>
      </c>
      <c r="J9" s="15">
        <f>15/7</f>
        <v>2.1428571428571428</v>
      </c>
      <c r="K9" s="15">
        <f t="shared" si="0"/>
        <v>-0.7459061262063571</v>
      </c>
    </row>
    <row r="10" spans="2:12" x14ac:dyDescent="0.25">
      <c r="B10" s="15"/>
      <c r="C10" s="18" t="s">
        <v>16</v>
      </c>
      <c r="D10" s="23">
        <f>SUM(D6:D9)</f>
        <v>103973</v>
      </c>
      <c r="E10" s="19">
        <f>SUM(E6:E9)</f>
        <v>363477.83</v>
      </c>
      <c r="F10" s="19">
        <f>SUM(F6:F9)</f>
        <v>813684.28571428568</v>
      </c>
      <c r="G10" s="19">
        <f>+E10-F10</f>
        <v>-450206.45571428566</v>
      </c>
      <c r="H10" s="20">
        <f>ABS(G10/F10)</f>
        <v>0.55329378189856016</v>
      </c>
      <c r="I10" s="19">
        <f>E10/D10</f>
        <v>3.495886720590923</v>
      </c>
      <c r="J10" s="19">
        <f>F10/D10</f>
        <v>7.8259190916323051</v>
      </c>
      <c r="K10" s="19">
        <f>I10-J10</f>
        <v>-4.3300323710413817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2025-04-03T02:56:57Z</dcterms:modified>
</cp:coreProperties>
</file>