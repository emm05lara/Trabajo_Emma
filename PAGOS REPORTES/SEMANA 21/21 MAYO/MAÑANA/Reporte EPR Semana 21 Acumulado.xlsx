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1 MAYO\MAÑANA\"/>
    </mc:Choice>
  </mc:AlternateContent>
  <xr:revisionPtr revIDLastSave="0" documentId="13_ncr:1_{CB76A841-5DD5-4FC6-8B24-07BADE49485E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36" i="1" l="1"/>
  <c r="D36" i="1"/>
  <c r="D19" i="1"/>
  <c r="C19" i="1"/>
  <c r="D6" i="3"/>
  <c r="D57" i="1"/>
  <c r="C57" i="1"/>
  <c r="D44" i="1"/>
  <c r="C44" i="1"/>
  <c r="D49" i="1" l="1"/>
  <c r="C49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<sst xmlns="http://schemas.openxmlformats.org/spreadsheetml/2006/main" count="89" uniqueCount="37">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</sst>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" zoomScaleNormal="100" workbookViewId="0">
      <selection activeCell="B21" sqref="B21:D2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4151</v>
      </c>
      <c r="D5" s="25">
        <v>136891.9</v>
      </c>
    </row>
    <row r="6" spans="2:8" x14ac:dyDescent="0.25">
      <c r="B6" s="1" t="s">
        <v>5</v>
      </c>
      <c r="C6" s="6">
        <v>4374</v>
      </c>
      <c r="D6" s="25">
        <v>161310.85</v>
      </c>
    </row>
    <row r="7" spans="2:8" x14ac:dyDescent="0.25">
      <c r="B7" s="1" t="s">
        <v>6</v>
      </c>
      <c r="C7" s="6">
        <v>4307</v>
      </c>
      <c r="D7" s="25">
        <v>55859</v>
      </c>
    </row>
    <row r="8" spans="2:8" x14ac:dyDescent="0.25">
      <c r="B8" s="5" t="s">
        <v>12</v>
      </c>
      <c r="C8" s="7">
        <v>12</v>
      </c>
      <c r="D8" s="27">
        <v>0</v>
      </c>
    </row>
    <row r="9" spans="2:8" x14ac:dyDescent="0.25">
      <c r="B9" s="1" t="s">
        <v>7</v>
      </c>
      <c r="C9" s="6">
        <v>11375</v>
      </c>
      <c r="D9" s="25">
        <v>140331</v>
      </c>
      <c r="E9" s="14"/>
      <c r="F9" s="7"/>
    </row>
    <row r="10" spans="2:8" x14ac:dyDescent="0.25">
      <c r="B10" s="3" t="s">
        <v>8</v>
      </c>
      <c r="C10" s="8">
        <f>SUM(C5:C9)</f>
        <v>24219</v>
      </c>
      <c r="D10" s="4">
        <f>SUM(D5:D9)</f>
        <v>494392.75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3308</v>
      </c>
      <c r="D14" s="25">
        <v>120699.06</v>
      </c>
    </row>
    <row r="15" spans="2:8" x14ac:dyDescent="0.25">
      <c r="B15" s="9" t="s">
        <v>5</v>
      </c>
      <c r="C15" s="6">
        <v>1486</v>
      </c>
      <c r="D15" s="25">
        <v>25086</v>
      </c>
    </row>
    <row r="16" spans="2:8" x14ac:dyDescent="0.25">
      <c r="B16" s="9" t="s">
        <v>6</v>
      </c>
      <c r="C16" s="6">
        <v>2158</v>
      </c>
      <c r="D16" s="25">
        <v>25401.68</v>
      </c>
    </row>
    <row r="17" spans="2:4" x14ac:dyDescent="0.25">
      <c r="B17" s="5" t="s">
        <v>12</v>
      </c>
      <c r="C17" s="7">
        <v>1</v>
      </c>
      <c r="D17" s="27">
        <v>0</v>
      </c>
    </row>
    <row r="18" spans="2:4" x14ac:dyDescent="0.25">
      <c r="B18" s="9" t="s">
        <v>7</v>
      </c>
      <c r="C18" s="6">
        <v>17193</v>
      </c>
      <c r="D18" s="25">
        <v>22094</v>
      </c>
    </row>
    <row r="19" spans="2:4" x14ac:dyDescent="0.25">
      <c r="B19" s="10" t="s">
        <v>8</v>
      </c>
      <c r="C19" s="8">
        <f>SUM(C14:C18)</f>
        <v>24146</v>
      </c>
      <c r="D19" s="4">
        <f>SUM(D14:D18)</f>
        <v>193280.74</v>
      </c>
    </row>
    <row r="21" spans="2:4" x14ac:dyDescent="0.25">
      <c r="B21" s="29" t="s">
        <v>9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227</v>
      </c>
      <c r="D23" s="25">
        <v>31686.09</v>
      </c>
    </row>
    <row r="24" spans="2:4" x14ac:dyDescent="0.25">
      <c r="B24" s="9" t="s">
        <v>5</v>
      </c>
      <c r="C24" s="6">
        <v>3222</v>
      </c>
      <c r="D24" s="25">
        <v>97119.05</v>
      </c>
    </row>
    <row r="25" spans="2:4" x14ac:dyDescent="0.25">
      <c r="B25" s="9" t="s">
        <v>6</v>
      </c>
      <c r="C25" s="6">
        <v>626</v>
      </c>
      <c r="D25" s="25">
        <v>42892</v>
      </c>
    </row>
    <row r="26" spans="2:4" x14ac:dyDescent="0.25">
      <c r="B26" s="9" t="s">
        <v>7</v>
      </c>
      <c r="C26" s="6">
        <v>3969</v>
      </c>
      <c r="D26" s="25">
        <v>3000</v>
      </c>
    </row>
    <row r="27" spans="2:4" x14ac:dyDescent="0.25">
      <c r="B27" s="10" t="s">
        <v>8</v>
      </c>
      <c r="C27" s="8">
        <f>SUM(C23:C26)</f>
        <v>8044</v>
      </c>
      <c r="D27" s="4">
        <f>SUM(D23:D26)</f>
        <v>174697.14</v>
      </c>
    </row>
    <row r="29" spans="2:4" x14ac:dyDescent="0.25">
      <c r="B29" s="29" t="s">
        <v>30</v>
      </c>
      <c r="C29" s="29"/>
      <c r="D29" s="29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2030</v>
      </c>
      <c r="D31" s="25">
        <v>51429.25</v>
      </c>
    </row>
    <row r="32" spans="2:4" x14ac:dyDescent="0.25">
      <c r="B32" s="1" t="s">
        <v>5</v>
      </c>
      <c r="C32" s="6">
        <v>2074</v>
      </c>
      <c r="D32" s="25">
        <v>36197.229999999996</v>
      </c>
    </row>
    <row r="33" spans="2:4" x14ac:dyDescent="0.25">
      <c r="B33" s="1" t="s">
        <v>6</v>
      </c>
      <c r="C33" s="6">
        <v>2164</v>
      </c>
      <c r="D33" s="25">
        <v>63479.34</v>
      </c>
    </row>
    <row r="34" spans="2:4" x14ac:dyDescent="0.25">
      <c r="B34" s="5" t="s">
        <v>12</v>
      </c>
      <c r="C34" s="7">
        <v>2</v>
      </c>
      <c r="D34" s="26">
        <v>0</v>
      </c>
    </row>
    <row r="35" spans="2:4" x14ac:dyDescent="0.25">
      <c r="B35" s="1" t="s">
        <v>7</v>
      </c>
      <c r="C35" s="6">
        <v>20791</v>
      </c>
      <c r="D35" s="25">
        <v>20837</v>
      </c>
    </row>
    <row r="36" spans="2:4" x14ac:dyDescent="0.25">
      <c r="B36" s="3" t="s">
        <v>8</v>
      </c>
      <c r="C36" s="8">
        <f>SUM(C31:C35)</f>
        <v>27061</v>
      </c>
      <c r="D36" s="4">
        <f>SUM(D31:D35)</f>
        <v>171942.82</v>
      </c>
    </row>
    <row r="38" spans="2:4" x14ac:dyDescent="0.25">
      <c r="B38" s="29" t="s">
        <v>31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509</v>
      </c>
      <c r="D40" s="25">
        <v>10919</v>
      </c>
    </row>
    <row r="41" spans="2:4" x14ac:dyDescent="0.25">
      <c r="B41" s="1" t="s">
        <v>5</v>
      </c>
      <c r="C41" s="6">
        <v>850</v>
      </c>
      <c r="D41" s="25">
        <v>7833</v>
      </c>
    </row>
    <row r="42" spans="2:4" x14ac:dyDescent="0.25">
      <c r="B42" s="1" t="s">
        <v>6</v>
      </c>
      <c r="C42" s="6">
        <v>775</v>
      </c>
      <c r="D42" s="25">
        <v>1052</v>
      </c>
    </row>
    <row r="43" spans="2:4" x14ac:dyDescent="0.25">
      <c r="B43" s="1" t="s">
        <v>7</v>
      </c>
      <c r="C43" s="6">
        <v>2414</v>
      </c>
      <c r="D43" s="25">
        <v>61684</v>
      </c>
    </row>
    <row r="44" spans="2:4" x14ac:dyDescent="0.25">
      <c r="B44" s="3" t="s">
        <v>8</v>
      </c>
      <c r="C44" s="8">
        <f>SUM(C40:C43)</f>
        <v>4548</v>
      </c>
      <c r="D44" s="4">
        <f>SUM(D40:D43)</f>
        <v>81488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2128</v>
      </c>
      <c r="D48" s="25">
        <v>41580</v>
      </c>
    </row>
    <row r="49" spans="2:4" x14ac:dyDescent="0.25">
      <c r="B49" s="10" t="s">
        <v>8</v>
      </c>
      <c r="C49" s="8">
        <f>SUM(C48:C48)</f>
        <v>2128</v>
      </c>
      <c r="D49" s="4">
        <f>SUM(D48:D48)</f>
        <v>41580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8980.26</v>
      </c>
    </row>
    <row r="54" spans="2:4" x14ac:dyDescent="0.25">
      <c r="B54" s="1" t="s">
        <v>5</v>
      </c>
      <c r="C54" s="6">
        <v>698</v>
      </c>
      <c r="D54" s="25">
        <v>2906</v>
      </c>
    </row>
    <row r="55" spans="2:4" x14ac:dyDescent="0.25">
      <c r="B55" s="1" t="s">
        <v>6</v>
      </c>
      <c r="C55" s="6">
        <v>1198</v>
      </c>
      <c r="D55" s="25">
        <v>3122</v>
      </c>
    </row>
    <row r="56" spans="2:4" x14ac:dyDescent="0.25">
      <c r="B56" s="1" t="s">
        <v>7</v>
      </c>
      <c r="C56" s="6">
        <v>1310</v>
      </c>
      <c r="D56" s="25">
        <v>2445</v>
      </c>
    </row>
    <row r="57" spans="2:4" x14ac:dyDescent="0.25">
      <c r="B57" s="3" t="s">
        <v>8</v>
      </c>
      <c r="C57" s="8">
        <f>SUM(C53:C56)</f>
        <v>3793</v>
      </c>
      <c r="D57" s="4">
        <f>SUM(D53:D56)</f>
        <v>17453.260000000002</v>
      </c>
    </row>
    <row r="59" spans="2:4" x14ac:dyDescent="0.25">
      <c r="B59" s="12" t="s">
        <v>13</v>
      </c>
      <c r="C59" s="13">
        <f>SUM(C10+C19+C27+C49+C36+C44+C57)</f>
        <v>93939</v>
      </c>
      <c r="D59" s="13">
        <f>SUM(D10+D19+D27+D49+D36+D44+D57)</f>
        <v>1174834.71</v>
      </c>
    </row>
  </sheetData>
  <mergeCells count="7">
    <mergeCell ref="B46:D46"/>
    <mergeCell ref="B51:D51"/>
    <mergeCell ref="B29:D29"/>
    <mergeCell ref="B38:D38"/>
    <mergeCell ref="B3:D3"/>
    <mergeCell ref="B12:D12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21 MAYO'!C6, 'REPORTE DIARIO'!C:C)</f>
        <v>12940</v>
      </c>
      <c r="E6" s="16">
        <f>SUMIF('REPORTE DIARIO'!B:B,'EPR 21 MAYO'!C6, 'REPORTE DIARIO'!D:D)</f>
        <v>402185.56</v>
      </c>
      <c r="F6" s="16">
        <f>J6*D6</f>
        <v>1220057.1428571427</v>
      </c>
      <c r="G6" s="16">
        <f>+E6-F6</f>
        <v>-817871.58285714267</v>
      </c>
      <c r="H6" s="15">
        <f>ABS(G6/F6)</f>
        <v>0.67035514495808146</v>
      </c>
      <c r="I6" s="16">
        <f>E6/D6</f>
        <v>31.080800618238023</v>
      </c>
      <c r="J6" s="16">
        <f>(220/7)*3</f>
        <v>94.285714285714278</v>
      </c>
      <c r="K6" s="16">
        <f>+I6-J6</f>
        <v>-63.204913667476255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21 MAYO'!C7, 'REPORTE DIARIO'!C:C)</f>
        <v>12704</v>
      </c>
      <c r="E7" s="16">
        <f>SUMIF('REPORTE DIARIO'!B:B,'EPR 21 MAYO'!C7, 'REPORTE DIARIO'!D:D)</f>
        <v>330452.13</v>
      </c>
      <c r="F7" s="16">
        <f>J7*D7</f>
        <v>598902.85714285704</v>
      </c>
      <c r="G7" s="16">
        <f>+E7-F7</f>
        <v>-268450.72714285704</v>
      </c>
      <c r="H7" s="15">
        <f>ABS(G7/F7)</f>
        <v>0.44823751288069602</v>
      </c>
      <c r="I7" s="16">
        <f>E7/D7</f>
        <v>26.011660107052897</v>
      </c>
      <c r="J7" s="16">
        <f>(110/7)*3</f>
        <v>47.142857142857139</v>
      </c>
      <c r="K7" s="16">
        <f t="shared" ref="K7:K9" si="0">+I7-J7</f>
        <v>-21.131197035804242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21 MAYO'!C8, 'REPORTE DIARIO'!C:C)</f>
        <v>11228</v>
      </c>
      <c r="E8" s="16">
        <f>SUMIF('REPORTE DIARIO'!B:B,'EPR 21 MAYO'!C8, 'REPORTE DIARIO'!D:D)</f>
        <v>191806.02</v>
      </c>
      <c r="F8" s="16">
        <f>J8*D8</f>
        <v>216540</v>
      </c>
      <c r="G8" s="16">
        <f>+E8-F8</f>
        <v>-24733.98000000001</v>
      </c>
      <c r="H8" s="15">
        <f>ABS(G8/F8)</f>
        <v>0.11422360764754784</v>
      </c>
      <c r="I8" s="16">
        <f>E8/D8</f>
        <v>17.082830423940148</v>
      </c>
      <c r="J8" s="16">
        <f>(45/7)*3</f>
        <v>19.285714285714285</v>
      </c>
      <c r="K8" s="16">
        <f t="shared" si="0"/>
        <v>-2.2028838617741364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21 MAYO'!C9, 'REPORTE DIARIO'!C:C)</f>
        <v>57052</v>
      </c>
      <c r="E9" s="16">
        <f>SUMIF('REPORTE DIARIO'!B:B,'EPR 21 MAYO'!C9, 'REPORTE DIARIO'!D:D)</f>
        <v>250391</v>
      </c>
      <c r="F9" s="16">
        <f>J9*D9</f>
        <v>366762.85714285716</v>
      </c>
      <c r="G9" s="16">
        <f>+E9-F9</f>
        <v>-116371.85714285716</v>
      </c>
      <c r="H9" s="15">
        <f>ABS(G9/F9)</f>
        <v>0.31729455389625061</v>
      </c>
      <c r="I9" s="16">
        <f>E9/D9</f>
        <v>4.3888207249526747</v>
      </c>
      <c r="J9" s="16">
        <f>(15/7)*3</f>
        <v>6.4285714285714288</v>
      </c>
      <c r="K9" s="16">
        <f t="shared" si="0"/>
        <v>-2.0397507036187541</v>
      </c>
    </row>
    <row r="10" spans="2:12" x14ac:dyDescent="0.25">
      <c r="B10" s="16"/>
      <c r="C10" s="19" t="s">
        <v>17</v>
      </c>
      <c r="D10" s="24">
        <f>SUM(D6:D9)</f>
        <v>93924</v>
      </c>
      <c r="E10" s="20">
        <f>SUM(E6:E9)</f>
        <v>1174834.71</v>
      </c>
      <c r="F10" s="20">
        <f>SUM(F6:F9)</f>
        <v>2402262.8571428568</v>
      </c>
      <c r="G10" s="20">
        <f>+E10-F10</f>
        <v>-1227428.1471428568</v>
      </c>
      <c r="H10" s="21">
        <f>ABS(G10/F10)</f>
        <v>0.51094664494904796</v>
      </c>
      <c r="I10" s="20">
        <f>E10/D10</f>
        <v>12.508354733614411</v>
      </c>
      <c r="J10" s="20">
        <f>F10/D10</f>
        <v>25.576666849185052</v>
      </c>
      <c r="K10" s="20">
        <f>I10-J10</f>
        <v>-13.068312115570642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2025-05-21T13:41:56Z</dcterms:modified>
</cp:coreProperties>
</file>