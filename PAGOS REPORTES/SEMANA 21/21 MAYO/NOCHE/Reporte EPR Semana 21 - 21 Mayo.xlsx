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1 MAYO\NOCHE\"/>
    </mc:Choice>
  </mc:AlternateContent>
  <xr:revisionPtr revIDLastSave="0" documentId="13_ncr:1_{C27FD39B-CD46-4726-A2AE-52310E831079}" xr6:coauthVersionLast="47" xr6:coauthVersionMax="47" xr10:uidLastSave="{00000000-0000-0000-0000-000000000000}"/>
  <bookViews>
    <workbookView xWindow="11220" yWindow="11220" windowWidth="10005" windowHeight="5445" activeTab="2" xr2:uid="{4DC6C92A-CD8A-4966-829B-0B6A986E825B}"/>
  </bookViews>
  <sheets>
    <sheet name="REPORTE DIARIO" sheetId="1" r:id="rId1"/>
    <sheet name="DATA" sheetId="4" r:id="rId2"/>
    <sheet name="EPR 21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  <c r="C36" i="1"/>
  <c r="J6" i="3"/>
  <c r="D44" i="1"/>
  <c r="D57" i="1"/>
  <c r="C57" i="1"/>
  <c r="C44" i="1"/>
  <c r="D27" i="1" l="1"/>
  <c r="C27" i="1"/>
  <c r="J9" i="3"/>
  <c r="J8" i="3"/>
  <c r="J7" i="3"/>
  <c r="D6" i="3"/>
  <c r="F6" i="3" s="1"/>
  <c r="D49" i="1"/>
  <c r="C49" i="1"/>
  <c r="D18" i="1"/>
  <c r="C18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<sst xmlns="http://schemas.openxmlformats.org/spreadsheetml/2006/main" count="88" uniqueCount="36">
  <si>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</si>
  <si>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</si>
  <si>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</si>
  <si>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</si>
  <si>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</si>
  <si>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</si>
  <si>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</si>
  <si>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</si>
  <si>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</si>
  <si>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</si>
  <si>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</si>
  <si>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</si>
  <si>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</si>
  <si>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</si>
  <si>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</si>
  <si>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</si>
  <si>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</si>
  <si>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</si>
  <si>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</si>
  <si>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</si>
  <si>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</si>
  <si>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</si>
  <si>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</si>
  <si>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</si>
  <si>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</si>
  <si>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</si>
  <si>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</si>
  <si>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</si>
  <si>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</si>
  <si>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</si>
  <si>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</si>
  <si>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</si>
  <si>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</si>
  <si>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</si>
  <si>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</si>
  <si>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21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</si>
</sst>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opLeftCell="A31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4149</v>
      </c>
      <c r="D5" s="25">
        <v>75997.040000000008</v>
      </c>
    </row>
    <row r="6" spans="2:8" x14ac:dyDescent="0.25">
      <c r="B6" s="1" t="s">
        <v>5</v>
      </c>
      <c r="C6" s="6">
        <v>4366</v>
      </c>
      <c r="D6" s="25">
        <v>20813</v>
      </c>
    </row>
    <row r="7" spans="2:8" x14ac:dyDescent="0.25">
      <c r="B7" s="1" t="s">
        <v>6</v>
      </c>
      <c r="C7" s="6">
        <v>4267</v>
      </c>
      <c r="D7" s="25">
        <v>19160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11353</v>
      </c>
      <c r="D9" s="25">
        <v>30229</v>
      </c>
    </row>
    <row r="10" spans="2:8" x14ac:dyDescent="0.25">
      <c r="B10" s="3" t="s">
        <v>8</v>
      </c>
      <c r="C10" s="8">
        <f>SUM(C5:C9)</f>
        <v>24146</v>
      </c>
      <c r="D10" s="4">
        <f>SUM(D5:D9)</f>
        <v>146199.04000000001</v>
      </c>
    </row>
    <row r="12" spans="2:8" x14ac:dyDescent="0.25">
      <c r="B12" s="27" t="s">
        <v>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226</v>
      </c>
      <c r="D14" s="25">
        <v>4607.83</v>
      </c>
    </row>
    <row r="15" spans="2:8" x14ac:dyDescent="0.25">
      <c r="B15" s="9" t="s">
        <v>5</v>
      </c>
      <c r="C15" s="6">
        <v>3224</v>
      </c>
      <c r="D15" s="25">
        <v>98516.790000000008</v>
      </c>
    </row>
    <row r="16" spans="2:8" x14ac:dyDescent="0.25">
      <c r="B16" s="9" t="s">
        <v>6</v>
      </c>
      <c r="C16" s="6">
        <v>612</v>
      </c>
      <c r="D16" s="25">
        <v>280</v>
      </c>
    </row>
    <row r="17" spans="2:11" x14ac:dyDescent="0.25">
      <c r="B17" s="9" t="s">
        <v>7</v>
      </c>
      <c r="C17" s="6">
        <v>3969</v>
      </c>
      <c r="D17" s="26">
        <v>0</v>
      </c>
    </row>
    <row r="18" spans="2:11" x14ac:dyDescent="0.25">
      <c r="B18" s="10" t="s">
        <v>8</v>
      </c>
      <c r="C18" s="8">
        <f>SUM(C14:C17)</f>
        <v>8031</v>
      </c>
      <c r="D18" s="4">
        <f>SUM(D14:D17)</f>
        <v>103404.62000000001</v>
      </c>
    </row>
    <row r="20" spans="2:11" x14ac:dyDescent="0.25">
      <c r="B20" s="27" t="s">
        <v>29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2062</v>
      </c>
      <c r="D22" s="25">
        <v>53115</v>
      </c>
    </row>
    <row r="23" spans="2:11" x14ac:dyDescent="0.25">
      <c r="B23" s="1" t="s">
        <v>5</v>
      </c>
      <c r="C23" s="6">
        <v>2074</v>
      </c>
      <c r="D23" s="25">
        <v>11187.23</v>
      </c>
    </row>
    <row r="24" spans="2:11" x14ac:dyDescent="0.25">
      <c r="B24" s="1" t="s">
        <v>6</v>
      </c>
      <c r="C24" s="6">
        <v>2105</v>
      </c>
      <c r="D24" s="25">
        <v>4459</v>
      </c>
    </row>
    <row r="25" spans="2:11" x14ac:dyDescent="0.25">
      <c r="B25" s="5" t="s">
        <v>12</v>
      </c>
      <c r="C25" s="7">
        <v>2</v>
      </c>
      <c r="D25" s="24">
        <v>0</v>
      </c>
    </row>
    <row r="26" spans="2:11" x14ac:dyDescent="0.25">
      <c r="B26" s="1" t="s">
        <v>7</v>
      </c>
      <c r="C26" s="6">
        <v>20846</v>
      </c>
      <c r="D26" s="25">
        <v>12506</v>
      </c>
      <c r="K26" s="7"/>
    </row>
    <row r="27" spans="2:11" x14ac:dyDescent="0.25">
      <c r="B27" s="3" t="s">
        <v>8</v>
      </c>
      <c r="C27" s="8">
        <f>SUM(C22:C26)</f>
        <v>27089</v>
      </c>
      <c r="D27" s="4">
        <f>SUM(D22:D26)</f>
        <v>81267.23</v>
      </c>
    </row>
    <row r="29" spans="2:11" x14ac:dyDescent="0.25">
      <c r="B29" s="28" t="s">
        <v>10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3321</v>
      </c>
      <c r="D31" s="25">
        <v>20619.010000000002</v>
      </c>
    </row>
    <row r="32" spans="2:11" x14ac:dyDescent="0.25">
      <c r="B32" s="9" t="s">
        <v>5</v>
      </c>
      <c r="C32" s="6">
        <v>1485</v>
      </c>
      <c r="D32" s="25">
        <v>1842</v>
      </c>
    </row>
    <row r="33" spans="2:4" x14ac:dyDescent="0.25">
      <c r="B33" s="9" t="s">
        <v>6</v>
      </c>
      <c r="C33" s="6">
        <v>2158</v>
      </c>
      <c r="D33" s="25">
        <v>2004</v>
      </c>
    </row>
    <row r="34" spans="2:4" x14ac:dyDescent="0.25">
      <c r="B34" s="5" t="s">
        <v>12</v>
      </c>
      <c r="C34" s="7">
        <v>1</v>
      </c>
      <c r="D34" s="26">
        <v>0</v>
      </c>
    </row>
    <row r="35" spans="2:4" x14ac:dyDescent="0.25">
      <c r="B35" s="9" t="s">
        <v>7</v>
      </c>
      <c r="C35" s="6">
        <v>17193</v>
      </c>
      <c r="D35" s="25">
        <v>3865.2</v>
      </c>
    </row>
    <row r="36" spans="2:4" x14ac:dyDescent="0.25">
      <c r="B36" s="10" t="s">
        <v>8</v>
      </c>
      <c r="C36" s="8">
        <f>SUM(C31:C35)</f>
        <v>24158</v>
      </c>
      <c r="D36" s="4">
        <f>SUM(D31:D35)</f>
        <v>28330.210000000003</v>
      </c>
    </row>
    <row r="38" spans="2:4" x14ac:dyDescent="0.25">
      <c r="B38" s="27" t="s">
        <v>30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515</v>
      </c>
      <c r="D40" s="25">
        <v>2051</v>
      </c>
    </row>
    <row r="41" spans="2:4" x14ac:dyDescent="0.25">
      <c r="B41" s="1" t="s">
        <v>5</v>
      </c>
      <c r="C41" s="6">
        <v>850</v>
      </c>
      <c r="D41" s="25">
        <v>1000</v>
      </c>
    </row>
    <row r="42" spans="2:4" x14ac:dyDescent="0.25">
      <c r="B42" s="1" t="s">
        <v>6</v>
      </c>
      <c r="C42" s="6">
        <v>775</v>
      </c>
      <c r="D42" s="26">
        <v>0</v>
      </c>
    </row>
    <row r="43" spans="2:4" x14ac:dyDescent="0.25">
      <c r="B43" s="1" t="s">
        <v>7</v>
      </c>
      <c r="C43" s="6">
        <v>2427</v>
      </c>
      <c r="D43" s="25">
        <v>1260</v>
      </c>
    </row>
    <row r="44" spans="2:4" x14ac:dyDescent="0.25">
      <c r="B44" s="3" t="s">
        <v>8</v>
      </c>
      <c r="C44" s="8">
        <f>SUM(C40:C43)</f>
        <v>4567</v>
      </c>
      <c r="D44" s="4">
        <f>SUM(D40:D43)</f>
        <v>4311</v>
      </c>
    </row>
    <row r="46" spans="2:4" x14ac:dyDescent="0.25">
      <c r="B46" s="28" t="s">
        <v>11</v>
      </c>
      <c r="C46" s="28"/>
      <c r="D46" s="28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2104</v>
      </c>
      <c r="D48" s="25">
        <v>4069</v>
      </c>
    </row>
    <row r="49" spans="2:4" x14ac:dyDescent="0.25">
      <c r="B49" s="10" t="s">
        <v>8</v>
      </c>
      <c r="C49" s="8">
        <f>SUM(C48:C48)</f>
        <v>2104</v>
      </c>
      <c r="D49" s="4">
        <f>SUM(D48:D48)</f>
        <v>4069</v>
      </c>
    </row>
    <row r="51" spans="2:4" x14ac:dyDescent="0.25">
      <c r="B51" s="27" t="s">
        <v>31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604</v>
      </c>
      <c r="D53" s="26">
        <v>0</v>
      </c>
    </row>
    <row r="54" spans="2:4" x14ac:dyDescent="0.25">
      <c r="B54" s="1" t="s">
        <v>5</v>
      </c>
      <c r="C54" s="6">
        <v>700</v>
      </c>
      <c r="D54" s="26">
        <v>0</v>
      </c>
    </row>
    <row r="55" spans="2:4" x14ac:dyDescent="0.25">
      <c r="B55" s="1" t="s">
        <v>6</v>
      </c>
      <c r="C55" s="6">
        <v>1203</v>
      </c>
      <c r="D55" s="25">
        <v>589</v>
      </c>
    </row>
    <row r="56" spans="2:4" x14ac:dyDescent="0.25">
      <c r="B56" s="1" t="s">
        <v>7</v>
      </c>
      <c r="C56" s="6">
        <v>1349</v>
      </c>
      <c r="D56" s="26">
        <v>0</v>
      </c>
    </row>
    <row r="57" spans="2:4" x14ac:dyDescent="0.25">
      <c r="B57" s="3" t="s">
        <v>8</v>
      </c>
      <c r="C57" s="8">
        <f>SUM(C53:C56)</f>
        <v>3856</v>
      </c>
      <c r="D57" s="4">
        <f>SUM(D53:D56)</f>
        <v>589</v>
      </c>
    </row>
    <row r="59" spans="2:4" x14ac:dyDescent="0.25">
      <c r="B59" s="11" t="s">
        <v>13</v>
      </c>
      <c r="C59" s="12">
        <f>SUM(C10+C18+C36+C49+C27+C44+C57)</f>
        <v>93951</v>
      </c>
      <c r="D59" s="12">
        <f>SUM(D10+D18+D36+D49+D27+D44+D57)</f>
        <v>368170.10000000003</v>
      </c>
    </row>
  </sheetData>
  <mergeCells count="7">
    <mergeCell ref="B51:D51"/>
    <mergeCell ref="B3:D3"/>
    <mergeCell ref="B12:D12"/>
    <mergeCell ref="B46:D46"/>
    <mergeCell ref="B38:D38"/>
    <mergeCell ref="B20:D20"/>
    <mergeCell ref="B29:D29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21 MAYO'!C6, 'REPORTE DIARIO'!C:C)</f>
        <v>12981</v>
      </c>
      <c r="E6" s="15">
        <f>SUMIF('REPORTE DIARIO'!B:B,'EPR 21 MAYO'!C6, 'REPORTE DIARIO'!D:D)</f>
        <v>160458.88</v>
      </c>
      <c r="F6" s="15">
        <f>J6*D6</f>
        <v>407974.28571428568</v>
      </c>
      <c r="G6" s="15">
        <f>+E6-F6</f>
        <v>-247515.40571428568</v>
      </c>
      <c r="H6" s="14">
        <f>ABS(G6/F6)</f>
        <v>0.60669364315678154</v>
      </c>
      <c r="I6" s="15">
        <f>E6/D6</f>
        <v>12.361056929358293</v>
      </c>
      <c r="J6" s="15">
        <f>220/7</f>
        <v>31.428571428571427</v>
      </c>
      <c r="K6" s="15">
        <f>+I6-J6</f>
        <v>-19.067514499213132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21 MAYO'!C7, 'REPORTE DIARIO'!C:C)</f>
        <v>12699</v>
      </c>
      <c r="E7" s="15">
        <f>SUMIF('REPORTE DIARIO'!B:B,'EPR 21 MAYO'!C7, 'REPORTE DIARIO'!D:D)</f>
        <v>133359.02000000002</v>
      </c>
      <c r="F7" s="15">
        <f>J7*D7</f>
        <v>199555.71428571429</v>
      </c>
      <c r="G7" s="15">
        <f>+E7-F7</f>
        <v>-66196.694285714271</v>
      </c>
      <c r="H7" s="14">
        <f>ABS(G7/F7)</f>
        <v>0.33172036452404979</v>
      </c>
      <c r="I7" s="15">
        <f>E7/D7</f>
        <v>10.50153712890779</v>
      </c>
      <c r="J7" s="15">
        <f>110/7</f>
        <v>15.714285714285714</v>
      </c>
      <c r="K7" s="15">
        <f t="shared" ref="K7:K9" si="0">+I7-J7</f>
        <v>-5.2127485853779234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21 MAYO'!C8, 'REPORTE DIARIO'!C:C)</f>
        <v>11120</v>
      </c>
      <c r="E8" s="15">
        <f>SUMIF('REPORTE DIARIO'!B:B,'EPR 21 MAYO'!C8, 'REPORTE DIARIO'!D:D)</f>
        <v>26492</v>
      </c>
      <c r="F8" s="15">
        <f>J8*D8</f>
        <v>71485.71428571429</v>
      </c>
      <c r="G8" s="15">
        <f>+E8-F8</f>
        <v>-44993.71428571429</v>
      </c>
      <c r="H8" s="14">
        <f>ABS(G8/F8)</f>
        <v>0.6294084732214229</v>
      </c>
      <c r="I8" s="15">
        <f>E8/D8</f>
        <v>2.3823741007194243</v>
      </c>
      <c r="J8" s="15">
        <f>45/7</f>
        <v>6.4285714285714288</v>
      </c>
      <c r="K8" s="15">
        <f t="shared" si="0"/>
        <v>-4.0461973278520045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21 MAYO'!C9, 'REPORTE DIARIO'!C:C)</f>
        <v>57137</v>
      </c>
      <c r="E9" s="15">
        <f>SUMIF('REPORTE DIARIO'!B:B,'EPR 21 MAYO'!C9, 'REPORTE DIARIO'!D:D)</f>
        <v>47860.2</v>
      </c>
      <c r="F9" s="15">
        <f>J9*D9</f>
        <v>122436.42857142857</v>
      </c>
      <c r="G9" s="15">
        <f>+E9-F9</f>
        <v>-74576.228571428568</v>
      </c>
      <c r="H9" s="14">
        <f>ABS(G9/F9)</f>
        <v>0.60910163291737407</v>
      </c>
      <c r="I9" s="15">
        <f>E9/D9</f>
        <v>0.83763935803419842</v>
      </c>
      <c r="J9" s="15">
        <f>15/7</f>
        <v>2.1428571428571428</v>
      </c>
      <c r="K9" s="15">
        <f t="shared" si="0"/>
        <v>-1.3052177848229443</v>
      </c>
    </row>
    <row r="10" spans="2:12" x14ac:dyDescent="0.25">
      <c r="B10" s="15"/>
      <c r="C10" s="18" t="s">
        <v>16</v>
      </c>
      <c r="D10" s="23">
        <f>SUM(D6:D9)</f>
        <v>93937</v>
      </c>
      <c r="E10" s="19">
        <f>SUM(E6:E9)</f>
        <v>368170.10000000003</v>
      </c>
      <c r="F10" s="19">
        <f>SUM(F6:F9)</f>
        <v>801452.14285714284</v>
      </c>
      <c r="G10" s="19">
        <f>+E10-F10</f>
        <v>-433282.04285714281</v>
      </c>
      <c r="H10" s="20">
        <f>ABS(G10/F10)</f>
        <v>0.54062122950038005</v>
      </c>
      <c r="I10" s="19">
        <f>E10/D10</f>
        <v>3.9193299764735943</v>
      </c>
      <c r="J10" s="19">
        <f>F10/D10</f>
        <v>8.5318047506003261</v>
      </c>
      <c r="K10" s="19">
        <f>I10-J10</f>
        <v>-4.6124747741267313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21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2025-05-22T01:31:06Z</dcterms:modified>
</cp:coreProperties>
</file>