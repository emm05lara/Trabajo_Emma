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21\23 MAYO\MAÑANA\"/>
    </mc:Choice>
  </mc:AlternateContent>
  <xr:revisionPtr revIDLastSave="0" documentId="13_ncr:1_{E75EF5A4-A899-40C7-9A81-5338C33C63C8}" xr6:coauthVersionLast="47" xr6:coauthVersionMax="47" xr10:uidLastSave="{00000000-0000-0000-0000-000000000000}"/>
  <bookViews>
    <workbookView xWindow="-108" yWindow="-108" windowWidth="23256" windowHeight="12456" activeTab="2" xr2:uid="{4DC6C92A-CD8A-4966-829B-0B6A986E825B}"/>
  </bookViews>
  <sheets>
    <sheet name="REPORTE DIARIO" sheetId="1" r:id="rId1"/>
    <sheet name="DATA" sheetId="4" r:id="rId2"/>
    <sheet name="EPR 23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36" i="1"/>
  <c r="C36" i="1"/>
  <c r="D6" i="3"/>
  <c r="D57" i="1"/>
  <c r="C57" i="1"/>
  <c r="D44" i="1"/>
  <c r="C44" i="1"/>
  <c r="D49" i="1" l="1"/>
  <c r="C49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<sst xmlns="http://schemas.openxmlformats.org/spreadsheetml/2006/main" count="89" uniqueCount="37">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</sst>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51" zoomScaleNormal="100" workbookViewId="0">
      <selection activeCell="B3" sqref="B3:D59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4069</v>
      </c>
      <c r="D5" s="25">
        <v>296214.73</v>
      </c>
    </row>
    <row r="6" spans="2:8" x14ac:dyDescent="0.3">
      <c r="B6" s="1" t="s">
        <v>5</v>
      </c>
      <c r="C6" s="6">
        <v>4243</v>
      </c>
      <c r="D6" s="25">
        <v>217324.7</v>
      </c>
    </row>
    <row r="7" spans="2:8" x14ac:dyDescent="0.3">
      <c r="B7" s="1" t="s">
        <v>6</v>
      </c>
      <c r="C7" s="6">
        <v>4271</v>
      </c>
      <c r="D7" s="25">
        <v>100932.45</v>
      </c>
    </row>
    <row r="8" spans="2:8" x14ac:dyDescent="0.3">
      <c r="B8" s="5" t="s">
        <v>12</v>
      </c>
      <c r="C8" s="7">
        <v>11</v>
      </c>
      <c r="D8" s="26">
        <v>0</v>
      </c>
    </row>
    <row r="9" spans="2:8" x14ac:dyDescent="0.3">
      <c r="B9" s="1" t="s">
        <v>7</v>
      </c>
      <c r="C9" s="6">
        <v>11352</v>
      </c>
      <c r="D9" s="25">
        <v>198032.07</v>
      </c>
      <c r="E9" s="14"/>
      <c r="F9" s="7"/>
    </row>
    <row r="10" spans="2:8" x14ac:dyDescent="0.3">
      <c r="B10" s="3" t="s">
        <v>8</v>
      </c>
      <c r="C10" s="8">
        <f>SUM(C5:C9)</f>
        <v>23946</v>
      </c>
      <c r="D10" s="4">
        <f>SUM(D5:D9)</f>
        <v>812503.95</v>
      </c>
      <c r="E10" s="11" t="s">
        <v>14</v>
      </c>
    </row>
    <row r="12" spans="2:8" x14ac:dyDescent="0.3">
      <c r="B12" s="28" t="s">
        <v>30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2322</v>
      </c>
      <c r="D14" s="25">
        <v>136976.32000000001</v>
      </c>
    </row>
    <row r="15" spans="2:8" x14ac:dyDescent="0.3">
      <c r="B15" s="1" t="s">
        <v>5</v>
      </c>
      <c r="C15" s="6">
        <v>2140</v>
      </c>
      <c r="D15" s="25">
        <v>77507.23</v>
      </c>
    </row>
    <row r="16" spans="2:8" x14ac:dyDescent="0.3">
      <c r="B16" s="1" t="s">
        <v>6</v>
      </c>
      <c r="C16" s="6">
        <v>2212</v>
      </c>
      <c r="D16" s="25">
        <v>79893.34</v>
      </c>
    </row>
    <row r="17" spans="2:4" x14ac:dyDescent="0.3">
      <c r="B17" s="5" t="s">
        <v>12</v>
      </c>
      <c r="C17" s="7">
        <v>2</v>
      </c>
      <c r="D17" s="11">
        <v>0</v>
      </c>
    </row>
    <row r="18" spans="2:4" x14ac:dyDescent="0.3">
      <c r="B18" s="1" t="s">
        <v>7</v>
      </c>
      <c r="C18" s="6">
        <v>20851</v>
      </c>
      <c r="D18" s="25">
        <v>58092.990000000005</v>
      </c>
    </row>
    <row r="19" spans="2:4" x14ac:dyDescent="0.3">
      <c r="B19" s="3" t="s">
        <v>8</v>
      </c>
      <c r="C19" s="8">
        <f>SUM(C14:C18)</f>
        <v>27527</v>
      </c>
      <c r="D19" s="4">
        <f>SUM(D14:D18)</f>
        <v>352469.88</v>
      </c>
    </row>
    <row r="21" spans="2:4" x14ac:dyDescent="0.3">
      <c r="B21" s="28" t="s">
        <v>9</v>
      </c>
      <c r="C21" s="28"/>
      <c r="D21" s="28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9" t="s">
        <v>4</v>
      </c>
      <c r="C23" s="6">
        <v>221</v>
      </c>
      <c r="D23" s="25">
        <v>39421.839999999997</v>
      </c>
    </row>
    <row r="24" spans="2:4" x14ac:dyDescent="0.3">
      <c r="B24" s="9" t="s">
        <v>5</v>
      </c>
      <c r="C24" s="6">
        <v>3362</v>
      </c>
      <c r="D24" s="25">
        <v>234824.49000000002</v>
      </c>
    </row>
    <row r="25" spans="2:4" x14ac:dyDescent="0.3">
      <c r="B25" s="9" t="s">
        <v>6</v>
      </c>
      <c r="C25" s="6">
        <v>610</v>
      </c>
      <c r="D25" s="25">
        <v>43726</v>
      </c>
    </row>
    <row r="26" spans="2:4" x14ac:dyDescent="0.3">
      <c r="B26" s="9" t="s">
        <v>7</v>
      </c>
      <c r="C26" s="6">
        <v>3969</v>
      </c>
      <c r="D26" s="25">
        <v>4813.68</v>
      </c>
    </row>
    <row r="27" spans="2:4" x14ac:dyDescent="0.3">
      <c r="B27" s="10" t="s">
        <v>8</v>
      </c>
      <c r="C27" s="8">
        <f>SUM(C23:C26)</f>
        <v>8162</v>
      </c>
      <c r="D27" s="4">
        <f>SUM(D23:D26)</f>
        <v>322786.01</v>
      </c>
    </row>
    <row r="29" spans="2:4" x14ac:dyDescent="0.3">
      <c r="B29" s="27" t="s">
        <v>10</v>
      </c>
      <c r="C29" s="27"/>
      <c r="D29" s="27"/>
    </row>
    <row r="30" spans="2:4" x14ac:dyDescent="0.3">
      <c r="B30" s="4" t="s">
        <v>1</v>
      </c>
      <c r="C30" s="4" t="s">
        <v>2</v>
      </c>
      <c r="D30" s="4" t="s">
        <v>3</v>
      </c>
    </row>
    <row r="31" spans="2:4" x14ac:dyDescent="0.3">
      <c r="B31" s="9" t="s">
        <v>4</v>
      </c>
      <c r="C31" s="6">
        <v>3329</v>
      </c>
      <c r="D31" s="25">
        <v>228248.38000000003</v>
      </c>
    </row>
    <row r="32" spans="2:4" x14ac:dyDescent="0.3">
      <c r="B32" s="9" t="s">
        <v>5</v>
      </c>
      <c r="C32" s="6">
        <v>1484</v>
      </c>
      <c r="D32" s="25">
        <v>33638.699999999997</v>
      </c>
    </row>
    <row r="33" spans="2:4" x14ac:dyDescent="0.3">
      <c r="B33" s="9" t="s">
        <v>6</v>
      </c>
      <c r="C33" s="6">
        <v>2158</v>
      </c>
      <c r="D33" s="25">
        <v>31134.68</v>
      </c>
    </row>
    <row r="34" spans="2:4" x14ac:dyDescent="0.3">
      <c r="B34" s="5" t="s">
        <v>12</v>
      </c>
      <c r="C34" s="7">
        <v>1</v>
      </c>
      <c r="D34" s="25">
        <v>39</v>
      </c>
    </row>
    <row r="35" spans="2:4" x14ac:dyDescent="0.3">
      <c r="B35" s="9" t="s">
        <v>7</v>
      </c>
      <c r="C35" s="6">
        <v>17193</v>
      </c>
      <c r="D35" s="25">
        <v>37521.199999999997</v>
      </c>
    </row>
    <row r="36" spans="2:4" x14ac:dyDescent="0.3">
      <c r="B36" s="10" t="s">
        <v>8</v>
      </c>
      <c r="C36" s="8">
        <f>SUM(C31:C35)</f>
        <v>24165</v>
      </c>
      <c r="D36" s="4">
        <f>SUM(D31:D35)</f>
        <v>330581.96000000002</v>
      </c>
    </row>
    <row r="38" spans="2:4" x14ac:dyDescent="0.3">
      <c r="B38" s="28" t="s">
        <v>31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576</v>
      </c>
      <c r="D40" s="25">
        <v>14600</v>
      </c>
    </row>
    <row r="41" spans="2:4" x14ac:dyDescent="0.3">
      <c r="B41" s="1" t="s">
        <v>5</v>
      </c>
      <c r="C41" s="6">
        <v>866</v>
      </c>
      <c r="D41" s="25">
        <v>9133</v>
      </c>
    </row>
    <row r="42" spans="2:4" x14ac:dyDescent="0.3">
      <c r="B42" s="1" t="s">
        <v>6</v>
      </c>
      <c r="C42" s="6">
        <v>788</v>
      </c>
      <c r="D42" s="25">
        <v>1052</v>
      </c>
    </row>
    <row r="43" spans="2:4" x14ac:dyDescent="0.3">
      <c r="B43" s="1" t="s">
        <v>7</v>
      </c>
      <c r="C43" s="6">
        <v>2429</v>
      </c>
      <c r="D43" s="25">
        <v>62944</v>
      </c>
    </row>
    <row r="44" spans="2:4" x14ac:dyDescent="0.3">
      <c r="B44" s="3" t="s">
        <v>8</v>
      </c>
      <c r="C44" s="8">
        <f>SUM(C40:C43)</f>
        <v>4659</v>
      </c>
      <c r="D44" s="4">
        <f>SUM(D40:D43)</f>
        <v>87729</v>
      </c>
    </row>
    <row r="46" spans="2:4" x14ac:dyDescent="0.3">
      <c r="B46" s="27" t="s">
        <v>11</v>
      </c>
      <c r="C46" s="27"/>
      <c r="D46" s="27"/>
    </row>
    <row r="47" spans="2:4" x14ac:dyDescent="0.3">
      <c r="B47" s="4" t="s">
        <v>1</v>
      </c>
      <c r="C47" s="4" t="s">
        <v>2</v>
      </c>
      <c r="D47" s="4" t="s">
        <v>3</v>
      </c>
    </row>
    <row r="48" spans="2:4" x14ac:dyDescent="0.3">
      <c r="B48" s="9" t="s">
        <v>4</v>
      </c>
      <c r="C48" s="6">
        <v>2546</v>
      </c>
      <c r="D48" s="25">
        <v>52119</v>
      </c>
    </row>
    <row r="49" spans="2:4" x14ac:dyDescent="0.3">
      <c r="B49" s="10" t="s">
        <v>8</v>
      </c>
      <c r="C49" s="8">
        <f>SUM(C48:C48)</f>
        <v>2546</v>
      </c>
      <c r="D49" s="4">
        <f>SUM(D48:D48)</f>
        <v>52119</v>
      </c>
    </row>
    <row r="51" spans="2:4" x14ac:dyDescent="0.3">
      <c r="B51" s="28" t="s">
        <v>32</v>
      </c>
      <c r="C51" s="28"/>
      <c r="D51" s="28"/>
    </row>
    <row r="52" spans="2:4" x14ac:dyDescent="0.3">
      <c r="B52" s="2" t="s">
        <v>1</v>
      </c>
      <c r="C52" s="2" t="s">
        <v>2</v>
      </c>
      <c r="D52" s="2" t="s">
        <v>3</v>
      </c>
    </row>
    <row r="53" spans="2:4" x14ac:dyDescent="0.3">
      <c r="B53" s="9" t="s">
        <v>4</v>
      </c>
      <c r="C53" s="6">
        <v>770</v>
      </c>
      <c r="D53" s="25">
        <v>9689.26</v>
      </c>
    </row>
    <row r="54" spans="2:4" x14ac:dyDescent="0.3">
      <c r="B54" s="1" t="s">
        <v>5</v>
      </c>
      <c r="C54" s="6">
        <v>873</v>
      </c>
      <c r="D54" s="25">
        <v>4137</v>
      </c>
    </row>
    <row r="55" spans="2:4" x14ac:dyDescent="0.3">
      <c r="B55" s="1" t="s">
        <v>6</v>
      </c>
      <c r="C55" s="6">
        <v>1309</v>
      </c>
      <c r="D55" s="25">
        <v>4311</v>
      </c>
    </row>
    <row r="56" spans="2:4" x14ac:dyDescent="0.3">
      <c r="B56" s="1" t="s">
        <v>7</v>
      </c>
      <c r="C56" s="6">
        <v>1363</v>
      </c>
      <c r="D56" s="25">
        <v>2445</v>
      </c>
    </row>
    <row r="57" spans="2:4" x14ac:dyDescent="0.3">
      <c r="B57" s="3" t="s">
        <v>8</v>
      </c>
      <c r="C57" s="8">
        <f>SUM(C53:C56)</f>
        <v>4315</v>
      </c>
      <c r="D57" s="4">
        <f>SUM(D53:D56)</f>
        <v>20582.260000000002</v>
      </c>
    </row>
    <row r="59" spans="2:4" x14ac:dyDescent="0.3">
      <c r="B59" s="12" t="s">
        <v>13</v>
      </c>
      <c r="C59" s="13">
        <f>SUM(C10+C36+C27+C49+C19+C44+C57)</f>
        <v>95320</v>
      </c>
      <c r="D59" s="13">
        <f>SUM(D10+D36+D27+D49+D19+D44+D57)</f>
        <v>1978772.0599999998</v>
      </c>
    </row>
  </sheetData>
  <mergeCells count="7">
    <mergeCell ref="B46:D46"/>
    <mergeCell ref="B51:D51"/>
    <mergeCell ref="B12:D12"/>
    <mergeCell ref="B38:D38"/>
    <mergeCell ref="B3:D3"/>
    <mergeCell ref="B29:D29"/>
    <mergeCell ref="B21:D21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topLeftCell="B1" zoomScale="145" zoomScaleNormal="145" workbookViewId="0">
      <selection activeCell="J10" sqref="J10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36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34</v>
      </c>
      <c r="C6" s="16" t="s">
        <v>4</v>
      </c>
      <c r="D6" s="23">
        <f>SUMIF('REPORTE DIARIO'!B:B,'EPR 23 MAYO'!C6, 'REPORTE DIARIO'!C:C)</f>
        <v>13833</v>
      </c>
      <c r="E6" s="16">
        <f>SUMIF('REPORTE DIARIO'!B:B,'EPR 23 MAYO'!C6, 'REPORTE DIARIO'!D:D)</f>
        <v>777269.53</v>
      </c>
      <c r="F6" s="16">
        <f>J6*D6</f>
        <v>2173757.1428571427</v>
      </c>
      <c r="G6" s="16">
        <f>+E6-F6</f>
        <v>-1396487.6128571427</v>
      </c>
      <c r="H6" s="15">
        <f>ABS(G6/F6)</f>
        <v>0.6424303733496316</v>
      </c>
      <c r="I6" s="16">
        <f>E6/D6</f>
        <v>56.1895127593436</v>
      </c>
      <c r="J6" s="16">
        <f>(220/7)*5</f>
        <v>157.14285714285714</v>
      </c>
      <c r="K6" s="16">
        <f>+I6-J6</f>
        <v>-100.95334438351354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23 MAYO'!C7, 'REPORTE DIARIO'!C:C)</f>
        <v>12968</v>
      </c>
      <c r="E7" s="16">
        <f>SUMIF('REPORTE DIARIO'!B:B,'EPR 23 MAYO'!C7, 'REPORTE DIARIO'!D:D)</f>
        <v>576565.12</v>
      </c>
      <c r="F7" s="16">
        <f>J7*D7</f>
        <v>1018914.2857142857</v>
      </c>
      <c r="G7" s="16">
        <f>+E7-F7</f>
        <v>-442349.16571428569</v>
      </c>
      <c r="H7" s="15">
        <f>ABS(G7/F7)</f>
        <v>0.43413776008075822</v>
      </c>
      <c r="I7" s="16">
        <f>E7/D7</f>
        <v>44.46060456508328</v>
      </c>
      <c r="J7" s="16">
        <f>(110/7)*5</f>
        <v>78.571428571428569</v>
      </c>
      <c r="K7" s="16">
        <f t="shared" ref="K7:K9" si="0">+I7-J7</f>
        <v>-34.11082400634529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23 MAYO'!C8, 'REPORTE DIARIO'!C:C)</f>
        <v>11348</v>
      </c>
      <c r="E8" s="16">
        <f>SUMIF('REPORTE DIARIO'!B:B,'EPR 23 MAYO'!C8, 'REPORTE DIARIO'!D:D)</f>
        <v>261049.46999999997</v>
      </c>
      <c r="F8" s="16">
        <f>J8*D8</f>
        <v>364757.1428571429</v>
      </c>
      <c r="G8" s="16">
        <f>+E8-F8</f>
        <v>-103707.67285714293</v>
      </c>
      <c r="H8" s="15">
        <f>ABS(G8/F8)</f>
        <v>0.28431978615908837</v>
      </c>
      <c r="I8" s="16">
        <f>E8/D8</f>
        <v>23.004006873457875</v>
      </c>
      <c r="J8" s="16">
        <f>(45/7)*5</f>
        <v>32.142857142857146</v>
      </c>
      <c r="K8" s="16">
        <f t="shared" si="0"/>
        <v>-9.1388502693992706</v>
      </c>
      <c r="L8" s="15"/>
    </row>
    <row r="9" spans="2:12" x14ac:dyDescent="0.3">
      <c r="B9" s="16" t="s">
        <v>35</v>
      </c>
      <c r="C9" s="16" t="s">
        <v>7</v>
      </c>
      <c r="D9" s="23">
        <f>SUMIF('REPORTE DIARIO'!B:B,'EPR 23 MAYO'!C9, 'REPORTE DIARIO'!C:C)</f>
        <v>57157</v>
      </c>
      <c r="E9" s="16">
        <f>SUMIF('REPORTE DIARIO'!B:B,'EPR 23 MAYO'!C9, 'REPORTE DIARIO'!D:D)</f>
        <v>363848.94</v>
      </c>
      <c r="F9" s="16">
        <f>J9*D9</f>
        <v>612396.42857142852</v>
      </c>
      <c r="G9" s="16">
        <f>+E9-F9</f>
        <v>-248547.48857142852</v>
      </c>
      <c r="H9" s="15">
        <f>ABS(G9/F9)</f>
        <v>0.405860447539234</v>
      </c>
      <c r="I9" s="16">
        <f>E9/D9</f>
        <v>6.3657809192224928</v>
      </c>
      <c r="J9" s="16">
        <f>(15/7)*5</f>
        <v>10.714285714285714</v>
      </c>
      <c r="K9" s="16">
        <f t="shared" si="0"/>
        <v>-4.3485047950632207</v>
      </c>
    </row>
    <row r="10" spans="2:12" x14ac:dyDescent="0.3">
      <c r="B10" s="16"/>
      <c r="C10" s="19" t="s">
        <v>17</v>
      </c>
      <c r="D10" s="24">
        <f>SUM(D6:D9)</f>
        <v>95306</v>
      </c>
      <c r="E10" s="20">
        <f>SUM(E6:E9)</f>
        <v>1978733.0599999998</v>
      </c>
      <c r="F10" s="20">
        <f>SUM(F6:F9)</f>
        <v>4169824.9999999995</v>
      </c>
      <c r="G10" s="20">
        <f>+E10-F10</f>
        <v>-2191091.9399999995</v>
      </c>
      <c r="H10" s="21">
        <f>ABS(G10/F10)</f>
        <v>0.52546376406683726</v>
      </c>
      <c r="I10" s="20">
        <f>E10/D10</f>
        <v>20.761893899649547</v>
      </c>
      <c r="J10" s="20">
        <f>F10/D10</f>
        <v>43.751967347281386</v>
      </c>
      <c r="K10" s="20">
        <f>I10-J10</f>
        <v>-22.99007344763184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23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2025-05-23T14:10:25Z</cp:lastPrinted>
  <dcterms:created xsi:type="dcterms:W3CDTF">2025-01-27T15:11:28Z</dcterms:created>
  <dcterms:modified xsi:type="dcterms:W3CDTF">2025-05-23T14:10:41Z</dcterms:modified>
</cp:coreProperties>
</file>