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3 MAYO\NOCHE\"/>
    </mc:Choice>
  </mc:AlternateContent>
  <xr:revisionPtr revIDLastSave="0" documentId="13_ncr:1_{A73517DB-466D-4227-A1E5-480B7A758927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7" i="1"/>
  <c r="C57" i="1"/>
  <c r="D49" i="1"/>
  <c r="C49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<sst xmlns="http://schemas.openxmlformats.org/spreadsheetml/2006/main" count="89" uniqueCount="37">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</sst>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" zoomScaleNormal="100" workbookViewId="0">
      <selection activeCell="B21" sqref="B21:D2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4080</v>
      </c>
      <c r="D5" s="25">
        <v>356570.04000000004</v>
      </c>
    </row>
    <row r="6" spans="2:8" x14ac:dyDescent="0.25">
      <c r="B6" s="1" t="s">
        <v>5</v>
      </c>
      <c r="C6" s="6">
        <v>4214</v>
      </c>
      <c r="D6" s="25">
        <v>260740.55000000002</v>
      </c>
    </row>
    <row r="7" spans="2:8" x14ac:dyDescent="0.25">
      <c r="B7" s="1" t="s">
        <v>6</v>
      </c>
      <c r="C7" s="6">
        <v>4191</v>
      </c>
      <c r="D7" s="25">
        <v>187585.61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11351</v>
      </c>
      <c r="D9" s="25">
        <v>271148.30000000005</v>
      </c>
      <c r="E9" s="14"/>
      <c r="F9" s="7"/>
    </row>
    <row r="10" spans="2:8" x14ac:dyDescent="0.25">
      <c r="B10" s="3" t="s">
        <v>8</v>
      </c>
      <c r="C10" s="8">
        <f>SUM(C5:C9)</f>
        <v>23847</v>
      </c>
      <c r="D10" s="4">
        <f>SUM(D5:D9)</f>
        <v>1076044.5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2338</v>
      </c>
      <c r="D14" s="25">
        <v>178994.81</v>
      </c>
    </row>
    <row r="15" spans="2:8" x14ac:dyDescent="0.25">
      <c r="B15" s="1" t="s">
        <v>5</v>
      </c>
      <c r="C15" s="6">
        <v>2126</v>
      </c>
      <c r="D15" s="25">
        <v>84565.23</v>
      </c>
    </row>
    <row r="16" spans="2:8" x14ac:dyDescent="0.25">
      <c r="B16" s="1" t="s">
        <v>6</v>
      </c>
      <c r="C16" s="6">
        <v>2062</v>
      </c>
      <c r="D16" s="25">
        <v>84203.34</v>
      </c>
    </row>
    <row r="17" spans="2:4" x14ac:dyDescent="0.25">
      <c r="B17" s="5" t="s">
        <v>12</v>
      </c>
      <c r="C17" s="7">
        <v>2</v>
      </c>
      <c r="D17" s="11">
        <v>0</v>
      </c>
    </row>
    <row r="18" spans="2:4" x14ac:dyDescent="0.25">
      <c r="B18" s="1" t="s">
        <v>7</v>
      </c>
      <c r="C18" s="6">
        <v>20878</v>
      </c>
      <c r="D18" s="25">
        <v>73502.000000000015</v>
      </c>
    </row>
    <row r="19" spans="2:4" x14ac:dyDescent="0.25">
      <c r="B19" s="3" t="s">
        <v>8</v>
      </c>
      <c r="C19" s="8">
        <f>SUM(C14:C18)</f>
        <v>27406</v>
      </c>
      <c r="D19" s="4">
        <f>SUM(D14:D18)</f>
        <v>421265.38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3329</v>
      </c>
      <c r="D23" s="25">
        <v>287270.1700000001</v>
      </c>
    </row>
    <row r="24" spans="2:4" x14ac:dyDescent="0.25">
      <c r="B24" s="9" t="s">
        <v>5</v>
      </c>
      <c r="C24" s="6">
        <v>1482</v>
      </c>
      <c r="D24" s="25">
        <v>43610.7</v>
      </c>
    </row>
    <row r="25" spans="2:4" x14ac:dyDescent="0.25">
      <c r="B25" s="9" t="s">
        <v>6</v>
      </c>
      <c r="C25" s="6">
        <v>2154</v>
      </c>
      <c r="D25" s="25">
        <v>40563.29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17188</v>
      </c>
      <c r="D27" s="25">
        <v>42549.399999999994</v>
      </c>
    </row>
    <row r="28" spans="2:4" x14ac:dyDescent="0.25">
      <c r="B28" s="10" t="s">
        <v>8</v>
      </c>
      <c r="C28" s="8">
        <f>SUM(C23:C27)</f>
        <v>24154</v>
      </c>
      <c r="D28" s="4">
        <f>SUM(D23:D27)</f>
        <v>414032.56000000006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221</v>
      </c>
      <c r="D32" s="25">
        <v>54902.84</v>
      </c>
    </row>
    <row r="33" spans="2:4" x14ac:dyDescent="0.25">
      <c r="B33" s="9" t="s">
        <v>5</v>
      </c>
      <c r="C33" s="6">
        <v>3355</v>
      </c>
      <c r="D33" s="25">
        <v>282214.11</v>
      </c>
    </row>
    <row r="34" spans="2:4" x14ac:dyDescent="0.25">
      <c r="B34" s="9" t="s">
        <v>6</v>
      </c>
      <c r="C34" s="6">
        <v>604</v>
      </c>
      <c r="D34" s="25">
        <v>51717</v>
      </c>
    </row>
    <row r="35" spans="2:4" x14ac:dyDescent="0.25">
      <c r="B35" s="9" t="s">
        <v>7</v>
      </c>
      <c r="C35" s="6">
        <v>3968</v>
      </c>
      <c r="D35" s="25">
        <v>5967.14</v>
      </c>
    </row>
    <row r="36" spans="2:4" x14ac:dyDescent="0.25">
      <c r="B36" s="10" t="s">
        <v>8</v>
      </c>
      <c r="C36" s="8">
        <f>SUM(C32:C35)</f>
        <v>8148</v>
      </c>
      <c r="D36" s="4">
        <f>SUM(D32:D35)</f>
        <v>394801.08999999997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2546</v>
      </c>
      <c r="D40" s="25">
        <v>103922</v>
      </c>
    </row>
    <row r="41" spans="2:4" x14ac:dyDescent="0.25">
      <c r="B41" s="10" t="s">
        <v>8</v>
      </c>
      <c r="C41" s="8">
        <f>SUM(C40:C40)</f>
        <v>2546</v>
      </c>
      <c r="D41" s="4">
        <f>SUM(D40:D40)</f>
        <v>103922</v>
      </c>
    </row>
    <row r="43" spans="2:4" x14ac:dyDescent="0.25">
      <c r="B43" s="28" t="s">
        <v>31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580</v>
      </c>
      <c r="D45" s="25">
        <v>14600</v>
      </c>
    </row>
    <row r="46" spans="2:4" x14ac:dyDescent="0.25">
      <c r="B46" s="1" t="s">
        <v>5</v>
      </c>
      <c r="C46" s="6">
        <v>860</v>
      </c>
      <c r="D46" s="25">
        <v>9133</v>
      </c>
    </row>
    <row r="47" spans="2:4" x14ac:dyDescent="0.25">
      <c r="B47" s="1" t="s">
        <v>6</v>
      </c>
      <c r="C47" s="6">
        <v>785</v>
      </c>
      <c r="D47" s="25">
        <v>3372</v>
      </c>
    </row>
    <row r="48" spans="2:4" x14ac:dyDescent="0.25">
      <c r="B48" s="1" t="s">
        <v>7</v>
      </c>
      <c r="C48" s="6">
        <v>2432</v>
      </c>
      <c r="D48" s="25">
        <v>68501</v>
      </c>
    </row>
    <row r="49" spans="2:4" x14ac:dyDescent="0.25">
      <c r="B49" s="3" t="s">
        <v>8</v>
      </c>
      <c r="C49" s="8">
        <f>SUM(C45:C48)</f>
        <v>4657</v>
      </c>
      <c r="D49" s="4">
        <f>SUM(D45:D48)</f>
        <v>95606</v>
      </c>
    </row>
    <row r="51" spans="2:4" x14ac:dyDescent="0.25">
      <c r="B51" s="28" t="s">
        <v>32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802</v>
      </c>
      <c r="D53" s="25">
        <v>12044.26</v>
      </c>
    </row>
    <row r="54" spans="2:4" x14ac:dyDescent="0.25">
      <c r="B54" s="1" t="s">
        <v>5</v>
      </c>
      <c r="C54" s="6">
        <v>877</v>
      </c>
      <c r="D54" s="25">
        <v>5008</v>
      </c>
    </row>
    <row r="55" spans="2:4" x14ac:dyDescent="0.25">
      <c r="B55" s="1" t="s">
        <v>6</v>
      </c>
      <c r="C55" s="6">
        <v>1318</v>
      </c>
      <c r="D55" s="25">
        <v>5316</v>
      </c>
    </row>
    <row r="56" spans="2:4" x14ac:dyDescent="0.25">
      <c r="B56" s="1" t="s">
        <v>7</v>
      </c>
      <c r="C56" s="6">
        <v>1410</v>
      </c>
      <c r="D56" s="25">
        <v>2885</v>
      </c>
    </row>
    <row r="57" spans="2:4" x14ac:dyDescent="0.25">
      <c r="B57" s="3" t="s">
        <v>8</v>
      </c>
      <c r="C57" s="8">
        <f>SUM(C53:C56)</f>
        <v>4407</v>
      </c>
      <c r="D57" s="4">
        <f>SUM(D53:D56)</f>
        <v>25253.260000000002</v>
      </c>
    </row>
    <row r="59" spans="2:4" x14ac:dyDescent="0.25">
      <c r="B59" s="12" t="s">
        <v>13</v>
      </c>
      <c r="C59" s="13">
        <f>SUM(C10+C28+C36+C41+C19+C49+C57)</f>
        <v>95165</v>
      </c>
      <c r="D59" s="13">
        <f>SUM(D10+D28+D36+D41+D19+D49+D57)</f>
        <v>2530924.7899999996</v>
      </c>
    </row>
  </sheetData>
  <mergeCells count="7">
    <mergeCell ref="B38:D38"/>
    <mergeCell ref="B51:D51"/>
    <mergeCell ref="B12:D12"/>
    <mergeCell ref="B43:D43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23 MAYO'!C6, 'REPORTE DIARIO'!C:C)</f>
        <v>13896</v>
      </c>
      <c r="E6" s="16">
        <f>SUMIF('REPORTE DIARIO'!B:B,'EPR 23 MAYO'!C6, 'REPORTE DIARIO'!D:D)</f>
        <v>1008304.1200000002</v>
      </c>
      <c r="F6" s="16">
        <f>J6*D6</f>
        <v>2183657.1428571427</v>
      </c>
      <c r="G6" s="16">
        <f>+E6-F6</f>
        <v>-1175353.0228571426</v>
      </c>
      <c r="H6" s="15">
        <f>ABS(G6/F6)</f>
        <v>0.53824980112000831</v>
      </c>
      <c r="I6" s="16">
        <f>E6/D6</f>
        <v>72.560745538284408</v>
      </c>
      <c r="J6" s="16">
        <f>(220/7)*5</f>
        <v>157.14285714285714</v>
      </c>
      <c r="K6" s="16">
        <f>+I6-J6</f>
        <v>-84.582111604572731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23 MAYO'!C7, 'REPORTE DIARIO'!C:C)</f>
        <v>12914</v>
      </c>
      <c r="E7" s="16">
        <f>SUMIF('REPORTE DIARIO'!B:B,'EPR 23 MAYO'!C7, 'REPORTE DIARIO'!D:D)</f>
        <v>685271.59000000008</v>
      </c>
      <c r="F7" s="16">
        <f>J7*D7</f>
        <v>1014671.4285714285</v>
      </c>
      <c r="G7" s="16">
        <f>+E7-F7</f>
        <v>-329399.83857142844</v>
      </c>
      <c r="H7" s="15">
        <f>ABS(G7/F7)</f>
        <v>0.32463695073704352</v>
      </c>
      <c r="I7" s="16">
        <f>E7/D7</f>
        <v>53.064239584946577</v>
      </c>
      <c r="J7" s="16">
        <f>(110/7)*5</f>
        <v>78.571428571428569</v>
      </c>
      <c r="K7" s="16">
        <f t="shared" ref="K7:K9" si="0">+I7-J7</f>
        <v>-25.507188986481992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23 MAYO'!C8, 'REPORTE DIARIO'!C:C)</f>
        <v>11114</v>
      </c>
      <c r="E8" s="16">
        <f>SUMIF('REPORTE DIARIO'!B:B,'EPR 23 MAYO'!C8, 'REPORTE DIARIO'!D:D)</f>
        <v>372757.23999999993</v>
      </c>
      <c r="F8" s="16">
        <f>J8*D8</f>
        <v>357235.71428571432</v>
      </c>
      <c r="G8" s="16">
        <f>+E8-F8</f>
        <v>15521.525714285614</v>
      </c>
      <c r="H8" s="15">
        <f>ABS(G8/F8)</f>
        <v>4.3448975266430441E-2</v>
      </c>
      <c r="I8" s="16">
        <f>E8/D8</f>
        <v>33.53943134784955</v>
      </c>
      <c r="J8" s="16">
        <f>(45/7)*5</f>
        <v>32.142857142857146</v>
      </c>
      <c r="K8" s="16">
        <f t="shared" si="0"/>
        <v>1.3965742049924046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23 MAYO'!C9, 'REPORTE DIARIO'!C:C)</f>
        <v>57227</v>
      </c>
      <c r="E9" s="16">
        <f>SUMIF('REPORTE DIARIO'!B:B,'EPR 23 MAYO'!C9, 'REPORTE DIARIO'!D:D)</f>
        <v>464552.84000000008</v>
      </c>
      <c r="F9" s="16">
        <f>J9*D9</f>
        <v>613146.42857142852</v>
      </c>
      <c r="G9" s="16">
        <f>+E9-F9</f>
        <v>-148593.58857142844</v>
      </c>
      <c r="H9" s="15">
        <f>ABS(G9/F9)</f>
        <v>0.24234600683826379</v>
      </c>
      <c r="I9" s="16">
        <f>E9/D9</f>
        <v>8.1177213553043153</v>
      </c>
      <c r="J9" s="16">
        <f>(15/7)*5</f>
        <v>10.714285714285714</v>
      </c>
      <c r="K9" s="16">
        <f t="shared" si="0"/>
        <v>-2.5965643589813983</v>
      </c>
    </row>
    <row r="10" spans="2:12" x14ac:dyDescent="0.25">
      <c r="B10" s="16"/>
      <c r="C10" s="19" t="s">
        <v>17</v>
      </c>
      <c r="D10" s="24">
        <f>SUM(D6:D9)</f>
        <v>95151</v>
      </c>
      <c r="E10" s="20">
        <f>SUM(E6:E9)</f>
        <v>2530885.7900000005</v>
      </c>
      <c r="F10" s="20">
        <f>SUM(F6:F9)</f>
        <v>4168710.7142857141</v>
      </c>
      <c r="G10" s="20">
        <f>+E10-F10</f>
        <v>-1637824.9242857136</v>
      </c>
      <c r="H10" s="21">
        <f>ABS(G10/F10)</f>
        <v>0.39288524355337667</v>
      </c>
      <c r="I10" s="20">
        <f>E10/D10</f>
        <v>26.598625237779956</v>
      </c>
      <c r="J10" s="20">
        <f>F10/D10</f>
        <v>43.811528142486303</v>
      </c>
      <c r="K10" s="20">
        <f>I10-J10</f>
        <v>-17.212902904706347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2025-05-24T03:07:02Z</dcterms:modified>
</cp:coreProperties>
</file>