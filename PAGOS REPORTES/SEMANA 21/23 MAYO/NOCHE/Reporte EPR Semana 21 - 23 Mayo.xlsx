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3 MAYO\NOCHE\"/>
    </mc:Choice>
  </mc:AlternateContent>
  <xr:revisionPtr revIDLastSave="0" documentId="13_ncr:1_{F3E6B8A1-0B60-4B47-9FE6-A0B9C45E6AF6}" xr6:coauthVersionLast="47" xr6:coauthVersionMax="47" xr10:uidLastSave="{00000000-0000-0000-0000-000000000000}"/>
  <bookViews>
    <workbookView xWindow="14325" yWindow="14325" windowWidth="10005" windowHeight="5445" activeTab="2" xr2:uid="{4DC6C92A-CD8A-4966-829B-0B6A986E825B}"/>
  </bookViews>
  <sheets>
    <sheet name="REPORTE DIARIO" sheetId="1" r:id="rId1"/>
    <sheet name="DATA" sheetId="4" r:id="rId2"/>
    <sheet name="EPR 2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49" i="1"/>
  <c r="D57" i="1"/>
  <c r="C57" i="1"/>
  <c r="C49" i="1"/>
  <c r="D41" i="1" l="1"/>
  <c r="C41" i="1"/>
  <c r="J9" i="3"/>
  <c r="J8" i="3"/>
  <c r="J7" i="3"/>
  <c r="D6" i="3"/>
  <c r="F6" i="3" s="1"/>
  <c r="D32" i="1"/>
  <c r="C32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<sst xmlns="http://schemas.openxmlformats.org/spreadsheetml/2006/main" count="88" uniqueCount="36">
  <si>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</si>
  <si>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</si>
  <si>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</si>
  <si>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</si>
  <si>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</si>
  <si>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</si>
  <si>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</si>
  <si>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</si>
  <si>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</si>
  <si>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</si>
  <si>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</si>
  <si>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</si>
  <si>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</si>
  <si>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</si>
  <si>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</si>
  <si>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</si>
  <si>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</si>
  <si>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</si>
  <si>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</si>
  <si>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</si>
  <si>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</si>
  <si>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</si>
  <si>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</si>
  <si>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</si>
  <si>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</si>
  <si>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</si>
  <si>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</si>
  <si>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</si>
  <si>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</si>
  <si>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</si>
  <si>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</si>
  <si>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</si>
  <si>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</si>
  <si>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</si>
  <si>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</si>
  <si>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23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</si>
</sst>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22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4080</v>
      </c>
      <c r="D5" s="25">
        <v>60355.31</v>
      </c>
    </row>
    <row r="6" spans="2:8" x14ac:dyDescent="0.25">
      <c r="B6" s="1" t="s">
        <v>5</v>
      </c>
      <c r="C6" s="6">
        <v>4214</v>
      </c>
      <c r="D6" s="25">
        <v>44167.7</v>
      </c>
    </row>
    <row r="7" spans="2:8" x14ac:dyDescent="0.25">
      <c r="B7" s="1" t="s">
        <v>6</v>
      </c>
      <c r="C7" s="6">
        <v>4191</v>
      </c>
      <c r="D7" s="25">
        <v>87267.16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11351</v>
      </c>
      <c r="D9" s="25">
        <v>74116.23</v>
      </c>
    </row>
    <row r="10" spans="2:8" x14ac:dyDescent="0.25">
      <c r="B10" s="3" t="s">
        <v>8</v>
      </c>
      <c r="C10" s="8">
        <f>SUM(C5:C9)</f>
        <v>23847</v>
      </c>
      <c r="D10" s="4">
        <f>SUM(D5:D9)</f>
        <v>265906.39999999997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3329</v>
      </c>
      <c r="D14" s="25">
        <v>59021.789999999994</v>
      </c>
    </row>
    <row r="15" spans="2:8" x14ac:dyDescent="0.25">
      <c r="B15" s="9" t="s">
        <v>5</v>
      </c>
      <c r="C15" s="6">
        <v>1482</v>
      </c>
      <c r="D15" s="25">
        <v>10110</v>
      </c>
    </row>
    <row r="16" spans="2:8" x14ac:dyDescent="0.25">
      <c r="B16" s="9" t="s">
        <v>6</v>
      </c>
      <c r="C16" s="6">
        <v>2154</v>
      </c>
      <c r="D16" s="25">
        <v>9601.61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17188</v>
      </c>
      <c r="D18" s="25">
        <v>5028.2</v>
      </c>
    </row>
    <row r="19" spans="2:11" x14ac:dyDescent="0.25">
      <c r="B19" s="10" t="s">
        <v>8</v>
      </c>
      <c r="C19" s="8">
        <f>SUM(C14:C18)</f>
        <v>24154</v>
      </c>
      <c r="D19" s="4">
        <f>SUM(D14:D18)</f>
        <v>83761.599999999991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221</v>
      </c>
      <c r="D23" s="25">
        <v>15481</v>
      </c>
    </row>
    <row r="24" spans="2:11" x14ac:dyDescent="0.25">
      <c r="B24" s="9" t="s">
        <v>5</v>
      </c>
      <c r="C24" s="6">
        <v>3355</v>
      </c>
      <c r="D24" s="25">
        <v>49539.619999999995</v>
      </c>
    </row>
    <row r="25" spans="2:11" x14ac:dyDescent="0.25">
      <c r="B25" s="9" t="s">
        <v>6</v>
      </c>
      <c r="C25" s="6">
        <v>604</v>
      </c>
      <c r="D25" s="25">
        <v>7991</v>
      </c>
    </row>
    <row r="26" spans="2:11" x14ac:dyDescent="0.25">
      <c r="B26" s="9" t="s">
        <v>7</v>
      </c>
      <c r="C26" s="6">
        <v>3968</v>
      </c>
      <c r="D26" s="25">
        <v>1153.92</v>
      </c>
      <c r="K26" s="7"/>
    </row>
    <row r="27" spans="2:11" x14ac:dyDescent="0.25">
      <c r="B27" s="10" t="s">
        <v>8</v>
      </c>
      <c r="C27" s="8">
        <f>SUM(C23:C26)</f>
        <v>8148</v>
      </c>
      <c r="D27" s="4">
        <f>SUM(D23:D26)</f>
        <v>74165.539999999994</v>
      </c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2546</v>
      </c>
      <c r="D31" s="25">
        <v>52350</v>
      </c>
    </row>
    <row r="32" spans="2:11" x14ac:dyDescent="0.25">
      <c r="B32" s="10" t="s">
        <v>8</v>
      </c>
      <c r="C32" s="8">
        <f>SUM(C31:C31)</f>
        <v>2546</v>
      </c>
      <c r="D32" s="4">
        <f>SUM(D31:D31)</f>
        <v>52350</v>
      </c>
    </row>
    <row r="34" spans="2:4" x14ac:dyDescent="0.25">
      <c r="B34" s="27" t="s">
        <v>29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1" t="s">
        <v>4</v>
      </c>
      <c r="C36" s="6">
        <v>2338</v>
      </c>
      <c r="D36" s="25">
        <v>42018.490000000005</v>
      </c>
    </row>
    <row r="37" spans="2:4" x14ac:dyDescent="0.25">
      <c r="B37" s="1" t="s">
        <v>5</v>
      </c>
      <c r="C37" s="6">
        <v>2126</v>
      </c>
      <c r="D37" s="25">
        <v>7058</v>
      </c>
    </row>
    <row r="38" spans="2:4" x14ac:dyDescent="0.25">
      <c r="B38" s="1" t="s">
        <v>6</v>
      </c>
      <c r="C38" s="6">
        <v>2062</v>
      </c>
      <c r="D38" s="25">
        <v>4310</v>
      </c>
    </row>
    <row r="39" spans="2:4" x14ac:dyDescent="0.25">
      <c r="B39" s="5" t="s">
        <v>12</v>
      </c>
      <c r="C39" s="7">
        <v>2</v>
      </c>
      <c r="D39" s="24">
        <v>0</v>
      </c>
    </row>
    <row r="40" spans="2:4" x14ac:dyDescent="0.25">
      <c r="B40" s="1" t="s">
        <v>7</v>
      </c>
      <c r="C40" s="6">
        <v>20878</v>
      </c>
      <c r="D40" s="25">
        <v>15410</v>
      </c>
    </row>
    <row r="41" spans="2:4" x14ac:dyDescent="0.25">
      <c r="B41" s="3" t="s">
        <v>8</v>
      </c>
      <c r="C41" s="8">
        <f>SUM(C36:C40)</f>
        <v>27406</v>
      </c>
      <c r="D41" s="4">
        <f>SUM(D36:D40)</f>
        <v>68796.490000000005</v>
      </c>
    </row>
    <row r="43" spans="2:4" x14ac:dyDescent="0.25">
      <c r="B43" s="27" t="s">
        <v>30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580</v>
      </c>
      <c r="D45" s="26">
        <v>0</v>
      </c>
    </row>
    <row r="46" spans="2:4" x14ac:dyDescent="0.25">
      <c r="B46" s="1" t="s">
        <v>5</v>
      </c>
      <c r="C46" s="6">
        <v>860</v>
      </c>
      <c r="D46" s="26">
        <v>0</v>
      </c>
    </row>
    <row r="47" spans="2:4" x14ac:dyDescent="0.25">
      <c r="B47" s="1" t="s">
        <v>6</v>
      </c>
      <c r="C47" s="6">
        <v>785</v>
      </c>
      <c r="D47" s="25">
        <v>2320</v>
      </c>
    </row>
    <row r="48" spans="2:4" x14ac:dyDescent="0.25">
      <c r="B48" s="1" t="s">
        <v>7</v>
      </c>
      <c r="C48" s="6">
        <v>2432</v>
      </c>
      <c r="D48" s="25">
        <v>5557</v>
      </c>
    </row>
    <row r="49" spans="2:4" x14ac:dyDescent="0.25">
      <c r="B49" s="3" t="s">
        <v>8</v>
      </c>
      <c r="C49" s="8">
        <f>SUM(C45:C48)</f>
        <v>4657</v>
      </c>
      <c r="D49" s="4">
        <f>SUM(D45:D48)</f>
        <v>7877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802</v>
      </c>
      <c r="D53" s="25">
        <v>2355</v>
      </c>
    </row>
    <row r="54" spans="2:4" x14ac:dyDescent="0.25">
      <c r="B54" s="1" t="s">
        <v>5</v>
      </c>
      <c r="C54" s="6">
        <v>877</v>
      </c>
      <c r="D54" s="25">
        <v>871</v>
      </c>
    </row>
    <row r="55" spans="2:4" x14ac:dyDescent="0.25">
      <c r="B55" s="1" t="s">
        <v>6</v>
      </c>
      <c r="C55" s="6">
        <v>1318</v>
      </c>
      <c r="D55" s="25">
        <v>1005</v>
      </c>
    </row>
    <row r="56" spans="2:4" x14ac:dyDescent="0.25">
      <c r="B56" s="1" t="s">
        <v>7</v>
      </c>
      <c r="C56" s="6">
        <v>1410</v>
      </c>
      <c r="D56" s="25">
        <v>440</v>
      </c>
    </row>
    <row r="57" spans="2:4" x14ac:dyDescent="0.25">
      <c r="B57" s="3" t="s">
        <v>8</v>
      </c>
      <c r="C57" s="8">
        <f>SUM(C53:C56)</f>
        <v>4407</v>
      </c>
      <c r="D57" s="4">
        <f>SUM(D53:D56)</f>
        <v>4671</v>
      </c>
    </row>
    <row r="59" spans="2:4" x14ac:dyDescent="0.25">
      <c r="B59" s="11" t="s">
        <v>13</v>
      </c>
      <c r="C59" s="12">
        <f>SUM(C10+C27+C19+C32+C41+C49+C57)</f>
        <v>95165</v>
      </c>
      <c r="D59" s="12">
        <f>SUM(D10+D27+D19+D32+D41+D49+D57)</f>
        <v>557528.02999999991</v>
      </c>
    </row>
  </sheetData>
  <mergeCells count="7">
    <mergeCell ref="B34:D34"/>
    <mergeCell ref="B12:D12"/>
    <mergeCell ref="B51:D51"/>
    <mergeCell ref="B3:D3"/>
    <mergeCell ref="B21:D21"/>
    <mergeCell ref="B29:D29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22 MAYO'!C6, 'REPORTE DIARIO'!C:C)</f>
        <v>13896</v>
      </c>
      <c r="E6" s="15">
        <f>SUMIF('REPORTE DIARIO'!B:B,'EPR 22 MAYO'!C6, 'REPORTE DIARIO'!D:D)</f>
        <v>231581.58999999997</v>
      </c>
      <c r="F6" s="15">
        <f>J6*D6</f>
        <v>436731.42857142852</v>
      </c>
      <c r="G6" s="15">
        <f>+E6-F6</f>
        <v>-205149.83857142855</v>
      </c>
      <c r="H6" s="14">
        <f>ABS(G6/F6)</f>
        <v>0.46973912375045795</v>
      </c>
      <c r="I6" s="15">
        <f>E6/D6</f>
        <v>16.665341824985607</v>
      </c>
      <c r="J6" s="15">
        <f>220/7</f>
        <v>31.428571428571427</v>
      </c>
      <c r="K6" s="15">
        <f>+I6-J6</f>
        <v>-14.76322960358582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22 MAYO'!C7, 'REPORTE DIARIO'!C:C)</f>
        <v>12914</v>
      </c>
      <c r="E7" s="15">
        <f>SUMIF('REPORTE DIARIO'!B:B,'EPR 22 MAYO'!C7, 'REPORTE DIARIO'!D:D)</f>
        <v>111746.31999999999</v>
      </c>
      <c r="F7" s="15">
        <f>J7*D7</f>
        <v>202934.28571428571</v>
      </c>
      <c r="G7" s="15">
        <f>+E7-F7</f>
        <v>-91187.965714285718</v>
      </c>
      <c r="H7" s="14">
        <f>ABS(G7/F7)</f>
        <v>0.44934726230869954</v>
      </c>
      <c r="I7" s="15">
        <f>E7/D7</f>
        <v>8.653114449434721</v>
      </c>
      <c r="J7" s="15">
        <f>110/7</f>
        <v>15.714285714285714</v>
      </c>
      <c r="K7" s="15">
        <f t="shared" ref="K7:K9" si="0">+I7-J7</f>
        <v>-7.0611712648509926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22 MAYO'!C8, 'REPORTE DIARIO'!C:C)</f>
        <v>11114</v>
      </c>
      <c r="E8" s="15">
        <f>SUMIF('REPORTE DIARIO'!B:B,'EPR 22 MAYO'!C8, 'REPORTE DIARIO'!D:D)</f>
        <v>112494.77</v>
      </c>
      <c r="F8" s="15">
        <f>J8*D8</f>
        <v>71447.142857142855</v>
      </c>
      <c r="G8" s="15">
        <f>+E8-F8</f>
        <v>41047.627142857149</v>
      </c>
      <c r="H8" s="14">
        <f>ABS(G8/F8)</f>
        <v>0.57451740547457675</v>
      </c>
      <c r="I8" s="15">
        <f>E8/D8</f>
        <v>10.121897606622278</v>
      </c>
      <c r="J8" s="15">
        <f>45/7</f>
        <v>6.4285714285714288</v>
      </c>
      <c r="K8" s="15">
        <f t="shared" si="0"/>
        <v>3.6933261780508495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22 MAYO'!C9, 'REPORTE DIARIO'!C:C)</f>
        <v>57227</v>
      </c>
      <c r="E9" s="15">
        <f>SUMIF('REPORTE DIARIO'!B:B,'EPR 22 MAYO'!C9, 'REPORTE DIARIO'!D:D)</f>
        <v>101705.34999999999</v>
      </c>
      <c r="F9" s="15">
        <f>J9*D9</f>
        <v>122629.28571428571</v>
      </c>
      <c r="G9" s="15">
        <f>+E9-F9</f>
        <v>-20923.935714285719</v>
      </c>
      <c r="H9" s="14">
        <f>ABS(G9/F9)</f>
        <v>0.1706275592523343</v>
      </c>
      <c r="I9" s="15">
        <f>E9/D9</f>
        <v>1.7772266587449979</v>
      </c>
      <c r="J9" s="15">
        <f>15/7</f>
        <v>2.1428571428571428</v>
      </c>
      <c r="K9" s="15">
        <f t="shared" si="0"/>
        <v>-0.36563048411214494</v>
      </c>
    </row>
    <row r="10" spans="2:12" x14ac:dyDescent="0.25">
      <c r="B10" s="15"/>
      <c r="C10" s="18" t="s">
        <v>16</v>
      </c>
      <c r="D10" s="23">
        <f>SUM(D6:D9)</f>
        <v>95151</v>
      </c>
      <c r="E10" s="19">
        <f>SUM(E6:E9)</f>
        <v>557528.03</v>
      </c>
      <c r="F10" s="19">
        <f>SUM(F6:F9)</f>
        <v>833742.14285714272</v>
      </c>
      <c r="G10" s="19">
        <f>+E10-F10</f>
        <v>-276214.1128571427</v>
      </c>
      <c r="H10" s="20">
        <f>ABS(G10/F10)</f>
        <v>0.33129441185566955</v>
      </c>
      <c r="I10" s="19">
        <f>E10/D10</f>
        <v>5.8594027388046372</v>
      </c>
      <c r="J10" s="19">
        <f>F10/D10</f>
        <v>8.7623056284972591</v>
      </c>
      <c r="K10" s="19">
        <f>I10-J10</f>
        <v>-2.9029028896926219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2025-05-24T03:03:35Z</dcterms:modified>
</cp:coreProperties>
</file>