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5 MAYO\NOCHE\"/>
    </mc:Choice>
  </mc:AlternateContent>
  <xr:revisionPtr revIDLastSave="0" documentId="13_ncr:1_{316DC387-0D11-470D-8D1D-4B770E46BFB2}" xr6:coauthVersionLast="47" xr6:coauthVersionMax="47" xr10:uidLastSave="{00000000-0000-0000-0000-000000000000}"/>
  <bookViews>
    <workbookView xWindow="3885" yWindow="3885" windowWidth="10005" windowHeight="5445" activeTab="2" xr2:uid="{4DC6C92A-CD8A-4966-829B-0B6A986E825B}"/>
  </bookViews>
  <sheets>
    <sheet name="REPORTE DIARIO" sheetId="1" r:id="rId1"/>
    <sheet name="DATA" sheetId="4" r:id="rId2"/>
    <sheet name="EPR 25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J6" i="3"/>
  <c r="D57" i="1"/>
  <c r="D44" i="1"/>
  <c r="C44" i="1"/>
  <c r="C57" i="1"/>
  <c r="D19" i="1" l="1"/>
  <c r="C19" i="1"/>
  <c r="J9" i="3"/>
  <c r="J8" i="3"/>
  <c r="J7" i="3"/>
  <c r="D6" i="3"/>
  <c r="F6" i="3" s="1"/>
  <c r="D49" i="1"/>
  <c r="C49" i="1"/>
  <c r="D36" i="1"/>
  <c r="C3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<sst xmlns="http://schemas.openxmlformats.org/spreadsheetml/2006/main" count="88" uniqueCount="36">
  <si>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</si>
  <si>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</si>
  <si>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</si>
  <si>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</si>
  <si>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</si>
  <si>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</si>
  <si>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</si>
  <si>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</si>
  <si>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</si>
  <si>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</si>
  <si>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</si>
  <si>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</si>
  <si>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</si>
  <si>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</si>
  <si>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</si>
  <si>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</si>
  <si>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</si>
  <si>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</si>
  <si>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</si>
  <si>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</si>
  <si>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</si>
  <si>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</si>
  <si>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</si>
  <si>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</si>
  <si>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</si>
  <si>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</si>
  <si>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</si>
  <si>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</si>
  <si>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</si>
  <si>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</si>
  <si>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</si>
  <si>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</si>
  <si>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</si>
  <si>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</si>
  <si>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</si>
  <si>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25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</si>
</sst>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opLeftCell="A25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4077</v>
      </c>
      <c r="D5" s="25">
        <v>74243.31</v>
      </c>
    </row>
    <row r="6" spans="2:8" x14ac:dyDescent="0.25">
      <c r="B6" s="1" t="s">
        <v>5</v>
      </c>
      <c r="C6" s="6">
        <v>4152</v>
      </c>
      <c r="D6" s="25">
        <v>57885.46</v>
      </c>
    </row>
    <row r="7" spans="2:8" x14ac:dyDescent="0.25">
      <c r="B7" s="1" t="s">
        <v>6</v>
      </c>
      <c r="C7" s="6">
        <v>4246</v>
      </c>
      <c r="D7" s="25">
        <v>50514.080000000002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11389</v>
      </c>
      <c r="D9" s="25">
        <v>64699.22</v>
      </c>
    </row>
    <row r="10" spans="2:8" x14ac:dyDescent="0.25">
      <c r="B10" s="3" t="s">
        <v>8</v>
      </c>
      <c r="C10" s="8">
        <f>SUM(C5:C9)</f>
        <v>23875</v>
      </c>
      <c r="D10" s="4">
        <f>SUM(D5:D9)</f>
        <v>247342.06999999998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2407</v>
      </c>
      <c r="D14" s="25">
        <v>25417.96</v>
      </c>
    </row>
    <row r="15" spans="2:8" x14ac:dyDescent="0.25">
      <c r="B15" s="1" t="s">
        <v>5</v>
      </c>
      <c r="C15" s="6">
        <v>2109</v>
      </c>
      <c r="D15" s="25">
        <v>19797.489999999998</v>
      </c>
    </row>
    <row r="16" spans="2:8" x14ac:dyDescent="0.25">
      <c r="B16" s="1" t="s">
        <v>6</v>
      </c>
      <c r="C16" s="6">
        <v>2109</v>
      </c>
      <c r="D16" s="25">
        <v>55207.24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20952</v>
      </c>
      <c r="D18" s="25">
        <v>24924.03</v>
      </c>
    </row>
    <row r="19" spans="2:11" x14ac:dyDescent="0.25">
      <c r="B19" s="3" t="s">
        <v>8</v>
      </c>
      <c r="C19" s="8">
        <f>SUM(C14:C18)</f>
        <v>27579</v>
      </c>
      <c r="D19" s="4">
        <f>SUM(D14:D18)</f>
        <v>125346.72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3325</v>
      </c>
      <c r="D23" s="25">
        <v>58387.650000000009</v>
      </c>
    </row>
    <row r="24" spans="2:11" x14ac:dyDescent="0.25">
      <c r="B24" s="9" t="s">
        <v>5</v>
      </c>
      <c r="C24" s="6">
        <v>1476</v>
      </c>
      <c r="D24" s="25">
        <v>31838.95</v>
      </c>
    </row>
    <row r="25" spans="2:11" x14ac:dyDescent="0.25">
      <c r="B25" s="9" t="s">
        <v>6</v>
      </c>
      <c r="C25" s="6">
        <v>2145</v>
      </c>
      <c r="D25" s="25">
        <v>4232</v>
      </c>
    </row>
    <row r="26" spans="2:11" x14ac:dyDescent="0.25">
      <c r="B26" s="5" t="s">
        <v>12</v>
      </c>
      <c r="C26" s="7">
        <v>1</v>
      </c>
      <c r="D26" s="26">
        <v>0</v>
      </c>
      <c r="K26" s="7"/>
    </row>
    <row r="27" spans="2:11" x14ac:dyDescent="0.25">
      <c r="B27" s="9" t="s">
        <v>7</v>
      </c>
      <c r="C27" s="6">
        <v>17181</v>
      </c>
      <c r="D27" s="25">
        <v>7316</v>
      </c>
    </row>
    <row r="28" spans="2:11" x14ac:dyDescent="0.25">
      <c r="B28" s="10" t="s">
        <v>8</v>
      </c>
      <c r="C28" s="8">
        <f>SUM(C23:C27)</f>
        <v>24128</v>
      </c>
      <c r="D28" s="4">
        <f>SUM(D23:D27)</f>
        <v>101774.6</v>
      </c>
    </row>
    <row r="30" spans="2:11" x14ac:dyDescent="0.25">
      <c r="B30" s="27" t="s">
        <v>9</v>
      </c>
      <c r="C30" s="27"/>
      <c r="D30" s="27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220</v>
      </c>
      <c r="D32" s="25">
        <v>13141.380000000001</v>
      </c>
    </row>
    <row r="33" spans="2:4" x14ac:dyDescent="0.25">
      <c r="B33" s="9" t="s">
        <v>5</v>
      </c>
      <c r="C33" s="6">
        <v>3350</v>
      </c>
      <c r="D33" s="25">
        <v>24095.48</v>
      </c>
    </row>
    <row r="34" spans="2:4" x14ac:dyDescent="0.25">
      <c r="B34" s="9" t="s">
        <v>6</v>
      </c>
      <c r="C34" s="6">
        <v>269</v>
      </c>
      <c r="D34" s="25">
        <v>1369</v>
      </c>
    </row>
    <row r="35" spans="2:4" x14ac:dyDescent="0.25">
      <c r="B35" s="9" t="s">
        <v>7</v>
      </c>
      <c r="C35" s="6">
        <v>3972</v>
      </c>
      <c r="D35" s="25">
        <v>4710</v>
      </c>
    </row>
    <row r="36" spans="2:4" x14ac:dyDescent="0.25">
      <c r="B36" s="10" t="s">
        <v>8</v>
      </c>
      <c r="C36" s="8">
        <f>SUM(C32:C35)</f>
        <v>7811</v>
      </c>
      <c r="D36" s="4">
        <f>SUM(D32:D35)</f>
        <v>43315.86</v>
      </c>
    </row>
    <row r="38" spans="2:4" x14ac:dyDescent="0.25">
      <c r="B38" s="27" t="s">
        <v>31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922</v>
      </c>
      <c r="D40" s="25">
        <v>7396</v>
      </c>
    </row>
    <row r="41" spans="2:4" x14ac:dyDescent="0.25">
      <c r="B41" s="1" t="s">
        <v>5</v>
      </c>
      <c r="C41" s="6">
        <v>982</v>
      </c>
      <c r="D41" s="25">
        <v>5057</v>
      </c>
    </row>
    <row r="42" spans="2:4" x14ac:dyDescent="0.25">
      <c r="B42" s="1" t="s">
        <v>6</v>
      </c>
      <c r="C42" s="6">
        <v>1551</v>
      </c>
      <c r="D42" s="25">
        <v>1500</v>
      </c>
    </row>
    <row r="43" spans="2:4" x14ac:dyDescent="0.25">
      <c r="B43" s="1" t="s">
        <v>7</v>
      </c>
      <c r="C43" s="6">
        <v>1875</v>
      </c>
      <c r="D43" s="25">
        <v>11245</v>
      </c>
    </row>
    <row r="44" spans="2:4" x14ac:dyDescent="0.25">
      <c r="B44" s="3" t="s">
        <v>8</v>
      </c>
      <c r="C44" s="8">
        <f>SUM(C40:C43)</f>
        <v>5330</v>
      </c>
      <c r="D44" s="4">
        <f>SUM(D40:D43)</f>
        <v>25198</v>
      </c>
    </row>
    <row r="46" spans="2:4" x14ac:dyDescent="0.25">
      <c r="B46" s="28" t="s">
        <v>11</v>
      </c>
      <c r="C46" s="28"/>
      <c r="D46" s="28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2734</v>
      </c>
      <c r="D48" s="25">
        <v>7480</v>
      </c>
    </row>
    <row r="49" spans="2:4" x14ac:dyDescent="0.25">
      <c r="B49" s="10" t="s">
        <v>8</v>
      </c>
      <c r="C49" s="8">
        <f>SUM(C48:C48)</f>
        <v>2734</v>
      </c>
      <c r="D49" s="4">
        <f>SUM(D48:D48)</f>
        <v>7480</v>
      </c>
    </row>
    <row r="51" spans="2:4" x14ac:dyDescent="0.25">
      <c r="B51" s="27" t="s">
        <v>30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598</v>
      </c>
      <c r="D53" s="25">
        <v>4475</v>
      </c>
    </row>
    <row r="54" spans="2:4" x14ac:dyDescent="0.25">
      <c r="B54" s="1" t="s">
        <v>5</v>
      </c>
      <c r="C54" s="6">
        <v>865</v>
      </c>
      <c r="D54" s="26">
        <v>0</v>
      </c>
    </row>
    <row r="55" spans="2:4" x14ac:dyDescent="0.25">
      <c r="B55" s="1" t="s">
        <v>6</v>
      </c>
      <c r="C55" s="6">
        <v>809</v>
      </c>
      <c r="D55" s="26">
        <v>0</v>
      </c>
    </row>
    <row r="56" spans="2:4" x14ac:dyDescent="0.25">
      <c r="B56" s="1" t="s">
        <v>7</v>
      </c>
      <c r="C56" s="6">
        <v>2472</v>
      </c>
      <c r="D56" s="25">
        <v>1885</v>
      </c>
    </row>
    <row r="57" spans="2:4" x14ac:dyDescent="0.25">
      <c r="B57" s="3" t="s">
        <v>8</v>
      </c>
      <c r="C57" s="8">
        <f>SUM(C53:C56)</f>
        <v>4744</v>
      </c>
      <c r="D57" s="4">
        <f>SUM(D53:D56)</f>
        <v>6360</v>
      </c>
    </row>
    <row r="59" spans="2:4" x14ac:dyDescent="0.25">
      <c r="B59" s="11" t="s">
        <v>13</v>
      </c>
      <c r="C59" s="12">
        <f>SUM(C10+C36+C28+C49+C19+C57+C44)</f>
        <v>96201</v>
      </c>
      <c r="D59" s="12">
        <f>SUM(D10+D36+D28+D49+D19+D57+D44)</f>
        <v>556817.25</v>
      </c>
    </row>
  </sheetData>
  <mergeCells count="7">
    <mergeCell ref="B3:D3"/>
    <mergeCell ref="B30:D30"/>
    <mergeCell ref="B46:D46"/>
    <mergeCell ref="B51:D51"/>
    <mergeCell ref="B12:D12"/>
    <mergeCell ref="B21:D21"/>
    <mergeCell ref="B38:D38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25 MAYO'!C6, 'REPORTE DIARIO'!C:C)</f>
        <v>14283</v>
      </c>
      <c r="E6" s="15">
        <f>SUMIF('REPORTE DIARIO'!B:B,'EPR 25 MAYO'!C6, 'REPORTE DIARIO'!D:D)</f>
        <v>190541.3</v>
      </c>
      <c r="F6" s="15">
        <f>J6*D6</f>
        <v>448894.28571428568</v>
      </c>
      <c r="G6" s="15">
        <f>+E6-F6</f>
        <v>-258352.98571428569</v>
      </c>
      <c r="H6" s="14">
        <f>ABS(G6/F6)</f>
        <v>0.57553191015383831</v>
      </c>
      <c r="I6" s="15">
        <f>E6/D6</f>
        <v>13.340425680879367</v>
      </c>
      <c r="J6" s="15">
        <f>220/7</f>
        <v>31.428571428571427</v>
      </c>
      <c r="K6" s="15">
        <f>+I6-J6</f>
        <v>-18.08814574769206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25 MAYO'!C7, 'REPORTE DIARIO'!C:C)</f>
        <v>12934</v>
      </c>
      <c r="E7" s="15">
        <f>SUMIF('REPORTE DIARIO'!B:B,'EPR 25 MAYO'!C7, 'REPORTE DIARIO'!D:D)</f>
        <v>138674.38</v>
      </c>
      <c r="F7" s="15">
        <f>J7*D7</f>
        <v>203248.57142857142</v>
      </c>
      <c r="G7" s="15">
        <f>+E7-F7</f>
        <v>-64574.191428571416</v>
      </c>
      <c r="H7" s="14">
        <f>ABS(G7/F7)</f>
        <v>0.31771043198335602</v>
      </c>
      <c r="I7" s="15">
        <f>E7/D7</f>
        <v>10.72169321169012</v>
      </c>
      <c r="J7" s="15">
        <f>110/7</f>
        <v>15.714285714285714</v>
      </c>
      <c r="K7" s="15">
        <f t="shared" ref="K7:K9" si="0">+I7-J7</f>
        <v>-4.9925925025955937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25 MAYO'!C8, 'REPORTE DIARIO'!C:C)</f>
        <v>11129</v>
      </c>
      <c r="E8" s="15">
        <f>SUMIF('REPORTE DIARIO'!B:B,'EPR 25 MAYO'!C8, 'REPORTE DIARIO'!D:D)</f>
        <v>112822.32</v>
      </c>
      <c r="F8" s="15">
        <f>J8*D8</f>
        <v>71543.571428571435</v>
      </c>
      <c r="G8" s="15">
        <f>+E8-F8</f>
        <v>41278.748571428572</v>
      </c>
      <c r="H8" s="14">
        <f>ABS(G8/F8)</f>
        <v>0.57697355258034555</v>
      </c>
      <c r="I8" s="15">
        <f>E8/D8</f>
        <v>10.137687123730794</v>
      </c>
      <c r="J8" s="15">
        <f>45/7</f>
        <v>6.4285714285714288</v>
      </c>
      <c r="K8" s="15">
        <f t="shared" si="0"/>
        <v>3.7091156951593653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25 MAYO'!C9, 'REPORTE DIARIO'!C:C)</f>
        <v>57841</v>
      </c>
      <c r="E9" s="15">
        <f>SUMIF('REPORTE DIARIO'!B:B,'EPR 25 MAYO'!C9, 'REPORTE DIARIO'!D:D)</f>
        <v>114779.25</v>
      </c>
      <c r="F9" s="15">
        <f>J9*D9</f>
        <v>123945</v>
      </c>
      <c r="G9" s="15">
        <f>+E9-F9</f>
        <v>-9165.75</v>
      </c>
      <c r="H9" s="14">
        <f>ABS(G9/F9)</f>
        <v>7.3950139174633917E-2</v>
      </c>
      <c r="I9" s="15">
        <f>E9/D9</f>
        <v>1.9843925589114988</v>
      </c>
      <c r="J9" s="15">
        <f>15/7</f>
        <v>2.1428571428571428</v>
      </c>
      <c r="K9" s="15">
        <f t="shared" si="0"/>
        <v>-0.158464583945644</v>
      </c>
    </row>
    <row r="10" spans="2:12" x14ac:dyDescent="0.25">
      <c r="B10" s="15"/>
      <c r="C10" s="18" t="s">
        <v>16</v>
      </c>
      <c r="D10" s="23">
        <f>SUM(D6:D9)</f>
        <v>96187</v>
      </c>
      <c r="E10" s="19">
        <f>SUM(E6:E9)</f>
        <v>556817.25</v>
      </c>
      <c r="F10" s="19">
        <f>SUM(F6:F9)</f>
        <v>847631.42857142852</v>
      </c>
      <c r="G10" s="19">
        <f>+E10-F10</f>
        <v>-290814.17857142852</v>
      </c>
      <c r="H10" s="20">
        <f>ABS(G10/F10)</f>
        <v>0.34309036778114471</v>
      </c>
      <c r="I10" s="19">
        <f>E10/D10</f>
        <v>5.7889033861124686</v>
      </c>
      <c r="J10" s="19">
        <f>F10/D10</f>
        <v>8.8123283663221486</v>
      </c>
      <c r="K10" s="19">
        <f>I10-J10</f>
        <v>-3.02342498020968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25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2025-05-26T02:01:26Z</dcterms:modified>
</cp:coreProperties>
</file>