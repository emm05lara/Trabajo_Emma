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0 MAYO\NOCHE\"/>
    </mc:Choice>
  </mc:AlternateContent>
  <xr:revisionPtr revIDLastSave="0" documentId="13_ncr:1_{AEE44245-309B-4075-98F1-24B633184F0A}" xr6:coauthVersionLast="47" xr6:coauthVersionMax="47" xr10:uidLastSave="{00000000-0000-0000-0000-000000000000}"/>
  <bookViews>
    <workbookView xWindow="9150" yWindow="9150" windowWidth="10005" windowHeight="5445" xr2:uid="{4DC6C92A-CD8A-4966-829B-0B6A986E825B}"/>
  </bookViews>
  <sheets>
    <sheet name="REPORTE DIARIO" sheetId="1" r:id="rId1"/>
    <sheet name="DATA" sheetId="4" r:id="rId2"/>
    <sheet name="EPR 20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57" i="1"/>
  <c r="C57" i="1"/>
  <c r="D36" i="1"/>
  <c r="C36" i="1"/>
  <c r="D41" i="1" l="1"/>
  <c r="C41" i="1"/>
  <c r="D49" i="1"/>
  <c r="C49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<sst xmlns="http://schemas.openxmlformats.org/spreadsheetml/2006/main" count="89" uniqueCount="37">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</sst>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4" zoomScaleNormal="100" workbookViewId="0">
      <selection activeCell="D53" sqref="D5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4151</v>
      </c>
      <c r="D5" s="25">
        <v>129290.06</v>
      </c>
    </row>
    <row r="6" spans="2:8" x14ac:dyDescent="0.25">
      <c r="B6" s="1" t="s">
        <v>5</v>
      </c>
      <c r="C6" s="6">
        <v>4374</v>
      </c>
      <c r="D6" s="25">
        <v>149200.85</v>
      </c>
    </row>
    <row r="7" spans="2:8" x14ac:dyDescent="0.25">
      <c r="B7" s="1" t="s">
        <v>6</v>
      </c>
      <c r="C7" s="6">
        <v>4307</v>
      </c>
      <c r="D7" s="25">
        <v>56010</v>
      </c>
    </row>
    <row r="8" spans="2:8" x14ac:dyDescent="0.25">
      <c r="B8" s="5" t="s">
        <v>12</v>
      </c>
      <c r="C8" s="7">
        <v>12</v>
      </c>
      <c r="D8" s="27">
        <v>0</v>
      </c>
    </row>
    <row r="9" spans="2:8" x14ac:dyDescent="0.25">
      <c r="B9" s="1" t="s">
        <v>7</v>
      </c>
      <c r="C9" s="6">
        <v>11375</v>
      </c>
      <c r="D9" s="25">
        <v>125411.99</v>
      </c>
      <c r="E9" s="14"/>
      <c r="F9" s="7"/>
    </row>
    <row r="10" spans="2:8" x14ac:dyDescent="0.25">
      <c r="B10" s="3" t="s">
        <v>8</v>
      </c>
      <c r="C10" s="8">
        <f>SUM(C5:C9)</f>
        <v>24219</v>
      </c>
      <c r="D10" s="4">
        <f>SUM(D5:D9)</f>
        <v>459912.9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3308</v>
      </c>
      <c r="D14" s="25">
        <v>121935.23999999999</v>
      </c>
    </row>
    <row r="15" spans="2:8" x14ac:dyDescent="0.25">
      <c r="B15" s="9" t="s">
        <v>5</v>
      </c>
      <c r="C15" s="6">
        <v>1486</v>
      </c>
      <c r="D15" s="25">
        <v>23790</v>
      </c>
    </row>
    <row r="16" spans="2:8" x14ac:dyDescent="0.25">
      <c r="B16" s="9" t="s">
        <v>6</v>
      </c>
      <c r="C16" s="6">
        <v>2158</v>
      </c>
      <c r="D16" s="25">
        <v>24675.68</v>
      </c>
    </row>
    <row r="17" spans="2:4" x14ac:dyDescent="0.25">
      <c r="B17" s="5" t="s">
        <v>12</v>
      </c>
      <c r="C17" s="7">
        <v>1</v>
      </c>
      <c r="D17" s="27">
        <v>0</v>
      </c>
    </row>
    <row r="18" spans="2:4" x14ac:dyDescent="0.25">
      <c r="B18" s="9" t="s">
        <v>7</v>
      </c>
      <c r="C18" s="6">
        <v>17193</v>
      </c>
      <c r="D18" s="25">
        <v>21588</v>
      </c>
    </row>
    <row r="19" spans="2:4" x14ac:dyDescent="0.25">
      <c r="B19" s="10" t="s">
        <v>8</v>
      </c>
      <c r="C19" s="8">
        <f>SUM(C14:C18)</f>
        <v>24146</v>
      </c>
      <c r="D19" s="4">
        <f>SUM(D14:D18)</f>
        <v>191988.91999999998</v>
      </c>
    </row>
    <row r="21" spans="2:4" x14ac:dyDescent="0.25">
      <c r="B21" s="29" t="s">
        <v>30</v>
      </c>
      <c r="C21" s="29"/>
      <c r="D21" s="29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2030</v>
      </c>
      <c r="D23" s="25">
        <v>47530.25</v>
      </c>
    </row>
    <row r="24" spans="2:4" x14ac:dyDescent="0.25">
      <c r="B24" s="1" t="s">
        <v>5</v>
      </c>
      <c r="C24" s="6">
        <v>2074</v>
      </c>
      <c r="D24" s="25">
        <v>22240</v>
      </c>
    </row>
    <row r="25" spans="2:4" x14ac:dyDescent="0.25">
      <c r="B25" s="1" t="s">
        <v>6</v>
      </c>
      <c r="C25" s="6">
        <v>2164</v>
      </c>
      <c r="D25" s="25">
        <v>62742.34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20791</v>
      </c>
      <c r="D27" s="25">
        <v>20281</v>
      </c>
    </row>
    <row r="28" spans="2:4" x14ac:dyDescent="0.25">
      <c r="B28" s="3" t="s">
        <v>8</v>
      </c>
      <c r="C28" s="8">
        <f>SUM(C23:C27)</f>
        <v>27061</v>
      </c>
      <c r="D28" s="4">
        <f>SUM(D23:D27)</f>
        <v>152793.59</v>
      </c>
    </row>
    <row r="30" spans="2:4" x14ac:dyDescent="0.25">
      <c r="B30" s="29" t="s">
        <v>31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509</v>
      </c>
      <c r="D32" s="25">
        <v>10041</v>
      </c>
    </row>
    <row r="33" spans="2:4" x14ac:dyDescent="0.25">
      <c r="B33" s="1" t="s">
        <v>5</v>
      </c>
      <c r="C33" s="6">
        <v>850</v>
      </c>
      <c r="D33" s="25">
        <v>8633</v>
      </c>
    </row>
    <row r="34" spans="2:4" x14ac:dyDescent="0.25">
      <c r="B34" s="1" t="s">
        <v>6</v>
      </c>
      <c r="C34" s="6">
        <v>775</v>
      </c>
      <c r="D34" s="25">
        <v>1052</v>
      </c>
    </row>
    <row r="35" spans="2:4" x14ac:dyDescent="0.25">
      <c r="B35" s="1" t="s">
        <v>7</v>
      </c>
      <c r="C35" s="6">
        <v>2414</v>
      </c>
      <c r="D35" s="25">
        <v>61684</v>
      </c>
    </row>
    <row r="36" spans="2:4" x14ac:dyDescent="0.25">
      <c r="B36" s="3" t="s">
        <v>8</v>
      </c>
      <c r="C36" s="8">
        <f>SUM(C32:C35)</f>
        <v>4548</v>
      </c>
      <c r="D36" s="4">
        <f>SUM(D32:D35)</f>
        <v>81410</v>
      </c>
    </row>
    <row r="38" spans="2:4" x14ac:dyDescent="0.25">
      <c r="B38" s="28" t="s">
        <v>11</v>
      </c>
      <c r="C38" s="28"/>
      <c r="D38" s="28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2128</v>
      </c>
      <c r="D40" s="25">
        <v>40440</v>
      </c>
    </row>
    <row r="41" spans="2:4" x14ac:dyDescent="0.25">
      <c r="B41" s="10" t="s">
        <v>8</v>
      </c>
      <c r="C41" s="8">
        <f>SUM(C40:C40)</f>
        <v>2128</v>
      </c>
      <c r="D41" s="4">
        <f>SUM(D40:D40)</f>
        <v>40440</v>
      </c>
    </row>
    <row r="43" spans="2:4" x14ac:dyDescent="0.25">
      <c r="B43" s="29" t="s">
        <v>9</v>
      </c>
      <c r="C43" s="29"/>
      <c r="D43" s="29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227</v>
      </c>
      <c r="D45" s="25">
        <v>31934.18</v>
      </c>
    </row>
    <row r="46" spans="2:4" x14ac:dyDescent="0.25">
      <c r="B46" s="9" t="s">
        <v>5</v>
      </c>
      <c r="C46" s="6">
        <v>3222</v>
      </c>
      <c r="D46" s="25">
        <v>80693.05</v>
      </c>
    </row>
    <row r="47" spans="2:4" x14ac:dyDescent="0.25">
      <c r="B47" s="9" t="s">
        <v>6</v>
      </c>
      <c r="C47" s="6">
        <v>626</v>
      </c>
      <c r="D47" s="25">
        <v>42692</v>
      </c>
    </row>
    <row r="48" spans="2:4" x14ac:dyDescent="0.25">
      <c r="B48" s="9" t="s">
        <v>7</v>
      </c>
      <c r="C48" s="6">
        <v>3969</v>
      </c>
      <c r="D48" s="25">
        <v>3000</v>
      </c>
    </row>
    <row r="49" spans="2:4" x14ac:dyDescent="0.25">
      <c r="B49" s="10" t="s">
        <v>8</v>
      </c>
      <c r="C49" s="8">
        <f>SUM(C45:C48)</f>
        <v>8044</v>
      </c>
      <c r="D49" s="4">
        <f>SUM(D45:D48)</f>
        <v>158319.23000000001</v>
      </c>
    </row>
    <row r="51" spans="2:4" x14ac:dyDescent="0.25">
      <c r="B51" s="29" t="s">
        <v>32</v>
      </c>
      <c r="C51" s="29"/>
      <c r="D51" s="29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1000</v>
      </c>
    </row>
    <row r="54" spans="2:4" x14ac:dyDescent="0.25">
      <c r="B54" s="1" t="s">
        <v>5</v>
      </c>
      <c r="C54" s="6">
        <v>698</v>
      </c>
      <c r="D54" s="25">
        <v>2906</v>
      </c>
    </row>
    <row r="55" spans="2:4" x14ac:dyDescent="0.25">
      <c r="B55" s="1" t="s">
        <v>6</v>
      </c>
      <c r="C55" s="6">
        <v>1198</v>
      </c>
      <c r="D55" s="25">
        <v>3122</v>
      </c>
    </row>
    <row r="56" spans="2:4" x14ac:dyDescent="0.25">
      <c r="B56" s="1" t="s">
        <v>7</v>
      </c>
      <c r="C56" s="6">
        <v>1310</v>
      </c>
      <c r="D56" s="25">
        <v>1645</v>
      </c>
    </row>
    <row r="57" spans="2:4" x14ac:dyDescent="0.25">
      <c r="B57" s="3" t="s">
        <v>8</v>
      </c>
      <c r="C57" s="8">
        <f>SUM(C53:C56)</f>
        <v>3793</v>
      </c>
      <c r="D57" s="4">
        <f>SUM(D53:D56)</f>
        <v>8673</v>
      </c>
    </row>
    <row r="59" spans="2:4" x14ac:dyDescent="0.25">
      <c r="B59" s="12" t="s">
        <v>13</v>
      </c>
      <c r="C59" s="13">
        <f>SUM(C10+C19+C49+C41+C28+C36+C57)</f>
        <v>93939</v>
      </c>
      <c r="D59" s="13">
        <f>SUM(D10+D19+D49+D41+D28+D36+D57)</f>
        <v>1093537.6400000001</v>
      </c>
    </row>
  </sheetData>
  <mergeCells count="7">
    <mergeCell ref="B38:D38"/>
    <mergeCell ref="B51:D51"/>
    <mergeCell ref="B21:D21"/>
    <mergeCell ref="B30:D30"/>
    <mergeCell ref="B3:D3"/>
    <mergeCell ref="B12:D12"/>
    <mergeCell ref="B43:D43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20 MAYO'!C6, 'REPORTE DIARIO'!C:C)</f>
        <v>12940</v>
      </c>
      <c r="E6" s="16">
        <f>SUMIF('REPORTE DIARIO'!B:B,'EPR 20 MAYO'!C6, 'REPORTE DIARIO'!D:D)</f>
        <v>382170.73</v>
      </c>
      <c r="F6" s="16">
        <f>J6*D6</f>
        <v>813371.42857142852</v>
      </c>
      <c r="G6" s="16">
        <f>+E6-F6</f>
        <v>-431200.69857142854</v>
      </c>
      <c r="H6" s="15">
        <f>ABS(G6/F6)</f>
        <v>0.53013996241393846</v>
      </c>
      <c r="I6" s="16">
        <f>E6/D6</f>
        <v>29.53405950540958</v>
      </c>
      <c r="J6" s="16">
        <f>(220/7)*2</f>
        <v>62.857142857142854</v>
      </c>
      <c r="K6" s="16">
        <f>+I6-J6</f>
        <v>-33.323083351733274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20 MAYO'!C7, 'REPORTE DIARIO'!C:C)</f>
        <v>12704</v>
      </c>
      <c r="E7" s="16">
        <f>SUMIF('REPORTE DIARIO'!B:B,'EPR 20 MAYO'!C7, 'REPORTE DIARIO'!D:D)</f>
        <v>287462.90000000002</v>
      </c>
      <c r="F7" s="16">
        <f>J7*D7</f>
        <v>399268.57142857142</v>
      </c>
      <c r="G7" s="16">
        <f>+E7-F7</f>
        <v>-111805.6714285714</v>
      </c>
      <c r="H7" s="15">
        <f>ABS(G7/F7)</f>
        <v>0.28002622652850923</v>
      </c>
      <c r="I7" s="16">
        <f>E7/D7</f>
        <v>22.627747166246852</v>
      </c>
      <c r="J7" s="16">
        <f>(110/7)*2</f>
        <v>31.428571428571427</v>
      </c>
      <c r="K7" s="16">
        <f t="shared" ref="K7:K9" si="0">+I7-J7</f>
        <v>-8.8008242623245749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20 MAYO'!C8, 'REPORTE DIARIO'!C:C)</f>
        <v>11228</v>
      </c>
      <c r="E8" s="16">
        <f>SUMIF('REPORTE DIARIO'!B:B,'EPR 20 MAYO'!C8, 'REPORTE DIARIO'!D:D)</f>
        <v>190294.02</v>
      </c>
      <c r="F8" s="16">
        <f>J8*D8</f>
        <v>144360</v>
      </c>
      <c r="G8" s="16">
        <f>+E8-F8</f>
        <v>45934.01999999999</v>
      </c>
      <c r="H8" s="15">
        <f>ABS(G8/F8)</f>
        <v>0.31819077306733162</v>
      </c>
      <c r="I8" s="16">
        <f>E8/D8</f>
        <v>16.948167082294262</v>
      </c>
      <c r="J8" s="16">
        <f>(45/7)*2</f>
        <v>12.857142857142858</v>
      </c>
      <c r="K8" s="16">
        <f t="shared" si="0"/>
        <v>4.0910242251514042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20 MAYO'!C9, 'REPORTE DIARIO'!C:C)</f>
        <v>57052</v>
      </c>
      <c r="E9" s="16">
        <f>SUMIF('REPORTE DIARIO'!B:B,'EPR 20 MAYO'!C9, 'REPORTE DIARIO'!D:D)</f>
        <v>233609.99</v>
      </c>
      <c r="F9" s="16">
        <f>J9*D9</f>
        <v>244508.57142857142</v>
      </c>
      <c r="G9" s="16">
        <f>+E9-F9</f>
        <v>-10898.58142857143</v>
      </c>
      <c r="H9" s="15">
        <f>ABS(G9/F9)</f>
        <v>4.4573412559302632E-2</v>
      </c>
      <c r="I9" s="16">
        <f>E9/D9</f>
        <v>4.094685374745846</v>
      </c>
      <c r="J9" s="16">
        <f>(15/7)*2</f>
        <v>4.2857142857142856</v>
      </c>
      <c r="K9" s="16">
        <f t="shared" si="0"/>
        <v>-0.19102891096843955</v>
      </c>
    </row>
    <row r="10" spans="2:12" x14ac:dyDescent="0.25">
      <c r="B10" s="16"/>
      <c r="C10" s="19" t="s">
        <v>17</v>
      </c>
      <c r="D10" s="24">
        <f>SUM(D6:D9)</f>
        <v>93924</v>
      </c>
      <c r="E10" s="20">
        <f>SUM(E6:E9)</f>
        <v>1093537.6400000001</v>
      </c>
      <c r="F10" s="20">
        <f>SUM(F6:F9)</f>
        <v>1601508.5714285714</v>
      </c>
      <c r="G10" s="20">
        <f>+E10-F10</f>
        <v>-507970.93142857123</v>
      </c>
      <c r="H10" s="21">
        <f>ABS(G10/F10)</f>
        <v>0.31718277409870682</v>
      </c>
      <c r="I10" s="20">
        <f>E10/D10</f>
        <v>11.642792470508072</v>
      </c>
      <c r="J10" s="20">
        <f>F10/D10</f>
        <v>17.051111232790035</v>
      </c>
      <c r="K10" s="20">
        <f>I10-J10</f>
        <v>-5.4083187622819633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2025-05-19T02:20:45Z</cp:lastPrinted>
  <dcterms:created xsi:type="dcterms:W3CDTF">2025-01-27T15:11:28Z</dcterms:created>
  <dcterms:modified xsi:type="dcterms:W3CDTF">2025-05-21T02:10:33Z</dcterms:modified>
</cp:coreProperties>
</file>