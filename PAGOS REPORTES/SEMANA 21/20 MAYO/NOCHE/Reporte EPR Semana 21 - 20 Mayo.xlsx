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0 MAYO\NOCHE\"/>
    </mc:Choice>
  </mc:AlternateContent>
  <xr:revisionPtr revIDLastSave="0" documentId="13_ncr:1_{F0717A6E-8917-4A62-9E91-FB8D1FF1A5A4}" xr6:coauthVersionLast="47" xr6:coauthVersionMax="47" xr10:uidLastSave="{00000000-0000-0000-0000-000000000000}"/>
  <bookViews>
    <workbookView xWindow="8805" yWindow="8805" windowWidth="10005" windowHeight="5445" xr2:uid="{4DC6C92A-CD8A-4966-829B-0B6A986E825B}"/>
  </bookViews>
  <sheets>
    <sheet name="REPORTE DIARIO" sheetId="1" r:id="rId1"/>
    <sheet name="DATA" sheetId="4" r:id="rId2"/>
    <sheet name="EPR 20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C27" i="1"/>
  <c r="J6" i="3"/>
  <c r="D44" i="1"/>
  <c r="D57" i="1"/>
  <c r="C57" i="1"/>
  <c r="C44" i="1"/>
  <c r="D36" i="1" l="1"/>
  <c r="C36" i="1"/>
  <c r="J9" i="3"/>
  <c r="J8" i="3"/>
  <c r="J7" i="3"/>
  <c r="D6" i="3"/>
  <c r="F6" i="3" s="1"/>
  <c r="D49" i="1"/>
  <c r="C49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<sst xmlns="http://schemas.openxmlformats.org/spreadsheetml/2006/main" count="88" uniqueCount="36">
  <si>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</si>
  <si>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</si>
  <si>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</si>
  <si>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</si>
  <si>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</si>
  <si>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</si>
  <si>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</si>
  <si>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</si>
  <si>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</si>
  <si>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</si>
  <si>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</si>
  <si>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</si>
  <si>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</si>
  <si>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</si>
  <si>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</si>
  <si>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</si>
  <si>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</si>
  <si>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</si>
  <si>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</si>
  <si>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</si>
  <si>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</si>
  <si>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</si>
  <si>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</si>
  <si>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</si>
  <si>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</si>
  <si>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</si>
  <si>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</si>
  <si>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</si>
  <si>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</si>
  <si>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</si>
  <si>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</si>
  <si>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</si>
  <si>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</si>
  <si>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</si>
  <si>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</si>
  <si>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20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</si>
</sst>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37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4151</v>
      </c>
      <c r="D5" s="25">
        <v>64447.5</v>
      </c>
    </row>
    <row r="6" spans="2:8" x14ac:dyDescent="0.25">
      <c r="B6" s="1" t="s">
        <v>5</v>
      </c>
      <c r="C6" s="6">
        <v>4374</v>
      </c>
      <c r="D6" s="25">
        <v>98580.85</v>
      </c>
    </row>
    <row r="7" spans="2:8" x14ac:dyDescent="0.25">
      <c r="B7" s="1" t="s">
        <v>6</v>
      </c>
      <c r="C7" s="6">
        <v>4307</v>
      </c>
      <c r="D7" s="25">
        <v>20082</v>
      </c>
    </row>
    <row r="8" spans="2:8" x14ac:dyDescent="0.25">
      <c r="B8" s="5" t="s">
        <v>12</v>
      </c>
      <c r="C8" s="7">
        <v>12</v>
      </c>
      <c r="D8" s="26">
        <v>0</v>
      </c>
    </row>
    <row r="9" spans="2:8" x14ac:dyDescent="0.25">
      <c r="B9" s="1" t="s">
        <v>7</v>
      </c>
      <c r="C9" s="6">
        <v>11375</v>
      </c>
      <c r="D9" s="25">
        <v>41224.979999999996</v>
      </c>
    </row>
    <row r="10" spans="2:8" x14ac:dyDescent="0.25">
      <c r="B10" s="3" t="s">
        <v>8</v>
      </c>
      <c r="C10" s="8">
        <f>SUM(C5:C9)</f>
        <v>24219</v>
      </c>
      <c r="D10" s="4">
        <f>SUM(D5:D9)</f>
        <v>224335.33000000002</v>
      </c>
    </row>
    <row r="12" spans="2:8" x14ac:dyDescent="0.25">
      <c r="B12" s="27" t="s">
        <v>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227</v>
      </c>
      <c r="D14" s="25">
        <v>22652.18</v>
      </c>
    </row>
    <row r="15" spans="2:8" x14ac:dyDescent="0.25">
      <c r="B15" s="9" t="s">
        <v>5</v>
      </c>
      <c r="C15" s="6">
        <v>3222</v>
      </c>
      <c r="D15" s="25">
        <v>67666</v>
      </c>
    </row>
    <row r="16" spans="2:8" x14ac:dyDescent="0.25">
      <c r="B16" s="9" t="s">
        <v>6</v>
      </c>
      <c r="C16" s="6">
        <v>626</v>
      </c>
      <c r="D16" s="25">
        <v>41317</v>
      </c>
    </row>
    <row r="17" spans="2:11" x14ac:dyDescent="0.25">
      <c r="B17" s="9" t="s">
        <v>7</v>
      </c>
      <c r="C17" s="6">
        <v>3969</v>
      </c>
      <c r="D17" s="25">
        <v>2000</v>
      </c>
    </row>
    <row r="18" spans="2:11" x14ac:dyDescent="0.25">
      <c r="B18" s="10" t="s">
        <v>8</v>
      </c>
      <c r="C18" s="8">
        <f>SUM(C14:C17)</f>
        <v>8044</v>
      </c>
      <c r="D18" s="4">
        <f>SUM(D14:D17)</f>
        <v>133635.18</v>
      </c>
    </row>
    <row r="20" spans="2:11" x14ac:dyDescent="0.25">
      <c r="B20" s="28" t="s">
        <v>10</v>
      </c>
      <c r="C20" s="28"/>
      <c r="D20" s="28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3308</v>
      </c>
      <c r="D22" s="25">
        <v>63175.009999999995</v>
      </c>
    </row>
    <row r="23" spans="2:11" x14ac:dyDescent="0.25">
      <c r="B23" s="9" t="s">
        <v>5</v>
      </c>
      <c r="C23" s="6">
        <v>1486</v>
      </c>
      <c r="D23" s="25">
        <v>4428</v>
      </c>
    </row>
    <row r="24" spans="2:11" x14ac:dyDescent="0.25">
      <c r="B24" s="9" t="s">
        <v>6</v>
      </c>
      <c r="C24" s="6">
        <v>2158</v>
      </c>
      <c r="D24" s="25">
        <v>4681</v>
      </c>
    </row>
    <row r="25" spans="2:11" x14ac:dyDescent="0.25">
      <c r="B25" s="5" t="s">
        <v>12</v>
      </c>
      <c r="C25" s="7">
        <v>1</v>
      </c>
      <c r="D25" s="26">
        <v>0</v>
      </c>
    </row>
    <row r="26" spans="2:11" x14ac:dyDescent="0.25">
      <c r="B26" s="9" t="s">
        <v>7</v>
      </c>
      <c r="C26" s="6">
        <v>17193</v>
      </c>
      <c r="D26" s="25">
        <v>7483</v>
      </c>
      <c r="K26" s="7"/>
    </row>
    <row r="27" spans="2:11" x14ac:dyDescent="0.25">
      <c r="B27" s="10" t="s">
        <v>8</v>
      </c>
      <c r="C27" s="8">
        <f>SUM(C22:C26)</f>
        <v>24146</v>
      </c>
      <c r="D27" s="4">
        <f>SUM(D22:D26)</f>
        <v>79767.009999999995</v>
      </c>
    </row>
    <row r="29" spans="2:11" x14ac:dyDescent="0.25">
      <c r="B29" s="27" t="s">
        <v>29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1" t="s">
        <v>4</v>
      </c>
      <c r="C31" s="6">
        <v>2030</v>
      </c>
      <c r="D31" s="25">
        <v>20332</v>
      </c>
    </row>
    <row r="32" spans="2:11" x14ac:dyDescent="0.25">
      <c r="B32" s="1" t="s">
        <v>5</v>
      </c>
      <c r="C32" s="6">
        <v>2074</v>
      </c>
      <c r="D32" s="25">
        <v>4985</v>
      </c>
    </row>
    <row r="33" spans="2:4" x14ac:dyDescent="0.25">
      <c r="B33" s="1" t="s">
        <v>6</v>
      </c>
      <c r="C33" s="6">
        <v>2164</v>
      </c>
      <c r="D33" s="25">
        <v>11037.84</v>
      </c>
    </row>
    <row r="34" spans="2:4" x14ac:dyDescent="0.25">
      <c r="B34" s="5" t="s">
        <v>12</v>
      </c>
      <c r="C34" s="7">
        <v>2</v>
      </c>
      <c r="D34" s="24">
        <v>0</v>
      </c>
    </row>
    <row r="35" spans="2:4" x14ac:dyDescent="0.25">
      <c r="B35" s="1" t="s">
        <v>7</v>
      </c>
      <c r="C35" s="6">
        <v>20791</v>
      </c>
      <c r="D35" s="25">
        <v>7359</v>
      </c>
    </row>
    <row r="36" spans="2:4" x14ac:dyDescent="0.25">
      <c r="B36" s="3" t="s">
        <v>8</v>
      </c>
      <c r="C36" s="8">
        <f>SUM(C31:C35)</f>
        <v>27061</v>
      </c>
      <c r="D36" s="4">
        <f>SUM(D31:D35)</f>
        <v>43713.84</v>
      </c>
    </row>
    <row r="38" spans="2:4" x14ac:dyDescent="0.25">
      <c r="B38" s="27" t="s">
        <v>30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509</v>
      </c>
      <c r="D40" s="25">
        <v>3700</v>
      </c>
    </row>
    <row r="41" spans="2:4" x14ac:dyDescent="0.25">
      <c r="B41" s="1" t="s">
        <v>5</v>
      </c>
      <c r="C41" s="6">
        <v>850</v>
      </c>
      <c r="D41" s="25">
        <v>6133</v>
      </c>
    </row>
    <row r="42" spans="2:4" x14ac:dyDescent="0.25">
      <c r="B42" s="1" t="s">
        <v>6</v>
      </c>
      <c r="C42" s="6">
        <v>775</v>
      </c>
      <c r="D42" s="26">
        <v>0</v>
      </c>
    </row>
    <row r="43" spans="2:4" x14ac:dyDescent="0.25">
      <c r="B43" s="1" t="s">
        <v>7</v>
      </c>
      <c r="C43" s="6">
        <v>2414</v>
      </c>
      <c r="D43" s="25">
        <v>3133</v>
      </c>
    </row>
    <row r="44" spans="2:4" x14ac:dyDescent="0.25">
      <c r="B44" s="3" t="s">
        <v>8</v>
      </c>
      <c r="C44" s="8">
        <f>SUM(C40:C43)</f>
        <v>4548</v>
      </c>
      <c r="D44" s="4">
        <f>SUM(D40:D43)</f>
        <v>12966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2128</v>
      </c>
      <c r="D48" s="25">
        <v>12874</v>
      </c>
    </row>
    <row r="49" spans="2:4" x14ac:dyDescent="0.25">
      <c r="B49" s="10" t="s">
        <v>8</v>
      </c>
      <c r="C49" s="8">
        <f>SUM(C48:C48)</f>
        <v>2128</v>
      </c>
      <c r="D49" s="4">
        <f>SUM(D48:D48)</f>
        <v>12874</v>
      </c>
    </row>
    <row r="51" spans="2:4" x14ac:dyDescent="0.25">
      <c r="B51" s="27" t="s">
        <v>31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1000</v>
      </c>
    </row>
    <row r="54" spans="2:4" x14ac:dyDescent="0.25">
      <c r="B54" s="1" t="s">
        <v>5</v>
      </c>
      <c r="C54" s="6">
        <v>698</v>
      </c>
      <c r="D54" s="25">
        <v>1200</v>
      </c>
    </row>
    <row r="55" spans="2:4" x14ac:dyDescent="0.25">
      <c r="B55" s="1" t="s">
        <v>6</v>
      </c>
      <c r="C55" s="6">
        <v>1198</v>
      </c>
      <c r="D55" s="25">
        <v>1622</v>
      </c>
    </row>
    <row r="56" spans="2:4" x14ac:dyDescent="0.25">
      <c r="B56" s="1" t="s">
        <v>7</v>
      </c>
      <c r="C56" s="6">
        <v>1310</v>
      </c>
      <c r="D56" s="25">
        <v>1645</v>
      </c>
    </row>
    <row r="57" spans="2:4" x14ac:dyDescent="0.25">
      <c r="B57" s="3" t="s">
        <v>8</v>
      </c>
      <c r="C57" s="8">
        <f>SUM(C53:C56)</f>
        <v>3793</v>
      </c>
      <c r="D57" s="4">
        <f>SUM(D53:D56)</f>
        <v>5467</v>
      </c>
    </row>
    <row r="59" spans="2:4" x14ac:dyDescent="0.25">
      <c r="B59" s="11" t="s">
        <v>13</v>
      </c>
      <c r="C59" s="12">
        <f>SUM(C10+C18+C27+C49+C36+C44+C57)</f>
        <v>93939</v>
      </c>
      <c r="D59" s="12">
        <f>SUM(D10+D18+D27+D49+D36+D44+D57)</f>
        <v>512758.36</v>
      </c>
    </row>
  </sheetData>
  <mergeCells count="7">
    <mergeCell ref="B51:D51"/>
    <mergeCell ref="B3:D3"/>
    <mergeCell ref="B12:D12"/>
    <mergeCell ref="B46:D46"/>
    <mergeCell ref="B38:D38"/>
    <mergeCell ref="B29:D29"/>
    <mergeCell ref="B20:D2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" sqref="B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20 MAYO'!C6, 'REPORTE DIARIO'!C:C)</f>
        <v>12940</v>
      </c>
      <c r="E6" s="15">
        <f>SUMIF('REPORTE DIARIO'!B:B,'EPR 20 MAYO'!C6, 'REPORTE DIARIO'!D:D)</f>
        <v>188180.69</v>
      </c>
      <c r="F6" s="15">
        <f>J6*D6</f>
        <v>406685.71428571426</v>
      </c>
      <c r="G6" s="15">
        <f>+E6-F6</f>
        <v>-218505.02428571426</v>
      </c>
      <c r="H6" s="14">
        <f>ABS(G6/F6)</f>
        <v>0.53728227132218631</v>
      </c>
      <c r="I6" s="15">
        <f>E6/D6</f>
        <v>14.542557187017001</v>
      </c>
      <c r="J6" s="15">
        <f>220/7</f>
        <v>31.428571428571427</v>
      </c>
      <c r="K6" s="15">
        <f>+I6-J6</f>
        <v>-16.886014241554427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20 MAYO'!C7, 'REPORTE DIARIO'!C:C)</f>
        <v>12704</v>
      </c>
      <c r="E7" s="15">
        <f>SUMIF('REPORTE DIARIO'!B:B,'EPR 20 MAYO'!C7, 'REPORTE DIARIO'!D:D)</f>
        <v>182992.85</v>
      </c>
      <c r="F7" s="15">
        <f>J7*D7</f>
        <v>199634.28571428571</v>
      </c>
      <c r="G7" s="15">
        <f>+E7-F7</f>
        <v>-16641.435714285704</v>
      </c>
      <c r="H7" s="14">
        <f>ABS(G7/F7)</f>
        <v>8.3359607568124522E-2</v>
      </c>
      <c r="I7" s="15">
        <f>E7/D7</f>
        <v>14.404349023929472</v>
      </c>
      <c r="J7" s="15">
        <f>110/7</f>
        <v>15.714285714285714</v>
      </c>
      <c r="K7" s="15">
        <f t="shared" ref="K7:K9" si="0">+I7-J7</f>
        <v>-1.3099366903562419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20 MAYO'!C8, 'REPORTE DIARIO'!C:C)</f>
        <v>11228</v>
      </c>
      <c r="E8" s="15">
        <f>SUMIF('REPORTE DIARIO'!B:B,'EPR 20 MAYO'!C8, 'REPORTE DIARIO'!D:D)</f>
        <v>78739.839999999997</v>
      </c>
      <c r="F8" s="15">
        <f>J8*D8</f>
        <v>72180</v>
      </c>
      <c r="G8" s="15">
        <f>+E8-F8</f>
        <v>6559.8399999999965</v>
      </c>
      <c r="H8" s="14">
        <f>ABS(G8/F8)</f>
        <v>9.0881684677195845E-2</v>
      </c>
      <c r="I8" s="15">
        <f>E8/D8</f>
        <v>7.0128108300676875</v>
      </c>
      <c r="J8" s="15">
        <f>45/7</f>
        <v>6.4285714285714288</v>
      </c>
      <c r="K8" s="15">
        <f t="shared" si="0"/>
        <v>0.58423940149625864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20 MAYO'!C9, 'REPORTE DIARIO'!C:C)</f>
        <v>57052</v>
      </c>
      <c r="E9" s="15">
        <f>SUMIF('REPORTE DIARIO'!B:B,'EPR 20 MAYO'!C9, 'REPORTE DIARIO'!D:D)</f>
        <v>62844.979999999996</v>
      </c>
      <c r="F9" s="15">
        <f>J9*D9</f>
        <v>122254.28571428571</v>
      </c>
      <c r="G9" s="15">
        <f>+E9-F9</f>
        <v>-59409.305714285714</v>
      </c>
      <c r="H9" s="14">
        <f>ABS(G9/F9)</f>
        <v>0.48594865502816148</v>
      </c>
      <c r="I9" s="15">
        <f>E9/D9</f>
        <v>1.1015385963682254</v>
      </c>
      <c r="J9" s="15">
        <f>15/7</f>
        <v>2.1428571428571428</v>
      </c>
      <c r="K9" s="15">
        <f t="shared" si="0"/>
        <v>-1.0413185464889174</v>
      </c>
    </row>
    <row r="10" spans="2:12" x14ac:dyDescent="0.25">
      <c r="B10" s="15"/>
      <c r="C10" s="18" t="s">
        <v>16</v>
      </c>
      <c r="D10" s="23">
        <f>SUM(D6:D9)</f>
        <v>93924</v>
      </c>
      <c r="E10" s="19">
        <f>SUM(E6:E9)</f>
        <v>512758.36</v>
      </c>
      <c r="F10" s="19">
        <f>SUM(F6:F9)</f>
        <v>800754.28571428568</v>
      </c>
      <c r="G10" s="19">
        <f>+E10-F10</f>
        <v>-287995.92571428569</v>
      </c>
      <c r="H10" s="20">
        <f>ABS(G10/F10)</f>
        <v>0.35965580309993433</v>
      </c>
      <c r="I10" s="19">
        <f>E10/D10</f>
        <v>5.4592900643073126</v>
      </c>
      <c r="J10" s="19">
        <f>F10/D10</f>
        <v>8.5255556163950175</v>
      </c>
      <c r="K10" s="19">
        <f>I10-J10</f>
        <v>-3.0662655520877049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20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2025-05-21T02:06:28Z</dcterms:modified>
</cp:coreProperties>
</file>