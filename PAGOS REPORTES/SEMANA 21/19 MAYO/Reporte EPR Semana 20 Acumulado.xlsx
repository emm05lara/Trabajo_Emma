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21\19 MAYO\"/>
    </mc:Choice>
  </mc:AlternateContent>
  <xr:revisionPtr revIDLastSave="0" documentId="13_ncr:1_{26CBB193-2CF4-4EEF-A7C1-B4BFB77D74A6}" xr6:coauthVersionLast="47" xr6:coauthVersionMax="47" xr10:uidLastSave="{00000000-0000-0000-0000-000000000000}"/>
  <bookViews>
    <workbookView xWindow="11424" yWindow="0" windowWidth="11712" windowHeight="12336" xr2:uid="{4DC6C92A-CD8A-4966-829B-0B6A986E825B}"/>
  </bookViews>
  <sheets>
    <sheet name="REPORTE DIARIO" sheetId="1" r:id="rId1"/>
    <sheet name="DATA" sheetId="4" r:id="rId2"/>
    <sheet name="EPR 18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28" i="1" l="1"/>
  <c r="D28" i="1"/>
  <c r="D19" i="1"/>
  <c r="C19" i="1"/>
  <c r="D6" i="3"/>
  <c r="D49" i="1"/>
  <c r="C49" i="1"/>
  <c r="D57" i="1"/>
  <c r="C57" i="1"/>
  <c r="D41" i="1" l="1"/>
  <c r="C41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<sst xmlns="http://schemas.openxmlformats.org/spreadsheetml/2006/main" count="89" uniqueCount="37">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</sst>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44" zoomScaleNormal="100" workbookViewId="0">
      <selection activeCell="C57" sqref="C57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7" t="s">
        <v>0</v>
      </c>
      <c r="C3" s="27"/>
      <c r="D3" s="27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4128</v>
      </c>
      <c r="D5" s="25">
        <v>554388.09999999986</v>
      </c>
    </row>
    <row r="6" spans="2:8" x14ac:dyDescent="0.3">
      <c r="B6" s="1" t="s">
        <v>5</v>
      </c>
      <c r="C6" s="6">
        <v>4352</v>
      </c>
      <c r="D6" s="25">
        <v>390410.19</v>
      </c>
    </row>
    <row r="7" spans="2:8" x14ac:dyDescent="0.3">
      <c r="B7" s="1" t="s">
        <v>6</v>
      </c>
      <c r="C7" s="6">
        <v>4267</v>
      </c>
      <c r="D7" s="25">
        <v>381155.6</v>
      </c>
    </row>
    <row r="8" spans="2:8" x14ac:dyDescent="0.3">
      <c r="B8" s="5" t="s">
        <v>12</v>
      </c>
      <c r="C8" s="7">
        <v>12</v>
      </c>
      <c r="D8" s="25">
        <v>803.56</v>
      </c>
    </row>
    <row r="9" spans="2:8" x14ac:dyDescent="0.3">
      <c r="B9" s="1" t="s">
        <v>7</v>
      </c>
      <c r="C9" s="6">
        <v>11330</v>
      </c>
      <c r="D9" s="25">
        <v>501862.3299999999</v>
      </c>
      <c r="E9" s="14"/>
      <c r="F9" s="7"/>
    </row>
    <row r="10" spans="2:8" x14ac:dyDescent="0.3">
      <c r="B10" s="3" t="s">
        <v>8</v>
      </c>
      <c r="C10" s="8">
        <f>SUM(C5:C9)</f>
        <v>24089</v>
      </c>
      <c r="D10" s="4">
        <f>SUM(D5:D9)</f>
        <v>1828619.7799999996</v>
      </c>
      <c r="E10" s="11" t="s">
        <v>14</v>
      </c>
    </row>
    <row r="12" spans="2:8" x14ac:dyDescent="0.3">
      <c r="B12" s="26" t="s">
        <v>10</v>
      </c>
      <c r="C12" s="26"/>
      <c r="D12" s="26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3345</v>
      </c>
      <c r="D14" s="25">
        <v>339474.33999999997</v>
      </c>
    </row>
    <row r="15" spans="2:8" x14ac:dyDescent="0.3">
      <c r="B15" s="9" t="s">
        <v>5</v>
      </c>
      <c r="C15" s="6">
        <v>1487</v>
      </c>
      <c r="D15" s="25">
        <v>135358.87000000002</v>
      </c>
    </row>
    <row r="16" spans="2:8" x14ac:dyDescent="0.3">
      <c r="B16" s="9" t="s">
        <v>6</v>
      </c>
      <c r="C16" s="6">
        <v>2197</v>
      </c>
      <c r="D16" s="25">
        <v>76251.340000000011</v>
      </c>
    </row>
    <row r="17" spans="2:4" x14ac:dyDescent="0.3">
      <c r="B17" s="5" t="s">
        <v>12</v>
      </c>
      <c r="C17" s="7">
        <v>1</v>
      </c>
      <c r="D17" s="25">
        <v>39</v>
      </c>
    </row>
    <row r="18" spans="2:4" x14ac:dyDescent="0.3">
      <c r="B18" s="9" t="s">
        <v>7</v>
      </c>
      <c r="C18" s="6">
        <v>17193</v>
      </c>
      <c r="D18" s="25">
        <v>77202.69</v>
      </c>
    </row>
    <row r="19" spans="2:4" x14ac:dyDescent="0.3">
      <c r="B19" s="10" t="s">
        <v>8</v>
      </c>
      <c r="C19" s="8">
        <f>SUM(C14:C18)</f>
        <v>24223</v>
      </c>
      <c r="D19" s="4">
        <f>SUM(D14:D18)</f>
        <v>628326.24</v>
      </c>
    </row>
    <row r="21" spans="2:4" x14ac:dyDescent="0.3">
      <c r="B21" s="27" t="s">
        <v>30</v>
      </c>
      <c r="C21" s="27"/>
      <c r="D21" s="27"/>
    </row>
    <row r="22" spans="2:4" x14ac:dyDescent="0.3">
      <c r="B22" s="2" t="s">
        <v>1</v>
      </c>
      <c r="C22" s="2" t="s">
        <v>2</v>
      </c>
      <c r="D22" s="2" t="s">
        <v>3</v>
      </c>
    </row>
    <row r="23" spans="2:4" x14ac:dyDescent="0.3">
      <c r="B23" s="1" t="s">
        <v>4</v>
      </c>
      <c r="C23" s="6">
        <v>1884</v>
      </c>
      <c r="D23" s="25">
        <v>194067</v>
      </c>
    </row>
    <row r="24" spans="2:4" x14ac:dyDescent="0.3">
      <c r="B24" s="1" t="s">
        <v>5</v>
      </c>
      <c r="C24" s="6">
        <v>2025</v>
      </c>
      <c r="D24" s="25">
        <v>125398.89</v>
      </c>
    </row>
    <row r="25" spans="2:4" x14ac:dyDescent="0.3">
      <c r="B25" s="1" t="s">
        <v>6</v>
      </c>
      <c r="C25" s="6">
        <v>2085</v>
      </c>
      <c r="D25" s="25">
        <v>72560</v>
      </c>
    </row>
    <row r="26" spans="2:4" x14ac:dyDescent="0.3">
      <c r="B26" s="5" t="s">
        <v>12</v>
      </c>
      <c r="C26" s="7">
        <v>2</v>
      </c>
      <c r="D26" s="11">
        <v>0</v>
      </c>
    </row>
    <row r="27" spans="2:4" x14ac:dyDescent="0.3">
      <c r="B27" s="1" t="s">
        <v>7</v>
      </c>
      <c r="C27" s="6">
        <v>20729</v>
      </c>
      <c r="D27" s="25">
        <v>215818.08000000002</v>
      </c>
    </row>
    <row r="28" spans="2:4" x14ac:dyDescent="0.3">
      <c r="B28" s="3" t="s">
        <v>8</v>
      </c>
      <c r="C28" s="8">
        <f>SUM(C23:C27)</f>
        <v>26725</v>
      </c>
      <c r="D28" s="4">
        <f>SUM(D23:D27)</f>
        <v>607843.97</v>
      </c>
    </row>
    <row r="30" spans="2:4" x14ac:dyDescent="0.3">
      <c r="B30" s="27" t="s">
        <v>9</v>
      </c>
      <c r="C30" s="27"/>
      <c r="D30" s="27"/>
    </row>
    <row r="31" spans="2:4" x14ac:dyDescent="0.3">
      <c r="B31" s="2" t="s">
        <v>1</v>
      </c>
      <c r="C31" s="2" t="s">
        <v>2</v>
      </c>
      <c r="D31" s="2" t="s">
        <v>3</v>
      </c>
    </row>
    <row r="32" spans="2:4" x14ac:dyDescent="0.3">
      <c r="B32" s="9" t="s">
        <v>4</v>
      </c>
      <c r="C32" s="6">
        <v>230</v>
      </c>
      <c r="D32" s="25">
        <v>100576.06999999999</v>
      </c>
    </row>
    <row r="33" spans="2:4" x14ac:dyDescent="0.3">
      <c r="B33" s="9" t="s">
        <v>5</v>
      </c>
      <c r="C33" s="6">
        <v>3184</v>
      </c>
      <c r="D33" s="25">
        <v>272191.69</v>
      </c>
    </row>
    <row r="34" spans="2:4" x14ac:dyDescent="0.3">
      <c r="B34" s="9" t="s">
        <v>6</v>
      </c>
      <c r="C34" s="6">
        <v>640</v>
      </c>
      <c r="D34" s="25">
        <v>29181.33</v>
      </c>
    </row>
    <row r="35" spans="2:4" x14ac:dyDescent="0.3">
      <c r="B35" s="9" t="s">
        <v>7</v>
      </c>
      <c r="C35" s="6">
        <v>3965</v>
      </c>
      <c r="D35" s="25">
        <v>7896</v>
      </c>
    </row>
    <row r="36" spans="2:4" x14ac:dyDescent="0.3">
      <c r="B36" s="10" t="s">
        <v>8</v>
      </c>
      <c r="C36" s="8">
        <f>SUM(C32:C35)</f>
        <v>8019</v>
      </c>
      <c r="D36" s="4">
        <f>SUM(D32:D35)</f>
        <v>409845.09</v>
      </c>
    </row>
    <row r="38" spans="2:4" x14ac:dyDescent="0.3">
      <c r="B38" s="26" t="s">
        <v>11</v>
      </c>
      <c r="C38" s="26"/>
      <c r="D38" s="26"/>
    </row>
    <row r="39" spans="2:4" x14ac:dyDescent="0.3">
      <c r="B39" s="4" t="s">
        <v>1</v>
      </c>
      <c r="C39" s="4" t="s">
        <v>2</v>
      </c>
      <c r="D39" s="4" t="s">
        <v>3</v>
      </c>
    </row>
    <row r="40" spans="2:4" x14ac:dyDescent="0.3">
      <c r="B40" s="9" t="s">
        <v>4</v>
      </c>
      <c r="C40" s="6">
        <v>1936</v>
      </c>
      <c r="D40" s="25">
        <v>71766</v>
      </c>
    </row>
    <row r="41" spans="2:4" x14ac:dyDescent="0.3">
      <c r="B41" s="10" t="s">
        <v>8</v>
      </c>
      <c r="C41" s="8">
        <f>SUM(C40:C40)</f>
        <v>1936</v>
      </c>
      <c r="D41" s="4">
        <f>SUM(D40:D40)</f>
        <v>71766</v>
      </c>
    </row>
    <row r="43" spans="2:4" x14ac:dyDescent="0.3">
      <c r="B43" s="27" t="s">
        <v>32</v>
      </c>
      <c r="C43" s="27"/>
      <c r="D43" s="27"/>
    </row>
    <row r="44" spans="2:4" x14ac:dyDescent="0.3">
      <c r="B44" s="2" t="s">
        <v>1</v>
      </c>
      <c r="C44" s="2" t="s">
        <v>2</v>
      </c>
      <c r="D44" s="2" t="s">
        <v>3</v>
      </c>
    </row>
    <row r="45" spans="2:4" x14ac:dyDescent="0.3">
      <c r="B45" s="9" t="s">
        <v>4</v>
      </c>
      <c r="C45" s="6">
        <v>475</v>
      </c>
      <c r="D45" s="25">
        <v>4687</v>
      </c>
    </row>
    <row r="46" spans="2:4" x14ac:dyDescent="0.3">
      <c r="B46" s="1" t="s">
        <v>5</v>
      </c>
      <c r="C46" s="6">
        <v>641</v>
      </c>
      <c r="D46" s="25">
        <v>4074</v>
      </c>
    </row>
    <row r="47" spans="2:4" x14ac:dyDescent="0.3">
      <c r="B47" s="1" t="s">
        <v>6</v>
      </c>
      <c r="C47" s="6">
        <v>1101</v>
      </c>
      <c r="D47" s="25">
        <v>51144</v>
      </c>
    </row>
    <row r="48" spans="2:4" x14ac:dyDescent="0.3">
      <c r="B48" s="1" t="s">
        <v>7</v>
      </c>
      <c r="C48" s="6">
        <v>1274</v>
      </c>
      <c r="D48" s="25">
        <v>4665</v>
      </c>
    </row>
    <row r="49" spans="2:4" x14ac:dyDescent="0.3">
      <c r="B49" s="3" t="s">
        <v>8</v>
      </c>
      <c r="C49" s="8">
        <f>SUM(C45:C48)</f>
        <v>3491</v>
      </c>
      <c r="D49" s="4">
        <f>SUM(D45:D48)</f>
        <v>64570</v>
      </c>
    </row>
    <row r="51" spans="2:4" x14ac:dyDescent="0.3">
      <c r="B51" s="27" t="s">
        <v>31</v>
      </c>
      <c r="C51" s="27"/>
      <c r="D51" s="27"/>
    </row>
    <row r="52" spans="2:4" x14ac:dyDescent="0.3">
      <c r="B52" s="2" t="s">
        <v>1</v>
      </c>
      <c r="C52" s="2" t="s">
        <v>2</v>
      </c>
      <c r="D52" s="2" t="s">
        <v>3</v>
      </c>
    </row>
    <row r="53" spans="2:4" x14ac:dyDescent="0.3">
      <c r="B53" s="9" t="s">
        <v>4</v>
      </c>
      <c r="C53" s="6">
        <v>432</v>
      </c>
      <c r="D53" s="25">
        <v>13831</v>
      </c>
    </row>
    <row r="54" spans="2:4" x14ac:dyDescent="0.3">
      <c r="B54" s="1" t="s">
        <v>5</v>
      </c>
      <c r="C54" s="6">
        <v>807</v>
      </c>
      <c r="D54" s="25">
        <v>8647</v>
      </c>
    </row>
    <row r="55" spans="2:4" x14ac:dyDescent="0.3">
      <c r="B55" s="1" t="s">
        <v>6</v>
      </c>
      <c r="C55" s="6">
        <v>696</v>
      </c>
      <c r="D55" s="25">
        <v>2132</v>
      </c>
    </row>
    <row r="56" spans="2:4" x14ac:dyDescent="0.3">
      <c r="B56" s="1" t="s">
        <v>7</v>
      </c>
      <c r="C56" s="6">
        <v>2389</v>
      </c>
      <c r="D56" s="25">
        <v>35657</v>
      </c>
    </row>
    <row r="57" spans="2:4" x14ac:dyDescent="0.3">
      <c r="B57" s="3" t="s">
        <v>8</v>
      </c>
      <c r="C57" s="8">
        <f>SUM(C53:C56)</f>
        <v>4324</v>
      </c>
      <c r="D57" s="4">
        <f>SUM(D53:D56)</f>
        <v>60267</v>
      </c>
    </row>
    <row r="59" spans="2:4" x14ac:dyDescent="0.3">
      <c r="B59" s="12" t="s">
        <v>13</v>
      </c>
      <c r="C59" s="13">
        <f>SUM(C10+C19+C36+C41+C28+C57+C49)</f>
        <v>92807</v>
      </c>
      <c r="D59" s="13">
        <f>SUM(D10+D19+D36+D41+D28+D57+D49)</f>
        <v>3671238.0799999991</v>
      </c>
    </row>
  </sheetData>
  <mergeCells count="7">
    <mergeCell ref="B38:D38"/>
    <mergeCell ref="B43:D43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36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34</v>
      </c>
      <c r="C6" s="16" t="s">
        <v>4</v>
      </c>
      <c r="D6" s="23">
        <f>SUMIF('REPORTE DIARIO'!B:B,'EPR 18 MAYO'!C6, 'REPORTE DIARIO'!C:C)</f>
        <v>12430</v>
      </c>
      <c r="E6" s="16">
        <f>SUMIF('REPORTE DIARIO'!B:B,'EPR 18 MAYO'!C6, 'REPORTE DIARIO'!D:D)</f>
        <v>1278789.51</v>
      </c>
      <c r="F6" s="16">
        <f>J6*D6</f>
        <v>2734600</v>
      </c>
      <c r="G6" s="16">
        <f>+E6-F6</f>
        <v>-1455810.49</v>
      </c>
      <c r="H6" s="15">
        <f>ABS(G6/F6)</f>
        <v>0.53236688729613102</v>
      </c>
      <c r="I6" s="16">
        <f>E6/D6</f>
        <v>102.87928479485117</v>
      </c>
      <c r="J6" s="16">
        <f>(220/7)*7</f>
        <v>220</v>
      </c>
      <c r="K6" s="16">
        <f>+I6-J6</f>
        <v>-117.12071520514883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18 MAYO'!C7, 'REPORTE DIARIO'!C:C)</f>
        <v>12496</v>
      </c>
      <c r="E7" s="16">
        <f>SUMIF('REPORTE DIARIO'!B:B,'EPR 18 MAYO'!C7, 'REPORTE DIARIO'!D:D)</f>
        <v>936080.64000000013</v>
      </c>
      <c r="F7" s="16">
        <f>J7*D7</f>
        <v>1374560</v>
      </c>
      <c r="G7" s="16">
        <f>+E7-F7</f>
        <v>-438479.35999999987</v>
      </c>
      <c r="H7" s="15">
        <f>ABS(G7/F7)</f>
        <v>0.31899615877080656</v>
      </c>
      <c r="I7" s="16">
        <f>E7/D7</f>
        <v>74.910422535211282</v>
      </c>
      <c r="J7" s="16">
        <f>(110/7)*7</f>
        <v>110</v>
      </c>
      <c r="K7" s="16">
        <f t="shared" ref="K7:K9" si="0">+I7-J7</f>
        <v>-35.089577464788718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18 MAYO'!C8, 'REPORTE DIARIO'!C:C)</f>
        <v>10986</v>
      </c>
      <c r="E8" s="16">
        <f>SUMIF('REPORTE DIARIO'!B:B,'EPR 18 MAYO'!C8, 'REPORTE DIARIO'!D:D)</f>
        <v>612424.2699999999</v>
      </c>
      <c r="F8" s="16">
        <f>J8*D8</f>
        <v>494370</v>
      </c>
      <c r="G8" s="16">
        <f>+E8-F8</f>
        <v>118054.2699999999</v>
      </c>
      <c r="H8" s="15">
        <f>ABS(G8/F8)</f>
        <v>0.23879739870946842</v>
      </c>
      <c r="I8" s="16">
        <f>E8/D8</f>
        <v>55.745882941926077</v>
      </c>
      <c r="J8" s="16">
        <f>(45/7)*7</f>
        <v>45</v>
      </c>
      <c r="K8" s="16">
        <f t="shared" si="0"/>
        <v>10.745882941926077</v>
      </c>
      <c r="L8" s="15"/>
    </row>
    <row r="9" spans="2:12" x14ac:dyDescent="0.3">
      <c r="B9" s="16" t="s">
        <v>35</v>
      </c>
      <c r="C9" s="16" t="s">
        <v>7</v>
      </c>
      <c r="D9" s="23">
        <f>SUMIF('REPORTE DIARIO'!B:B,'EPR 18 MAYO'!C9, 'REPORTE DIARIO'!C:C)</f>
        <v>56880</v>
      </c>
      <c r="E9" s="16">
        <f>SUMIF('REPORTE DIARIO'!B:B,'EPR 18 MAYO'!C9, 'REPORTE DIARIO'!D:D)</f>
        <v>843101.09999999986</v>
      </c>
      <c r="F9" s="16">
        <f>J9*D9</f>
        <v>853200</v>
      </c>
      <c r="G9" s="16">
        <f>+E9-F9</f>
        <v>-10098.90000000014</v>
      </c>
      <c r="H9" s="15">
        <f>ABS(G9/F9)</f>
        <v>1.1836497890295523E-2</v>
      </c>
      <c r="I9" s="16">
        <f>E9/D9</f>
        <v>14.822452531645567</v>
      </c>
      <c r="J9" s="16">
        <f>(15/7)*7</f>
        <v>15</v>
      </c>
      <c r="K9" s="16">
        <f t="shared" si="0"/>
        <v>-0.17754746835443314</v>
      </c>
    </row>
    <row r="10" spans="2:12" x14ac:dyDescent="0.3">
      <c r="B10" s="16"/>
      <c r="C10" s="19" t="s">
        <v>17</v>
      </c>
      <c r="D10" s="24">
        <f>SUM(D6:D9)</f>
        <v>92792</v>
      </c>
      <c r="E10" s="20">
        <f>SUM(E6:E9)</f>
        <v>3670395.5200000005</v>
      </c>
      <c r="F10" s="20">
        <f>SUM(F6:F9)</f>
        <v>5456730</v>
      </c>
      <c r="G10" s="20">
        <f>+E10-F10</f>
        <v>-1786334.4799999995</v>
      </c>
      <c r="H10" s="21">
        <f>ABS(G10/F10)</f>
        <v>0.32736354556666714</v>
      </c>
      <c r="I10" s="20">
        <f>E10/D10</f>
        <v>39.555085783257184</v>
      </c>
      <c r="J10" s="20">
        <f>F10/D10</f>
        <v>58.80603931373394</v>
      </c>
      <c r="K10" s="20">
        <f>I10-J10</f>
        <v>-19.250953530476757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18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2025-05-19T02:20:45Z</cp:lastPrinted>
  <dcterms:created xsi:type="dcterms:W3CDTF">2025-01-27T15:11:28Z</dcterms:created>
  <dcterms:modified xsi:type="dcterms:W3CDTF">2025-05-19T14:15:58Z</dcterms:modified>
</cp:coreProperties>
</file>