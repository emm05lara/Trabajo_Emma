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4 MAYO\NOCHE\"/>
    </mc:Choice>
  </mc:AlternateContent>
  <xr:revisionPtr revIDLastSave="0" documentId="13_ncr:1_{93E1C575-41DF-4D89-94B6-C52C783F8716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4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57" i="1"/>
  <c r="C57" i="1"/>
  <c r="D44" i="1"/>
  <c r="C44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<sst xmlns="http://schemas.openxmlformats.org/spreadsheetml/2006/main" count="89" uniqueCount="37">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</sst>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zoomScaleNormal="100" workbookViewId="0">
      <selection activeCell="B3" sqref="B3:D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4078</v>
      </c>
      <c r="D5" s="25">
        <v>447154.75</v>
      </c>
    </row>
    <row r="6" spans="2:8" x14ac:dyDescent="0.25">
      <c r="B6" s="1" t="s">
        <v>5</v>
      </c>
      <c r="C6" s="6">
        <v>4181</v>
      </c>
      <c r="D6" s="25">
        <v>333760.7</v>
      </c>
    </row>
    <row r="7" spans="2:8" x14ac:dyDescent="0.25">
      <c r="B7" s="1" t="s">
        <v>6</v>
      </c>
      <c r="C7" s="6">
        <v>4226</v>
      </c>
      <c r="D7" s="25">
        <v>248083.93999999997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11356</v>
      </c>
      <c r="D9" s="25">
        <v>374064.92000000004</v>
      </c>
      <c r="E9" s="14"/>
      <c r="F9" s="7"/>
    </row>
    <row r="10" spans="2:8" x14ac:dyDescent="0.25">
      <c r="B10" s="3" t="s">
        <v>8</v>
      </c>
      <c r="C10" s="8">
        <f>SUM(C5:C9)</f>
        <v>23852</v>
      </c>
      <c r="D10" s="4">
        <f>SUM(D5:D9)</f>
        <v>1403064.31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2370</v>
      </c>
      <c r="D14" s="25">
        <v>284022.26</v>
      </c>
    </row>
    <row r="15" spans="2:8" x14ac:dyDescent="0.25">
      <c r="B15" s="1" t="s">
        <v>5</v>
      </c>
      <c r="C15" s="6">
        <v>2110</v>
      </c>
      <c r="D15" s="25">
        <v>130786.23</v>
      </c>
    </row>
    <row r="16" spans="2:8" x14ac:dyDescent="0.25">
      <c r="B16" s="1" t="s">
        <v>6</v>
      </c>
      <c r="C16" s="6">
        <v>2115</v>
      </c>
      <c r="D16" s="25">
        <v>131573.34</v>
      </c>
    </row>
    <row r="17" spans="2:4" x14ac:dyDescent="0.25">
      <c r="B17" s="5" t="s">
        <v>12</v>
      </c>
      <c r="C17" s="7">
        <v>2</v>
      </c>
      <c r="D17" s="11">
        <v>0</v>
      </c>
    </row>
    <row r="18" spans="2:4" x14ac:dyDescent="0.25">
      <c r="B18" s="1" t="s">
        <v>7</v>
      </c>
      <c r="C18" s="6">
        <v>20883</v>
      </c>
      <c r="D18" s="25">
        <v>95193.01</v>
      </c>
    </row>
    <row r="19" spans="2:4" x14ac:dyDescent="0.25">
      <c r="B19" s="3" t="s">
        <v>8</v>
      </c>
      <c r="C19" s="8">
        <f>SUM(C14:C18)</f>
        <v>27480</v>
      </c>
      <c r="D19" s="4">
        <f>SUM(D14:D18)</f>
        <v>641574.84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3335</v>
      </c>
      <c r="D23" s="25">
        <v>423431.77999999991</v>
      </c>
    </row>
    <row r="24" spans="2:4" x14ac:dyDescent="0.25">
      <c r="B24" s="9" t="s">
        <v>5</v>
      </c>
      <c r="C24" s="6">
        <v>1481</v>
      </c>
      <c r="D24" s="25">
        <v>52857.549999999996</v>
      </c>
    </row>
    <row r="25" spans="2:4" x14ac:dyDescent="0.25">
      <c r="B25" s="9" t="s">
        <v>6</v>
      </c>
      <c r="C25" s="6">
        <v>2153</v>
      </c>
      <c r="D25" s="25">
        <v>47342.29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17183</v>
      </c>
      <c r="D27" s="25">
        <v>59104.97</v>
      </c>
    </row>
    <row r="28" spans="2:4" x14ac:dyDescent="0.25">
      <c r="B28" s="10" t="s">
        <v>8</v>
      </c>
      <c r="C28" s="8">
        <f>SUM(C23:C27)</f>
        <v>24153</v>
      </c>
      <c r="D28" s="4">
        <f>SUM(D23:D27)</f>
        <v>582775.58999999985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220</v>
      </c>
      <c r="D32" s="25">
        <v>63589.279999999999</v>
      </c>
    </row>
    <row r="33" spans="2:4" x14ac:dyDescent="0.25">
      <c r="B33" s="9" t="s">
        <v>5</v>
      </c>
      <c r="C33" s="6">
        <v>3353</v>
      </c>
      <c r="D33" s="25">
        <v>308731.31999999995</v>
      </c>
    </row>
    <row r="34" spans="2:4" x14ac:dyDescent="0.25">
      <c r="B34" s="9" t="s">
        <v>6</v>
      </c>
      <c r="C34" s="6">
        <v>539</v>
      </c>
      <c r="D34" s="25">
        <v>93286.25</v>
      </c>
    </row>
    <row r="35" spans="2:4" x14ac:dyDescent="0.25">
      <c r="B35" s="9" t="s">
        <v>7</v>
      </c>
      <c r="C35" s="6">
        <v>3967</v>
      </c>
      <c r="D35" s="25">
        <v>45883.15</v>
      </c>
    </row>
    <row r="36" spans="2:4" x14ac:dyDescent="0.25">
      <c r="B36" s="10" t="s">
        <v>8</v>
      </c>
      <c r="C36" s="8">
        <f>SUM(C32:C35)</f>
        <v>8079</v>
      </c>
      <c r="D36" s="4">
        <f>SUM(D32:D35)</f>
        <v>511490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586</v>
      </c>
      <c r="D40" s="25">
        <v>14601</v>
      </c>
    </row>
    <row r="41" spans="2:4" x14ac:dyDescent="0.25">
      <c r="B41" s="1" t="s">
        <v>5</v>
      </c>
      <c r="C41" s="6">
        <v>861</v>
      </c>
      <c r="D41" s="25">
        <v>10946</v>
      </c>
    </row>
    <row r="42" spans="2:4" x14ac:dyDescent="0.25">
      <c r="B42" s="1" t="s">
        <v>6</v>
      </c>
      <c r="C42" s="6">
        <v>797</v>
      </c>
      <c r="D42" s="25">
        <v>37081</v>
      </c>
    </row>
    <row r="43" spans="2:4" x14ac:dyDescent="0.25">
      <c r="B43" s="1" t="s">
        <v>7</v>
      </c>
      <c r="C43" s="6">
        <v>2435</v>
      </c>
      <c r="D43" s="25">
        <v>73326</v>
      </c>
    </row>
    <row r="44" spans="2:4" x14ac:dyDescent="0.25">
      <c r="B44" s="3" t="s">
        <v>8</v>
      </c>
      <c r="C44" s="8">
        <f>SUM(C40:C43)</f>
        <v>4679</v>
      </c>
      <c r="D44" s="4">
        <f>SUM(D40:D43)</f>
        <v>135954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2620</v>
      </c>
      <c r="D48" s="25">
        <v>126112</v>
      </c>
    </row>
    <row r="49" spans="2:4" x14ac:dyDescent="0.25">
      <c r="B49" s="10" t="s">
        <v>8</v>
      </c>
      <c r="C49" s="8">
        <f>SUM(C48:C48)</f>
        <v>2620</v>
      </c>
      <c r="D49" s="4">
        <f>SUM(D48:D48)</f>
        <v>126112</v>
      </c>
    </row>
    <row r="51" spans="2:4" x14ac:dyDescent="0.25">
      <c r="B51" s="28" t="s">
        <v>32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862</v>
      </c>
      <c r="D53" s="25">
        <v>82590.259999999995</v>
      </c>
    </row>
    <row r="54" spans="2:4" x14ac:dyDescent="0.25">
      <c r="B54" s="1" t="s">
        <v>5</v>
      </c>
      <c r="C54" s="6">
        <v>921</v>
      </c>
      <c r="D54" s="25">
        <v>10355</v>
      </c>
    </row>
    <row r="55" spans="2:4" x14ac:dyDescent="0.25">
      <c r="B55" s="1" t="s">
        <v>6</v>
      </c>
      <c r="C55" s="6">
        <v>1437</v>
      </c>
      <c r="D55" s="25">
        <v>7032</v>
      </c>
    </row>
    <row r="56" spans="2:4" x14ac:dyDescent="0.25">
      <c r="B56" s="1" t="s">
        <v>7</v>
      </c>
      <c r="C56" s="6">
        <v>1488</v>
      </c>
      <c r="D56" s="25">
        <v>3891</v>
      </c>
    </row>
    <row r="57" spans="2:4" x14ac:dyDescent="0.25">
      <c r="B57" s="3" t="s">
        <v>8</v>
      </c>
      <c r="C57" s="8">
        <f>SUM(C53:C56)</f>
        <v>4708</v>
      </c>
      <c r="D57" s="4">
        <f>SUM(D53:D56)</f>
        <v>103868.26</v>
      </c>
    </row>
    <row r="59" spans="2:4" x14ac:dyDescent="0.25">
      <c r="B59" s="12" t="s">
        <v>13</v>
      </c>
      <c r="C59" s="13">
        <f>SUM(C10+C28+C36+C49+C19+C44+C57)</f>
        <v>95571</v>
      </c>
      <c r="D59" s="13">
        <f>SUM(D10+D28+D36+D49+D19+D44+D57)</f>
        <v>3504838.9999999995</v>
      </c>
    </row>
  </sheetData>
  <mergeCells count="7">
    <mergeCell ref="B46:D46"/>
    <mergeCell ref="B51:D51"/>
    <mergeCell ref="B12:D12"/>
    <mergeCell ref="B38:D38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5" sqref="J5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24 MAYO'!C6, 'REPORTE DIARIO'!C:C)</f>
        <v>14071</v>
      </c>
      <c r="E6" s="16">
        <f>SUMIF('REPORTE DIARIO'!B:B,'EPR 24 MAYO'!C6, 'REPORTE DIARIO'!D:D)</f>
        <v>1441501.33</v>
      </c>
      <c r="F6" s="16">
        <f>J6*D6</f>
        <v>2653388.5714285714</v>
      </c>
      <c r="G6" s="16">
        <f>+E6-F6</f>
        <v>-1211887.2414285713</v>
      </c>
      <c r="H6" s="15">
        <f>ABS(G6/F6)</f>
        <v>0.45673191423150555</v>
      </c>
      <c r="I6" s="16">
        <f>E6/D6</f>
        <v>102.44483903063038</v>
      </c>
      <c r="J6" s="16">
        <f>(220/7)*6</f>
        <v>188.57142857142856</v>
      </c>
      <c r="K6" s="16">
        <f>+I6-J6</f>
        <v>-86.126589540798179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24 MAYO'!C7, 'REPORTE DIARIO'!C:C)</f>
        <v>12907</v>
      </c>
      <c r="E7" s="16">
        <f>SUMIF('REPORTE DIARIO'!B:B,'EPR 24 MAYO'!C7, 'REPORTE DIARIO'!D:D)</f>
        <v>847436.79999999993</v>
      </c>
      <c r="F7" s="16">
        <f>J7*D7</f>
        <v>1216945.7142857141</v>
      </c>
      <c r="G7" s="16">
        <f>+E7-F7</f>
        <v>-369508.91428571416</v>
      </c>
      <c r="H7" s="15">
        <f>ABS(G7/F7)</f>
        <v>0.30363631668040125</v>
      </c>
      <c r="I7" s="16">
        <f>E7/D7</f>
        <v>65.657147284419295</v>
      </c>
      <c r="J7" s="16">
        <f>(110/7)*6</f>
        <v>94.285714285714278</v>
      </c>
      <c r="K7" s="16">
        <f t="shared" ref="K7:K9" si="0">+I7-J7</f>
        <v>-28.628567001294982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24 MAYO'!C8, 'REPORTE DIARIO'!C:C)</f>
        <v>11267</v>
      </c>
      <c r="E8" s="16">
        <f>SUMIF('REPORTE DIARIO'!B:B,'EPR 24 MAYO'!C8, 'REPORTE DIARIO'!D:D)</f>
        <v>564398.81999999995</v>
      </c>
      <c r="F8" s="16">
        <f>J8*D8</f>
        <v>434584.28571428568</v>
      </c>
      <c r="G8" s="16">
        <f>+E8-F8</f>
        <v>129814.53428571427</v>
      </c>
      <c r="H8" s="15">
        <f>ABS(G8/F8)</f>
        <v>0.29870968314546903</v>
      </c>
      <c r="I8" s="16">
        <f>E8/D8</f>
        <v>50.093087778468089</v>
      </c>
      <c r="J8" s="16">
        <f>(45/7)*6</f>
        <v>38.571428571428569</v>
      </c>
      <c r="K8" s="16">
        <f t="shared" si="0"/>
        <v>11.521659207039519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24 MAYO'!C9, 'REPORTE DIARIO'!C:C)</f>
        <v>57312</v>
      </c>
      <c r="E9" s="16">
        <f>SUMIF('REPORTE DIARIO'!B:B,'EPR 24 MAYO'!C9, 'REPORTE DIARIO'!D:D)</f>
        <v>651463.05000000005</v>
      </c>
      <c r="F9" s="16">
        <f>J9*D9</f>
        <v>736868.57142857148</v>
      </c>
      <c r="G9" s="16">
        <f>+E9-F9</f>
        <v>-85405.521428571432</v>
      </c>
      <c r="H9" s="15">
        <f>ABS(G9/F9)</f>
        <v>0.11590333030895217</v>
      </c>
      <c r="I9" s="16">
        <f>E9/D9</f>
        <v>11.366957181742045</v>
      </c>
      <c r="J9" s="16">
        <f>(15/7)*6</f>
        <v>12.857142857142858</v>
      </c>
      <c r="K9" s="16">
        <f t="shared" si="0"/>
        <v>-1.4901856754008129</v>
      </c>
    </row>
    <row r="10" spans="2:12" x14ac:dyDescent="0.25">
      <c r="B10" s="16"/>
      <c r="C10" s="19" t="s">
        <v>17</v>
      </c>
      <c r="D10" s="24">
        <f>SUM(D6:D9)</f>
        <v>95557</v>
      </c>
      <c r="E10" s="20">
        <f>SUM(E6:E9)</f>
        <v>3504800</v>
      </c>
      <c r="F10" s="20">
        <f>SUM(F6:F9)</f>
        <v>5041787.1428571427</v>
      </c>
      <c r="G10" s="20">
        <f>+E10-F10</f>
        <v>-1536987.1428571427</v>
      </c>
      <c r="H10" s="21">
        <f>ABS(G10/F10)</f>
        <v>0.30484966923576701</v>
      </c>
      <c r="I10" s="20">
        <f>E10/D10</f>
        <v>36.67758510627165</v>
      </c>
      <c r="J10" s="20">
        <f>F10/D10</f>
        <v>52.762091137824989</v>
      </c>
      <c r="K10" s="20">
        <f>I10-J10</f>
        <v>-16.084506031553339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24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2025-05-25T04:08:53Z</dcterms:modified>
</cp:coreProperties>
</file>