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1\22 MAYO\NOCHE\"/>
    </mc:Choice>
  </mc:AlternateContent>
  <xr:revisionPtr revIDLastSave="0" documentId="13_ncr:1_{B8684CC7-B1CF-41D0-BC3F-3C03F8E48B2D}" xr6:coauthVersionLast="47" xr6:coauthVersionMax="47" xr10:uidLastSave="{00000000-0000-0000-0000-000000000000}"/>
  <bookViews>
    <workbookView xWindow="-120" yWindow="-120" windowWidth="51840" windowHeight="21120" xr2:uid="{4DC6C92A-CD8A-4966-829B-0B6A986E825B}"/>
  </bookViews>
  <sheets>
    <sheet name="REPORTE DIARIO" sheetId="1" r:id="rId1"/>
    <sheet name="DATA" sheetId="4" r:id="rId2"/>
    <sheet name="EPR 22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3" l="1"/>
  <c r="J6" i="3"/>
  <c r="J9" i="3"/>
  <c r="J8" i="3"/>
  <c r="C19" i="1" l="1"/>
  <c r="D19" i="1"/>
  <c r="D28" i="1"/>
  <c r="C28" i="1"/>
  <c r="D6" i="3"/>
  <c r="D57" i="1"/>
  <c r="C57" i="1"/>
  <c r="D44" i="1"/>
  <c r="C44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<sst xmlns="http://schemas.openxmlformats.org/spreadsheetml/2006/main" count="89" uniqueCount="37">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</sst>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0" xfId="0" applyNumberFormat="1" applyFill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3" sqref="B3:D59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9" t="s">
        <v>0</v>
      </c>
      <c r="C3" s="29"/>
      <c r="D3" s="29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4069</v>
      </c>
      <c r="D5" s="25">
        <v>273422.15000000002</v>
      </c>
    </row>
    <row r="6" spans="2:8" x14ac:dyDescent="0.25">
      <c r="B6" s="1" t="s">
        <v>5</v>
      </c>
      <c r="C6" s="6">
        <v>4243</v>
      </c>
      <c r="D6" s="25">
        <v>207309.85</v>
      </c>
    </row>
    <row r="7" spans="2:8" x14ac:dyDescent="0.25">
      <c r="B7" s="1" t="s">
        <v>6</v>
      </c>
      <c r="C7" s="6">
        <v>4271</v>
      </c>
      <c r="D7" s="25">
        <v>91914.39</v>
      </c>
    </row>
    <row r="8" spans="2:8" x14ac:dyDescent="0.25">
      <c r="B8" s="5" t="s">
        <v>12</v>
      </c>
      <c r="C8" s="7">
        <v>11</v>
      </c>
      <c r="D8" s="27">
        <v>0</v>
      </c>
    </row>
    <row r="9" spans="2:8" x14ac:dyDescent="0.25">
      <c r="B9" s="1" t="s">
        <v>7</v>
      </c>
      <c r="C9" s="6">
        <v>11352</v>
      </c>
      <c r="D9" s="25">
        <v>189409.07000000004</v>
      </c>
      <c r="E9" s="14"/>
      <c r="F9" s="7"/>
    </row>
    <row r="10" spans="2:8" x14ac:dyDescent="0.25">
      <c r="B10" s="3" t="s">
        <v>8</v>
      </c>
      <c r="C10" s="8">
        <f>SUM(C5:C9)</f>
        <v>23946</v>
      </c>
      <c r="D10" s="4">
        <f>SUM(D5:D9)</f>
        <v>762055.46000000008</v>
      </c>
      <c r="E10" s="11" t="s">
        <v>14</v>
      </c>
    </row>
    <row r="12" spans="2:8" x14ac:dyDescent="0.25">
      <c r="B12" s="29" t="s">
        <v>30</v>
      </c>
      <c r="C12" s="29"/>
      <c r="D12" s="29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2322</v>
      </c>
      <c r="D14" s="25">
        <v>132091.32</v>
      </c>
    </row>
    <row r="15" spans="2:8" x14ac:dyDescent="0.25">
      <c r="B15" s="1" t="s">
        <v>5</v>
      </c>
      <c r="C15" s="6">
        <v>2140</v>
      </c>
      <c r="D15" s="25">
        <v>72511.23</v>
      </c>
    </row>
    <row r="16" spans="2:8" x14ac:dyDescent="0.25">
      <c r="B16" s="1" t="s">
        <v>6</v>
      </c>
      <c r="C16" s="6">
        <v>2212</v>
      </c>
      <c r="D16" s="25">
        <v>78670.34</v>
      </c>
    </row>
    <row r="17" spans="2:4" x14ac:dyDescent="0.25">
      <c r="B17" s="5" t="s">
        <v>12</v>
      </c>
      <c r="C17" s="7">
        <v>2</v>
      </c>
      <c r="D17" s="26">
        <v>0</v>
      </c>
    </row>
    <row r="18" spans="2:4" x14ac:dyDescent="0.25">
      <c r="B18" s="1" t="s">
        <v>7</v>
      </c>
      <c r="C18" s="6">
        <v>20851</v>
      </c>
      <c r="D18" s="25">
        <v>54123</v>
      </c>
    </row>
    <row r="19" spans="2:4" x14ac:dyDescent="0.25">
      <c r="B19" s="3" t="s">
        <v>8</v>
      </c>
      <c r="C19" s="8">
        <f>SUM(C14:C18)</f>
        <v>27527</v>
      </c>
      <c r="D19" s="4">
        <f>SUM(D14:D18)</f>
        <v>337395.89</v>
      </c>
    </row>
    <row r="21" spans="2:4" x14ac:dyDescent="0.25">
      <c r="B21" s="28" t="s">
        <v>10</v>
      </c>
      <c r="C21" s="28"/>
      <c r="D21" s="28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3329</v>
      </c>
      <c r="D23" s="25">
        <v>234431.09999999998</v>
      </c>
    </row>
    <row r="24" spans="2:4" x14ac:dyDescent="0.25">
      <c r="B24" s="9" t="s">
        <v>5</v>
      </c>
      <c r="C24" s="6">
        <v>1484</v>
      </c>
      <c r="D24" s="25">
        <v>31445</v>
      </c>
    </row>
    <row r="25" spans="2:4" x14ac:dyDescent="0.25">
      <c r="B25" s="9" t="s">
        <v>6</v>
      </c>
      <c r="C25" s="6">
        <v>2158</v>
      </c>
      <c r="D25" s="25">
        <v>29485.68</v>
      </c>
    </row>
    <row r="26" spans="2:4" x14ac:dyDescent="0.25">
      <c r="B26" s="5" t="s">
        <v>12</v>
      </c>
      <c r="C26" s="7">
        <v>1</v>
      </c>
      <c r="D26" s="27">
        <v>0</v>
      </c>
    </row>
    <row r="27" spans="2:4" x14ac:dyDescent="0.25">
      <c r="B27" s="9" t="s">
        <v>7</v>
      </c>
      <c r="C27" s="6">
        <v>17193</v>
      </c>
      <c r="D27" s="25">
        <v>37445.199999999997</v>
      </c>
    </row>
    <row r="28" spans="2:4" x14ac:dyDescent="0.25">
      <c r="B28" s="10" t="s">
        <v>8</v>
      </c>
      <c r="C28" s="8">
        <f>SUM(C23:C27)</f>
        <v>24165</v>
      </c>
      <c r="D28" s="4">
        <f>SUM(D23:D27)</f>
        <v>332806.98</v>
      </c>
    </row>
    <row r="30" spans="2:4" x14ac:dyDescent="0.25">
      <c r="B30" s="29" t="s">
        <v>9</v>
      </c>
      <c r="C30" s="29"/>
      <c r="D30" s="29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221</v>
      </c>
      <c r="D32" s="25">
        <v>39677.839999999997</v>
      </c>
    </row>
    <row r="33" spans="2:4" x14ac:dyDescent="0.25">
      <c r="B33" s="9" t="s">
        <v>5</v>
      </c>
      <c r="C33" s="6">
        <v>3362</v>
      </c>
      <c r="D33" s="25">
        <v>228335.87</v>
      </c>
    </row>
    <row r="34" spans="2:4" x14ac:dyDescent="0.25">
      <c r="B34" s="9" t="s">
        <v>6</v>
      </c>
      <c r="C34" s="6">
        <v>610</v>
      </c>
      <c r="D34" s="25">
        <v>43660</v>
      </c>
    </row>
    <row r="35" spans="2:4" x14ac:dyDescent="0.25">
      <c r="B35" s="9" t="s">
        <v>7</v>
      </c>
      <c r="C35" s="6">
        <v>3969</v>
      </c>
      <c r="D35" s="25">
        <v>3139</v>
      </c>
    </row>
    <row r="36" spans="2:4" x14ac:dyDescent="0.25">
      <c r="B36" s="10" t="s">
        <v>8</v>
      </c>
      <c r="C36" s="8">
        <f>SUM(C32:C35)</f>
        <v>8162</v>
      </c>
      <c r="D36" s="4">
        <f>SUM(D32:D35)</f>
        <v>314812.70999999996</v>
      </c>
    </row>
    <row r="38" spans="2:4" x14ac:dyDescent="0.25">
      <c r="B38" s="29" t="s">
        <v>31</v>
      </c>
      <c r="C38" s="29"/>
      <c r="D38" s="29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576</v>
      </c>
      <c r="D40" s="25">
        <v>14600</v>
      </c>
    </row>
    <row r="41" spans="2:4" x14ac:dyDescent="0.25">
      <c r="B41" s="1" t="s">
        <v>5</v>
      </c>
      <c r="C41" s="6">
        <v>866</v>
      </c>
      <c r="D41" s="25">
        <v>9133</v>
      </c>
    </row>
    <row r="42" spans="2:4" x14ac:dyDescent="0.25">
      <c r="B42" s="1" t="s">
        <v>6</v>
      </c>
      <c r="C42" s="6">
        <v>788</v>
      </c>
      <c r="D42" s="25">
        <v>1052</v>
      </c>
    </row>
    <row r="43" spans="2:4" x14ac:dyDescent="0.25">
      <c r="B43" s="1" t="s">
        <v>7</v>
      </c>
      <c r="C43" s="6">
        <v>2429</v>
      </c>
      <c r="D43" s="25">
        <v>62944</v>
      </c>
    </row>
    <row r="44" spans="2:4" x14ac:dyDescent="0.25">
      <c r="B44" s="3" t="s">
        <v>8</v>
      </c>
      <c r="C44" s="8">
        <f>SUM(C40:C43)</f>
        <v>4659</v>
      </c>
      <c r="D44" s="4">
        <f>SUM(D40:D43)</f>
        <v>87729</v>
      </c>
    </row>
    <row r="46" spans="2:4" x14ac:dyDescent="0.25">
      <c r="B46" s="28" t="s">
        <v>11</v>
      </c>
      <c r="C46" s="28"/>
      <c r="D46" s="28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2546</v>
      </c>
      <c r="D48" s="25">
        <v>49774</v>
      </c>
    </row>
    <row r="49" spans="2:4" x14ac:dyDescent="0.25">
      <c r="B49" s="10" t="s">
        <v>8</v>
      </c>
      <c r="C49" s="8">
        <f>SUM(C48:C48)</f>
        <v>2546</v>
      </c>
      <c r="D49" s="4">
        <f>SUM(D48:D48)</f>
        <v>49774</v>
      </c>
    </row>
    <row r="51" spans="2:4" x14ac:dyDescent="0.25">
      <c r="B51" s="29" t="s">
        <v>32</v>
      </c>
      <c r="C51" s="29"/>
      <c r="D51" s="29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770</v>
      </c>
      <c r="D53" s="25">
        <v>9689.26</v>
      </c>
    </row>
    <row r="54" spans="2:4" x14ac:dyDescent="0.25">
      <c r="B54" s="1" t="s">
        <v>5</v>
      </c>
      <c r="C54" s="6">
        <v>873</v>
      </c>
      <c r="D54" s="25">
        <v>3948</v>
      </c>
    </row>
    <row r="55" spans="2:4" x14ac:dyDescent="0.25">
      <c r="B55" s="1" t="s">
        <v>6</v>
      </c>
      <c r="C55" s="6">
        <v>1309</v>
      </c>
      <c r="D55" s="25">
        <v>3811</v>
      </c>
    </row>
    <row r="56" spans="2:4" x14ac:dyDescent="0.25">
      <c r="B56" s="1" t="s">
        <v>7</v>
      </c>
      <c r="C56" s="6">
        <v>1363</v>
      </c>
      <c r="D56" s="25">
        <v>2445</v>
      </c>
    </row>
    <row r="57" spans="2:4" x14ac:dyDescent="0.25">
      <c r="B57" s="3" t="s">
        <v>8</v>
      </c>
      <c r="C57" s="8">
        <f>SUM(C53:C56)</f>
        <v>4315</v>
      </c>
      <c r="D57" s="4">
        <f>SUM(D53:D56)</f>
        <v>19893.260000000002</v>
      </c>
    </row>
    <row r="59" spans="2:4" x14ac:dyDescent="0.25">
      <c r="B59" s="12" t="s">
        <v>13</v>
      </c>
      <c r="C59" s="13">
        <f>SUM(C10+C28+C36+C49+C19+C44+C57)</f>
        <v>95320</v>
      </c>
      <c r="D59" s="13">
        <f>SUM(D10+D28+D36+D49+D19+D44+D57)</f>
        <v>1904467.3</v>
      </c>
    </row>
  </sheetData>
  <mergeCells count="7">
    <mergeCell ref="B46:D46"/>
    <mergeCell ref="B51:D51"/>
    <mergeCell ref="B12:D12"/>
    <mergeCell ref="B38:D38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6" sqref="J6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22 MAYO'!C6, 'REPORTE DIARIO'!C:C)</f>
        <v>13833</v>
      </c>
      <c r="E6" s="16">
        <f>SUMIF('REPORTE DIARIO'!B:B,'EPR 22 MAYO'!C6, 'REPORTE DIARIO'!D:D)</f>
        <v>753685.67</v>
      </c>
      <c r="F6" s="16">
        <f>J6*D6</f>
        <v>1739005.7142857141</v>
      </c>
      <c r="G6" s="16">
        <f>+E6-F6</f>
        <v>-985320.04428571404</v>
      </c>
      <c r="H6" s="15">
        <f>ABS(G6/F6)</f>
        <v>0.56659965875409912</v>
      </c>
      <c r="I6" s="16">
        <f>E6/D6</f>
        <v>54.484614328056104</v>
      </c>
      <c r="J6" s="16">
        <f>(220/7)*4</f>
        <v>125.71428571428571</v>
      </c>
      <c r="K6" s="16">
        <f>+I6-J6</f>
        <v>-71.229671386229597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22 MAYO'!C7, 'REPORTE DIARIO'!C:C)</f>
        <v>12968</v>
      </c>
      <c r="E7" s="16">
        <f>SUMIF('REPORTE DIARIO'!B:B,'EPR 22 MAYO'!C7, 'REPORTE DIARIO'!D:D)</f>
        <v>552682.94999999995</v>
      </c>
      <c r="F7" s="16">
        <f>J7*D7</f>
        <v>815131.42857142852</v>
      </c>
      <c r="G7" s="16">
        <f>+E7-F7</f>
        <v>-262448.47857142857</v>
      </c>
      <c r="H7" s="15">
        <f>ABS(G7/F7)</f>
        <v>0.32197075143009368</v>
      </c>
      <c r="I7" s="16">
        <f>E7/D7</f>
        <v>42.618981338679824</v>
      </c>
      <c r="J7" s="16">
        <f>(110/7)*4</f>
        <v>62.857142857142854</v>
      </c>
      <c r="K7" s="16">
        <f t="shared" ref="K7:K9" si="0">+I7-J7</f>
        <v>-20.238161518463031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22 MAYO'!C8, 'REPORTE DIARIO'!C:C)</f>
        <v>11348</v>
      </c>
      <c r="E8" s="16">
        <f>SUMIF('REPORTE DIARIO'!B:B,'EPR 22 MAYO'!C8, 'REPORTE DIARIO'!D:D)</f>
        <v>248593.40999999997</v>
      </c>
      <c r="F8" s="16">
        <f>J8*D8</f>
        <v>291805.71428571432</v>
      </c>
      <c r="G8" s="16">
        <f>+E8-F8</f>
        <v>-43212.304285714345</v>
      </c>
      <c r="H8" s="15">
        <f>ABS(G8/F8)</f>
        <v>0.14808587416284827</v>
      </c>
      <c r="I8" s="16">
        <f>E8/D8</f>
        <v>21.906363235812474</v>
      </c>
      <c r="J8" s="16">
        <f>(45/7)*4</f>
        <v>25.714285714285715</v>
      </c>
      <c r="K8" s="16">
        <f t="shared" si="0"/>
        <v>-3.8079224784732411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22 MAYO'!C9, 'REPORTE DIARIO'!C:C)</f>
        <v>57157</v>
      </c>
      <c r="E9" s="16">
        <f>SUMIF('REPORTE DIARIO'!B:B,'EPR 22 MAYO'!C9, 'REPORTE DIARIO'!D:D)</f>
        <v>349505.27</v>
      </c>
      <c r="F9" s="16">
        <f>J9*D9</f>
        <v>489917.14285714284</v>
      </c>
      <c r="G9" s="16">
        <f>+E9-F9</f>
        <v>-140411.87285714282</v>
      </c>
      <c r="H9" s="15">
        <f>ABS(G9/F9)</f>
        <v>0.28660330609840723</v>
      </c>
      <c r="I9" s="16">
        <f>E9/D9</f>
        <v>6.1148288048707951</v>
      </c>
      <c r="J9" s="16">
        <f>(15/7)*4</f>
        <v>8.5714285714285712</v>
      </c>
      <c r="K9" s="16">
        <f t="shared" si="0"/>
        <v>-2.4565997665577761</v>
      </c>
    </row>
    <row r="10" spans="2:12" x14ac:dyDescent="0.25">
      <c r="B10" s="16"/>
      <c r="C10" s="19" t="s">
        <v>17</v>
      </c>
      <c r="D10" s="24">
        <f>SUM(D6:D9)</f>
        <v>95306</v>
      </c>
      <c r="E10" s="20">
        <f>SUM(E6:E9)</f>
        <v>1904467.3</v>
      </c>
      <c r="F10" s="20">
        <f>SUM(F6:F9)</f>
        <v>3335860</v>
      </c>
      <c r="G10" s="20">
        <f>+E10-F10</f>
        <v>-1431392.7</v>
      </c>
      <c r="H10" s="21">
        <f>ABS(G10/F10)</f>
        <v>0.42909255784115641</v>
      </c>
      <c r="I10" s="20">
        <f>E10/D10</f>
        <v>19.98265901412293</v>
      </c>
      <c r="J10" s="20">
        <f>F10/D10</f>
        <v>35.001573877825109</v>
      </c>
      <c r="K10" s="20">
        <f>I10-J10</f>
        <v>-15.018914863702179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22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2025-05-19T02:20:45Z</cp:lastPrinted>
  <dcterms:created xsi:type="dcterms:W3CDTF">2025-01-27T15:11:28Z</dcterms:created>
  <dcterms:modified xsi:type="dcterms:W3CDTF">2025-05-23T02:01:32Z</dcterms:modified>
</cp:coreProperties>
</file>