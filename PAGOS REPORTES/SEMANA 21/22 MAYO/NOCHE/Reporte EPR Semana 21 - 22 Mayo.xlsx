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2 MAYO\NOCHE\"/>
    </mc:Choice>
  </mc:AlternateContent>
  <xr:revisionPtr revIDLastSave="0" documentId="13_ncr:1_{C19FCDBF-07CD-4F6E-AB6B-53E41758E8E8}" xr6:coauthVersionLast="47" xr6:coauthVersionMax="47" xr10:uidLastSave="{00000000-0000-0000-0000-000000000000}"/>
  <bookViews>
    <workbookView xWindow="12600" yWindow="12600" windowWidth="10005" windowHeight="5445" xr2:uid="{4DC6C92A-CD8A-4966-829B-0B6A986E825B}"/>
  </bookViews>
  <sheets>
    <sheet name="REPORTE DIARIO" sheetId="1" r:id="rId1"/>
    <sheet name="DATA" sheetId="4" r:id="rId2"/>
    <sheet name="EPR 22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C10" i="1"/>
  <c r="J6" i="3"/>
  <c r="D57" i="1"/>
  <c r="D49" i="1"/>
  <c r="C49" i="1"/>
  <c r="C57" i="1"/>
  <c r="D19" i="1" l="1"/>
  <c r="C19" i="1"/>
  <c r="J9" i="3"/>
  <c r="J8" i="3"/>
  <c r="J7" i="3"/>
  <c r="D6" i="3"/>
  <c r="F6" i="3" s="1"/>
  <c r="D41" i="1"/>
  <c r="C41" i="1"/>
  <c r="D36" i="1"/>
  <c r="C36" i="1"/>
  <c r="D28" i="1"/>
  <c r="C28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<sst xmlns="http://schemas.openxmlformats.org/spreadsheetml/2006/main" count="88" uniqueCount="36">
  <si>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</si>
  <si>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</si>
  <si>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</si>
  <si>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</si>
  <si>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</si>
  <si>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</si>
  <si>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</si>
  <si>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</si>
  <si>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</si>
  <si>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</si>
  <si>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</si>
  <si>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</si>
  <si>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</si>
  <si>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</si>
  <si>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</si>
  <si>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</si>
  <si>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</si>
  <si>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</si>
  <si>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</si>
  <si>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</si>
  <si>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</si>
  <si>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</si>
  <si>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</si>
  <si>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</si>
  <si>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</si>
  <si>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</si>
  <si>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</si>
  <si>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</si>
  <si>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</si>
  <si>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</si>
  <si>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</si>
  <si>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</si>
  <si>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</si>
  <si>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</si>
  <si>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</si>
  <si>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22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</si>
</sst>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abSelected="1" topLeftCell="A22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10</v>
      </c>
      <c r="C3" s="28"/>
      <c r="D3" s="28"/>
      <c r="H3" s="8"/>
    </row>
    <row r="4" spans="2:8" x14ac:dyDescent="0.25">
      <c r="B4" s="4" t="s">
        <v>1</v>
      </c>
      <c r="C4" s="4" t="s">
        <v>2</v>
      </c>
      <c r="D4" s="4" t="s">
        <v>3</v>
      </c>
    </row>
    <row r="5" spans="2:8" x14ac:dyDescent="0.25">
      <c r="B5" s="9" t="s">
        <v>4</v>
      </c>
      <c r="C5" s="6">
        <v>3329</v>
      </c>
      <c r="D5" s="25">
        <v>87536.99</v>
      </c>
    </row>
    <row r="6" spans="2:8" x14ac:dyDescent="0.25">
      <c r="B6" s="9" t="s">
        <v>5</v>
      </c>
      <c r="C6" s="6">
        <v>1484</v>
      </c>
      <c r="D6" s="25">
        <v>4517</v>
      </c>
    </row>
    <row r="7" spans="2:8" x14ac:dyDescent="0.25">
      <c r="B7" s="9" t="s">
        <v>6</v>
      </c>
      <c r="C7" s="6">
        <v>2158</v>
      </c>
      <c r="D7" s="25">
        <v>1632</v>
      </c>
    </row>
    <row r="8" spans="2:8" x14ac:dyDescent="0.25">
      <c r="B8" s="5" t="s">
        <v>12</v>
      </c>
      <c r="C8" s="7">
        <v>1</v>
      </c>
      <c r="D8" s="26">
        <v>0</v>
      </c>
    </row>
    <row r="9" spans="2:8" x14ac:dyDescent="0.25">
      <c r="B9" s="9" t="s">
        <v>7</v>
      </c>
      <c r="C9" s="6">
        <v>17193</v>
      </c>
      <c r="D9" s="25">
        <v>10297</v>
      </c>
    </row>
    <row r="10" spans="2:8" x14ac:dyDescent="0.25">
      <c r="B10" s="10" t="s">
        <v>8</v>
      </c>
      <c r="C10" s="8">
        <f>SUM(C5:C9)</f>
        <v>24165</v>
      </c>
      <c r="D10" s="4">
        <f>SUM(D5:D9)</f>
        <v>103982.99</v>
      </c>
    </row>
    <row r="12" spans="2:8" x14ac:dyDescent="0.25">
      <c r="B12" s="27" t="s">
        <v>29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2322</v>
      </c>
      <c r="D14" s="25">
        <v>24103.07</v>
      </c>
    </row>
    <row r="15" spans="2:8" x14ac:dyDescent="0.25">
      <c r="B15" s="1" t="s">
        <v>5</v>
      </c>
      <c r="C15" s="6">
        <v>2140</v>
      </c>
      <c r="D15" s="25">
        <v>34011</v>
      </c>
    </row>
    <row r="16" spans="2:8" x14ac:dyDescent="0.25">
      <c r="B16" s="1" t="s">
        <v>6</v>
      </c>
      <c r="C16" s="6">
        <v>2212</v>
      </c>
      <c r="D16" s="25">
        <v>10160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20851</v>
      </c>
      <c r="D18" s="25">
        <v>19442</v>
      </c>
    </row>
    <row r="19" spans="2:11" x14ac:dyDescent="0.25">
      <c r="B19" s="3" t="s">
        <v>8</v>
      </c>
      <c r="C19" s="8">
        <f>SUM(C14:C18)</f>
        <v>27527</v>
      </c>
      <c r="D19" s="4">
        <f>SUM(D14:D18)</f>
        <v>87716.07</v>
      </c>
    </row>
    <row r="21" spans="2:11" x14ac:dyDescent="0.25">
      <c r="B21" s="27" t="s">
        <v>0</v>
      </c>
      <c r="C21" s="27"/>
      <c r="D21" s="27"/>
    </row>
    <row r="22" spans="2:11" x14ac:dyDescent="0.25">
      <c r="B22" s="2" t="s">
        <v>1</v>
      </c>
      <c r="C22" s="2" t="s">
        <v>2</v>
      </c>
      <c r="D22" s="2" t="s">
        <v>3</v>
      </c>
    </row>
    <row r="23" spans="2:11" x14ac:dyDescent="0.25">
      <c r="B23" s="1" t="s">
        <v>4</v>
      </c>
      <c r="C23" s="6">
        <v>4069</v>
      </c>
      <c r="D23" s="25">
        <v>30095.61</v>
      </c>
    </row>
    <row r="24" spans="2:11" x14ac:dyDescent="0.25">
      <c r="B24" s="1" t="s">
        <v>5</v>
      </c>
      <c r="C24" s="6">
        <v>4243</v>
      </c>
      <c r="D24" s="25">
        <v>22078</v>
      </c>
    </row>
    <row r="25" spans="2:11" x14ac:dyDescent="0.25">
      <c r="B25" s="1" t="s">
        <v>6</v>
      </c>
      <c r="C25" s="6">
        <v>4271</v>
      </c>
      <c r="D25" s="25">
        <v>12995.37</v>
      </c>
    </row>
    <row r="26" spans="2:11" x14ac:dyDescent="0.25">
      <c r="B26" s="5" t="s">
        <v>12</v>
      </c>
      <c r="C26" s="7">
        <v>11</v>
      </c>
      <c r="D26" s="26">
        <v>0</v>
      </c>
      <c r="K26" s="7"/>
    </row>
    <row r="27" spans="2:11" x14ac:dyDescent="0.25">
      <c r="B27" s="1" t="s">
        <v>7</v>
      </c>
      <c r="C27" s="6">
        <v>11352</v>
      </c>
      <c r="D27" s="25">
        <v>18815.63</v>
      </c>
    </row>
    <row r="28" spans="2:11" x14ac:dyDescent="0.25">
      <c r="B28" s="3" t="s">
        <v>8</v>
      </c>
      <c r="C28" s="8">
        <f>SUM(C23:C27)</f>
        <v>23946</v>
      </c>
      <c r="D28" s="4">
        <f>SUM(D23:D27)</f>
        <v>83984.61</v>
      </c>
    </row>
    <row r="30" spans="2:11" x14ac:dyDescent="0.25">
      <c r="B30" s="27" t="s">
        <v>9</v>
      </c>
      <c r="C30" s="27"/>
      <c r="D30" s="27"/>
    </row>
    <row r="31" spans="2:11" x14ac:dyDescent="0.25">
      <c r="B31" s="2" t="s">
        <v>1</v>
      </c>
      <c r="C31" s="2" t="s">
        <v>2</v>
      </c>
      <c r="D31" s="2" t="s">
        <v>3</v>
      </c>
    </row>
    <row r="32" spans="2:11" x14ac:dyDescent="0.25">
      <c r="B32" s="9" t="s">
        <v>4</v>
      </c>
      <c r="C32" s="6">
        <v>221</v>
      </c>
      <c r="D32" s="25">
        <v>2605.92</v>
      </c>
    </row>
    <row r="33" spans="2:4" x14ac:dyDescent="0.25">
      <c r="B33" s="9" t="s">
        <v>5</v>
      </c>
      <c r="C33" s="6">
        <v>3362</v>
      </c>
      <c r="D33" s="25">
        <v>24693.61</v>
      </c>
    </row>
    <row r="34" spans="2:4" x14ac:dyDescent="0.25">
      <c r="B34" s="9" t="s">
        <v>6</v>
      </c>
      <c r="C34" s="6">
        <v>610</v>
      </c>
      <c r="D34" s="25">
        <v>488</v>
      </c>
    </row>
    <row r="35" spans="2:4" x14ac:dyDescent="0.25">
      <c r="B35" s="9" t="s">
        <v>7</v>
      </c>
      <c r="C35" s="6">
        <v>3969</v>
      </c>
      <c r="D35" s="25">
        <v>139</v>
      </c>
    </row>
    <row r="36" spans="2:4" x14ac:dyDescent="0.25">
      <c r="B36" s="10" t="s">
        <v>8</v>
      </c>
      <c r="C36" s="8">
        <f>SUM(C32:C35)</f>
        <v>8162</v>
      </c>
      <c r="D36" s="4">
        <f>SUM(D32:D35)</f>
        <v>27926.53</v>
      </c>
    </row>
    <row r="38" spans="2:4" x14ac:dyDescent="0.25">
      <c r="B38" s="28" t="s">
        <v>11</v>
      </c>
      <c r="C38" s="28"/>
      <c r="D38" s="28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2546</v>
      </c>
      <c r="D40" s="25">
        <v>3125</v>
      </c>
    </row>
    <row r="41" spans="2:4" x14ac:dyDescent="0.25">
      <c r="B41" s="10" t="s">
        <v>8</v>
      </c>
      <c r="C41" s="8">
        <f>SUM(C40:C40)</f>
        <v>2546</v>
      </c>
      <c r="D41" s="4">
        <f>SUM(D40:D40)</f>
        <v>3125</v>
      </c>
    </row>
    <row r="43" spans="2:4" x14ac:dyDescent="0.25">
      <c r="B43" s="27" t="s">
        <v>31</v>
      </c>
      <c r="C43" s="27"/>
      <c r="D43" s="27"/>
    </row>
    <row r="44" spans="2:4" x14ac:dyDescent="0.25">
      <c r="B44" s="2" t="s">
        <v>1</v>
      </c>
      <c r="C44" s="2" t="s">
        <v>2</v>
      </c>
      <c r="D44" s="2" t="s">
        <v>3</v>
      </c>
    </row>
    <row r="45" spans="2:4" x14ac:dyDescent="0.25">
      <c r="B45" s="9" t="s">
        <v>4</v>
      </c>
      <c r="C45" s="6">
        <v>770</v>
      </c>
      <c r="D45" s="25">
        <v>709</v>
      </c>
    </row>
    <row r="46" spans="2:4" x14ac:dyDescent="0.25">
      <c r="B46" s="1" t="s">
        <v>5</v>
      </c>
      <c r="C46" s="6">
        <v>873</v>
      </c>
      <c r="D46" s="25">
        <v>800</v>
      </c>
    </row>
    <row r="47" spans="2:4" x14ac:dyDescent="0.25">
      <c r="B47" s="1" t="s">
        <v>6</v>
      </c>
      <c r="C47" s="6">
        <v>1309</v>
      </c>
      <c r="D47" s="25">
        <v>100</v>
      </c>
    </row>
    <row r="48" spans="2:4" x14ac:dyDescent="0.25">
      <c r="B48" s="1" t="s">
        <v>7</v>
      </c>
      <c r="C48" s="6">
        <v>1363</v>
      </c>
      <c r="D48" s="26">
        <v>0</v>
      </c>
    </row>
    <row r="49" spans="2:4" x14ac:dyDescent="0.25">
      <c r="B49" s="3" t="s">
        <v>8</v>
      </c>
      <c r="C49" s="8">
        <f>SUM(C45:C48)</f>
        <v>4315</v>
      </c>
      <c r="D49" s="4">
        <f>SUM(D45:D48)</f>
        <v>1609</v>
      </c>
    </row>
    <row r="51" spans="2:4" x14ac:dyDescent="0.25">
      <c r="B51" s="27" t="s">
        <v>30</v>
      </c>
      <c r="C51" s="27"/>
      <c r="D51" s="27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576</v>
      </c>
      <c r="D53" s="25">
        <v>210</v>
      </c>
    </row>
    <row r="54" spans="2:4" x14ac:dyDescent="0.25">
      <c r="B54" s="1" t="s">
        <v>5</v>
      </c>
      <c r="C54" s="6">
        <v>866</v>
      </c>
      <c r="D54" s="25">
        <v>300</v>
      </c>
    </row>
    <row r="55" spans="2:4" x14ac:dyDescent="0.25">
      <c r="B55" s="1" t="s">
        <v>6</v>
      </c>
      <c r="C55" s="6">
        <v>788</v>
      </c>
      <c r="D55" s="26">
        <v>0</v>
      </c>
    </row>
    <row r="56" spans="2:4" x14ac:dyDescent="0.25">
      <c r="B56" s="1" t="s">
        <v>7</v>
      </c>
      <c r="C56" s="6">
        <v>2429</v>
      </c>
      <c r="D56" s="26">
        <v>0</v>
      </c>
    </row>
    <row r="57" spans="2:4" x14ac:dyDescent="0.25">
      <c r="B57" s="3" t="s">
        <v>8</v>
      </c>
      <c r="C57" s="8">
        <f>SUM(C53:C56)</f>
        <v>4659</v>
      </c>
      <c r="D57" s="4">
        <f>SUM(D53:D56)</f>
        <v>510</v>
      </c>
    </row>
    <row r="59" spans="2:4" x14ac:dyDescent="0.25">
      <c r="B59" s="11" t="s">
        <v>13</v>
      </c>
      <c r="C59" s="12">
        <f>SUM(C28+C36+C10+C41+C19+C57+C49)</f>
        <v>95320</v>
      </c>
      <c r="D59" s="12">
        <f>SUM(D28+D36+D10+D41+D19+D57+D49)</f>
        <v>308854.2</v>
      </c>
    </row>
  </sheetData>
  <mergeCells count="7">
    <mergeCell ref="B43:D43"/>
    <mergeCell ref="B21:D21"/>
    <mergeCell ref="B30:D30"/>
    <mergeCell ref="B38:D38"/>
    <mergeCell ref="B51:D51"/>
    <mergeCell ref="B12:D12"/>
    <mergeCell ref="B3:D3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B6" sqref="B6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22 MAYO'!C6, 'REPORTE DIARIO'!C:C)</f>
        <v>13833</v>
      </c>
      <c r="E6" s="15">
        <f>SUMIF('REPORTE DIARIO'!B:B,'EPR 22 MAYO'!C6, 'REPORTE DIARIO'!D:D)</f>
        <v>148385.59</v>
      </c>
      <c r="F6" s="15">
        <f>J6*D6</f>
        <v>434751.42857142852</v>
      </c>
      <c r="G6" s="15">
        <f>+E6-F6</f>
        <v>-286365.83857142855</v>
      </c>
      <c r="H6" s="14">
        <f>ABS(G6/F6)</f>
        <v>0.65868866610148336</v>
      </c>
      <c r="I6" s="15">
        <f>E6/D6</f>
        <v>10.726927636810526</v>
      </c>
      <c r="J6" s="15">
        <f>220/7</f>
        <v>31.428571428571427</v>
      </c>
      <c r="K6" s="15">
        <f>+I6-J6</f>
        <v>-20.701643791760901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22 MAYO'!C7, 'REPORTE DIARIO'!C:C)</f>
        <v>12968</v>
      </c>
      <c r="E7" s="15">
        <f>SUMIF('REPORTE DIARIO'!B:B,'EPR 22 MAYO'!C7, 'REPORTE DIARIO'!D:D)</f>
        <v>86399.61</v>
      </c>
      <c r="F7" s="15">
        <f>J7*D7</f>
        <v>203782.85714285713</v>
      </c>
      <c r="G7" s="15">
        <f>+E7-F7</f>
        <v>-117383.24714285713</v>
      </c>
      <c r="H7" s="14">
        <f>ABS(G7/F7)</f>
        <v>0.57602120604565077</v>
      </c>
      <c r="I7" s="15">
        <f>E7/D7</f>
        <v>6.6625239049969158</v>
      </c>
      <c r="J7" s="15">
        <f>110/7</f>
        <v>15.714285714285714</v>
      </c>
      <c r="K7" s="15">
        <f t="shared" ref="K7:K9" si="0">+I7-J7</f>
        <v>-9.0517618092887986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22 MAYO'!C8, 'REPORTE DIARIO'!C:C)</f>
        <v>11348</v>
      </c>
      <c r="E8" s="15">
        <f>SUMIF('REPORTE DIARIO'!B:B,'EPR 22 MAYO'!C8, 'REPORTE DIARIO'!D:D)</f>
        <v>25375.370000000003</v>
      </c>
      <c r="F8" s="15">
        <f>J8*D8</f>
        <v>72951.42857142858</v>
      </c>
      <c r="G8" s="15">
        <f>+E8-F8</f>
        <v>-47576.058571428577</v>
      </c>
      <c r="H8" s="14">
        <f>ABS(G8/F8)</f>
        <v>0.65216075275134144</v>
      </c>
      <c r="I8" s="15">
        <f>E8/D8</f>
        <v>2.2361094465985198</v>
      </c>
      <c r="J8" s="15">
        <f>45/7</f>
        <v>6.4285714285714288</v>
      </c>
      <c r="K8" s="15">
        <f t="shared" si="0"/>
        <v>-4.192461981972909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22 MAYO'!C9, 'REPORTE DIARIO'!C:C)</f>
        <v>57157</v>
      </c>
      <c r="E9" s="15">
        <f>SUMIF('REPORTE DIARIO'!B:B,'EPR 22 MAYO'!C9, 'REPORTE DIARIO'!D:D)</f>
        <v>48693.630000000005</v>
      </c>
      <c r="F9" s="15">
        <f>J9*D9</f>
        <v>122479.28571428571</v>
      </c>
      <c r="G9" s="15">
        <f>+E9-F9</f>
        <v>-73785.655714285705</v>
      </c>
      <c r="H9" s="14">
        <f>ABS(G9/F9)</f>
        <v>0.60243375264622001</v>
      </c>
      <c r="I9" s="15">
        <f>E9/D9</f>
        <v>0.85192767290095706</v>
      </c>
      <c r="J9" s="15">
        <f>15/7</f>
        <v>2.1428571428571428</v>
      </c>
      <c r="K9" s="15">
        <f t="shared" si="0"/>
        <v>-1.2909294699561857</v>
      </c>
    </row>
    <row r="10" spans="2:12" x14ac:dyDescent="0.25">
      <c r="B10" s="15"/>
      <c r="C10" s="18" t="s">
        <v>16</v>
      </c>
      <c r="D10" s="23">
        <f>SUM(D6:D9)</f>
        <v>95306</v>
      </c>
      <c r="E10" s="19">
        <f>SUM(E6:E9)</f>
        <v>308854.2</v>
      </c>
      <c r="F10" s="19">
        <f>SUM(F6:F9)</f>
        <v>833965</v>
      </c>
      <c r="G10" s="19">
        <f>+E10-F10</f>
        <v>-525110.80000000005</v>
      </c>
      <c r="H10" s="20">
        <f>ABS(G10/F10)</f>
        <v>0.62965568099380675</v>
      </c>
      <c r="I10" s="19">
        <f>E10/D10</f>
        <v>3.2406585104820262</v>
      </c>
      <c r="J10" s="19">
        <f>F10/D10</f>
        <v>8.7503934694562773</v>
      </c>
      <c r="K10" s="19">
        <f>I10-J10</f>
        <v>-5.509734958974251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22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2025-05-23T01:57:11Z</dcterms:modified>
</cp:coreProperties>
</file>