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3 MARZO\MAÑANA\"/>
    </mc:Choice>
  </mc:AlternateContent>
  <xr:revisionPtr revIDLastSave="0" documentId="13_ncr:1_{716E40DD-3EC1-4E65-B899-F5038E8BC180}" xr6:coauthVersionLast="47" xr6:coauthVersionMax="47" xr10:uidLastSave="{00000000-0000-0000-0000-000000000000}"/>
  <bookViews>
    <workbookView xWindow="3450" yWindow="8625" windowWidth="13410" windowHeight="5625" xr2:uid="{4DC6C92A-CD8A-4966-829B-0B6A986E825B}"/>
  </bookViews>
  <sheets>
    <sheet name="REPORTE DIARIO" sheetId="1" r:id="rId1"/>
    <sheet name="DATA" sheetId="4" r:id="rId2"/>
    <sheet name="EPR 2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5" i="1"/>
  <c r="C55" i="1"/>
  <c r="D48" i="1"/>
  <c r="C48" i="1"/>
  <c r="D39" i="1" l="1"/>
  <c r="C39" i="1"/>
  <c r="D34" i="1"/>
  <c r="C34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7" i="1" l="1"/>
  <c r="C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<sst xmlns="http://schemas.openxmlformats.org/spreadsheetml/2006/main" count="87" uniqueCount="37">
  <si>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</si>
  <si>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</si>
  <si>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</si>
  <si>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</si>
  <si>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</si>
  <si>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</si>
  <si>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</si>
  <si>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</si>
  <si>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</si>
  <si>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</si>
  <si>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</si>
  <si>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</si>
  <si>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</si>
  <si>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</si>
  <si>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</si>
  <si>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</si>
  <si>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</si>
  <si>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</si>
  <si>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</si>
  <si>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</si>
  <si>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</si>
  <si>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</si>
  <si>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</si>
  <si>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</si>
  <si>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</si>
  <si>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</si>
  <si>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</si>
  <si>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</si>
  <si>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</si>
  <si>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</si>
  <si>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</si>
  <si>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</si>
  <si>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</si>
  <si>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12</t>
  </si>
  <si>
    <t>Samantha, Samantha 2, Sofia, Edith, Olguin, Fernando y Federico</t>
  </si>
  <si>
    <t>COBRANZA GENERAL  SAMANTHA 2</t>
  </si>
  <si>
    <t>COBRANZA GENERAL 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</si>
</sst>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abSelected="1" topLeftCell="A10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7629</v>
      </c>
      <c r="D5" s="26">
        <v>630391.48</v>
      </c>
    </row>
    <row r="6" spans="2:8" x14ac:dyDescent="0.25">
      <c r="B6" s="1" t="s">
        <v>5</v>
      </c>
      <c r="C6" s="6">
        <v>8430</v>
      </c>
      <c r="D6" s="26">
        <v>311940.5</v>
      </c>
    </row>
    <row r="7" spans="2:8" x14ac:dyDescent="0.25">
      <c r="B7" s="1" t="s">
        <v>6</v>
      </c>
      <c r="C7" s="6">
        <v>9720</v>
      </c>
      <c r="D7" s="26">
        <v>302016.33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50505</v>
      </c>
      <c r="D9" s="26">
        <v>553010.87000000011</v>
      </c>
      <c r="F9" s="7"/>
    </row>
    <row r="10" spans="2:8" x14ac:dyDescent="0.25">
      <c r="B10" s="3" t="s">
        <v>8</v>
      </c>
      <c r="C10" s="8">
        <f>SUM(C5:C9)</f>
        <v>76305</v>
      </c>
      <c r="D10" s="4">
        <f>SUM(D5:D9)</f>
        <v>1797359.1800000002</v>
      </c>
      <c r="E10" s="11" t="s">
        <v>14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2044</v>
      </c>
      <c r="D14" s="26">
        <v>195484.39</v>
      </c>
    </row>
    <row r="15" spans="2:8" x14ac:dyDescent="0.25">
      <c r="B15" s="9" t="s">
        <v>5</v>
      </c>
      <c r="C15" s="6">
        <v>1736</v>
      </c>
      <c r="D15" s="26">
        <v>124854.39000000001</v>
      </c>
    </row>
    <row r="16" spans="2:8" x14ac:dyDescent="0.25">
      <c r="B16" s="9" t="s">
        <v>6</v>
      </c>
      <c r="C16" s="6">
        <v>266</v>
      </c>
      <c r="D16" s="26">
        <v>47098.05</v>
      </c>
    </row>
    <row r="17" spans="2:11" x14ac:dyDescent="0.25">
      <c r="B17" s="9" t="s">
        <v>7</v>
      </c>
      <c r="C17" s="6">
        <v>8251</v>
      </c>
      <c r="D17" s="26">
        <v>96526.010000000009</v>
      </c>
    </row>
    <row r="18" spans="2:11" x14ac:dyDescent="0.25">
      <c r="B18" s="10" t="s">
        <v>8</v>
      </c>
      <c r="C18" s="8">
        <f>SUM(C14:C17)</f>
        <v>12297</v>
      </c>
      <c r="D18" s="4">
        <f>SUM(D14:D17)</f>
        <v>463962.84</v>
      </c>
    </row>
    <row r="20" spans="2:11" x14ac:dyDescent="0.25">
      <c r="B20" s="31" t="s">
        <v>32</v>
      </c>
      <c r="C20" s="31"/>
      <c r="D20" s="31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3572</v>
      </c>
      <c r="D22" s="26">
        <v>250733.12000000002</v>
      </c>
    </row>
    <row r="23" spans="2:11" x14ac:dyDescent="0.25">
      <c r="B23" s="9" t="s">
        <v>5</v>
      </c>
      <c r="C23" s="6">
        <v>1607</v>
      </c>
      <c r="D23" s="26">
        <v>29581.53</v>
      </c>
    </row>
    <row r="24" spans="2:11" x14ac:dyDescent="0.25">
      <c r="B24" s="9" t="s">
        <v>6</v>
      </c>
      <c r="C24" s="6">
        <v>3077</v>
      </c>
      <c r="D24" s="26">
        <v>33303.99</v>
      </c>
    </row>
    <row r="25" spans="2:11" x14ac:dyDescent="0.25">
      <c r="B25" s="9" t="s">
        <v>7</v>
      </c>
      <c r="C25" s="6">
        <v>20983</v>
      </c>
      <c r="D25" s="26">
        <v>136908.76</v>
      </c>
    </row>
    <row r="26" spans="2:11" x14ac:dyDescent="0.25">
      <c r="B26" s="10" t="s">
        <v>8</v>
      </c>
      <c r="C26" s="8">
        <f>SUM(C22:C25)</f>
        <v>29239</v>
      </c>
      <c r="D26" s="4">
        <f>SUM(D22:D25)</f>
        <v>450527.4</v>
      </c>
    </row>
    <row r="27" spans="2:11" x14ac:dyDescent="0.25">
      <c r="K27" s="7"/>
    </row>
    <row r="28" spans="2:11" x14ac:dyDescent="0.25">
      <c r="B28" s="30" t="s">
        <v>9</v>
      </c>
      <c r="C28" s="30"/>
      <c r="D28" s="30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1666</v>
      </c>
      <c r="D30" s="26">
        <v>148220.37000000002</v>
      </c>
    </row>
    <row r="31" spans="2:11" x14ac:dyDescent="0.25">
      <c r="B31" s="9" t="s">
        <v>5</v>
      </c>
      <c r="C31" s="6">
        <v>881</v>
      </c>
      <c r="D31" s="26">
        <v>89938.91</v>
      </c>
    </row>
    <row r="32" spans="2:11" x14ac:dyDescent="0.25">
      <c r="B32" s="9" t="s">
        <v>6</v>
      </c>
      <c r="C32" s="6">
        <v>3192</v>
      </c>
      <c r="D32" s="26">
        <v>20057</v>
      </c>
    </row>
    <row r="33" spans="2:5" x14ac:dyDescent="0.25">
      <c r="B33" s="9" t="s">
        <v>7</v>
      </c>
      <c r="C33" s="6">
        <v>1892</v>
      </c>
      <c r="D33" s="26">
        <v>2595.38</v>
      </c>
    </row>
    <row r="34" spans="2:5" x14ac:dyDescent="0.25">
      <c r="B34" s="10" t="s">
        <v>8</v>
      </c>
      <c r="C34" s="8">
        <f>SUM(C30:C33)</f>
        <v>7631</v>
      </c>
      <c r="D34" s="4">
        <f>SUM(D30:D33)</f>
        <v>260811.66000000003</v>
      </c>
    </row>
    <row r="36" spans="2:5" x14ac:dyDescent="0.25">
      <c r="B36" s="31" t="s">
        <v>11</v>
      </c>
      <c r="C36" s="31"/>
      <c r="D36" s="31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3050</v>
      </c>
      <c r="D38" s="26">
        <v>87762</v>
      </c>
    </row>
    <row r="39" spans="2:5" x14ac:dyDescent="0.25">
      <c r="B39" s="10" t="s">
        <v>8</v>
      </c>
      <c r="C39" s="8">
        <f>SUM(C38:C38)</f>
        <v>3050</v>
      </c>
      <c r="D39" s="4">
        <f>SUM(D38:D38)</f>
        <v>87762</v>
      </c>
    </row>
    <row r="40" spans="2:5" x14ac:dyDescent="0.25">
      <c r="B40" s="25"/>
      <c r="C40" s="25"/>
      <c r="D40" s="25"/>
    </row>
    <row r="41" spans="2:5" x14ac:dyDescent="0.25">
      <c r="B41" s="30" t="s">
        <v>35</v>
      </c>
      <c r="C41" s="30"/>
      <c r="D41" s="30"/>
    </row>
    <row r="42" spans="2:5" x14ac:dyDescent="0.25">
      <c r="B42" s="2" t="s">
        <v>1</v>
      </c>
      <c r="C42" s="2" t="s">
        <v>2</v>
      </c>
      <c r="D42" s="2" t="s">
        <v>3</v>
      </c>
      <c r="E42" s="27"/>
    </row>
    <row r="43" spans="2:5" x14ac:dyDescent="0.25">
      <c r="B43" s="1" t="s">
        <v>4</v>
      </c>
      <c r="C43" s="6">
        <v>1</v>
      </c>
      <c r="D43" s="29">
        <v>0</v>
      </c>
    </row>
    <row r="44" spans="2:5" x14ac:dyDescent="0.25">
      <c r="B44" s="1" t="s">
        <v>5</v>
      </c>
      <c r="C44" s="6">
        <v>195</v>
      </c>
      <c r="D44" s="29">
        <v>0</v>
      </c>
    </row>
    <row r="45" spans="2:5" x14ac:dyDescent="0.25">
      <c r="B45" s="1" t="s">
        <v>6</v>
      </c>
      <c r="C45" s="6">
        <v>127</v>
      </c>
      <c r="D45" s="29">
        <v>0</v>
      </c>
    </row>
    <row r="46" spans="2:5" x14ac:dyDescent="0.25">
      <c r="B46" s="5" t="s">
        <v>12</v>
      </c>
      <c r="C46" s="7">
        <v>2</v>
      </c>
      <c r="D46" s="29">
        <v>0</v>
      </c>
    </row>
    <row r="47" spans="2:5" x14ac:dyDescent="0.25">
      <c r="B47" s="1" t="s">
        <v>7</v>
      </c>
      <c r="C47" s="6">
        <v>151</v>
      </c>
      <c r="D47" s="26">
        <v>3973</v>
      </c>
    </row>
    <row r="48" spans="2:5" x14ac:dyDescent="0.25">
      <c r="B48" s="3" t="s">
        <v>8</v>
      </c>
      <c r="C48" s="8">
        <f>SUM(C43:C47)</f>
        <v>476</v>
      </c>
      <c r="D48" s="4">
        <f>SUM(D43:D47)</f>
        <v>3973</v>
      </c>
    </row>
    <row r="50" spans="2:4" x14ac:dyDescent="0.25">
      <c r="B50" s="30" t="s">
        <v>36</v>
      </c>
      <c r="C50" s="30"/>
      <c r="D50" s="30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108</v>
      </c>
      <c r="D52" s="26">
        <v>2816.18</v>
      </c>
    </row>
    <row r="53" spans="2:4" x14ac:dyDescent="0.25">
      <c r="B53" s="1" t="s">
        <v>6</v>
      </c>
      <c r="C53" s="6">
        <v>126</v>
      </c>
      <c r="D53" s="29">
        <v>0</v>
      </c>
    </row>
    <row r="54" spans="2:4" x14ac:dyDescent="0.25">
      <c r="B54" s="1" t="s">
        <v>7</v>
      </c>
      <c r="C54" s="6">
        <v>149</v>
      </c>
      <c r="D54" s="29">
        <v>0</v>
      </c>
    </row>
    <row r="55" spans="2:4" x14ac:dyDescent="0.25">
      <c r="B55" s="3" t="s">
        <v>8</v>
      </c>
      <c r="C55" s="8">
        <f>SUM(C52:C54)</f>
        <v>383</v>
      </c>
      <c r="D55" s="4">
        <f>SUM(D52:D54)</f>
        <v>2816.18</v>
      </c>
    </row>
    <row r="57" spans="2:4" x14ac:dyDescent="0.25">
      <c r="B57" s="12" t="s">
        <v>13</v>
      </c>
      <c r="C57" s="13">
        <f>SUM(C10+C18+C26+C34+C39+C48+C55)</f>
        <v>129381</v>
      </c>
      <c r="D57" s="13">
        <f>SUM(D10+D18+D26+D34+D39+D48+D55)</f>
        <v>3067212.2600000002</v>
      </c>
    </row>
  </sheetData>
  <mergeCells count="7">
    <mergeCell ref="B41:D41"/>
    <mergeCell ref="B50:D50"/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22 MAR'!C6, 'REPORTE DIARIO'!C:C)</f>
        <v>17962</v>
      </c>
      <c r="E6" s="16">
        <f>SUMIF('REPORTE DIARIO'!B:B,'EPR 22 MAR'!C6, 'REPORTE DIARIO'!D:D)</f>
        <v>1312591.3600000001</v>
      </c>
      <c r="F6" s="16">
        <f>J6*D6</f>
        <v>3592400</v>
      </c>
      <c r="G6" s="16">
        <f>+E6-F6</f>
        <v>-2279808.6399999997</v>
      </c>
      <c r="H6" s="15">
        <f>ABS(G6/F6)</f>
        <v>0.63461993096537128</v>
      </c>
      <c r="I6" s="16">
        <f>E6/D6</f>
        <v>73.076013806925744</v>
      </c>
      <c r="J6" s="16">
        <f>200</f>
        <v>200</v>
      </c>
      <c r="K6" s="16">
        <f>+I6-J6</f>
        <v>-126.92398619307426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22 MAR'!C7, 'REPORTE DIARIO'!C:C)</f>
        <v>12957</v>
      </c>
      <c r="E7" s="16">
        <f>SUMIF('REPORTE DIARIO'!B:B,'EPR 22 MAR'!C7, 'REPORTE DIARIO'!D:D)</f>
        <v>559131.51000000013</v>
      </c>
      <c r="F7" s="16">
        <f>J7*D7</f>
        <v>1425270</v>
      </c>
      <c r="G7" s="16">
        <f>+E7-F7</f>
        <v>-866138.48999999987</v>
      </c>
      <c r="H7" s="15">
        <f>ABS(G7/F7)</f>
        <v>0.6077013407985854</v>
      </c>
      <c r="I7" s="16">
        <f>E7/D7</f>
        <v>43.152852512155604</v>
      </c>
      <c r="J7" s="16">
        <f>110</f>
        <v>110</v>
      </c>
      <c r="K7" s="16">
        <f t="shared" ref="K7:K9" si="0">+I7-J7</f>
        <v>-66.847147487844396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22 MAR'!C8, 'REPORTE DIARIO'!C:C)</f>
        <v>16508</v>
      </c>
      <c r="E8" s="16">
        <f>SUMIF('REPORTE DIARIO'!B:B,'EPR 22 MAR'!C8, 'REPORTE DIARIO'!D:D)</f>
        <v>402475.37</v>
      </c>
      <c r="F8" s="16">
        <f>J8*D8</f>
        <v>742860</v>
      </c>
      <c r="G8" s="16">
        <f>+E8-F8</f>
        <v>-340384.63</v>
      </c>
      <c r="H8" s="15">
        <f>ABS(G8/F8)</f>
        <v>0.45820831650647498</v>
      </c>
      <c r="I8" s="16">
        <f>E8/D8</f>
        <v>24.380625757208627</v>
      </c>
      <c r="J8" s="16">
        <f>45</f>
        <v>45</v>
      </c>
      <c r="K8" s="16">
        <f t="shared" si="0"/>
        <v>-20.619374242791373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22 MAR'!C9, 'REPORTE DIARIO'!C:C)</f>
        <v>81931</v>
      </c>
      <c r="E9" s="16">
        <f>SUMIF('REPORTE DIARIO'!B:B,'EPR 22 MAR'!C9, 'REPORTE DIARIO'!D:D)</f>
        <v>793014.02000000014</v>
      </c>
      <c r="F9" s="16">
        <f>J9*D9</f>
        <v>1228965</v>
      </c>
      <c r="G9" s="16">
        <f>+E9-F9</f>
        <v>-435950.97999999986</v>
      </c>
      <c r="H9" s="15">
        <f>ABS(G9/F9)</f>
        <v>0.35473018352841607</v>
      </c>
      <c r="I9" s="16">
        <f>E9/D9</f>
        <v>9.6790472470737594</v>
      </c>
      <c r="J9" s="16">
        <f>15</f>
        <v>15</v>
      </c>
      <c r="K9" s="16">
        <f t="shared" si="0"/>
        <v>-5.3209527529262406</v>
      </c>
    </row>
    <row r="10" spans="2:12" x14ac:dyDescent="0.25">
      <c r="B10" s="16"/>
      <c r="C10" s="19" t="s">
        <v>17</v>
      </c>
      <c r="D10" s="24">
        <f>SUM(D6:D9)</f>
        <v>129358</v>
      </c>
      <c r="E10" s="20">
        <f>SUM(E6:E9)</f>
        <v>3067212.2600000002</v>
      </c>
      <c r="F10" s="20">
        <f>SUM(F6:F9)</f>
        <v>6989495</v>
      </c>
      <c r="G10" s="20">
        <f>+E10-F10</f>
        <v>-3922282.7399999998</v>
      </c>
      <c r="H10" s="21">
        <f>ABS(G10/F10)</f>
        <v>0.56116825893716205</v>
      </c>
      <c r="I10" s="20">
        <f>E10/D10</f>
        <v>23.711036503347302</v>
      </c>
      <c r="J10" s="20">
        <f>F10/D10</f>
        <v>54.032182006524529</v>
      </c>
      <c r="K10" s="20">
        <f>I10-J10</f>
        <v>-30.321145503177227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2025-03-23T15:21:24Z</dcterms:modified>
</cp:coreProperties>
</file>