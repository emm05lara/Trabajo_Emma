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3 MARZO\NOCHE\"/>
    </mc:Choice>
  </mc:AlternateContent>
  <xr:revisionPtr revIDLastSave="0" documentId="13_ncr:1_{B9465687-7092-40D0-AC48-0903E0623A60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2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C55" i="1"/>
  <c r="D19" i="1" l="1"/>
  <c r="C19" i="1"/>
  <c r="J9" i="3"/>
  <c r="J8" i="3"/>
  <c r="J7" i="3"/>
  <c r="J6" i="3"/>
  <c r="D6" i="3"/>
  <c r="F6" i="3" s="1"/>
  <c r="D48" i="1"/>
  <c r="C48" i="1"/>
  <c r="D43" i="1"/>
  <c r="C43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<sst xmlns="http://schemas.openxmlformats.org/spreadsheetml/2006/main" count="86" uniqueCount="36">
  <si>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</si>
  <si>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</si>
  <si>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</si>
  <si>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</si>
  <si>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</si>
  <si>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</si>
  <si>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</si>
  <si>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</si>
  <si>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</si>
  <si>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</si>
  <si>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</si>
  <si>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</si>
  <si>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</si>
  <si>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</si>
  <si>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</si>
  <si>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</si>
  <si>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</si>
  <si>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</si>
  <si>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</si>
  <si>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</si>
  <si>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</si>
  <si>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</si>
  <si>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</si>
  <si>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</si>
  <si>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</si>
  <si>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</si>
  <si>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</si>
  <si>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</si>
  <si>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</si>
  <si>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</si>
  <si>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</si>
  <si>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</si>
  <si>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22 MARZO</t>
  </si>
  <si>
    <t>COBRANZA GENERAL  SAMANTHA 2</t>
  </si>
  <si>
    <t>COBRANZA GENERAL  FEDERICO</t>
  </si>
  <si>
    <t>Samantha, Samantha 2, Sofia, Edith, Olguin,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</si>
</sst>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opLeftCell="A13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7411</v>
      </c>
      <c r="D5" s="25">
        <v>170667.38</v>
      </c>
    </row>
    <row r="6" spans="2:8" x14ac:dyDescent="0.25">
      <c r="B6" s="1" t="s">
        <v>5</v>
      </c>
      <c r="C6" s="6">
        <v>8484</v>
      </c>
      <c r="D6" s="25">
        <v>94101.82</v>
      </c>
    </row>
    <row r="7" spans="2:8" x14ac:dyDescent="0.25">
      <c r="B7" s="1" t="s">
        <v>6</v>
      </c>
      <c r="C7" s="6">
        <v>9824</v>
      </c>
      <c r="D7" s="25">
        <v>48397.179999999993</v>
      </c>
    </row>
    <row r="8" spans="2:8" x14ac:dyDescent="0.25">
      <c r="B8" s="5" t="s">
        <v>12</v>
      </c>
      <c r="C8" s="7">
        <v>21</v>
      </c>
      <c r="D8" s="24">
        <v>0</v>
      </c>
    </row>
    <row r="9" spans="2:8" x14ac:dyDescent="0.25">
      <c r="B9" s="1" t="s">
        <v>7</v>
      </c>
      <c r="C9" s="6">
        <v>50856</v>
      </c>
      <c r="D9" s="25">
        <v>93719</v>
      </c>
    </row>
    <row r="10" spans="2:8" x14ac:dyDescent="0.25">
      <c r="B10" s="3" t="s">
        <v>8</v>
      </c>
      <c r="C10" s="8">
        <f>SUM(C5:C9)</f>
        <v>76596</v>
      </c>
      <c r="D10" s="4">
        <f>SUM(D5:D9)</f>
        <v>406885.38</v>
      </c>
    </row>
    <row r="12" spans="2:8" x14ac:dyDescent="0.25">
      <c r="B12" s="27" t="s">
        <v>33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3558</v>
      </c>
      <c r="D14" s="25">
        <v>31927.190000000002</v>
      </c>
    </row>
    <row r="15" spans="2:8" x14ac:dyDescent="0.25">
      <c r="B15" s="1" t="s">
        <v>5</v>
      </c>
      <c r="C15" s="6">
        <v>1823</v>
      </c>
      <c r="D15" s="25">
        <v>6234</v>
      </c>
    </row>
    <row r="16" spans="2:8" x14ac:dyDescent="0.25">
      <c r="B16" s="1" t="s">
        <v>6</v>
      </c>
      <c r="C16" s="6">
        <v>3218</v>
      </c>
      <c r="D16" s="25">
        <v>26600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21183</v>
      </c>
      <c r="D18" s="25">
        <v>13055</v>
      </c>
    </row>
    <row r="19" spans="2:11" x14ac:dyDescent="0.25">
      <c r="B19" s="3" t="s">
        <v>8</v>
      </c>
      <c r="C19" s="8">
        <f>SUM(C14:C18)</f>
        <v>29784</v>
      </c>
      <c r="D19" s="4">
        <f>SUM(D14:D18)</f>
        <v>77816.19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2057</v>
      </c>
      <c r="D23" s="25">
        <v>40533.040000000001</v>
      </c>
    </row>
    <row r="24" spans="2:11" x14ac:dyDescent="0.25">
      <c r="B24" s="9" t="s">
        <v>5</v>
      </c>
      <c r="C24" s="6">
        <v>1744</v>
      </c>
      <c r="D24" s="25">
        <v>20649</v>
      </c>
    </row>
    <row r="25" spans="2:11" x14ac:dyDescent="0.25">
      <c r="B25" s="9" t="s">
        <v>6</v>
      </c>
      <c r="C25" s="6">
        <v>266</v>
      </c>
      <c r="D25" s="25">
        <v>435</v>
      </c>
    </row>
    <row r="26" spans="2:11" x14ac:dyDescent="0.25">
      <c r="B26" s="9" t="s">
        <v>7</v>
      </c>
      <c r="C26" s="6">
        <v>8251</v>
      </c>
      <c r="D26" s="25">
        <v>13044.25</v>
      </c>
      <c r="K26" s="7"/>
    </row>
    <row r="27" spans="2:11" x14ac:dyDescent="0.25">
      <c r="B27" s="10" t="s">
        <v>8</v>
      </c>
      <c r="C27" s="8">
        <f>SUM(C23:C26)</f>
        <v>12318</v>
      </c>
      <c r="D27" s="4">
        <f>SUM(D23:D26)</f>
        <v>74661.290000000008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1666</v>
      </c>
      <c r="D31" s="25">
        <v>11671</v>
      </c>
    </row>
    <row r="32" spans="2:11" x14ac:dyDescent="0.25">
      <c r="B32" s="9" t="s">
        <v>5</v>
      </c>
      <c r="C32" s="6">
        <v>886</v>
      </c>
      <c r="D32" s="25">
        <v>31755.019999999997</v>
      </c>
    </row>
    <row r="33" spans="2:4" x14ac:dyDescent="0.25">
      <c r="B33" s="9" t="s">
        <v>6</v>
      </c>
      <c r="C33" s="6">
        <v>3192</v>
      </c>
      <c r="D33" s="25">
        <v>2479</v>
      </c>
    </row>
    <row r="34" spans="2:4" x14ac:dyDescent="0.25">
      <c r="B34" s="9" t="s">
        <v>7</v>
      </c>
      <c r="C34" s="6">
        <v>1895</v>
      </c>
      <c r="D34" s="25">
        <v>1149</v>
      </c>
    </row>
    <row r="35" spans="2:4" x14ac:dyDescent="0.25">
      <c r="B35" s="10" t="s">
        <v>8</v>
      </c>
      <c r="C35" s="8">
        <f>SUM(C31:C34)</f>
        <v>7639</v>
      </c>
      <c r="D35" s="4">
        <f>SUM(D31:D34)</f>
        <v>47054.02</v>
      </c>
    </row>
    <row r="37" spans="2:4" x14ac:dyDescent="0.25">
      <c r="B37" s="28" t="s">
        <v>31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44</v>
      </c>
      <c r="D39" s="25">
        <v>26083.200000000001</v>
      </c>
    </row>
    <row r="40" spans="2:4" x14ac:dyDescent="0.25">
      <c r="B40" s="9" t="s">
        <v>5</v>
      </c>
      <c r="C40" s="6">
        <v>3</v>
      </c>
      <c r="D40" s="25">
        <v>3888</v>
      </c>
    </row>
    <row r="41" spans="2:4" x14ac:dyDescent="0.25">
      <c r="B41" s="9" t="s">
        <v>6</v>
      </c>
      <c r="C41" s="6">
        <v>10</v>
      </c>
      <c r="D41" s="25">
        <v>1602</v>
      </c>
    </row>
    <row r="42" spans="2:4" x14ac:dyDescent="0.25">
      <c r="B42" s="9" t="s">
        <v>7</v>
      </c>
      <c r="C42" s="6">
        <v>10</v>
      </c>
      <c r="D42" s="25">
        <v>2747</v>
      </c>
    </row>
    <row r="43" spans="2:4" x14ac:dyDescent="0.25">
      <c r="B43" s="10" t="s">
        <v>8</v>
      </c>
      <c r="C43" s="8">
        <f>SUM(C39:C42)</f>
        <v>67</v>
      </c>
      <c r="D43" s="4">
        <f>SUM(D39:D42)</f>
        <v>34320.199999999997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3050</v>
      </c>
      <c r="D47" s="25">
        <v>26261</v>
      </c>
    </row>
    <row r="48" spans="2:4" x14ac:dyDescent="0.25">
      <c r="B48" s="10" t="s">
        <v>8</v>
      </c>
      <c r="C48" s="8">
        <f>SUM(C47:C47)</f>
        <v>3050</v>
      </c>
      <c r="D48" s="4">
        <f>SUM(D47:D47)</f>
        <v>26261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118</v>
      </c>
      <c r="D52" s="25">
        <v>400</v>
      </c>
    </row>
    <row r="53" spans="2:4" x14ac:dyDescent="0.25">
      <c r="B53" s="1" t="s">
        <v>6</v>
      </c>
      <c r="C53" s="6">
        <v>140</v>
      </c>
      <c r="D53" s="26">
        <v>0</v>
      </c>
    </row>
    <row r="54" spans="2:4" x14ac:dyDescent="0.25">
      <c r="B54" s="1" t="s">
        <v>7</v>
      </c>
      <c r="C54" s="6">
        <v>206</v>
      </c>
      <c r="D54" s="26">
        <v>0</v>
      </c>
    </row>
    <row r="55" spans="2:4" x14ac:dyDescent="0.25">
      <c r="B55" s="3" t="s">
        <v>8</v>
      </c>
      <c r="C55" s="8">
        <f>SUM(C52:C54)</f>
        <v>464</v>
      </c>
      <c r="D55" s="4">
        <f>SUM(D52:D54)</f>
        <v>400</v>
      </c>
    </row>
    <row r="57" spans="2:4" x14ac:dyDescent="0.25">
      <c r="B57" s="11" t="s">
        <v>13</v>
      </c>
      <c r="C57" s="12">
        <f>SUM(C10+C35+C27+C43+C48+C19+C55)</f>
        <v>129918</v>
      </c>
      <c r="D57" s="12">
        <f>SUM(D10+D35+D27+D43+D48+D19+D55)</f>
        <v>667398.08000000007</v>
      </c>
    </row>
  </sheetData>
  <mergeCells count="7">
    <mergeCell ref="B50:D50"/>
    <mergeCell ref="B12:D12"/>
    <mergeCell ref="B21:D21"/>
    <mergeCell ref="B3:D3"/>
    <mergeCell ref="B29:D29"/>
    <mergeCell ref="B37:D37"/>
    <mergeCell ref="B45:D4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32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22 MAR'!C6, 'REPORTE DIARIO'!C:C)</f>
        <v>17786</v>
      </c>
      <c r="E6" s="15">
        <f>SUMIF('REPORTE DIARIO'!B:B,'EPR 22 MAR'!C6, 'REPORTE DIARIO'!D:D)</f>
        <v>307142.81</v>
      </c>
      <c r="F6" s="15">
        <f>J6*D6</f>
        <v>508171.42857142858</v>
      </c>
      <c r="G6" s="15">
        <f>+E6-F6</f>
        <v>-201028.61857142858</v>
      </c>
      <c r="H6" s="14">
        <f>ABS(G6/F6)</f>
        <v>0.39559213145170358</v>
      </c>
      <c r="I6" s="15">
        <f>E6/D6</f>
        <v>17.268796244237041</v>
      </c>
      <c r="J6" s="15">
        <f>200/7</f>
        <v>28.571428571428573</v>
      </c>
      <c r="K6" s="15">
        <f>+I6-J6</f>
        <v>-11.302632327191532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22 MAR'!C7, 'REPORTE DIARIO'!C:C)</f>
        <v>13058</v>
      </c>
      <c r="E7" s="15">
        <f>SUMIF('REPORTE DIARIO'!B:B,'EPR 22 MAR'!C7, 'REPORTE DIARIO'!D:D)</f>
        <v>157027.84</v>
      </c>
      <c r="F7" s="15">
        <f>J7*D7</f>
        <v>205197.14285714284</v>
      </c>
      <c r="G7" s="15">
        <f>+E7-F7</f>
        <v>-48169.302857142844</v>
      </c>
      <c r="H7" s="14">
        <f>ABS(G7/F7)</f>
        <v>0.23474645985045736</v>
      </c>
      <c r="I7" s="15">
        <f>E7/D7</f>
        <v>12.025412773778527</v>
      </c>
      <c r="J7" s="15">
        <f>110/7</f>
        <v>15.714285714285714</v>
      </c>
      <c r="K7" s="15">
        <f t="shared" ref="K7:K9" si="0">+I7-J7</f>
        <v>-3.6888729405071867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22 MAR'!C8, 'REPORTE DIARIO'!C:C)</f>
        <v>16650</v>
      </c>
      <c r="E8" s="15">
        <f>SUMIF('REPORTE DIARIO'!B:B,'EPR 22 MAR'!C8, 'REPORTE DIARIO'!D:D)</f>
        <v>79513.179999999993</v>
      </c>
      <c r="F8" s="15">
        <f>J8*D8</f>
        <v>107035.71428571429</v>
      </c>
      <c r="G8" s="15">
        <f>+E8-F8</f>
        <v>-27522.534285714297</v>
      </c>
      <c r="H8" s="14">
        <f>ABS(G8/F8)</f>
        <v>0.25713412078745423</v>
      </c>
      <c r="I8" s="15">
        <f>E8/D8</f>
        <v>4.7755663663663661</v>
      </c>
      <c r="J8" s="15">
        <f>45/7</f>
        <v>6.4285714285714288</v>
      </c>
      <c r="K8" s="15">
        <f t="shared" si="0"/>
        <v>-1.6530050622050627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22 MAR'!C9, 'REPORTE DIARIO'!C:C)</f>
        <v>82401</v>
      </c>
      <c r="E9" s="15">
        <f>SUMIF('REPORTE DIARIO'!B:B,'EPR 22 MAR'!C9, 'REPORTE DIARIO'!D:D)</f>
        <v>123714.25</v>
      </c>
      <c r="F9" s="15">
        <f>J9*D9</f>
        <v>176573.57142857142</v>
      </c>
      <c r="G9" s="15">
        <f>+E9-F9</f>
        <v>-52859.32142857142</v>
      </c>
      <c r="H9" s="14">
        <f>ABS(G9/F9)</f>
        <v>0.29936145596938546</v>
      </c>
      <c r="I9" s="15">
        <f>E9/D9</f>
        <v>1.5013683086370311</v>
      </c>
      <c r="J9" s="15">
        <f>15/7</f>
        <v>2.1428571428571428</v>
      </c>
      <c r="K9" s="15">
        <f t="shared" si="0"/>
        <v>-0.64148883422011171</v>
      </c>
    </row>
    <row r="10" spans="2:12" x14ac:dyDescent="0.25">
      <c r="B10" s="15"/>
      <c r="C10" s="18" t="s">
        <v>16</v>
      </c>
      <c r="D10" s="23">
        <f>SUM(D6:D9)</f>
        <v>129895</v>
      </c>
      <c r="E10" s="19">
        <f>SUM(E6:E9)</f>
        <v>667398.08000000007</v>
      </c>
      <c r="F10" s="19">
        <f>SUM(F6:F9)</f>
        <v>996977.85714285704</v>
      </c>
      <c r="G10" s="19">
        <f>+E10-F10</f>
        <v>-329579.77714285697</v>
      </c>
      <c r="H10" s="20">
        <f>ABS(G10/F10)</f>
        <v>0.33057883360355461</v>
      </c>
      <c r="I10" s="19">
        <f>E10/D10</f>
        <v>5.137981292582471</v>
      </c>
      <c r="J10" s="19">
        <f>F10/D10</f>
        <v>7.675259687769791</v>
      </c>
      <c r="K10" s="19">
        <f>I10-J10</f>
        <v>-2.5372783951873199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2025-03-24T02:12:41Z</dcterms:modified>
</cp:coreProperties>
</file>