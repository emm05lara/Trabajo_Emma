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18 MARZO\NOCHE\"/>
    </mc:Choice>
  </mc:AlternateContent>
  <xr:revisionPtr revIDLastSave="0" documentId="13_ncr:1_{C43E2948-1F96-439E-BB8E-735F6438AFEF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8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<sst xmlns="http://schemas.openxmlformats.org/spreadsheetml/2006/main" count="69" uniqueCount="35">
  <si>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</si>
  <si>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</si>
  <si>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</si>
  <si>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</si>
  <si>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</si>
  <si>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</si>
  <si>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</si>
  <si>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</si>
  <si>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</si>
  <si>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</si>
  <si>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</si>
  <si>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</si>
  <si>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</si>
  <si>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</si>
  <si>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</si>
  <si>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</si>
  <si>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</si>
  <si>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</si>
  <si>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</si>
  <si>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</si>
  <si>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</si>
  <si>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</si>
  <si>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</si>
  <si>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</si>
  <si>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</si>
  <si>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</si>
  <si>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</si>
  <si>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</si>
  <si>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</si>
  <si>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</si>
  <si>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</si>
  <si>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</si>
  <si>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</si>
  <si>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</si>
  <si>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SALDO ACUMULADO 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</si>
</sst>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1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D38" sqref="D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7128</v>
      </c>
      <c r="D5" s="26">
        <v>123044.96</v>
      </c>
    </row>
    <row r="6" spans="2:8" x14ac:dyDescent="0.25">
      <c r="B6" s="1" t="s">
        <v>5</v>
      </c>
      <c r="C6" s="6">
        <v>8640</v>
      </c>
      <c r="D6" s="26">
        <v>79204.13</v>
      </c>
    </row>
    <row r="7" spans="2:8" x14ac:dyDescent="0.25">
      <c r="B7" s="1" t="s">
        <v>6</v>
      </c>
      <c r="C7" s="6">
        <v>10223</v>
      </c>
      <c r="D7" s="26">
        <v>134177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50391</v>
      </c>
      <c r="D9" s="26">
        <v>133666.14000000001</v>
      </c>
      <c r="F9" s="7"/>
    </row>
    <row r="10" spans="2:8" x14ac:dyDescent="0.25">
      <c r="B10" s="3" t="s">
        <v>8</v>
      </c>
      <c r="C10" s="8">
        <f>SUM(C5:C9)</f>
        <v>76403</v>
      </c>
      <c r="D10" s="4">
        <f>SUM(D5:D9)</f>
        <v>470092.23000000004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3730</v>
      </c>
      <c r="D14" s="26">
        <v>84157.38</v>
      </c>
    </row>
    <row r="15" spans="2:8" x14ac:dyDescent="0.25">
      <c r="B15" s="9" t="s">
        <v>5</v>
      </c>
      <c r="C15" s="6">
        <v>1431</v>
      </c>
      <c r="D15" s="26">
        <v>1300</v>
      </c>
    </row>
    <row r="16" spans="2:8" x14ac:dyDescent="0.25">
      <c r="B16" s="9" t="s">
        <v>6</v>
      </c>
      <c r="C16" s="6">
        <v>3202</v>
      </c>
      <c r="D16" s="26">
        <v>16015.99</v>
      </c>
    </row>
    <row r="17" spans="2:11" x14ac:dyDescent="0.25">
      <c r="B17" s="9" t="s">
        <v>7</v>
      </c>
      <c r="C17" s="6">
        <v>20987</v>
      </c>
      <c r="D17" s="26">
        <v>45691.199999999997</v>
      </c>
    </row>
    <row r="18" spans="2:11" x14ac:dyDescent="0.25">
      <c r="B18" s="10" t="s">
        <v>8</v>
      </c>
      <c r="C18" s="8">
        <f>SUM(C14:C17)</f>
        <v>29350</v>
      </c>
      <c r="D18" s="4">
        <f>SUM(D14:D17)</f>
        <v>147164.57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1914</v>
      </c>
      <c r="D22" s="26">
        <v>71434.09</v>
      </c>
    </row>
    <row r="23" spans="2:11" x14ac:dyDescent="0.25">
      <c r="B23" s="9" t="s">
        <v>5</v>
      </c>
      <c r="C23" s="6">
        <v>1384</v>
      </c>
      <c r="D23" s="26">
        <v>14609</v>
      </c>
    </row>
    <row r="24" spans="2:11" x14ac:dyDescent="0.25">
      <c r="B24" s="9" t="s">
        <v>6</v>
      </c>
      <c r="C24" s="6">
        <v>15</v>
      </c>
      <c r="D24" s="31">
        <v>0</v>
      </c>
    </row>
    <row r="25" spans="2:11" x14ac:dyDescent="0.25">
      <c r="B25" s="9" t="s">
        <v>7</v>
      </c>
      <c r="C25" s="6">
        <v>733</v>
      </c>
      <c r="D25" s="26">
        <v>11925</v>
      </c>
    </row>
    <row r="26" spans="2:11" x14ac:dyDescent="0.25">
      <c r="B26" s="10" t="s">
        <v>8</v>
      </c>
      <c r="C26" s="8">
        <f>SUM(C22:C25)</f>
        <v>4046</v>
      </c>
      <c r="D26" s="4">
        <f>SUM(D22:D25)</f>
        <v>97968.09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1794</v>
      </c>
      <c r="D30" s="26">
        <v>31862.309999999998</v>
      </c>
    </row>
    <row r="31" spans="2:11" x14ac:dyDescent="0.25">
      <c r="B31" s="9" t="s">
        <v>5</v>
      </c>
      <c r="C31" s="6">
        <v>638</v>
      </c>
      <c r="D31" s="26">
        <v>19314</v>
      </c>
    </row>
    <row r="32" spans="2:11" x14ac:dyDescent="0.25">
      <c r="B32" s="9" t="s">
        <v>6</v>
      </c>
      <c r="C32" s="6">
        <v>528</v>
      </c>
      <c r="D32" s="26">
        <v>2693</v>
      </c>
    </row>
    <row r="33" spans="2:5" x14ac:dyDescent="0.25">
      <c r="B33" s="9" t="s">
        <v>7</v>
      </c>
      <c r="C33" s="6">
        <v>1680</v>
      </c>
      <c r="D33" s="26">
        <v>911</v>
      </c>
    </row>
    <row r="34" spans="2:5" x14ac:dyDescent="0.25">
      <c r="B34" s="10" t="s">
        <v>8</v>
      </c>
      <c r="C34" s="8">
        <f>SUM(C30:C33)</f>
        <v>4640</v>
      </c>
      <c r="D34" s="4">
        <f>SUM(D30:D33)</f>
        <v>54780.31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3151</v>
      </c>
      <c r="D38" s="26">
        <v>31988</v>
      </c>
    </row>
    <row r="39" spans="2:5" x14ac:dyDescent="0.25">
      <c r="B39" s="10" t="s">
        <v>8</v>
      </c>
      <c r="C39" s="8">
        <f>SUM(C38:C38)</f>
        <v>3151</v>
      </c>
      <c r="D39" s="4">
        <f>SUM(D38:D38)</f>
        <v>31988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SUM(C10+C34+C26+C18+C39)</f>
        <v>117590</v>
      </c>
      <c r="D42" s="13">
        <f>SUM(D10+D34+D26+D18+D39)</f>
        <v>801993.2</v>
      </c>
      <c r="E42" s="27"/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10" sqref="B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18 MAR'!C6, 'REPORTE DIARIO'!C:C)</f>
        <v>17717</v>
      </c>
      <c r="E6" s="16">
        <f>SUMIF('REPORTE DIARIO'!B:B,'EPR 18 MAR'!C6, 'REPORTE DIARIO'!D:D)</f>
        <v>342486.74000000005</v>
      </c>
      <c r="F6" s="16">
        <f>J6*D6</f>
        <v>1012400</v>
      </c>
      <c r="G6" s="16">
        <f>+E6-F6</f>
        <v>-669913.26</v>
      </c>
      <c r="H6" s="15">
        <f>ABS(G6/F6)</f>
        <v>0.66170807981035162</v>
      </c>
      <c r="I6" s="16">
        <f>E6/D6</f>
        <v>19.33096686797991</v>
      </c>
      <c r="J6" s="16">
        <f>(200/7) *2</f>
        <v>57.142857142857146</v>
      </c>
      <c r="K6" s="16">
        <f>+I6-J6</f>
        <v>-37.811890274877236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18 MAR'!C7, 'REPORTE DIARIO'!C:C)</f>
        <v>12093</v>
      </c>
      <c r="E7" s="16">
        <f>SUMIF('REPORTE DIARIO'!B:B,'EPR 18 MAR'!C7, 'REPORTE DIARIO'!D:D)</f>
        <v>114427.13</v>
      </c>
      <c r="F7" s="16">
        <f>J7*D7</f>
        <v>380065.71428571426</v>
      </c>
      <c r="G7" s="16">
        <f>+E7-F7</f>
        <v>-265638.58428571426</v>
      </c>
      <c r="H7" s="15">
        <f>ABS(G7/F7)</f>
        <v>0.69892803876021437</v>
      </c>
      <c r="I7" s="16">
        <f>E7/D7</f>
        <v>9.4622616389646907</v>
      </c>
      <c r="J7" s="16">
        <f>(110/7)*2</f>
        <v>31.428571428571427</v>
      </c>
      <c r="K7" s="16">
        <f t="shared" ref="K7:K9" si="0">+I7-J7</f>
        <v>-21.966309789606736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18 MAR'!C8, 'REPORTE DIARIO'!C:C)</f>
        <v>13968</v>
      </c>
      <c r="E8" s="16">
        <f>SUMIF('REPORTE DIARIO'!B:B,'EPR 18 MAR'!C8, 'REPORTE DIARIO'!D:D)</f>
        <v>152885.99</v>
      </c>
      <c r="F8" s="16">
        <f>J8*D8</f>
        <v>179588.57142857145</v>
      </c>
      <c r="G8" s="16">
        <f>+E8-F8</f>
        <v>-26702.581428571459</v>
      </c>
      <c r="H8" s="15">
        <f>ABS(G8/F8)</f>
        <v>0.14868753181876049</v>
      </c>
      <c r="I8" s="16">
        <f>E8/D8</f>
        <v>10.945446019473081</v>
      </c>
      <c r="J8" s="16">
        <f>(45/7)*2</f>
        <v>12.857142857142858</v>
      </c>
      <c r="K8" s="16">
        <f t="shared" si="0"/>
        <v>-1.9116968376697763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18 MAR'!C9, 'REPORTE DIARIO'!C:C)</f>
        <v>73791</v>
      </c>
      <c r="E9" s="16">
        <f>SUMIF('REPORTE DIARIO'!B:B,'EPR 18 MAR'!C9, 'REPORTE DIARIO'!D:D)</f>
        <v>192193.34000000003</v>
      </c>
      <c r="F9" s="16">
        <f>J9*D9</f>
        <v>316247.14285714284</v>
      </c>
      <c r="G9" s="16">
        <f>+E9-F9</f>
        <v>-124053.80285714281</v>
      </c>
      <c r="H9" s="15">
        <f>ABS(G9/F9)</f>
        <v>0.39226853319962224</v>
      </c>
      <c r="I9" s="16">
        <f>E9/D9</f>
        <v>2.6045634291444761</v>
      </c>
      <c r="J9" s="16">
        <f>(15/7)*2</f>
        <v>4.2857142857142856</v>
      </c>
      <c r="K9" s="16">
        <f t="shared" si="0"/>
        <v>-1.6811508565698094</v>
      </c>
    </row>
    <row r="10" spans="2:12" x14ac:dyDescent="0.25">
      <c r="B10" s="16"/>
      <c r="C10" s="19" t="s">
        <v>17</v>
      </c>
      <c r="D10" s="24">
        <f>SUM(D6:D9)</f>
        <v>117569</v>
      </c>
      <c r="E10" s="20">
        <f>SUM(E6:E9)</f>
        <v>801993.20000000019</v>
      </c>
      <c r="F10" s="20">
        <f>SUM(F6:F9)</f>
        <v>1888301.4285714286</v>
      </c>
      <c r="G10" s="20">
        <f>+E10-F10</f>
        <v>-1086308.2285714285</v>
      </c>
      <c r="H10" s="21">
        <f>ABS(G10/F10)</f>
        <v>0.57528327423512127</v>
      </c>
      <c r="I10" s="20">
        <f>E10/D10</f>
        <v>6.8214682441800152</v>
      </c>
      <c r="J10" s="20">
        <f>F10/D10</f>
        <v>16.061218761505401</v>
      </c>
      <c r="K10" s="20">
        <f>I10-J10</f>
        <v>-9.2397505173253869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18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2025-03-19T02:12:55Z</dcterms:modified>
</cp:coreProperties>
</file>