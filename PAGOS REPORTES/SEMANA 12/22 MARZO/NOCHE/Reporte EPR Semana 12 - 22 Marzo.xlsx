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2 MARZO\NOCHE\"/>
    </mc:Choice>
  </mc:AlternateContent>
  <xr:revisionPtr revIDLastSave="0" documentId="13_ncr:1_{6BC25F00-5AF0-4FA2-8421-40DD81340CEC}" xr6:coauthVersionLast="47" xr6:coauthVersionMax="47" xr10:uidLastSave="{00000000-0000-0000-0000-000000000000}"/>
  <bookViews>
    <workbookView xWindow="3105" yWindow="8280" windowWidth="13410" windowHeight="5625" xr2:uid="{4DC6C92A-CD8A-4966-829B-0B6A986E825B}"/>
  </bookViews>
  <sheets>
    <sheet name="REPORTE DIARIO" sheetId="1" r:id="rId1"/>
    <sheet name="DATA" sheetId="4" r:id="rId2"/>
    <sheet name="EPR 22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C50" i="1"/>
  <c r="D48" i="1" l="1"/>
  <c r="C48" i="1"/>
  <c r="J9" i="3"/>
  <c r="J8" i="3"/>
  <c r="J7" i="3"/>
  <c r="J6" i="3"/>
  <c r="D6" i="3"/>
  <c r="F6" i="3" s="1"/>
  <c r="D39" i="1"/>
  <c r="C39" i="1"/>
  <c r="D18" i="1"/>
  <c r="C18" i="1"/>
  <c r="D34" i="1"/>
  <c r="C34" i="1"/>
  <c r="D26" i="1"/>
  <c r="C26" i="1"/>
  <c r="D10" i="1"/>
  <c r="C10" i="1"/>
  <c r="E7" i="3"/>
  <c r="E8" i="3"/>
  <c r="E9" i="3"/>
  <c r="E6" i="3"/>
  <c r="D7" i="3"/>
  <c r="F7" i="3" s="1"/>
  <c r="D8" i="3"/>
  <c r="F8" i="3" s="1"/>
  <c r="D9" i="3"/>
  <c r="F9" i="3" s="1"/>
  <c r="G7" i="3" l="1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<sst xmlns="http://schemas.openxmlformats.org/spreadsheetml/2006/main" count="79" uniqueCount="36">
  <si>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</si>
  <si>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</si>
  <si>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</si>
  <si>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</si>
  <si>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</si>
  <si>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</si>
  <si>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</si>
  <si>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</si>
  <si>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</si>
  <si>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</si>
  <si>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</si>
  <si>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</si>
  <si>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</si>
  <si>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</si>
  <si>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</si>
  <si>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</si>
  <si>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</si>
  <si>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</si>
  <si>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</si>
  <si>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</si>
  <si>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</si>
  <si>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</si>
  <si>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</si>
  <si>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</si>
  <si>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</si>
  <si>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</si>
  <si>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</si>
  <si>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</si>
  <si>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</si>
  <si>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</si>
  <si>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</si>
  <si>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</si>
  <si>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</si>
  <si>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22 MARZO</t>
  </si>
  <si>
    <t>COBRANZA GENERAL  SAMANTHA 2</t>
  </si>
  <si>
    <t>Samantha, Samantha 2, Sofia, Edith, Olguin y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</si>
</sst>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workbookViewId="0">
      <selection activeCell="C43" sqref="C43:C4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7291</v>
      </c>
      <c r="D5" s="27">
        <v>100677.40000000001</v>
      </c>
    </row>
    <row r="6" spans="2:8" x14ac:dyDescent="0.25">
      <c r="B6" s="1" t="s">
        <v>5</v>
      </c>
      <c r="C6" s="6">
        <v>8523</v>
      </c>
      <c r="D6" s="27">
        <v>59053</v>
      </c>
    </row>
    <row r="7" spans="2:8" x14ac:dyDescent="0.25">
      <c r="B7" s="1" t="s">
        <v>6</v>
      </c>
      <c r="C7" s="6">
        <v>9755</v>
      </c>
      <c r="D7" s="27">
        <v>44776.21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50531</v>
      </c>
      <c r="D9" s="27">
        <v>81821</v>
      </c>
      <c r="F9" s="7"/>
    </row>
    <row r="10" spans="2:8" x14ac:dyDescent="0.25">
      <c r="B10" s="3" t="s">
        <v>8</v>
      </c>
      <c r="C10" s="8">
        <f>SUM(C5:C9)</f>
        <v>76121</v>
      </c>
      <c r="D10" s="4">
        <f>SUM(D5:D9)</f>
        <v>286327.61</v>
      </c>
      <c r="E10" s="11" t="s">
        <v>14</v>
      </c>
    </row>
    <row r="12" spans="2:8" x14ac:dyDescent="0.25">
      <c r="B12" s="30" t="s">
        <v>32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3606</v>
      </c>
      <c r="D14" s="27">
        <v>29101.41</v>
      </c>
    </row>
    <row r="15" spans="2:8" x14ac:dyDescent="0.25">
      <c r="B15" s="9" t="s">
        <v>5</v>
      </c>
      <c r="C15" s="6">
        <v>1622</v>
      </c>
      <c r="D15" s="27">
        <v>13802</v>
      </c>
    </row>
    <row r="16" spans="2:8" x14ac:dyDescent="0.25">
      <c r="B16" s="9" t="s">
        <v>6</v>
      </c>
      <c r="C16" s="6">
        <v>3188</v>
      </c>
      <c r="D16" s="27">
        <v>6767</v>
      </c>
    </row>
    <row r="17" spans="2:11" x14ac:dyDescent="0.25">
      <c r="B17" s="9" t="s">
        <v>7</v>
      </c>
      <c r="C17" s="6">
        <v>20984</v>
      </c>
      <c r="D17" s="27">
        <v>22667</v>
      </c>
    </row>
    <row r="18" spans="2:11" x14ac:dyDescent="0.25">
      <c r="B18" s="10" t="s">
        <v>8</v>
      </c>
      <c r="C18" s="8">
        <f>SUM(C14:C17)</f>
        <v>29400</v>
      </c>
      <c r="D18" s="4">
        <f>SUM(D14:D17)</f>
        <v>72337.41</v>
      </c>
    </row>
    <row r="20" spans="2:11" x14ac:dyDescent="0.25">
      <c r="B20" s="29" t="s">
        <v>9</v>
      </c>
      <c r="C20" s="29"/>
      <c r="D20" s="29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1667</v>
      </c>
      <c r="D22" s="27">
        <v>13139.65</v>
      </c>
    </row>
    <row r="23" spans="2:11" x14ac:dyDescent="0.25">
      <c r="B23" s="9" t="s">
        <v>5</v>
      </c>
      <c r="C23" s="6">
        <v>883</v>
      </c>
      <c r="D23" s="27">
        <v>45661</v>
      </c>
    </row>
    <row r="24" spans="2:11" x14ac:dyDescent="0.25">
      <c r="B24" s="9" t="s">
        <v>6</v>
      </c>
      <c r="C24" s="6">
        <v>3198</v>
      </c>
      <c r="D24" s="27">
        <v>2872</v>
      </c>
    </row>
    <row r="25" spans="2:11" x14ac:dyDescent="0.25">
      <c r="B25" s="9" t="s">
        <v>7</v>
      </c>
      <c r="C25" s="6">
        <v>1892</v>
      </c>
      <c r="D25" s="27">
        <v>294</v>
      </c>
    </row>
    <row r="26" spans="2:11" x14ac:dyDescent="0.25">
      <c r="B26" s="10" t="s">
        <v>8</v>
      </c>
      <c r="C26" s="8">
        <f>SUM(C22:C25)</f>
        <v>7640</v>
      </c>
      <c r="D26" s="4">
        <f>SUM(D22:D25)</f>
        <v>61966.65</v>
      </c>
      <c r="K26" s="7"/>
    </row>
    <row r="28" spans="2:11" x14ac:dyDescent="0.25">
      <c r="B28" s="30" t="s">
        <v>10</v>
      </c>
      <c r="C28" s="30"/>
      <c r="D28" s="30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2045</v>
      </c>
      <c r="D30" s="27">
        <v>22956.53</v>
      </c>
    </row>
    <row r="31" spans="2:11" x14ac:dyDescent="0.25">
      <c r="B31" s="9" t="s">
        <v>5</v>
      </c>
      <c r="C31" s="6">
        <v>1739</v>
      </c>
      <c r="D31" s="27">
        <v>12020.58</v>
      </c>
    </row>
    <row r="32" spans="2:11" x14ac:dyDescent="0.25">
      <c r="B32" s="9" t="s">
        <v>6</v>
      </c>
      <c r="C32" s="6">
        <v>266</v>
      </c>
      <c r="D32" s="27">
        <v>2268</v>
      </c>
    </row>
    <row r="33" spans="2:4" x14ac:dyDescent="0.25">
      <c r="B33" s="9" t="s">
        <v>7</v>
      </c>
      <c r="C33" s="6">
        <v>8252</v>
      </c>
      <c r="D33" s="27">
        <v>3651</v>
      </c>
    </row>
    <row r="34" spans="2:4" x14ac:dyDescent="0.25">
      <c r="B34" s="10" t="s">
        <v>8</v>
      </c>
      <c r="C34" s="8">
        <f>SUM(C30:C33)</f>
        <v>12302</v>
      </c>
      <c r="D34" s="4">
        <f>SUM(D30:D33)</f>
        <v>40896.11</v>
      </c>
    </row>
    <row r="36" spans="2:4" x14ac:dyDescent="0.25">
      <c r="B36" s="30" t="s">
        <v>11</v>
      </c>
      <c r="C36" s="30"/>
      <c r="D36" s="30"/>
    </row>
    <row r="37" spans="2:4" x14ac:dyDescent="0.25">
      <c r="B37" s="4" t="s">
        <v>1</v>
      </c>
      <c r="C37" s="4" t="s">
        <v>2</v>
      </c>
      <c r="D37" s="4" t="s">
        <v>3</v>
      </c>
    </row>
    <row r="38" spans="2:4" x14ac:dyDescent="0.25">
      <c r="B38" s="9" t="s">
        <v>4</v>
      </c>
      <c r="C38" s="6">
        <v>3054</v>
      </c>
      <c r="D38" s="27">
        <v>7272</v>
      </c>
    </row>
    <row r="39" spans="2:4" x14ac:dyDescent="0.25">
      <c r="B39" s="10" t="s">
        <v>8</v>
      </c>
      <c r="C39" s="8">
        <f>SUM(C38:C38)</f>
        <v>3054</v>
      </c>
      <c r="D39" s="4">
        <f>SUM(D38:D38)</f>
        <v>7272</v>
      </c>
    </row>
    <row r="40" spans="2:4" x14ac:dyDescent="0.25">
      <c r="B40" s="25"/>
      <c r="C40" s="25"/>
      <c r="D40" s="25"/>
    </row>
    <row r="41" spans="2:4" x14ac:dyDescent="0.25">
      <c r="B41" s="29" t="s">
        <v>34</v>
      </c>
      <c r="C41" s="29"/>
      <c r="D41" s="29"/>
    </row>
    <row r="42" spans="2:4" x14ac:dyDescent="0.25">
      <c r="B42" s="2" t="s">
        <v>1</v>
      </c>
      <c r="C42" s="2" t="s">
        <v>2</v>
      </c>
      <c r="D42" s="2" t="s">
        <v>3</v>
      </c>
    </row>
    <row r="43" spans="2:4" x14ac:dyDescent="0.25">
      <c r="B43" s="1" t="s">
        <v>4</v>
      </c>
      <c r="C43" s="6">
        <v>1</v>
      </c>
      <c r="D43" s="28">
        <v>0</v>
      </c>
    </row>
    <row r="44" spans="2:4" x14ac:dyDescent="0.25">
      <c r="B44" s="1" t="s">
        <v>5</v>
      </c>
      <c r="C44" s="6">
        <v>195</v>
      </c>
      <c r="D44" s="28">
        <v>0</v>
      </c>
    </row>
    <row r="45" spans="2:4" x14ac:dyDescent="0.25">
      <c r="B45" s="1" t="s">
        <v>6</v>
      </c>
      <c r="C45" s="6">
        <v>127</v>
      </c>
      <c r="D45" s="28">
        <v>0</v>
      </c>
    </row>
    <row r="46" spans="2:4" x14ac:dyDescent="0.25">
      <c r="B46" s="5" t="s">
        <v>12</v>
      </c>
      <c r="C46" s="7">
        <v>2</v>
      </c>
      <c r="D46" s="28">
        <v>0</v>
      </c>
    </row>
    <row r="47" spans="2:4" x14ac:dyDescent="0.25">
      <c r="B47" s="1" t="s">
        <v>7</v>
      </c>
      <c r="C47" s="6">
        <v>151</v>
      </c>
      <c r="D47" s="27">
        <v>1300</v>
      </c>
    </row>
    <row r="48" spans="2:4" x14ac:dyDescent="0.25">
      <c r="B48" s="3" t="s">
        <v>8</v>
      </c>
      <c r="C48" s="8">
        <f>SUM(C43:C47)</f>
        <v>476</v>
      </c>
      <c r="D48" s="4">
        <f>SUM(D43:D47)</f>
        <v>1300</v>
      </c>
    </row>
    <row r="50" spans="2:4" x14ac:dyDescent="0.25">
      <c r="B50" s="12" t="s">
        <v>13</v>
      </c>
      <c r="C50" s="13">
        <f>SUM(C10+C26+C34+C18+C39+C48)</f>
        <v>128993</v>
      </c>
      <c r="D50" s="13">
        <f>SUM(D10+D26+D34+D18+D39+D48)</f>
        <v>470099.78</v>
      </c>
    </row>
  </sheetData>
  <mergeCells count="6">
    <mergeCell ref="B41:D41"/>
    <mergeCell ref="B28:D28"/>
    <mergeCell ref="B3:D3"/>
    <mergeCell ref="B20:D20"/>
    <mergeCell ref="B12:D12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14" sqref="B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22 MAR'!C6, 'REPORTE DIARIO'!C:C)</f>
        <v>17664</v>
      </c>
      <c r="E6" s="16">
        <f>SUMIF('REPORTE DIARIO'!B:B,'EPR 22 MAR'!C6, 'REPORTE DIARIO'!D:D)</f>
        <v>173146.99000000002</v>
      </c>
      <c r="F6" s="16">
        <f>J6*D6</f>
        <v>504685.71428571432</v>
      </c>
      <c r="G6" s="16">
        <f>+E6-F6</f>
        <v>-331538.72428571433</v>
      </c>
      <c r="H6" s="15">
        <f>ABS(G6/F6)</f>
        <v>0.65692115885416669</v>
      </c>
      <c r="I6" s="16">
        <f>E6/D6</f>
        <v>9.802252604166668</v>
      </c>
      <c r="J6" s="16">
        <f>200/7</f>
        <v>28.571428571428573</v>
      </c>
      <c r="K6" s="16">
        <f>+I6-J6</f>
        <v>-18.769175967261905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22 MAR'!C7, 'REPORTE DIARIO'!C:C)</f>
        <v>12962</v>
      </c>
      <c r="E7" s="16">
        <f>SUMIF('REPORTE DIARIO'!B:B,'EPR 22 MAR'!C7, 'REPORTE DIARIO'!D:D)</f>
        <v>130536.58</v>
      </c>
      <c r="F7" s="16">
        <f>J7*D7</f>
        <v>203688.57142857142</v>
      </c>
      <c r="G7" s="16">
        <f>+E7-F7</f>
        <v>-73151.991428571419</v>
      </c>
      <c r="H7" s="15">
        <f>ABS(G7/F7)</f>
        <v>0.35913645481196782</v>
      </c>
      <c r="I7" s="16">
        <f>E7/D7</f>
        <v>10.070712852954792</v>
      </c>
      <c r="J7" s="16">
        <f>110/7</f>
        <v>15.714285714285714</v>
      </c>
      <c r="K7" s="16">
        <f t="shared" ref="K7:K9" si="0">+I7-J7</f>
        <v>-5.643572861330922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22 MAR'!C8, 'REPORTE DIARIO'!C:C)</f>
        <v>16534</v>
      </c>
      <c r="E8" s="16">
        <f>SUMIF('REPORTE DIARIO'!B:B,'EPR 22 MAR'!C8, 'REPORTE DIARIO'!D:D)</f>
        <v>56683.21</v>
      </c>
      <c r="F8" s="16">
        <f>J8*D8</f>
        <v>106290</v>
      </c>
      <c r="G8" s="16">
        <f>+E8-F8</f>
        <v>-49606.79</v>
      </c>
      <c r="H8" s="15">
        <f>ABS(G8/F8)</f>
        <v>0.46671173205381505</v>
      </c>
      <c r="I8" s="16">
        <f>E8/D8</f>
        <v>3.4282817225111892</v>
      </c>
      <c r="J8" s="16">
        <f>45/7</f>
        <v>6.4285714285714288</v>
      </c>
      <c r="K8" s="16">
        <f t="shared" si="0"/>
        <v>-3.0002897060602396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22 MAR'!C9, 'REPORTE DIARIO'!C:C)</f>
        <v>81810</v>
      </c>
      <c r="E9" s="16">
        <f>SUMIF('REPORTE DIARIO'!B:B,'EPR 22 MAR'!C9, 'REPORTE DIARIO'!D:D)</f>
        <v>109733</v>
      </c>
      <c r="F9" s="16">
        <f>J9*D9</f>
        <v>175307.14285714284</v>
      </c>
      <c r="G9" s="16">
        <f>+E9-F9</f>
        <v>-65574.142857142841</v>
      </c>
      <c r="H9" s="15">
        <f>ABS(G9/F9)</f>
        <v>0.37405288677015841</v>
      </c>
      <c r="I9" s="16">
        <f>E9/D9</f>
        <v>1.3413152426353747</v>
      </c>
      <c r="J9" s="16">
        <f>15/7</f>
        <v>2.1428571428571428</v>
      </c>
      <c r="K9" s="16">
        <f t="shared" si="0"/>
        <v>-0.80154190022176808</v>
      </c>
    </row>
    <row r="10" spans="2:12" x14ac:dyDescent="0.25">
      <c r="B10" s="16"/>
      <c r="C10" s="19" t="s">
        <v>17</v>
      </c>
      <c r="D10" s="24">
        <f>SUM(D6:D9)</f>
        <v>128970</v>
      </c>
      <c r="E10" s="20">
        <f>SUM(E6:E9)</f>
        <v>470099.78</v>
      </c>
      <c r="F10" s="20">
        <f>SUM(F6:F9)</f>
        <v>989971.42857142852</v>
      </c>
      <c r="G10" s="20">
        <f>+E10-F10</f>
        <v>-519871.64857142849</v>
      </c>
      <c r="H10" s="21">
        <f>ABS(G10/F10)</f>
        <v>0.52513803284366067</v>
      </c>
      <c r="I10" s="20">
        <f>E10/D10</f>
        <v>3.645032022951074</v>
      </c>
      <c r="J10" s="20">
        <f>F10/D10</f>
        <v>7.6759822328559242</v>
      </c>
      <c r="K10" s="20">
        <f>I10-J10</f>
        <v>-4.0309502099048498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2025-03-23T02:20:06Z</dcterms:modified>
</cp:coreProperties>
</file>