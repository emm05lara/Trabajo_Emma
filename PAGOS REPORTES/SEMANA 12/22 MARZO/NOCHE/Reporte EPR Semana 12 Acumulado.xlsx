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2 MARZO\NOCHE\"/>
    </mc:Choice>
  </mc:AlternateContent>
  <xr:revisionPtr revIDLastSave="0" documentId="13_ncr:1_{CA5DDBD1-8C1C-4762-ACB5-37175BE5EB21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7" i="1"/>
  <c r="C57" i="1"/>
  <c r="D55" i="1"/>
  <c r="C55" i="1"/>
  <c r="D48" i="1"/>
  <c r="C48" i="1"/>
  <c r="D39" i="1" l="1"/>
  <c r="C39" i="1"/>
  <c r="D34" i="1"/>
  <c r="C34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G7" i="3" l="1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<sst xmlns="http://schemas.openxmlformats.org/spreadsheetml/2006/main" count="87" uniqueCount="37">
  <si>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</si>
  <si>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</si>
  <si>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</si>
  <si>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</si>
  <si>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</si>
  <si>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</si>
  <si>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</si>
  <si>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</si>
  <si>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</si>
  <si>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</si>
  <si>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</si>
  <si>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</si>
  <si>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</si>
  <si>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</si>
  <si>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</si>
  <si>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</si>
  <si>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</si>
  <si>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</si>
  <si>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</si>
  <si>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</si>
  <si>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</si>
  <si>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</si>
  <si>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</si>
  <si>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</si>
  <si>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</si>
  <si>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</si>
  <si>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</si>
  <si>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</si>
  <si>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</si>
  <si>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</si>
  <si>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</si>
  <si>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</si>
  <si>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</si>
  <si>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12</t>
  </si>
  <si>
    <t>Samantha, Samantha 2, Sofia, Edith, Olguin, Fernando y Federico</t>
  </si>
  <si>
    <t>COBRANZA GENERAL  SAMANTHA 2</t>
  </si>
  <si>
    <t>COBRANZA GENERAL 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</si>
</sst>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2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opLeftCell="A13" workbookViewId="0">
      <selection activeCell="B4" sqref="B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7291</v>
      </c>
      <c r="D5" s="26">
        <v>547137.54999999993</v>
      </c>
    </row>
    <row r="6" spans="2:8" x14ac:dyDescent="0.25">
      <c r="B6" s="1" t="s">
        <v>5</v>
      </c>
      <c r="C6" s="6">
        <v>8523</v>
      </c>
      <c r="D6" s="26">
        <v>291391.5</v>
      </c>
    </row>
    <row r="7" spans="2:8" x14ac:dyDescent="0.25">
      <c r="B7" s="1" t="s">
        <v>6</v>
      </c>
      <c r="C7" s="6">
        <v>9755</v>
      </c>
      <c r="D7" s="26">
        <v>290808.31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50531</v>
      </c>
      <c r="D9" s="26">
        <v>502077.8600000001</v>
      </c>
      <c r="F9" s="7"/>
    </row>
    <row r="10" spans="2:8" x14ac:dyDescent="0.25">
      <c r="B10" s="3" t="s">
        <v>8</v>
      </c>
      <c r="C10" s="8">
        <f>SUM(C5:C9)</f>
        <v>76121</v>
      </c>
      <c r="D10" s="4">
        <f>SUM(D5:D9)</f>
        <v>1631415.22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2045</v>
      </c>
      <c r="D14" s="26">
        <v>193017.39000000004</v>
      </c>
    </row>
    <row r="15" spans="2:8" x14ac:dyDescent="0.25">
      <c r="B15" s="9" t="s">
        <v>5</v>
      </c>
      <c r="C15" s="6">
        <v>1739</v>
      </c>
      <c r="D15" s="26">
        <v>122318.39000000001</v>
      </c>
    </row>
    <row r="16" spans="2:8" x14ac:dyDescent="0.25">
      <c r="B16" s="9" t="s">
        <v>6</v>
      </c>
      <c r="C16" s="6">
        <v>266</v>
      </c>
      <c r="D16" s="26">
        <v>46539.05</v>
      </c>
    </row>
    <row r="17" spans="2:11" x14ac:dyDescent="0.25">
      <c r="B17" s="9" t="s">
        <v>7</v>
      </c>
      <c r="C17" s="6">
        <v>8252</v>
      </c>
      <c r="D17" s="26">
        <v>94933.010000000009</v>
      </c>
    </row>
    <row r="18" spans="2:11" x14ac:dyDescent="0.25">
      <c r="B18" s="10" t="s">
        <v>8</v>
      </c>
      <c r="C18" s="8">
        <f>SUM(C14:C17)</f>
        <v>12302</v>
      </c>
      <c r="D18" s="4">
        <f>SUM(D14:D17)</f>
        <v>456807.84</v>
      </c>
    </row>
    <row r="20" spans="2:11" x14ac:dyDescent="0.25">
      <c r="B20" s="30" t="s">
        <v>32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3606</v>
      </c>
      <c r="D22" s="26">
        <v>235698.12</v>
      </c>
    </row>
    <row r="23" spans="2:11" x14ac:dyDescent="0.25">
      <c r="B23" s="9" t="s">
        <v>5</v>
      </c>
      <c r="C23" s="6">
        <v>1622</v>
      </c>
      <c r="D23" s="26">
        <v>25257.53</v>
      </c>
    </row>
    <row r="24" spans="2:11" x14ac:dyDescent="0.25">
      <c r="B24" s="9" t="s">
        <v>6</v>
      </c>
      <c r="C24" s="6">
        <v>3188</v>
      </c>
      <c r="D24" s="26">
        <v>32047.989999999998</v>
      </c>
    </row>
    <row r="25" spans="2:11" x14ac:dyDescent="0.25">
      <c r="B25" s="9" t="s">
        <v>7</v>
      </c>
      <c r="C25" s="6">
        <v>20984</v>
      </c>
      <c r="D25" s="26">
        <v>134870.76</v>
      </c>
    </row>
    <row r="26" spans="2:11" x14ac:dyDescent="0.25">
      <c r="B26" s="10" t="s">
        <v>8</v>
      </c>
      <c r="C26" s="8">
        <f>SUM(C22:C25)</f>
        <v>29400</v>
      </c>
      <c r="D26" s="4">
        <f>SUM(D22:D25)</f>
        <v>427874.4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1667</v>
      </c>
      <c r="D30" s="26">
        <v>144401.88999999998</v>
      </c>
    </row>
    <row r="31" spans="2:11" x14ac:dyDescent="0.25">
      <c r="B31" s="9" t="s">
        <v>5</v>
      </c>
      <c r="C31" s="6">
        <v>883</v>
      </c>
      <c r="D31" s="26">
        <v>90060.9</v>
      </c>
    </row>
    <row r="32" spans="2:11" x14ac:dyDescent="0.25">
      <c r="B32" s="9" t="s">
        <v>6</v>
      </c>
      <c r="C32" s="6">
        <v>3198</v>
      </c>
      <c r="D32" s="26">
        <v>19198</v>
      </c>
    </row>
    <row r="33" spans="2:5" x14ac:dyDescent="0.25">
      <c r="B33" s="9" t="s">
        <v>7</v>
      </c>
      <c r="C33" s="6">
        <v>1892</v>
      </c>
      <c r="D33" s="26">
        <v>2595.38</v>
      </c>
    </row>
    <row r="34" spans="2:5" x14ac:dyDescent="0.25">
      <c r="B34" s="10" t="s">
        <v>8</v>
      </c>
      <c r="C34" s="8">
        <f>SUM(C30:C33)</f>
        <v>7640</v>
      </c>
      <c r="D34" s="4">
        <f>SUM(D30:D33)</f>
        <v>256256.16999999998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3054</v>
      </c>
      <c r="D38" s="26">
        <v>81955</v>
      </c>
    </row>
    <row r="39" spans="2:5" x14ac:dyDescent="0.25">
      <c r="B39" s="10" t="s">
        <v>8</v>
      </c>
      <c r="C39" s="8">
        <f>SUM(C38:C38)</f>
        <v>3054</v>
      </c>
      <c r="D39" s="4">
        <f>SUM(D38:D38)</f>
        <v>81955</v>
      </c>
    </row>
    <row r="40" spans="2:5" x14ac:dyDescent="0.25">
      <c r="B40" s="25"/>
      <c r="C40" s="25"/>
      <c r="D40" s="25"/>
    </row>
    <row r="41" spans="2:5" x14ac:dyDescent="0.25">
      <c r="B41" s="29" t="s">
        <v>35</v>
      </c>
      <c r="C41" s="29"/>
      <c r="D41" s="29"/>
    </row>
    <row r="42" spans="2:5" x14ac:dyDescent="0.25">
      <c r="B42" s="2" t="s">
        <v>1</v>
      </c>
      <c r="C42" s="2" t="s">
        <v>2</v>
      </c>
      <c r="D42" s="2" t="s">
        <v>3</v>
      </c>
      <c r="E42" s="27"/>
    </row>
    <row r="43" spans="2:5" x14ac:dyDescent="0.25">
      <c r="B43" s="1" t="s">
        <v>4</v>
      </c>
      <c r="C43" s="6">
        <v>1</v>
      </c>
      <c r="D43" s="31">
        <v>0</v>
      </c>
    </row>
    <row r="44" spans="2:5" x14ac:dyDescent="0.25">
      <c r="B44" s="1" t="s">
        <v>5</v>
      </c>
      <c r="C44" s="6">
        <v>195</v>
      </c>
      <c r="D44" s="31">
        <v>0</v>
      </c>
    </row>
    <row r="45" spans="2:5" x14ac:dyDescent="0.25">
      <c r="B45" s="1" t="s">
        <v>6</v>
      </c>
      <c r="C45" s="6">
        <v>127</v>
      </c>
      <c r="D45" s="31">
        <v>0</v>
      </c>
    </row>
    <row r="46" spans="2:5" x14ac:dyDescent="0.25">
      <c r="B46" s="5" t="s">
        <v>12</v>
      </c>
      <c r="C46" s="7">
        <v>2</v>
      </c>
      <c r="D46" s="31">
        <v>0</v>
      </c>
    </row>
    <row r="47" spans="2:5" x14ac:dyDescent="0.25">
      <c r="B47" s="1" t="s">
        <v>7</v>
      </c>
      <c r="C47" s="6">
        <v>151</v>
      </c>
      <c r="D47" s="26">
        <v>3973</v>
      </c>
    </row>
    <row r="48" spans="2:5" x14ac:dyDescent="0.25">
      <c r="B48" s="3" t="s">
        <v>8</v>
      </c>
      <c r="C48" s="8">
        <f>SUM(C43:C47)</f>
        <v>476</v>
      </c>
      <c r="D48" s="4">
        <f>SUM(D43:D47)</f>
        <v>3973</v>
      </c>
    </row>
    <row r="50" spans="2:4" x14ac:dyDescent="0.25">
      <c r="B50" s="29" t="s">
        <v>36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109</v>
      </c>
      <c r="D52" s="26">
        <v>2816.18</v>
      </c>
    </row>
    <row r="53" spans="2:4" x14ac:dyDescent="0.25">
      <c r="B53" s="1" t="s">
        <v>6</v>
      </c>
      <c r="C53" s="6">
        <v>126</v>
      </c>
      <c r="D53" s="31">
        <v>0</v>
      </c>
    </row>
    <row r="54" spans="2:4" x14ac:dyDescent="0.25">
      <c r="B54" s="1" t="s">
        <v>7</v>
      </c>
      <c r="C54" s="6">
        <v>149</v>
      </c>
      <c r="D54" s="31">
        <v>0</v>
      </c>
    </row>
    <row r="55" spans="2:4" x14ac:dyDescent="0.25">
      <c r="B55" s="3" t="s">
        <v>8</v>
      </c>
      <c r="C55" s="8">
        <f>SUM(C52:C54)</f>
        <v>384</v>
      </c>
      <c r="D55" s="4">
        <f>SUM(D52:D54)</f>
        <v>2816.18</v>
      </c>
    </row>
    <row r="57" spans="2:4" x14ac:dyDescent="0.25">
      <c r="B57" s="12" t="s">
        <v>13</v>
      </c>
      <c r="C57" s="13">
        <f>SUM(C10+C18+C26+C34+C39+C48+C55)</f>
        <v>129377</v>
      </c>
      <c r="D57" s="13">
        <f>SUM(D10+D18+D26+D34+D39+D48+D55)</f>
        <v>2861097.81</v>
      </c>
    </row>
  </sheetData>
  <mergeCells count="7">
    <mergeCell ref="B41:D41"/>
    <mergeCell ref="B50:D50"/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22 MAR'!C6, 'REPORTE DIARIO'!C:C)</f>
        <v>17664</v>
      </c>
      <c r="E6" s="16">
        <f>SUMIF('REPORTE DIARIO'!B:B,'EPR 22 MAR'!C6, 'REPORTE DIARIO'!D:D)</f>
        <v>1202209.95</v>
      </c>
      <c r="F6" s="16">
        <f>J6*D6</f>
        <v>3028114.2857142859</v>
      </c>
      <c r="G6" s="16">
        <f>+E6-F6</f>
        <v>-1825904.335714286</v>
      </c>
      <c r="H6" s="15">
        <f>ABS(G6/F6)</f>
        <v>0.60298395748414857</v>
      </c>
      <c r="I6" s="16">
        <f>E6/D6</f>
        <v>68.059893002717388</v>
      </c>
      <c r="J6" s="16">
        <f>(200/7) *6</f>
        <v>171.42857142857144</v>
      </c>
      <c r="K6" s="16">
        <f>+I6-J6</f>
        <v>-103.36867842585406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22 MAR'!C7, 'REPORTE DIARIO'!C:C)</f>
        <v>13071</v>
      </c>
      <c r="E7" s="16">
        <f>SUMIF('REPORTE DIARIO'!B:B,'EPR 22 MAR'!C7, 'REPORTE DIARIO'!D:D)</f>
        <v>531844.50000000012</v>
      </c>
      <c r="F7" s="16">
        <f>J7*D7</f>
        <v>1232408.5714285714</v>
      </c>
      <c r="G7" s="16">
        <f>+E7-F7</f>
        <v>-700564.07142857125</v>
      </c>
      <c r="H7" s="15">
        <f>ABS(G7/F7)</f>
        <v>0.56845115140387104</v>
      </c>
      <c r="I7" s="16">
        <f>E7/D7</f>
        <v>40.688891439063582</v>
      </c>
      <c r="J7" s="16">
        <f>(110/7)*6</f>
        <v>94.285714285714278</v>
      </c>
      <c r="K7" s="16">
        <f t="shared" ref="K7:K9" si="0">+I7-J7</f>
        <v>-53.596822846650696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22 MAR'!C8, 'REPORTE DIARIO'!C:C)</f>
        <v>16660</v>
      </c>
      <c r="E8" s="16">
        <f>SUMIF('REPORTE DIARIO'!B:B,'EPR 22 MAR'!C8, 'REPORTE DIARIO'!D:D)</f>
        <v>388593.35</v>
      </c>
      <c r="F8" s="16">
        <f>J8*D8</f>
        <v>642600</v>
      </c>
      <c r="G8" s="16">
        <f>+E8-F8</f>
        <v>-254006.65000000002</v>
      </c>
      <c r="H8" s="15">
        <f>ABS(G8/F8)</f>
        <v>0.39527956738250858</v>
      </c>
      <c r="I8" s="16">
        <f>E8/D8</f>
        <v>23.324930972388955</v>
      </c>
      <c r="J8" s="16">
        <f>(45/7)*6</f>
        <v>38.571428571428569</v>
      </c>
      <c r="K8" s="16">
        <f t="shared" si="0"/>
        <v>-15.246497599039614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22 MAR'!C9, 'REPORTE DIARIO'!C:C)</f>
        <v>81959</v>
      </c>
      <c r="E9" s="16">
        <f>SUMIF('REPORTE DIARIO'!B:B,'EPR 22 MAR'!C9, 'REPORTE DIARIO'!D:D)</f>
        <v>738450.01000000013</v>
      </c>
      <c r="F9" s="16">
        <f>J9*D9</f>
        <v>1053758.5714285714</v>
      </c>
      <c r="G9" s="16">
        <f>+E9-F9</f>
        <v>-315308.56142857124</v>
      </c>
      <c r="H9" s="15">
        <f>ABS(G9/F9)</f>
        <v>0.29922277263292879</v>
      </c>
      <c r="I9" s="16">
        <f>E9/D9</f>
        <v>9.0099929232909162</v>
      </c>
      <c r="J9" s="16">
        <f>(15/7)*6</f>
        <v>12.857142857142858</v>
      </c>
      <c r="K9" s="16">
        <f t="shared" si="0"/>
        <v>-3.8471499338519415</v>
      </c>
    </row>
    <row r="10" spans="2:12" x14ac:dyDescent="0.25">
      <c r="B10" s="16"/>
      <c r="C10" s="19" t="s">
        <v>17</v>
      </c>
      <c r="D10" s="24">
        <f>SUM(D6:D9)</f>
        <v>129354</v>
      </c>
      <c r="E10" s="20">
        <f>SUM(E6:E9)</f>
        <v>2861097.8100000005</v>
      </c>
      <c r="F10" s="20">
        <f>SUM(F6:F9)</f>
        <v>5956881.4285714291</v>
      </c>
      <c r="G10" s="20">
        <f>+E10-F10</f>
        <v>-3095783.6185714286</v>
      </c>
      <c r="H10" s="21">
        <f>ABS(G10/F10)</f>
        <v>0.51969871411623092</v>
      </c>
      <c r="I10" s="20">
        <f>E10/D10</f>
        <v>22.118355907045785</v>
      </c>
      <c r="J10" s="20">
        <f>F10/D10</f>
        <v>46.05100289570813</v>
      </c>
      <c r="K10" s="20">
        <f>I10-J10</f>
        <v>-23.932646988662345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2025-03-23T02:24:03Z</dcterms:modified>
</cp:coreProperties>
</file>