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2\22 MARZO\MAÑANA\"/>
    </mc:Choice>
  </mc:AlternateContent>
  <xr:revisionPtr revIDLastSave="0" documentId="13_ncr:1_{42F80548-C657-43BA-8804-51D8E1B353C8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21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39" i="1" l="1"/>
  <c r="C39" i="1"/>
  <c r="D34" i="1"/>
  <c r="C34" i="1"/>
  <c r="D18" i="1"/>
  <c r="C18" i="1"/>
  <c r="D26" i="1"/>
  <c r="C2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D42" i="1" l="1"/>
  <c r="C42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<sst xmlns="http://schemas.openxmlformats.org/spreadsheetml/2006/main" count="69" uniqueCount="35">
  <si>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</si>
  <si>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</si>
  <si>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</si>
  <si>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</si>
  <si>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</si>
  <si>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</si>
  <si>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</si>
  <si>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</si>
  <si>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</si>
  <si>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</si>
  <si>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</si>
  <si>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</si>
  <si>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</si>
  <si>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</si>
  <si>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</si>
  <si>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</si>
  <si>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</si>
  <si>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</si>
  <si>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</si>
  <si>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</si>
  <si>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</si>
  <si>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</si>
  <si>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</si>
  <si>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</si>
  <si>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</si>
  <si>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</si>
  <si>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</si>
  <si>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</si>
  <si>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</si>
  <si>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</si>
  <si>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</si>
  <si>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</si>
  <si>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</si>
  <si>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Sofia, Edith, Olguin y Fernando</t>
  </si>
  <si>
    <t>SALDO ACUMULADO SEMANA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</si>
</sst>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" fontId="0" fillId="0" borderId="1" xfId="0" applyNumberFormat="1" applyBorder="1"/>
    <xf numFmtId="0" fontId="7" fillId="0" borderId="0" xfId="0" applyFont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2"/>
  <sheetViews>
    <sheetView showGridLines="0" workbookViewId="0">
      <selection activeCell="C39" sqref="C3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7194</v>
      </c>
      <c r="D5" s="26">
        <v>446883.14999999997</v>
      </c>
    </row>
    <row r="6" spans="2:8" x14ac:dyDescent="0.25">
      <c r="B6" s="1" t="s">
        <v>5</v>
      </c>
      <c r="C6" s="6">
        <v>8512</v>
      </c>
      <c r="D6" s="26">
        <v>233163.49999999997</v>
      </c>
    </row>
    <row r="7" spans="2:8" x14ac:dyDescent="0.25">
      <c r="B7" s="1" t="s">
        <v>6</v>
      </c>
      <c r="C7" s="6">
        <v>9746</v>
      </c>
      <c r="D7" s="26">
        <v>247231.1</v>
      </c>
    </row>
    <row r="8" spans="2:8" x14ac:dyDescent="0.25">
      <c r="B8" s="5" t="s">
        <v>12</v>
      </c>
      <c r="C8" s="7">
        <v>21</v>
      </c>
      <c r="D8" s="28">
        <v>0</v>
      </c>
    </row>
    <row r="9" spans="2:8" x14ac:dyDescent="0.25">
      <c r="B9" s="1" t="s">
        <v>7</v>
      </c>
      <c r="C9" s="6">
        <v>49904</v>
      </c>
      <c r="D9" s="26">
        <v>421285.8600000001</v>
      </c>
      <c r="F9" s="7"/>
    </row>
    <row r="10" spans="2:8" x14ac:dyDescent="0.25">
      <c r="B10" s="3" t="s">
        <v>8</v>
      </c>
      <c r="C10" s="8">
        <f>SUM(C5:C9)</f>
        <v>75377</v>
      </c>
      <c r="D10" s="4">
        <f>SUM(D5:D9)</f>
        <v>1348563.6099999999</v>
      </c>
      <c r="E10" s="11" t="s">
        <v>14</v>
      </c>
    </row>
    <row r="12" spans="2:8" x14ac:dyDescent="0.25">
      <c r="B12" s="30" t="s">
        <v>10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2036</v>
      </c>
      <c r="D14" s="26">
        <v>170060.86000000002</v>
      </c>
    </row>
    <row r="15" spans="2:8" x14ac:dyDescent="0.25">
      <c r="B15" s="9" t="s">
        <v>5</v>
      </c>
      <c r="C15" s="6">
        <v>1735</v>
      </c>
      <c r="D15" s="26">
        <v>110717.81000000001</v>
      </c>
    </row>
    <row r="16" spans="2:8" x14ac:dyDescent="0.25">
      <c r="B16" s="9" t="s">
        <v>6</v>
      </c>
      <c r="C16" s="6">
        <v>266</v>
      </c>
      <c r="D16" s="26">
        <v>44271.05</v>
      </c>
    </row>
    <row r="17" spans="2:11" x14ac:dyDescent="0.25">
      <c r="B17" s="9" t="s">
        <v>7</v>
      </c>
      <c r="C17" s="6">
        <v>8252</v>
      </c>
      <c r="D17" s="26">
        <v>91282.010000000009</v>
      </c>
    </row>
    <row r="18" spans="2:11" x14ac:dyDescent="0.25">
      <c r="B18" s="10" t="s">
        <v>8</v>
      </c>
      <c r="C18" s="8">
        <f>SUM(C14:C17)</f>
        <v>12289</v>
      </c>
      <c r="D18" s="4">
        <f>SUM(D14:D17)</f>
        <v>416331.73000000004</v>
      </c>
    </row>
    <row r="20" spans="2:11" x14ac:dyDescent="0.25">
      <c r="B20" s="30" t="s">
        <v>32</v>
      </c>
      <c r="C20" s="30"/>
      <c r="D20" s="30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3591</v>
      </c>
      <c r="D22" s="26">
        <v>206596.71</v>
      </c>
    </row>
    <row r="23" spans="2:11" x14ac:dyDescent="0.25">
      <c r="B23" s="9" t="s">
        <v>5</v>
      </c>
      <c r="C23" s="6">
        <v>1622</v>
      </c>
      <c r="D23" s="26">
        <v>11455.529999999999</v>
      </c>
    </row>
    <row r="24" spans="2:11" x14ac:dyDescent="0.25">
      <c r="B24" s="9" t="s">
        <v>6</v>
      </c>
      <c r="C24" s="6">
        <v>3188</v>
      </c>
      <c r="D24" s="26">
        <v>25280.989999999998</v>
      </c>
    </row>
    <row r="25" spans="2:11" x14ac:dyDescent="0.25">
      <c r="B25" s="9" t="s">
        <v>7</v>
      </c>
      <c r="C25" s="6">
        <v>20975</v>
      </c>
      <c r="D25" s="26">
        <v>112203.76</v>
      </c>
    </row>
    <row r="26" spans="2:11" x14ac:dyDescent="0.25">
      <c r="B26" s="10" t="s">
        <v>8</v>
      </c>
      <c r="C26" s="8">
        <f>SUM(C22:C25)</f>
        <v>29376</v>
      </c>
      <c r="D26" s="4">
        <f>SUM(D22:D25)</f>
        <v>355536.99</v>
      </c>
    </row>
    <row r="27" spans="2:11" x14ac:dyDescent="0.25">
      <c r="K27" s="7"/>
    </row>
    <row r="28" spans="2:11" x14ac:dyDescent="0.25">
      <c r="B28" s="29" t="s">
        <v>9</v>
      </c>
      <c r="C28" s="29"/>
      <c r="D28" s="29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9" t="s">
        <v>4</v>
      </c>
      <c r="C30" s="6">
        <v>1667</v>
      </c>
      <c r="D30" s="26">
        <v>131462.24</v>
      </c>
    </row>
    <row r="31" spans="2:11" x14ac:dyDescent="0.25">
      <c r="B31" s="9" t="s">
        <v>5</v>
      </c>
      <c r="C31" s="6">
        <v>883</v>
      </c>
      <c r="D31" s="26">
        <v>45290.9</v>
      </c>
    </row>
    <row r="32" spans="2:11" x14ac:dyDescent="0.25">
      <c r="B32" s="9" t="s">
        <v>6</v>
      </c>
      <c r="C32" s="6">
        <v>3198</v>
      </c>
      <c r="D32" s="26">
        <v>16326</v>
      </c>
    </row>
    <row r="33" spans="2:5" x14ac:dyDescent="0.25">
      <c r="B33" s="9" t="s">
        <v>7</v>
      </c>
      <c r="C33" s="6">
        <v>1751</v>
      </c>
      <c r="D33" s="26">
        <v>2301.38</v>
      </c>
    </row>
    <row r="34" spans="2:5" x14ac:dyDescent="0.25">
      <c r="B34" s="10" t="s">
        <v>8</v>
      </c>
      <c r="C34" s="8">
        <f>SUM(C30:C33)</f>
        <v>7499</v>
      </c>
      <c r="D34" s="4">
        <f>SUM(D30:D33)</f>
        <v>195380.52</v>
      </c>
    </row>
    <row r="36" spans="2:5" x14ac:dyDescent="0.25">
      <c r="B36" s="30" t="s">
        <v>11</v>
      </c>
      <c r="C36" s="30"/>
      <c r="D36" s="30"/>
    </row>
    <row r="37" spans="2:5" x14ac:dyDescent="0.25">
      <c r="B37" s="4" t="s">
        <v>1</v>
      </c>
      <c r="C37" s="4" t="s">
        <v>2</v>
      </c>
      <c r="D37" s="4" t="s">
        <v>3</v>
      </c>
    </row>
    <row r="38" spans="2:5" x14ac:dyDescent="0.25">
      <c r="B38" s="9" t="s">
        <v>4</v>
      </c>
      <c r="C38" s="6">
        <v>3125</v>
      </c>
      <c r="D38" s="26">
        <v>74683</v>
      </c>
    </row>
    <row r="39" spans="2:5" x14ac:dyDescent="0.25">
      <c r="B39" s="10" t="s">
        <v>8</v>
      </c>
      <c r="C39" s="8">
        <f>SUM(C38:C38)</f>
        <v>3125</v>
      </c>
      <c r="D39" s="4">
        <f>SUM(D38:D38)</f>
        <v>74683</v>
      </c>
    </row>
    <row r="40" spans="2:5" x14ac:dyDescent="0.25">
      <c r="B40" s="25"/>
      <c r="C40" s="25"/>
      <c r="D40" s="25"/>
    </row>
    <row r="42" spans="2:5" x14ac:dyDescent="0.25">
      <c r="B42" s="12" t="s">
        <v>13</v>
      </c>
      <c r="C42" s="13">
        <f>SUM(C10+C34+C18+C26+C39)</f>
        <v>127666</v>
      </c>
      <c r="D42" s="13">
        <f>SUM(D10+D34+D18+D26+D39)</f>
        <v>2390495.8499999996</v>
      </c>
      <c r="E42" s="27"/>
    </row>
  </sheetData>
  <mergeCells count="5">
    <mergeCell ref="B3:D3"/>
    <mergeCell ref="B20:D20"/>
    <mergeCell ref="B12:D12"/>
    <mergeCell ref="B28:D28"/>
    <mergeCell ref="B36:D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34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21 MAR'!C6, 'REPORTE DIARIO'!C:C)</f>
        <v>17613</v>
      </c>
      <c r="E6" s="16">
        <f>SUMIF('REPORTE DIARIO'!B:B,'EPR 21 MAR'!C6, 'REPORTE DIARIO'!D:D)</f>
        <v>1029685.96</v>
      </c>
      <c r="F6" s="16">
        <f>J6*D6</f>
        <v>3019371.4285714286</v>
      </c>
      <c r="G6" s="16">
        <f>+E6-F6</f>
        <v>-1989685.4685714287</v>
      </c>
      <c r="H6" s="15">
        <f>ABS(G6/F6)</f>
        <v>0.65897340411438521</v>
      </c>
      <c r="I6" s="16">
        <f>E6/D6</f>
        <v>58.461702151819679</v>
      </c>
      <c r="J6" s="16">
        <f>(200/7) *6</f>
        <v>171.42857142857144</v>
      </c>
      <c r="K6" s="16">
        <f>+I6-J6</f>
        <v>-112.96686927675177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21 MAR'!C7, 'REPORTE DIARIO'!C:C)</f>
        <v>12752</v>
      </c>
      <c r="E7" s="16">
        <f>SUMIF('REPORTE DIARIO'!B:B,'EPR 21 MAR'!C7, 'REPORTE DIARIO'!D:D)</f>
        <v>400627.74</v>
      </c>
      <c r="F7" s="16">
        <f>J7*D7</f>
        <v>1202331.4285714284</v>
      </c>
      <c r="G7" s="16">
        <f>+E7-F7</f>
        <v>-801703.68857142841</v>
      </c>
      <c r="H7" s="15">
        <f>ABS(G7/F7)</f>
        <v>0.66679092762632597</v>
      </c>
      <c r="I7" s="16">
        <f>E7/D7</f>
        <v>31.416855395232119</v>
      </c>
      <c r="J7" s="16">
        <f>(110/7)*6</f>
        <v>94.285714285714278</v>
      </c>
      <c r="K7" s="16">
        <f t="shared" ref="K7:K9" si="0">+I7-J7</f>
        <v>-62.868858890482159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21 MAR'!C8, 'REPORTE DIARIO'!C:C)</f>
        <v>16398</v>
      </c>
      <c r="E8" s="16">
        <f>SUMIF('REPORTE DIARIO'!B:B,'EPR 21 MAR'!C8, 'REPORTE DIARIO'!D:D)</f>
        <v>333109.14</v>
      </c>
      <c r="F8" s="16">
        <f>J8*D8</f>
        <v>632494.28571428568</v>
      </c>
      <c r="G8" s="16">
        <f>+E8-F8</f>
        <v>-299385.14571428567</v>
      </c>
      <c r="H8" s="15">
        <f>ABS(G8/F8)</f>
        <v>0.47334047512569277</v>
      </c>
      <c r="I8" s="16">
        <f>E8/D8</f>
        <v>20.314010245151849</v>
      </c>
      <c r="J8" s="16">
        <f>(45/7)*6</f>
        <v>38.571428571428569</v>
      </c>
      <c r="K8" s="16">
        <f t="shared" si="0"/>
        <v>-18.257418326276721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21 MAR'!C9, 'REPORTE DIARIO'!C:C)</f>
        <v>80882</v>
      </c>
      <c r="E9" s="16">
        <f>SUMIF('REPORTE DIARIO'!B:B,'EPR 21 MAR'!C9, 'REPORTE DIARIO'!D:D)</f>
        <v>627073.01000000013</v>
      </c>
      <c r="F9" s="16">
        <f>J9*D9</f>
        <v>1039911.4285714286</v>
      </c>
      <c r="G9" s="16">
        <f>+E9-F9</f>
        <v>-412838.41857142851</v>
      </c>
      <c r="H9" s="15">
        <f>ABS(G9/F9)</f>
        <v>0.39699382777104636</v>
      </c>
      <c r="I9" s="16">
        <f>E9/D9</f>
        <v>7.7529365000865473</v>
      </c>
      <c r="J9" s="16">
        <f>(15/7)*6</f>
        <v>12.857142857142858</v>
      </c>
      <c r="K9" s="16">
        <f t="shared" si="0"/>
        <v>-5.1042063570563103</v>
      </c>
    </row>
    <row r="10" spans="2:12" x14ac:dyDescent="0.25">
      <c r="B10" s="16"/>
      <c r="C10" s="19" t="s">
        <v>17</v>
      </c>
      <c r="D10" s="24">
        <f>SUM(D6:D9)</f>
        <v>127645</v>
      </c>
      <c r="E10" s="20">
        <f>SUM(E6:E9)</f>
        <v>2390495.85</v>
      </c>
      <c r="F10" s="20">
        <f>SUM(F6:F9)</f>
        <v>5894108.5714285709</v>
      </c>
      <c r="G10" s="20">
        <f>+E10-F10</f>
        <v>-3503612.7214285708</v>
      </c>
      <c r="H10" s="21">
        <f>ABS(G10/F10)</f>
        <v>0.59442622730300176</v>
      </c>
      <c r="I10" s="20">
        <f>E10/D10</f>
        <v>18.727688902816407</v>
      </c>
      <c r="J10" s="20">
        <f>F10/D10</f>
        <v>46.175788878754133</v>
      </c>
      <c r="K10" s="20">
        <f>I10-J10</f>
        <v>-27.448099975937726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21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2025-03-22T14:59:26Z</dcterms:modified>
</cp:coreProperties>
</file>