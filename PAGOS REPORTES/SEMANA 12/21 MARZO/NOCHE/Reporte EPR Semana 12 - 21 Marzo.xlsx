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1 MARZO\NOCHE\"/>
    </mc:Choice>
  </mc:AlternateContent>
  <xr:revisionPtr revIDLastSave="0" documentId="13_ncr:1_{5767EF85-90D6-456D-89E8-02F1700C5E1C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39" i="1"/>
  <c r="C39" i="1"/>
  <c r="D26" i="1"/>
  <c r="C26" i="1"/>
  <c r="D18" i="1"/>
  <c r="C18" i="1"/>
  <c r="D34" i="1"/>
  <c r="C3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<sst xmlns="http://schemas.openxmlformats.org/spreadsheetml/2006/main" count="69" uniqueCount="35">
  <si>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</si>
  <si>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</si>
  <si>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</si>
  <si>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</si>
  <si>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</si>
  <si>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</si>
  <si>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</si>
  <si>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</si>
  <si>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</si>
  <si>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</si>
  <si>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</si>
  <si>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</si>
  <si>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</si>
  <si>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</si>
  <si>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</si>
  <si>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</si>
  <si>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</si>
  <si>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</si>
  <si>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</si>
  <si>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</si>
  <si>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</si>
  <si>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</si>
  <si>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</si>
  <si>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</si>
  <si>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</si>
  <si>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</si>
  <si>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</si>
  <si>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</si>
  <si>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</si>
  <si>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</si>
  <si>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</si>
  <si>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</si>
  <si>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</si>
  <si>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</si>
  <si>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21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</si>
</sst>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B3" sqref="B3: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7198</v>
      </c>
      <c r="D5" s="28">
        <v>127796.11</v>
      </c>
    </row>
    <row r="6" spans="2:8" x14ac:dyDescent="0.25">
      <c r="B6" s="1" t="s">
        <v>5</v>
      </c>
      <c r="C6" s="6">
        <v>8522</v>
      </c>
      <c r="D6" s="28">
        <v>78924.540000000008</v>
      </c>
    </row>
    <row r="7" spans="2:8" x14ac:dyDescent="0.25">
      <c r="B7" s="1" t="s">
        <v>6</v>
      </c>
      <c r="C7" s="6">
        <v>10196</v>
      </c>
      <c r="D7" s="28">
        <v>32392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49928</v>
      </c>
      <c r="D9" s="28">
        <v>99563.93</v>
      </c>
      <c r="F9" s="7"/>
    </row>
    <row r="10" spans="2:8" x14ac:dyDescent="0.25">
      <c r="B10" s="3" t="s">
        <v>8</v>
      </c>
      <c r="C10" s="8">
        <f>SUM(C5:C9)</f>
        <v>75865</v>
      </c>
      <c r="D10" s="4">
        <f>SUM(D5:D9)</f>
        <v>338676.58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2038</v>
      </c>
      <c r="D14" s="28">
        <v>30083.949999999997</v>
      </c>
    </row>
    <row r="15" spans="2:8" x14ac:dyDescent="0.25">
      <c r="B15" s="9" t="s">
        <v>5</v>
      </c>
      <c r="C15" s="6">
        <v>1739</v>
      </c>
      <c r="D15" s="28">
        <v>34789</v>
      </c>
    </row>
    <row r="16" spans="2:8" x14ac:dyDescent="0.25">
      <c r="B16" s="9" t="s">
        <v>6</v>
      </c>
      <c r="C16" s="6">
        <v>267</v>
      </c>
      <c r="D16" s="28">
        <v>1855.1</v>
      </c>
    </row>
    <row r="17" spans="2:11" x14ac:dyDescent="0.25">
      <c r="B17" s="9" t="s">
        <v>7</v>
      </c>
      <c r="C17" s="6">
        <v>8252</v>
      </c>
      <c r="D17" s="28">
        <v>27878</v>
      </c>
    </row>
    <row r="18" spans="2:11" x14ac:dyDescent="0.25">
      <c r="B18" s="10" t="s">
        <v>8</v>
      </c>
      <c r="C18" s="8">
        <f>SUM(C14:C17)</f>
        <v>12296</v>
      </c>
      <c r="D18" s="4">
        <f>SUM(D14:D17)</f>
        <v>94606.05</v>
      </c>
    </row>
    <row r="20" spans="2:11" x14ac:dyDescent="0.25">
      <c r="B20" s="29" t="s">
        <v>32</v>
      </c>
      <c r="C20" s="29"/>
      <c r="D20" s="29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3593</v>
      </c>
      <c r="D22" s="28">
        <v>52305.07</v>
      </c>
    </row>
    <row r="23" spans="2:11" x14ac:dyDescent="0.25">
      <c r="B23" s="9" t="s">
        <v>5</v>
      </c>
      <c r="C23" s="6">
        <v>1624</v>
      </c>
      <c r="D23" s="28">
        <v>4007.61</v>
      </c>
    </row>
    <row r="24" spans="2:11" x14ac:dyDescent="0.25">
      <c r="B24" s="9" t="s">
        <v>6</v>
      </c>
      <c r="C24" s="6">
        <v>3268</v>
      </c>
      <c r="D24" s="28">
        <v>3313</v>
      </c>
    </row>
    <row r="25" spans="2:11" x14ac:dyDescent="0.25">
      <c r="B25" s="9" t="s">
        <v>7</v>
      </c>
      <c r="C25" s="6">
        <v>20979</v>
      </c>
      <c r="D25" s="28">
        <v>28327</v>
      </c>
    </row>
    <row r="26" spans="2:11" x14ac:dyDescent="0.25">
      <c r="B26" s="10" t="s">
        <v>8</v>
      </c>
      <c r="C26" s="8">
        <f>SUM(C22:C25)</f>
        <v>29464</v>
      </c>
      <c r="D26" s="4">
        <f>SUM(D22:D25)</f>
        <v>87952.68</v>
      </c>
      <c r="K26" s="7"/>
    </row>
    <row r="28" spans="2:11" x14ac:dyDescent="0.25">
      <c r="B28" s="30" t="s">
        <v>9</v>
      </c>
      <c r="C28" s="30"/>
      <c r="D28" s="30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1669</v>
      </c>
      <c r="D30" s="28">
        <v>14280.26</v>
      </c>
    </row>
    <row r="31" spans="2:11" x14ac:dyDescent="0.25">
      <c r="B31" s="9" t="s">
        <v>5</v>
      </c>
      <c r="C31" s="6">
        <v>883</v>
      </c>
      <c r="D31" s="28">
        <v>11444.78</v>
      </c>
    </row>
    <row r="32" spans="2:11" x14ac:dyDescent="0.25">
      <c r="B32" s="9" t="s">
        <v>6</v>
      </c>
      <c r="C32" s="6">
        <v>3567</v>
      </c>
      <c r="D32" s="28">
        <v>10934</v>
      </c>
    </row>
    <row r="33" spans="2:5" x14ac:dyDescent="0.25">
      <c r="B33" s="9" t="s">
        <v>7</v>
      </c>
      <c r="C33" s="6">
        <v>1751</v>
      </c>
      <c r="D33" s="28">
        <v>500</v>
      </c>
    </row>
    <row r="34" spans="2:5" x14ac:dyDescent="0.25">
      <c r="B34" s="10" t="s">
        <v>8</v>
      </c>
      <c r="C34" s="8">
        <f>SUM(C30:C33)</f>
        <v>7870</v>
      </c>
      <c r="D34" s="4">
        <f>SUM(D30:D33)</f>
        <v>37159.040000000001</v>
      </c>
    </row>
    <row r="36" spans="2:5" x14ac:dyDescent="0.25">
      <c r="B36" s="29" t="s">
        <v>11</v>
      </c>
      <c r="C36" s="29"/>
      <c r="D36" s="29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3125</v>
      </c>
      <c r="D38" s="28">
        <v>22819</v>
      </c>
    </row>
    <row r="39" spans="2:5" x14ac:dyDescent="0.25">
      <c r="B39" s="10" t="s">
        <v>8</v>
      </c>
      <c r="C39" s="8">
        <f>SUM(C38:C38)</f>
        <v>3125</v>
      </c>
      <c r="D39" s="4">
        <f>SUM(D38:D38)</f>
        <v>22819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SUM(C10+C34+C18+C26+C39)</f>
        <v>128620</v>
      </c>
      <c r="D42" s="13">
        <f>SUM(D10+D34+D18+D26+D39)</f>
        <v>581213.35</v>
      </c>
    </row>
  </sheetData>
  <mergeCells count="5">
    <mergeCell ref="B12:D12"/>
    <mergeCell ref="B3:D3"/>
    <mergeCell ref="B28:D28"/>
    <mergeCell ref="B20:D20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21 MAR'!C6, 'REPORTE DIARIO'!C:C)</f>
        <v>17623</v>
      </c>
      <c r="E6" s="16">
        <f>SUMIF('REPORTE DIARIO'!B:B,'EPR 21 MAR'!C6, 'REPORTE DIARIO'!D:D)</f>
        <v>247284.39</v>
      </c>
      <c r="F6" s="16">
        <f>J6*D6</f>
        <v>503514.28571428574</v>
      </c>
      <c r="G6" s="16">
        <f>+E6-F6</f>
        <v>-256229.89571428573</v>
      </c>
      <c r="H6" s="15">
        <f>ABS(G6/F6)</f>
        <v>0.50888307041933833</v>
      </c>
      <c r="I6" s="16">
        <f>E6/D6</f>
        <v>14.031912273733191</v>
      </c>
      <c r="J6" s="16">
        <f>200/7</f>
        <v>28.571428571428573</v>
      </c>
      <c r="K6" s="16">
        <f>+I6-J6</f>
        <v>-14.539516297695382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21 MAR'!C7, 'REPORTE DIARIO'!C:C)</f>
        <v>12768</v>
      </c>
      <c r="E7" s="16">
        <f>SUMIF('REPORTE DIARIO'!B:B,'EPR 21 MAR'!C7, 'REPORTE DIARIO'!D:D)</f>
        <v>129165.93000000001</v>
      </c>
      <c r="F7" s="16">
        <f>J7*D7</f>
        <v>200640</v>
      </c>
      <c r="G7" s="16">
        <f>+E7-F7</f>
        <v>-71474.069999999992</v>
      </c>
      <c r="H7" s="15">
        <f>ABS(G7/F7)</f>
        <v>0.35623041267942579</v>
      </c>
      <c r="I7" s="16">
        <f>E7/D7</f>
        <v>10.116379229323309</v>
      </c>
      <c r="J7" s="16">
        <f>110/7</f>
        <v>15.714285714285714</v>
      </c>
      <c r="K7" s="16">
        <f t="shared" ref="K7:K9" si="0">+I7-J7</f>
        <v>-5.5979064849624045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21 MAR'!C8, 'REPORTE DIARIO'!C:C)</f>
        <v>17298</v>
      </c>
      <c r="E8" s="16">
        <f>SUMIF('REPORTE DIARIO'!B:B,'EPR 21 MAR'!C8, 'REPORTE DIARIO'!D:D)</f>
        <v>48494.1</v>
      </c>
      <c r="F8" s="16">
        <f>J8*D8</f>
        <v>111201.42857142858</v>
      </c>
      <c r="G8" s="16">
        <f>+E8-F8</f>
        <v>-62707.328571428581</v>
      </c>
      <c r="H8" s="15">
        <f>ABS(G8/F8)</f>
        <v>0.56390758083786185</v>
      </c>
      <c r="I8" s="16">
        <f>E8/D8</f>
        <v>2.803451266042317</v>
      </c>
      <c r="J8" s="16">
        <f>45/7</f>
        <v>6.4285714285714288</v>
      </c>
      <c r="K8" s="16">
        <f t="shared" si="0"/>
        <v>-3.6251201625291118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21 MAR'!C9, 'REPORTE DIARIO'!C:C)</f>
        <v>80910</v>
      </c>
      <c r="E9" s="16">
        <f>SUMIF('REPORTE DIARIO'!B:B,'EPR 21 MAR'!C9, 'REPORTE DIARIO'!D:D)</f>
        <v>156268.93</v>
      </c>
      <c r="F9" s="16">
        <f>J9*D9</f>
        <v>173378.57142857142</v>
      </c>
      <c r="G9" s="16">
        <f>+E9-F9</f>
        <v>-17109.641428571427</v>
      </c>
      <c r="H9" s="15">
        <f>ABS(G9/F9)</f>
        <v>9.8683714415193829E-2</v>
      </c>
      <c r="I9" s="16">
        <f>E9/D9</f>
        <v>1.9313920405388703</v>
      </c>
      <c r="J9" s="16">
        <f>15/7</f>
        <v>2.1428571428571428</v>
      </c>
      <c r="K9" s="16">
        <f t="shared" si="0"/>
        <v>-0.21146510231827254</v>
      </c>
    </row>
    <row r="10" spans="2:12" x14ac:dyDescent="0.25">
      <c r="B10" s="16"/>
      <c r="C10" s="19" t="s">
        <v>17</v>
      </c>
      <c r="D10" s="24">
        <f>SUM(D6:D9)</f>
        <v>128599</v>
      </c>
      <c r="E10" s="20">
        <f>SUM(E6:E9)</f>
        <v>581213.35</v>
      </c>
      <c r="F10" s="20">
        <f>SUM(F6:F9)</f>
        <v>988734.28571428568</v>
      </c>
      <c r="G10" s="20">
        <f>+E10-F10</f>
        <v>-407520.9357142857</v>
      </c>
      <c r="H10" s="21">
        <f>ABS(G10/F10)</f>
        <v>0.41216426051199656</v>
      </c>
      <c r="I10" s="20">
        <f>E10/D10</f>
        <v>4.5195790791530257</v>
      </c>
      <c r="J10" s="20">
        <f>F10/D10</f>
        <v>7.6885067979866539</v>
      </c>
      <c r="K10" s="20">
        <f>I10-J10</f>
        <v>-3.1689277188336282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2025-03-22T02:27:19Z</dcterms:modified>
</cp:coreProperties>
</file>