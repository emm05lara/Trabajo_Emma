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17 MARZO\MAÑANA\"/>
    </mc:Choice>
  </mc:AlternateContent>
  <xr:revisionPtr revIDLastSave="0" documentId="13_ncr:1_{0A6F7FCA-2305-477B-9131-A6222AA26928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6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39" i="1" l="1"/>
  <c r="C39" i="1"/>
  <c r="D34" i="1"/>
  <c r="C34" i="1"/>
  <c r="D26" i="1"/>
  <c r="C26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42" i="1" l="1"/>
  <c r="D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<sst xmlns="http://schemas.openxmlformats.org/spreadsheetml/2006/main" count="69" uniqueCount="35">
  <si>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</si>
  <si>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</si>
  <si>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</si>
  <si>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</si>
  <si>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</si>
  <si>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</si>
  <si>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</si>
  <si>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</si>
  <si>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</si>
  <si>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</si>
  <si>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</si>
  <si>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</si>
  <si>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</si>
  <si>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</si>
  <si>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</si>
  <si>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</si>
  <si>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</si>
  <si>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</si>
  <si>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</si>
  <si>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</si>
  <si>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</si>
  <si>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</si>
  <si>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</si>
  <si>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</si>
  <si>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</si>
  <si>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</si>
  <si>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</si>
  <si>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</si>
  <si>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</si>
  <si>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</si>
  <si>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</si>
  <si>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</si>
  <si>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</si>
  <si>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SALDO ACUMULADO SEMANA 11</t>
  </si>
  <si>
    <t>Samantha, Sofia, Edith, Olguin y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</si>
</sst>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workbookViewId="0">
      <selection activeCell="D38" sqref="D3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6925</v>
      </c>
      <c r="D5" s="26">
        <v>680692.96</v>
      </c>
    </row>
    <row r="6" spans="2:8" x14ac:dyDescent="0.25">
      <c r="B6" s="1" t="s">
        <v>5</v>
      </c>
      <c r="C6" s="6">
        <v>8352</v>
      </c>
      <c r="D6" s="26">
        <v>540790.19999999995</v>
      </c>
    </row>
    <row r="7" spans="2:8" x14ac:dyDescent="0.25">
      <c r="B7" s="1" t="s">
        <v>6</v>
      </c>
      <c r="C7" s="6">
        <v>9751</v>
      </c>
      <c r="D7" s="26">
        <v>558755</v>
      </c>
    </row>
    <row r="8" spans="2:8" x14ac:dyDescent="0.25">
      <c r="B8" s="5" t="s">
        <v>12</v>
      </c>
      <c r="C8" s="7">
        <v>21</v>
      </c>
      <c r="D8" s="28">
        <v>0</v>
      </c>
    </row>
    <row r="9" spans="2:8" x14ac:dyDescent="0.25">
      <c r="B9" s="1" t="s">
        <v>7</v>
      </c>
      <c r="C9" s="6">
        <v>50009</v>
      </c>
      <c r="D9" s="26">
        <v>642222.71</v>
      </c>
      <c r="F9" s="7"/>
    </row>
    <row r="10" spans="2:8" x14ac:dyDescent="0.25">
      <c r="B10" s="3" t="s">
        <v>8</v>
      </c>
      <c r="C10" s="8">
        <f>SUM(C5:C9)</f>
        <v>75058</v>
      </c>
      <c r="D10" s="4">
        <f>SUM(D5:D9)</f>
        <v>2422460.87</v>
      </c>
      <c r="E10" s="11" t="s">
        <v>14</v>
      </c>
    </row>
    <row r="12" spans="2:8" x14ac:dyDescent="0.25">
      <c r="B12" s="30" t="s">
        <v>32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3835</v>
      </c>
      <c r="D14" s="26">
        <v>306033.52</v>
      </c>
    </row>
    <row r="15" spans="2:8" x14ac:dyDescent="0.25">
      <c r="B15" s="9" t="s">
        <v>5</v>
      </c>
      <c r="C15" s="6">
        <v>1429</v>
      </c>
      <c r="D15" s="26">
        <v>40712.699999999997</v>
      </c>
    </row>
    <row r="16" spans="2:8" x14ac:dyDescent="0.25">
      <c r="B16" s="9" t="s">
        <v>6</v>
      </c>
      <c r="C16" s="6">
        <v>3163</v>
      </c>
      <c r="D16" s="26">
        <v>80674.17</v>
      </c>
    </row>
    <row r="17" spans="2:11" x14ac:dyDescent="0.25">
      <c r="B17" s="9" t="s">
        <v>7</v>
      </c>
      <c r="C17" s="6">
        <v>20909</v>
      </c>
      <c r="D17" s="26">
        <v>213188.34999999998</v>
      </c>
    </row>
    <row r="18" spans="2:11" x14ac:dyDescent="0.25">
      <c r="B18" s="10" t="s">
        <v>8</v>
      </c>
      <c r="C18" s="8">
        <f>SUM(C14:C17)</f>
        <v>29336</v>
      </c>
      <c r="D18" s="4">
        <f>SUM(D14:D17)</f>
        <v>640608.74</v>
      </c>
    </row>
    <row r="20" spans="2:11" x14ac:dyDescent="0.25">
      <c r="B20" s="30" t="s">
        <v>10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1888</v>
      </c>
      <c r="D22" s="26">
        <v>281208.35000000003</v>
      </c>
    </row>
    <row r="23" spans="2:11" x14ac:dyDescent="0.25">
      <c r="B23" s="9" t="s">
        <v>5</v>
      </c>
      <c r="C23" s="6">
        <v>1368</v>
      </c>
      <c r="D23" s="26">
        <v>153308.62</v>
      </c>
    </row>
    <row r="24" spans="2:11" x14ac:dyDescent="0.25">
      <c r="B24" s="9" t="s">
        <v>6</v>
      </c>
      <c r="C24" s="6">
        <v>15</v>
      </c>
      <c r="D24" s="26">
        <v>16789</v>
      </c>
    </row>
    <row r="25" spans="2:11" x14ac:dyDescent="0.25">
      <c r="B25" s="9" t="s">
        <v>7</v>
      </c>
      <c r="C25" s="6">
        <v>733</v>
      </c>
      <c r="D25" s="26">
        <v>35796</v>
      </c>
    </row>
    <row r="26" spans="2:11" x14ac:dyDescent="0.25">
      <c r="B26" s="10" t="s">
        <v>8</v>
      </c>
      <c r="C26" s="8">
        <f>SUM(C22:C25)</f>
        <v>4004</v>
      </c>
      <c r="D26" s="4">
        <f>SUM(D22:D25)</f>
        <v>487101.97000000003</v>
      </c>
    </row>
    <row r="27" spans="2:11" x14ac:dyDescent="0.25">
      <c r="K27" s="7"/>
    </row>
    <row r="28" spans="2:11" x14ac:dyDescent="0.25">
      <c r="B28" s="29" t="s">
        <v>9</v>
      </c>
      <c r="C28" s="29"/>
      <c r="D28" s="29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1788</v>
      </c>
      <c r="D30" s="26">
        <v>295069.51</v>
      </c>
    </row>
    <row r="31" spans="2:11" x14ac:dyDescent="0.25">
      <c r="B31" s="9" t="s">
        <v>5</v>
      </c>
      <c r="C31" s="6">
        <v>628</v>
      </c>
      <c r="D31" s="26">
        <v>38488.11</v>
      </c>
    </row>
    <row r="32" spans="2:11" x14ac:dyDescent="0.25">
      <c r="B32" s="9" t="s">
        <v>6</v>
      </c>
      <c r="C32" s="6">
        <v>530</v>
      </c>
      <c r="D32" s="26">
        <v>19914</v>
      </c>
    </row>
    <row r="33" spans="2:5" x14ac:dyDescent="0.25">
      <c r="B33" s="9" t="s">
        <v>7</v>
      </c>
      <c r="C33" s="6">
        <v>1678</v>
      </c>
      <c r="D33" s="26">
        <v>2340.11</v>
      </c>
    </row>
    <row r="34" spans="2:5" x14ac:dyDescent="0.25">
      <c r="B34" s="10" t="s">
        <v>8</v>
      </c>
      <c r="C34" s="8">
        <f>SUM(C30:C33)</f>
        <v>4624</v>
      </c>
      <c r="D34" s="4">
        <f>SUM(D30:D33)</f>
        <v>355811.73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3078</v>
      </c>
      <c r="D38" s="26">
        <v>146928</v>
      </c>
    </row>
    <row r="39" spans="2:5" x14ac:dyDescent="0.25">
      <c r="B39" s="10" t="s">
        <v>8</v>
      </c>
      <c r="C39" s="8">
        <f>SUM(C38:C38)</f>
        <v>3078</v>
      </c>
      <c r="D39" s="4">
        <f>SUM(D38:D38)</f>
        <v>146928</v>
      </c>
    </row>
    <row r="40" spans="2:5" x14ac:dyDescent="0.25">
      <c r="B40" s="25"/>
      <c r="C40" s="25"/>
      <c r="D40" s="25"/>
    </row>
    <row r="42" spans="2:5" x14ac:dyDescent="0.25">
      <c r="B42" s="12" t="s">
        <v>13</v>
      </c>
      <c r="C42" s="13">
        <f>SUM(C10+C34+C26+C18+C39)</f>
        <v>116100</v>
      </c>
      <c r="D42" s="13">
        <f>SUM(D10+D34+D26+D18+D39)</f>
        <v>4052911.3100000005</v>
      </c>
      <c r="E42" s="27"/>
    </row>
  </sheetData>
  <mergeCells count="5">
    <mergeCell ref="B3:D3"/>
    <mergeCell ref="B12:D12"/>
    <mergeCell ref="B20:D20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F8" sqref="F8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33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16 MAR'!C6, 'REPORTE DIARIO'!C:C)</f>
        <v>17514</v>
      </c>
      <c r="E6" s="16">
        <f>SUMIF('REPORTE DIARIO'!B:B,'EPR 16 MAR'!C6, 'REPORTE DIARIO'!D:D)</f>
        <v>1709932.34</v>
      </c>
      <c r="F6" s="16">
        <f>J6*D6</f>
        <v>3502800</v>
      </c>
      <c r="G6" s="16">
        <f>+E6-F6</f>
        <v>-1792867.66</v>
      </c>
      <c r="H6" s="15">
        <f>ABS(G6/F6)</f>
        <v>0.51183843211145363</v>
      </c>
      <c r="I6" s="16">
        <f>E6/D6</f>
        <v>97.632313577709269</v>
      </c>
      <c r="J6" s="16">
        <f>200</f>
        <v>200</v>
      </c>
      <c r="K6" s="16">
        <f>+I6-J6</f>
        <v>-102.36768642229073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16 MAR'!C7, 'REPORTE DIARIO'!C:C)</f>
        <v>11777</v>
      </c>
      <c r="E7" s="16">
        <f>SUMIF('REPORTE DIARIO'!B:B,'EPR 16 MAR'!C7, 'REPORTE DIARIO'!D:D)</f>
        <v>773299.62999999989</v>
      </c>
      <c r="F7" s="16">
        <f>J7*D7</f>
        <v>1295470</v>
      </c>
      <c r="G7" s="16">
        <f>+E7-F7</f>
        <v>-522170.37000000011</v>
      </c>
      <c r="H7" s="15">
        <f>ABS(G7/F7)</f>
        <v>0.40307407350228114</v>
      </c>
      <c r="I7" s="16">
        <f>E7/D7</f>
        <v>65.661851914749079</v>
      </c>
      <c r="J7" s="16">
        <f>110</f>
        <v>110</v>
      </c>
      <c r="K7" s="16">
        <f t="shared" ref="K7:K9" si="0">+I7-J7</f>
        <v>-44.338148085250921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16 MAR'!C8, 'REPORTE DIARIO'!C:C)</f>
        <v>13459</v>
      </c>
      <c r="E8" s="16">
        <f>SUMIF('REPORTE DIARIO'!B:B,'EPR 16 MAR'!C8, 'REPORTE DIARIO'!D:D)</f>
        <v>676132.17</v>
      </c>
      <c r="F8" s="16">
        <f>J8*D8</f>
        <v>605655</v>
      </c>
      <c r="G8" s="16">
        <f>+E8-F8</f>
        <v>70477.170000000042</v>
      </c>
      <c r="H8" s="15">
        <f>ABS(G8/F8)</f>
        <v>0.11636520791539745</v>
      </c>
      <c r="I8" s="16">
        <f>E8/D8</f>
        <v>50.236434356192888</v>
      </c>
      <c r="J8" s="16">
        <f>45</f>
        <v>45</v>
      </c>
      <c r="K8" s="16">
        <f t="shared" si="0"/>
        <v>5.2364343561928877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16 MAR'!C9, 'REPORTE DIARIO'!C:C)</f>
        <v>73329</v>
      </c>
      <c r="E9" s="16">
        <f>SUMIF('REPORTE DIARIO'!B:B,'EPR 16 MAR'!C9, 'REPORTE DIARIO'!D:D)</f>
        <v>893547.16999999993</v>
      </c>
      <c r="F9" s="16">
        <f>J9*D9</f>
        <v>1099935</v>
      </c>
      <c r="G9" s="16">
        <f>+E9-F9</f>
        <v>-206387.83000000007</v>
      </c>
      <c r="H9" s="15">
        <f>ABS(G9/F9)</f>
        <v>0.18763638760472218</v>
      </c>
      <c r="I9" s="16">
        <f>E9/D9</f>
        <v>12.185454185929167</v>
      </c>
      <c r="J9" s="16">
        <f>15</f>
        <v>15</v>
      </c>
      <c r="K9" s="16">
        <f t="shared" si="0"/>
        <v>-2.8145458140708328</v>
      </c>
    </row>
    <row r="10" spans="2:12" x14ac:dyDescent="0.25">
      <c r="B10" s="16"/>
      <c r="C10" s="19" t="s">
        <v>17</v>
      </c>
      <c r="D10" s="24">
        <f>SUM(D6:D9)</f>
        <v>116079</v>
      </c>
      <c r="E10" s="20">
        <f>SUM(E6:E9)</f>
        <v>4052911.3099999996</v>
      </c>
      <c r="F10" s="20">
        <f>SUM(F6:F9)</f>
        <v>6503860</v>
      </c>
      <c r="G10" s="20">
        <f>+E10-F10</f>
        <v>-2450948.6900000004</v>
      </c>
      <c r="H10" s="21">
        <f>ABS(G10/F10)</f>
        <v>0.3768452411337268</v>
      </c>
      <c r="I10" s="20">
        <f>E10/D10</f>
        <v>34.915112208065196</v>
      </c>
      <c r="J10" s="20">
        <f>F10/D10</f>
        <v>56.029600530673079</v>
      </c>
      <c r="K10" s="20">
        <f>I10-J10</f>
        <v>-21.114488322607883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16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2025-03-17T14:24:21Z</dcterms:modified>
</cp:coreProperties>
</file>