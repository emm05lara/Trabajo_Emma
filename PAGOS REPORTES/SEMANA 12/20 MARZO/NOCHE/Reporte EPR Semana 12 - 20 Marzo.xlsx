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20 MARZO\NOCHE\"/>
    </mc:Choice>
  </mc:AlternateContent>
  <xr:revisionPtr revIDLastSave="0" documentId="13_ncr:1_{62B69F8A-BB3E-42EF-995D-2FA3309789BB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20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J9" i="3"/>
  <c r="J8" i="3"/>
  <c r="J7" i="3"/>
  <c r="J6" i="3"/>
  <c r="D6" i="3"/>
  <c r="F6" i="3" s="1"/>
  <c r="D39" i="1"/>
  <c r="C39" i="1"/>
  <c r="D34" i="1"/>
  <c r="C34" i="1"/>
  <c r="D18" i="1"/>
  <c r="C18" i="1"/>
  <c r="D26" i="1"/>
  <c r="C26" i="1"/>
  <c r="D10" i="1"/>
  <c r="C10" i="1"/>
  <c r="E7" i="3"/>
  <c r="E8" i="3"/>
  <c r="E9" i="3"/>
  <c r="E6" i="3"/>
  <c r="D7" i="3"/>
  <c r="F7" i="3" s="1"/>
  <c r="D8" i="3"/>
  <c r="F8" i="3" s="1"/>
  <c r="D9" i="3"/>
  <c r="F9" i="3" s="1"/>
  <c r="C42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<sst xmlns="http://schemas.openxmlformats.org/spreadsheetml/2006/main" count="69" uniqueCount="35">
  <si>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</si>
  <si>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</si>
  <si>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</si>
  <si>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</si>
  <si>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</si>
  <si>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</si>
  <si>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</si>
  <si>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</si>
  <si>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</si>
  <si>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</si>
  <si>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</si>
  <si>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</si>
  <si>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</si>
  <si>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</si>
  <si>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</si>
  <si>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</si>
  <si>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</si>
  <si>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</si>
  <si>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</si>
  <si>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</si>
  <si>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</si>
  <si>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</si>
  <si>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</si>
  <si>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</si>
  <si>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</si>
  <si>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</si>
  <si>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</si>
  <si>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</si>
  <si>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</si>
  <si>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</si>
  <si>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</si>
  <si>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</si>
  <si>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</si>
  <si>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Sofia, Edith, Olguin y Fernando</t>
  </si>
  <si>
    <t>COBRANZA 20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</si>
</sst>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3" fontId="0" fillId="0" borderId="0" xfId="0" applyNumberFormat="1" applyFill="1" applyBorder="1"/>
    <xf numFmtId="0" fontId="7" fillId="0" borderId="0" xfId="0" applyFont="1"/>
    <xf numFmtId="4" fontId="0" fillId="0" borderId="2" xfId="0" applyNumberFormat="1" applyBorder="1"/>
    <xf numFmtId="43" fontId="0" fillId="0" borderId="2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workbookViewId="0">
      <selection activeCell="B3" sqref="B3:D4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7173</v>
      </c>
      <c r="D5" s="28">
        <v>59932.01</v>
      </c>
    </row>
    <row r="6" spans="2:8" x14ac:dyDescent="0.25">
      <c r="B6" s="1" t="s">
        <v>5</v>
      </c>
      <c r="C6" s="6">
        <v>8521</v>
      </c>
      <c r="D6" s="28">
        <v>14800</v>
      </c>
    </row>
    <row r="7" spans="2:8" x14ac:dyDescent="0.25">
      <c r="B7" s="1" t="s">
        <v>6</v>
      </c>
      <c r="C7" s="6">
        <v>10196</v>
      </c>
      <c r="D7" s="28">
        <v>13893.380000000001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49927</v>
      </c>
      <c r="D9" s="28">
        <v>123209.23</v>
      </c>
      <c r="F9" s="7"/>
    </row>
    <row r="10" spans="2:8" x14ac:dyDescent="0.25">
      <c r="B10" s="3" t="s">
        <v>8</v>
      </c>
      <c r="C10" s="8">
        <f>SUM(C5:C9)</f>
        <v>75838</v>
      </c>
      <c r="D10" s="4">
        <f>SUM(D5:D9)</f>
        <v>211834.62</v>
      </c>
      <c r="E10" s="11" t="s">
        <v>14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2034</v>
      </c>
      <c r="D14" s="28">
        <v>20545.45</v>
      </c>
    </row>
    <row r="15" spans="2:8" x14ac:dyDescent="0.25">
      <c r="B15" s="9" t="s">
        <v>5</v>
      </c>
      <c r="C15" s="6">
        <v>1733</v>
      </c>
      <c r="D15" s="28">
        <v>44817.630000000005</v>
      </c>
    </row>
    <row r="16" spans="2:8" x14ac:dyDescent="0.25">
      <c r="B16" s="9" t="s">
        <v>6</v>
      </c>
      <c r="C16" s="6">
        <v>267</v>
      </c>
      <c r="D16" s="28">
        <v>27020</v>
      </c>
    </row>
    <row r="17" spans="2:11" x14ac:dyDescent="0.25">
      <c r="B17" s="9" t="s">
        <v>7</v>
      </c>
      <c r="C17" s="6">
        <v>8252</v>
      </c>
      <c r="D17" s="28">
        <v>16499.010000000002</v>
      </c>
    </row>
    <row r="18" spans="2:11" x14ac:dyDescent="0.25">
      <c r="B18" s="10" t="s">
        <v>8</v>
      </c>
      <c r="C18" s="8">
        <f>SUM(C14:C17)</f>
        <v>12286</v>
      </c>
      <c r="D18" s="4">
        <f>SUM(D14:D17)</f>
        <v>108882.09</v>
      </c>
    </row>
    <row r="20" spans="2:11" x14ac:dyDescent="0.25">
      <c r="B20" s="31" t="s">
        <v>9</v>
      </c>
      <c r="C20" s="31"/>
      <c r="D20" s="31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9" t="s">
        <v>4</v>
      </c>
      <c r="C22" s="6">
        <v>1671</v>
      </c>
      <c r="D22" s="28">
        <v>37295.57</v>
      </c>
    </row>
    <row r="23" spans="2:11" x14ac:dyDescent="0.25">
      <c r="B23" s="9" t="s">
        <v>5</v>
      </c>
      <c r="C23" s="6">
        <v>879</v>
      </c>
      <c r="D23" s="28">
        <v>4256</v>
      </c>
    </row>
    <row r="24" spans="2:11" x14ac:dyDescent="0.25">
      <c r="B24" s="9" t="s">
        <v>6</v>
      </c>
      <c r="C24" s="6">
        <v>3569</v>
      </c>
      <c r="D24" s="28">
        <v>2000</v>
      </c>
    </row>
    <row r="25" spans="2:11" x14ac:dyDescent="0.25">
      <c r="B25" s="9" t="s">
        <v>7</v>
      </c>
      <c r="C25" s="6">
        <v>1751</v>
      </c>
      <c r="D25" s="29">
        <v>0</v>
      </c>
    </row>
    <row r="26" spans="2:11" x14ac:dyDescent="0.25">
      <c r="B26" s="10" t="s">
        <v>8</v>
      </c>
      <c r="C26" s="8">
        <f>SUM(C22:C25)</f>
        <v>7870</v>
      </c>
      <c r="D26" s="4">
        <f>SUM(D22:D25)</f>
        <v>43551.57</v>
      </c>
      <c r="K26" s="7"/>
    </row>
    <row r="28" spans="2:11" x14ac:dyDescent="0.25">
      <c r="B28" s="30" t="s">
        <v>32</v>
      </c>
      <c r="C28" s="30"/>
      <c r="D28" s="30"/>
    </row>
    <row r="29" spans="2:11" x14ac:dyDescent="0.25">
      <c r="B29" s="4" t="s">
        <v>1</v>
      </c>
      <c r="C29" s="4" t="s">
        <v>2</v>
      </c>
      <c r="D29" s="4" t="s">
        <v>3</v>
      </c>
    </row>
    <row r="30" spans="2:11" x14ac:dyDescent="0.25">
      <c r="B30" s="9" t="s">
        <v>4</v>
      </c>
      <c r="C30" s="6">
        <v>3588</v>
      </c>
      <c r="D30" s="28">
        <v>15374.94</v>
      </c>
    </row>
    <row r="31" spans="2:11" x14ac:dyDescent="0.25">
      <c r="B31" s="9" t="s">
        <v>5</v>
      </c>
      <c r="C31" s="6">
        <v>1617</v>
      </c>
      <c r="D31" s="28">
        <v>1056</v>
      </c>
    </row>
    <row r="32" spans="2:11" x14ac:dyDescent="0.25">
      <c r="B32" s="9" t="s">
        <v>6</v>
      </c>
      <c r="C32" s="6">
        <v>3264</v>
      </c>
      <c r="D32" s="28">
        <v>1204</v>
      </c>
    </row>
    <row r="33" spans="2:5" x14ac:dyDescent="0.25">
      <c r="B33" s="9" t="s">
        <v>7</v>
      </c>
      <c r="C33" s="6">
        <v>20983</v>
      </c>
      <c r="D33" s="28">
        <v>20021.05</v>
      </c>
    </row>
    <row r="34" spans="2:5" x14ac:dyDescent="0.25">
      <c r="B34" s="10" t="s">
        <v>8</v>
      </c>
      <c r="C34" s="8">
        <f>SUM(C30:C33)</f>
        <v>29452</v>
      </c>
      <c r="D34" s="4">
        <f>SUM(D30:D33)</f>
        <v>37655.990000000005</v>
      </c>
    </row>
    <row r="36" spans="2:5" x14ac:dyDescent="0.25">
      <c r="B36" s="30" t="s">
        <v>11</v>
      </c>
      <c r="C36" s="30"/>
      <c r="D36" s="30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3126</v>
      </c>
      <c r="D38" s="28">
        <v>15655</v>
      </c>
    </row>
    <row r="39" spans="2:5" x14ac:dyDescent="0.25">
      <c r="B39" s="10" t="s">
        <v>8</v>
      </c>
      <c r="C39" s="8">
        <f>SUM(C38:C38)</f>
        <v>3126</v>
      </c>
      <c r="D39" s="4">
        <f>SUM(D38:D38)</f>
        <v>15655</v>
      </c>
    </row>
    <row r="40" spans="2:5" x14ac:dyDescent="0.25">
      <c r="B40" s="25"/>
      <c r="C40" s="25"/>
      <c r="D40" s="25"/>
    </row>
    <row r="41" spans="2:5" x14ac:dyDescent="0.25">
      <c r="E41" s="27"/>
    </row>
    <row r="42" spans="2:5" x14ac:dyDescent="0.25">
      <c r="B42" s="12" t="s">
        <v>13</v>
      </c>
      <c r="C42" s="13">
        <f>SUM(C10+C26+C18+C34+C39)</f>
        <v>128572</v>
      </c>
      <c r="D42" s="13">
        <f>SUM(D10+D26+D18+D34+D39)</f>
        <v>417579.27</v>
      </c>
    </row>
  </sheetData>
  <mergeCells count="5">
    <mergeCell ref="B12:D12"/>
    <mergeCell ref="B3:D3"/>
    <mergeCell ref="B20:D20"/>
    <mergeCell ref="B28:D28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20 MAR'!C6, 'REPORTE DIARIO'!C:C)</f>
        <v>17592</v>
      </c>
      <c r="E6" s="16">
        <f>SUMIF('REPORTE DIARIO'!B:B,'EPR 20 MAR'!C6, 'REPORTE DIARIO'!D:D)</f>
        <v>148802.97</v>
      </c>
      <c r="F6" s="16">
        <f>J6*D6</f>
        <v>502628.57142857148</v>
      </c>
      <c r="G6" s="16">
        <f>+E6-F6</f>
        <v>-353825.60142857151</v>
      </c>
      <c r="H6" s="15">
        <f>ABS(G6/F6)</f>
        <v>0.70395043485675313</v>
      </c>
      <c r="I6" s="16">
        <f>E6/D6</f>
        <v>8.4585590040927698</v>
      </c>
      <c r="J6" s="16">
        <f>200/7</f>
        <v>28.571428571428573</v>
      </c>
      <c r="K6" s="16">
        <f>+I6-J6</f>
        <v>-20.112869567335803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20 MAR'!C7, 'REPORTE DIARIO'!C:C)</f>
        <v>12750</v>
      </c>
      <c r="E7" s="16">
        <f>SUMIF('REPORTE DIARIO'!B:B,'EPR 20 MAR'!C7, 'REPORTE DIARIO'!D:D)</f>
        <v>64929.630000000005</v>
      </c>
      <c r="F7" s="16">
        <f>J7*D7</f>
        <v>200357.14285714284</v>
      </c>
      <c r="G7" s="16">
        <f>+E7-F7</f>
        <v>-135427.51285714284</v>
      </c>
      <c r="H7" s="15">
        <f>ABS(G7/F7)</f>
        <v>0.67593054545454545</v>
      </c>
      <c r="I7" s="16">
        <f>E7/D7</f>
        <v>5.0925200000000004</v>
      </c>
      <c r="J7" s="16">
        <f>110/7</f>
        <v>15.714285714285714</v>
      </c>
      <c r="K7" s="16">
        <f t="shared" ref="K7:K9" si="0">+I7-J7</f>
        <v>-10.621765714285713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20 MAR'!C8, 'REPORTE DIARIO'!C:C)</f>
        <v>17296</v>
      </c>
      <c r="E8" s="16">
        <f>SUMIF('REPORTE DIARIO'!B:B,'EPR 20 MAR'!C8, 'REPORTE DIARIO'!D:D)</f>
        <v>44117.380000000005</v>
      </c>
      <c r="F8" s="16">
        <f>J8*D8</f>
        <v>111188.57142857143</v>
      </c>
      <c r="G8" s="16">
        <f>+E8-F8</f>
        <v>-67071.19142857143</v>
      </c>
      <c r="H8" s="15">
        <f>ABS(G8/F8)</f>
        <v>0.60322019220886014</v>
      </c>
      <c r="I8" s="16">
        <f>E8/D8</f>
        <v>2.5507273358001852</v>
      </c>
      <c r="J8" s="16">
        <f>45/7</f>
        <v>6.4285714285714288</v>
      </c>
      <c r="K8" s="16">
        <f t="shared" si="0"/>
        <v>-3.8778440927712436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20 MAR'!C9, 'REPORTE DIARIO'!C:C)</f>
        <v>80913</v>
      </c>
      <c r="E9" s="16">
        <f>SUMIF('REPORTE DIARIO'!B:B,'EPR 20 MAR'!C9, 'REPORTE DIARIO'!D:D)</f>
        <v>159729.28999999998</v>
      </c>
      <c r="F9" s="16">
        <f>J9*D9</f>
        <v>173385</v>
      </c>
      <c r="G9" s="16">
        <f>+E9-F9</f>
        <v>-13655.710000000021</v>
      </c>
      <c r="H9" s="15">
        <f>ABS(G9/F9)</f>
        <v>7.8759465928425296E-2</v>
      </c>
      <c r="I9" s="16">
        <f>E9/D9</f>
        <v>1.9740868587248028</v>
      </c>
      <c r="J9" s="16">
        <f>15/7</f>
        <v>2.1428571428571428</v>
      </c>
      <c r="K9" s="16">
        <f t="shared" si="0"/>
        <v>-0.16877028413233996</v>
      </c>
    </row>
    <row r="10" spans="2:12" x14ac:dyDescent="0.25">
      <c r="B10" s="16"/>
      <c r="C10" s="19" t="s">
        <v>17</v>
      </c>
      <c r="D10" s="24">
        <f>SUM(D6:D9)</f>
        <v>128551</v>
      </c>
      <c r="E10" s="20">
        <f>SUM(E6:E9)</f>
        <v>417579.27</v>
      </c>
      <c r="F10" s="20">
        <f>SUM(F6:F9)</f>
        <v>987559.2857142858</v>
      </c>
      <c r="G10" s="20">
        <f>+E10-F10</f>
        <v>-569980.01571428578</v>
      </c>
      <c r="H10" s="21">
        <f>ABS(G10/F10)</f>
        <v>0.57716030213014335</v>
      </c>
      <c r="I10" s="20">
        <f>E10/D10</f>
        <v>3.2483548941665177</v>
      </c>
      <c r="J10" s="20">
        <f>F10/D10</f>
        <v>7.6822372888136679</v>
      </c>
      <c r="K10" s="20">
        <f>I10-J10</f>
        <v>-4.4338823946471502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20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2025-03-21T02:11:34Z</dcterms:modified>
</cp:coreProperties>
</file>