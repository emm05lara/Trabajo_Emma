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2\20 MARZO\NOCHE\"/>
    </mc:Choice>
  </mc:AlternateContent>
  <xr:revisionPtr revIDLastSave="0" documentId="13_ncr:1_{20C8DC35-53F8-418F-BD7B-6F34726E634A}" xr6:coauthVersionLast="47" xr6:coauthVersionMax="47" xr10:uidLastSave="{00000000-0000-0000-0000-000000000000}"/>
  <bookViews>
    <workbookView xWindow="12855" yWindow="1725" windowWidth="13410" windowHeight="8850" xr2:uid="{4DC6C92A-CD8A-4966-829B-0B6A986E825B}"/>
  </bookViews>
  <sheets>
    <sheet name="REPORTE DIARIO" sheetId="1" r:id="rId1"/>
    <sheet name="DATA" sheetId="4" r:id="rId2"/>
    <sheet name="EPR 20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2" i="1" l="1"/>
  <c r="C42" i="1"/>
  <c r="J9" i="3"/>
  <c r="J8" i="3"/>
  <c r="J7" i="3"/>
  <c r="J6" i="3"/>
  <c r="D39" i="1" l="1"/>
  <c r="C39" i="1"/>
  <c r="D34" i="1"/>
  <c r="C34" i="1"/>
  <c r="D18" i="1"/>
  <c r="C18" i="1"/>
  <c r="D26" i="1"/>
  <c r="C26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G7" i="3" l="1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<sst xmlns="http://schemas.openxmlformats.org/spreadsheetml/2006/main" count="69" uniqueCount="35">
  <si>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</si>
  <si>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</si>
  <si>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</si>
  <si>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</si>
  <si>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</si>
  <si>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</si>
  <si>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</si>
  <si>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</si>
  <si>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</si>
  <si>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</si>
  <si>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</si>
  <si>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</si>
  <si>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</si>
  <si>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</si>
  <si>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</si>
  <si>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</si>
  <si>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</si>
  <si>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</si>
  <si>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</si>
  <si>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</si>
  <si>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</si>
  <si>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</si>
  <si>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</si>
  <si>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</si>
  <si>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</si>
  <si>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</si>
  <si>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</si>
  <si>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</si>
  <si>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</si>
  <si>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</si>
  <si>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</si>
  <si>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</si>
  <si>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</si>
  <si>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Samantha, Sofia, Edith, Olguin y Fernando</t>
  </si>
  <si>
    <t>SALDO ACUMULADO SEMANA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</si>
</sst>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1" applyFont="1"/>
    <xf numFmtId="4" fontId="0" fillId="0" borderId="1" xfId="0" applyNumberFormat="1" applyBorder="1"/>
    <xf numFmtId="0" fontId="7" fillId="0" borderId="0" xfId="0" applyFont="1"/>
    <xf numFmtId="43" fontId="0" fillId="0" borderId="0" xfId="0" applyNumberFormat="1" applyFill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42"/>
  <sheetViews>
    <sheetView showGridLines="0" tabSelected="1" workbookViewId="0">
      <selection activeCell="D5" sqref="D5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9" t="s">
        <v>0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7173</v>
      </c>
      <c r="D5" s="26">
        <v>308919.03999999998</v>
      </c>
    </row>
    <row r="6" spans="2:8" x14ac:dyDescent="0.25">
      <c r="B6" s="1" t="s">
        <v>5</v>
      </c>
      <c r="C6" s="6">
        <v>8521</v>
      </c>
      <c r="D6" s="26">
        <v>134818.96000000002</v>
      </c>
    </row>
    <row r="7" spans="2:8" x14ac:dyDescent="0.25">
      <c r="B7" s="1" t="s">
        <v>6</v>
      </c>
      <c r="C7" s="6">
        <v>10196</v>
      </c>
      <c r="D7" s="26">
        <v>201683.1</v>
      </c>
    </row>
    <row r="8" spans="2:8" x14ac:dyDescent="0.25">
      <c r="B8" s="5" t="s">
        <v>12</v>
      </c>
      <c r="C8" s="7">
        <v>21</v>
      </c>
      <c r="D8" s="28">
        <v>0</v>
      </c>
    </row>
    <row r="9" spans="2:8" x14ac:dyDescent="0.25">
      <c r="B9" s="1" t="s">
        <v>7</v>
      </c>
      <c r="C9" s="6">
        <v>49927</v>
      </c>
      <c r="D9" s="26">
        <v>296113.15999999997</v>
      </c>
      <c r="F9" s="7"/>
    </row>
    <row r="10" spans="2:8" x14ac:dyDescent="0.25">
      <c r="B10" s="3" t="s">
        <v>8</v>
      </c>
      <c r="C10" s="8">
        <f>SUM(C5:C9)</f>
        <v>75838</v>
      </c>
      <c r="D10" s="4">
        <f>SUM(D5:D9)</f>
        <v>941534.26</v>
      </c>
      <c r="E10" s="11" t="s">
        <v>14</v>
      </c>
    </row>
    <row r="12" spans="2:8" x14ac:dyDescent="0.25">
      <c r="B12" s="30" t="s">
        <v>10</v>
      </c>
      <c r="C12" s="30"/>
      <c r="D12" s="30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2034</v>
      </c>
      <c r="D14" s="26">
        <v>129808.90999999999</v>
      </c>
    </row>
    <row r="15" spans="2:8" x14ac:dyDescent="0.25">
      <c r="B15" s="9" t="s">
        <v>5</v>
      </c>
      <c r="C15" s="6">
        <v>1733</v>
      </c>
      <c r="D15" s="26">
        <v>75687.53</v>
      </c>
    </row>
    <row r="16" spans="2:8" x14ac:dyDescent="0.25">
      <c r="B16" s="9" t="s">
        <v>6</v>
      </c>
      <c r="C16" s="6">
        <v>267</v>
      </c>
      <c r="D16" s="26">
        <v>42166</v>
      </c>
    </row>
    <row r="17" spans="2:11" x14ac:dyDescent="0.25">
      <c r="B17" s="9" t="s">
        <v>7</v>
      </c>
      <c r="C17" s="6">
        <v>8252</v>
      </c>
      <c r="D17" s="26">
        <v>40012.009999999995</v>
      </c>
    </row>
    <row r="18" spans="2:11" x14ac:dyDescent="0.25">
      <c r="B18" s="10" t="s">
        <v>8</v>
      </c>
      <c r="C18" s="8">
        <f>SUM(C14:C17)</f>
        <v>12286</v>
      </c>
      <c r="D18" s="4">
        <f>SUM(D14:D17)</f>
        <v>287674.45</v>
      </c>
    </row>
    <row r="20" spans="2:11" x14ac:dyDescent="0.25">
      <c r="B20" s="30" t="s">
        <v>32</v>
      </c>
      <c r="C20" s="30"/>
      <c r="D20" s="30"/>
    </row>
    <row r="21" spans="2:11" x14ac:dyDescent="0.25">
      <c r="B21" s="4" t="s">
        <v>1</v>
      </c>
      <c r="C21" s="4" t="s">
        <v>2</v>
      </c>
      <c r="D21" s="4" t="s">
        <v>3</v>
      </c>
    </row>
    <row r="22" spans="2:11" x14ac:dyDescent="0.25">
      <c r="B22" s="9" t="s">
        <v>4</v>
      </c>
      <c r="C22" s="6">
        <v>3588</v>
      </c>
      <c r="D22" s="26">
        <v>149078.99</v>
      </c>
    </row>
    <row r="23" spans="2:11" x14ac:dyDescent="0.25">
      <c r="B23" s="9" t="s">
        <v>5</v>
      </c>
      <c r="C23" s="6">
        <v>1617</v>
      </c>
      <c r="D23" s="26">
        <v>4276.49</v>
      </c>
    </row>
    <row r="24" spans="2:11" x14ac:dyDescent="0.25">
      <c r="B24" s="9" t="s">
        <v>6</v>
      </c>
      <c r="C24" s="6">
        <v>3264</v>
      </c>
      <c r="D24" s="26">
        <v>21456.989999999998</v>
      </c>
    </row>
    <row r="25" spans="2:11" x14ac:dyDescent="0.25">
      <c r="B25" s="9" t="s">
        <v>7</v>
      </c>
      <c r="C25" s="6">
        <v>20983</v>
      </c>
      <c r="D25" s="26">
        <v>81210.759999999995</v>
      </c>
    </row>
    <row r="26" spans="2:11" x14ac:dyDescent="0.25">
      <c r="B26" s="10" t="s">
        <v>8</v>
      </c>
      <c r="C26" s="8">
        <f>SUM(C22:C25)</f>
        <v>29452</v>
      </c>
      <c r="D26" s="4">
        <f>SUM(D22:D25)</f>
        <v>256023.22999999998</v>
      </c>
    </row>
    <row r="27" spans="2:11" x14ac:dyDescent="0.25">
      <c r="K27" s="7"/>
    </row>
    <row r="28" spans="2:11" x14ac:dyDescent="0.25">
      <c r="B28" s="29" t="s">
        <v>9</v>
      </c>
      <c r="C28" s="29"/>
      <c r="D28" s="29"/>
    </row>
    <row r="29" spans="2:11" x14ac:dyDescent="0.25">
      <c r="B29" s="2" t="s">
        <v>1</v>
      </c>
      <c r="C29" s="2" t="s">
        <v>2</v>
      </c>
      <c r="D29" s="2" t="s">
        <v>3</v>
      </c>
    </row>
    <row r="30" spans="2:11" x14ac:dyDescent="0.25">
      <c r="B30" s="9" t="s">
        <v>4</v>
      </c>
      <c r="C30" s="6">
        <v>1671</v>
      </c>
      <c r="D30" s="26">
        <v>119701.61</v>
      </c>
    </row>
    <row r="31" spans="2:11" x14ac:dyDescent="0.25">
      <c r="B31" s="9" t="s">
        <v>5</v>
      </c>
      <c r="C31" s="6">
        <v>879</v>
      </c>
      <c r="D31" s="26">
        <v>30359.43</v>
      </c>
    </row>
    <row r="32" spans="2:11" x14ac:dyDescent="0.25">
      <c r="B32" s="9" t="s">
        <v>6</v>
      </c>
      <c r="C32" s="6">
        <v>3569</v>
      </c>
      <c r="D32" s="26">
        <v>5070</v>
      </c>
    </row>
    <row r="33" spans="2:5" x14ac:dyDescent="0.25">
      <c r="B33" s="9" t="s">
        <v>7</v>
      </c>
      <c r="C33" s="6">
        <v>1751</v>
      </c>
      <c r="D33" s="26">
        <v>1620.38</v>
      </c>
    </row>
    <row r="34" spans="2:5" x14ac:dyDescent="0.25">
      <c r="B34" s="10" t="s">
        <v>8</v>
      </c>
      <c r="C34" s="8">
        <f>SUM(C30:C33)</f>
        <v>7870</v>
      </c>
      <c r="D34" s="4">
        <f>SUM(D30:D33)</f>
        <v>156751.42000000001</v>
      </c>
    </row>
    <row r="36" spans="2:5" x14ac:dyDescent="0.25">
      <c r="B36" s="30" t="s">
        <v>11</v>
      </c>
      <c r="C36" s="30"/>
      <c r="D36" s="30"/>
    </row>
    <row r="37" spans="2:5" x14ac:dyDescent="0.25">
      <c r="B37" s="4" t="s">
        <v>1</v>
      </c>
      <c r="C37" s="4" t="s">
        <v>2</v>
      </c>
      <c r="D37" s="4" t="s">
        <v>3</v>
      </c>
    </row>
    <row r="38" spans="2:5" x14ac:dyDescent="0.25">
      <c r="B38" s="9" t="s">
        <v>4</v>
      </c>
      <c r="C38" s="6">
        <v>3126</v>
      </c>
      <c r="D38" s="26">
        <v>51864</v>
      </c>
    </row>
    <row r="39" spans="2:5" x14ac:dyDescent="0.25">
      <c r="B39" s="10" t="s">
        <v>8</v>
      </c>
      <c r="C39" s="8">
        <f>SUM(C38:C38)</f>
        <v>3126</v>
      </c>
      <c r="D39" s="4">
        <f>SUM(D38:D38)</f>
        <v>51864</v>
      </c>
    </row>
    <row r="40" spans="2:5" x14ac:dyDescent="0.25">
      <c r="B40" s="25"/>
      <c r="C40" s="25"/>
      <c r="D40" s="25"/>
    </row>
    <row r="42" spans="2:5" x14ac:dyDescent="0.25">
      <c r="B42" s="12" t="s">
        <v>13</v>
      </c>
      <c r="C42" s="13">
        <f>SUM(C10+C34+C18+C26+C39)</f>
        <v>128572</v>
      </c>
      <c r="D42" s="13">
        <f>SUM(D10+D34+D18+D26+D39)</f>
        <v>1693847.3599999999</v>
      </c>
      <c r="E42" s="27"/>
    </row>
  </sheetData>
  <mergeCells count="5">
    <mergeCell ref="B3:D3"/>
    <mergeCell ref="B20:D20"/>
    <mergeCell ref="B12:D12"/>
    <mergeCell ref="B28:D28"/>
    <mergeCell ref="B36:D3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6" sqref="J6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34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" t="s">
        <v>4</v>
      </c>
      <c r="D6" s="23">
        <f>SUMIF('REPORTE DIARIO'!B:B,'EPR 20 MAR'!C6, 'REPORTE DIARIO'!C:C)</f>
        <v>17592</v>
      </c>
      <c r="E6" s="16">
        <f>SUMIF('REPORTE DIARIO'!B:B,'EPR 20 MAR'!C6, 'REPORTE DIARIO'!D:D)</f>
        <v>759372.54999999993</v>
      </c>
      <c r="F6" s="16">
        <f>J6*D6</f>
        <v>2010514.2857142859</v>
      </c>
      <c r="G6" s="16">
        <f>+E6-F6</f>
        <v>-1251141.7357142861</v>
      </c>
      <c r="H6" s="15">
        <f>ABS(G6/F6)</f>
        <v>0.62229935126762181</v>
      </c>
      <c r="I6" s="16">
        <f>E6/D6</f>
        <v>43.165788426557519</v>
      </c>
      <c r="J6" s="16">
        <f>(200/7) *4</f>
        <v>114.28571428571429</v>
      </c>
      <c r="K6" s="16">
        <f>+I6-J6</f>
        <v>-71.11992585915678</v>
      </c>
      <c r="L6" s="15"/>
    </row>
    <row r="7" spans="2:12" x14ac:dyDescent="0.25">
      <c r="B7" s="16" t="s">
        <v>30</v>
      </c>
      <c r="C7" s="1" t="s">
        <v>5</v>
      </c>
      <c r="D7" s="23">
        <f>SUMIF('REPORTE DIARIO'!B:B,'EPR 20 MAR'!C7, 'REPORTE DIARIO'!C:C)</f>
        <v>12750</v>
      </c>
      <c r="E7" s="16">
        <f>SUMIF('REPORTE DIARIO'!B:B,'EPR 20 MAR'!C7, 'REPORTE DIARIO'!D:D)</f>
        <v>245142.41</v>
      </c>
      <c r="F7" s="16">
        <f>J7*D7</f>
        <v>801428.57142857136</v>
      </c>
      <c r="G7" s="16">
        <f>+E7-F7</f>
        <v>-556286.16142857133</v>
      </c>
      <c r="H7" s="15">
        <f>ABS(G7/F7)</f>
        <v>0.69411820499108723</v>
      </c>
      <c r="I7" s="16">
        <f>E7/D7</f>
        <v>19.226855686274511</v>
      </c>
      <c r="J7" s="16">
        <f>(110/7)*4</f>
        <v>62.857142857142854</v>
      </c>
      <c r="K7" s="16">
        <f t="shared" ref="K7:K9" si="0">+I7-J7</f>
        <v>-43.630287170868343</v>
      </c>
      <c r="L7" s="15"/>
    </row>
    <row r="8" spans="2:12" x14ac:dyDescent="0.25">
      <c r="B8" s="16" t="s">
        <v>30</v>
      </c>
      <c r="C8" s="1" t="s">
        <v>6</v>
      </c>
      <c r="D8" s="23">
        <f>SUMIF('REPORTE DIARIO'!B:B,'EPR 20 MAR'!C8, 'REPORTE DIARIO'!C:C)</f>
        <v>17296</v>
      </c>
      <c r="E8" s="16">
        <f>SUMIF('REPORTE DIARIO'!B:B,'EPR 20 MAR'!C8, 'REPORTE DIARIO'!D:D)</f>
        <v>270376.09000000003</v>
      </c>
      <c r="F8" s="16">
        <f>J8*D8</f>
        <v>444754.28571428574</v>
      </c>
      <c r="G8" s="16">
        <f>+E8-F8</f>
        <v>-174378.19571428571</v>
      </c>
      <c r="H8" s="15">
        <f>ABS(G8/F8)</f>
        <v>0.39207760625449684</v>
      </c>
      <c r="I8" s="16">
        <f>E8/D8</f>
        <v>15.632290124884367</v>
      </c>
      <c r="J8" s="16">
        <f>(45/7)*4</f>
        <v>25.714285714285715</v>
      </c>
      <c r="K8" s="16">
        <f t="shared" si="0"/>
        <v>-10.081995589401348</v>
      </c>
      <c r="L8" s="15"/>
    </row>
    <row r="9" spans="2:12" x14ac:dyDescent="0.25">
      <c r="B9" s="16" t="s">
        <v>31</v>
      </c>
      <c r="C9" s="1" t="s">
        <v>7</v>
      </c>
      <c r="D9" s="23">
        <f>SUMIF('REPORTE DIARIO'!B:B,'EPR 20 MAR'!C9, 'REPORTE DIARIO'!C:C)</f>
        <v>80913</v>
      </c>
      <c r="E9" s="16">
        <f>SUMIF('REPORTE DIARIO'!B:B,'EPR 20 MAR'!C9, 'REPORTE DIARIO'!D:D)</f>
        <v>418956.31</v>
      </c>
      <c r="F9" s="16">
        <f>J9*D9</f>
        <v>693540</v>
      </c>
      <c r="G9" s="16">
        <f>+E9-F9</f>
        <v>-274583.69</v>
      </c>
      <c r="H9" s="15">
        <f>ABS(G9/F9)</f>
        <v>0.39591615480001152</v>
      </c>
      <c r="I9" s="16">
        <f>E9/D9</f>
        <v>5.1778615302856155</v>
      </c>
      <c r="J9" s="16">
        <f>(15/7)*4</f>
        <v>8.5714285714285712</v>
      </c>
      <c r="K9" s="16">
        <f t="shared" si="0"/>
        <v>-3.3935670411429557</v>
      </c>
    </row>
    <row r="10" spans="2:12" x14ac:dyDescent="0.25">
      <c r="B10" s="16"/>
      <c r="C10" s="19" t="s">
        <v>17</v>
      </c>
      <c r="D10" s="24">
        <f>SUM(D6:D9)</f>
        <v>128551</v>
      </c>
      <c r="E10" s="20">
        <f>SUM(E6:E9)</f>
        <v>1693847.36</v>
      </c>
      <c r="F10" s="20">
        <f>SUM(F6:F9)</f>
        <v>3950237.1428571432</v>
      </c>
      <c r="G10" s="20">
        <f>+E10-F10</f>
        <v>-2256389.7828571433</v>
      </c>
      <c r="H10" s="21">
        <f>ABS(G10/F10)</f>
        <v>0.57120362683470005</v>
      </c>
      <c r="I10" s="20">
        <f>E10/D10</f>
        <v>13.176461948954113</v>
      </c>
      <c r="J10" s="20">
        <f>F10/D10</f>
        <v>30.728949155254671</v>
      </c>
      <c r="K10" s="20">
        <f>I10-J10</f>
        <v>-17.552487206300558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20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2025-03-21T02:15:17Z</dcterms:modified>
</cp:coreProperties>
</file>