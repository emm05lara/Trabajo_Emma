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9 MARZO\NOCHE\"/>
    </mc:Choice>
  </mc:AlternateContent>
  <xr:revisionPtr revIDLastSave="0" documentId="13_ncr:1_{2C1852E5-7F17-4B34-8213-5D41043B76DA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<sst xmlns="http://schemas.openxmlformats.org/spreadsheetml/2006/main" count="69" uniqueCount="35">
  <si>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</si>
  <si>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</si>
  <si>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</si>
  <si>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</si>
  <si>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</si>
  <si>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</si>
  <si>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</si>
  <si>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</si>
  <si>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</si>
  <si>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</si>
  <si>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</si>
  <si>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</si>
  <si>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</si>
  <si>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</si>
  <si>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</si>
  <si>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</si>
  <si>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</si>
  <si>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</si>
  <si>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</si>
  <si>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</si>
  <si>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</si>
  <si>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</si>
  <si>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</si>
  <si>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</si>
  <si>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</si>
  <si>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</si>
  <si>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</si>
  <si>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</si>
  <si>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</si>
  <si>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</si>
  <si>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</si>
  <si>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</si>
  <si>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</si>
  <si>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</si>
  <si>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SALDO ACUMULADO 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</si>
</sst>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tabSelected="1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7157</v>
      </c>
      <c r="D5" s="26">
        <v>246420.49000000002</v>
      </c>
    </row>
    <row r="6" spans="2:8" x14ac:dyDescent="0.25">
      <c r="B6" s="1" t="s">
        <v>5</v>
      </c>
      <c r="C6" s="6">
        <v>8544</v>
      </c>
      <c r="D6" s="26">
        <v>110578.13</v>
      </c>
    </row>
    <row r="7" spans="2:8" x14ac:dyDescent="0.25">
      <c r="B7" s="1" t="s">
        <v>6</v>
      </c>
      <c r="C7" s="6">
        <v>10120</v>
      </c>
      <c r="D7" s="26">
        <v>182125.72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49920</v>
      </c>
      <c r="D9" s="26">
        <v>166619.32</v>
      </c>
      <c r="F9" s="7"/>
    </row>
    <row r="10" spans="2:8" x14ac:dyDescent="0.25">
      <c r="B10" s="3" t="s">
        <v>8</v>
      </c>
      <c r="C10" s="8">
        <f>SUM(C5:C9)</f>
        <v>75762</v>
      </c>
      <c r="D10" s="4">
        <f>SUM(D5:D9)</f>
        <v>705743.65999999992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3786</v>
      </c>
      <c r="D14" s="26">
        <v>156525.72</v>
      </c>
    </row>
    <row r="15" spans="2:8" x14ac:dyDescent="0.25">
      <c r="B15" s="9" t="s">
        <v>5</v>
      </c>
      <c r="C15" s="6">
        <v>1679</v>
      </c>
      <c r="D15" s="26">
        <v>2845.49</v>
      </c>
    </row>
    <row r="16" spans="2:8" x14ac:dyDescent="0.25">
      <c r="B16" s="9" t="s">
        <v>6</v>
      </c>
      <c r="C16" s="6">
        <v>3267</v>
      </c>
      <c r="D16" s="26">
        <v>19080.989999999998</v>
      </c>
    </row>
    <row r="17" spans="2:11" x14ac:dyDescent="0.25">
      <c r="B17" s="9" t="s">
        <v>7</v>
      </c>
      <c r="C17" s="6">
        <v>20984</v>
      </c>
      <c r="D17" s="26">
        <v>59964.71</v>
      </c>
    </row>
    <row r="18" spans="2:11" x14ac:dyDescent="0.25">
      <c r="B18" s="10" t="s">
        <v>8</v>
      </c>
      <c r="C18" s="8">
        <f>SUM(C14:C17)</f>
        <v>29716</v>
      </c>
      <c r="D18" s="4">
        <f>SUM(D14:D17)</f>
        <v>238416.90999999997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2027</v>
      </c>
      <c r="D22" s="26">
        <v>101909</v>
      </c>
    </row>
    <row r="23" spans="2:11" x14ac:dyDescent="0.25">
      <c r="B23" s="9" t="s">
        <v>5</v>
      </c>
      <c r="C23" s="6">
        <v>1728</v>
      </c>
      <c r="D23" s="26">
        <v>18361.099999999999</v>
      </c>
    </row>
    <row r="24" spans="2:11" x14ac:dyDescent="0.25">
      <c r="B24" s="9" t="s">
        <v>6</v>
      </c>
      <c r="C24" s="6">
        <v>267</v>
      </c>
      <c r="D24" s="26">
        <v>1050</v>
      </c>
    </row>
    <row r="25" spans="2:11" x14ac:dyDescent="0.25">
      <c r="B25" s="9" t="s">
        <v>7</v>
      </c>
      <c r="C25" s="6">
        <v>8252</v>
      </c>
      <c r="D25" s="26">
        <v>21807</v>
      </c>
    </row>
    <row r="26" spans="2:11" x14ac:dyDescent="0.25">
      <c r="B26" s="10" t="s">
        <v>8</v>
      </c>
      <c r="C26" s="8">
        <f>SUM(C22:C25)</f>
        <v>12274</v>
      </c>
      <c r="D26" s="4">
        <f>SUM(D22:D25)</f>
        <v>143127.1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1671</v>
      </c>
      <c r="D30" s="26">
        <v>76895.34</v>
      </c>
    </row>
    <row r="31" spans="2:11" x14ac:dyDescent="0.25">
      <c r="B31" s="9" t="s">
        <v>5</v>
      </c>
      <c r="C31" s="6">
        <v>876</v>
      </c>
      <c r="D31" s="26">
        <v>22250</v>
      </c>
    </row>
    <row r="32" spans="2:11" x14ac:dyDescent="0.25">
      <c r="B32" s="9" t="s">
        <v>6</v>
      </c>
      <c r="C32" s="6">
        <v>3574</v>
      </c>
      <c r="D32" s="26">
        <v>2974</v>
      </c>
    </row>
    <row r="33" spans="2:5" x14ac:dyDescent="0.25">
      <c r="B33" s="9" t="s">
        <v>7</v>
      </c>
      <c r="C33" s="6">
        <v>1750</v>
      </c>
      <c r="D33" s="26">
        <v>1620.38</v>
      </c>
    </row>
    <row r="34" spans="2:5" x14ac:dyDescent="0.25">
      <c r="B34" s="10" t="s">
        <v>8</v>
      </c>
      <c r="C34" s="8">
        <f>SUM(C30:C33)</f>
        <v>7871</v>
      </c>
      <c r="D34" s="4">
        <f>SUM(D30:D33)</f>
        <v>103739.72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3126</v>
      </c>
      <c r="D38" s="26">
        <v>36084</v>
      </c>
    </row>
    <row r="39" spans="2:5" x14ac:dyDescent="0.25">
      <c r="B39" s="10" t="s">
        <v>8</v>
      </c>
      <c r="C39" s="8">
        <f>SUM(C38:C38)</f>
        <v>3126</v>
      </c>
      <c r="D39" s="4">
        <f>SUM(D38:D38)</f>
        <v>36084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128749</v>
      </c>
      <c r="D42" s="13">
        <f>SUM(D10+D34+D26+D18+D39)</f>
        <v>1227111.3899999999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19 MAR'!C6, 'REPORTE DIARIO'!C:C)</f>
        <v>17767</v>
      </c>
      <c r="E6" s="16">
        <f>SUMIF('REPORTE DIARIO'!B:B,'EPR 19 MAR'!C6, 'REPORTE DIARIO'!D:D)</f>
        <v>617834.55000000005</v>
      </c>
      <c r="F6" s="16">
        <f>J6*D6</f>
        <v>1522885.7142857143</v>
      </c>
      <c r="G6" s="16">
        <f>+E6-F6</f>
        <v>-905051.16428571427</v>
      </c>
      <c r="H6" s="15">
        <f>ABS(G6/F6)</f>
        <v>0.59430012101086283</v>
      </c>
      <c r="I6" s="16">
        <f>E6/D6</f>
        <v>34.774275341926042</v>
      </c>
      <c r="J6" s="16">
        <f>(200/7) *3</f>
        <v>85.714285714285722</v>
      </c>
      <c r="K6" s="16">
        <f>+I6-J6</f>
        <v>-50.94001037235968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19 MAR'!C7, 'REPORTE DIARIO'!C:C)</f>
        <v>12827</v>
      </c>
      <c r="E7" s="16">
        <f>SUMIF('REPORTE DIARIO'!B:B,'EPR 19 MAR'!C7, 'REPORTE DIARIO'!D:D)</f>
        <v>154034.72</v>
      </c>
      <c r="F7" s="16">
        <f>J7*D7</f>
        <v>604701.42857142852</v>
      </c>
      <c r="G7" s="16">
        <f>+E7-F7</f>
        <v>-450666.70857142855</v>
      </c>
      <c r="H7" s="15">
        <f>ABS(G7/F7)</f>
        <v>0.74527144682972235</v>
      </c>
      <c r="I7" s="16">
        <f>E7/D7</f>
        <v>12.008631792313089</v>
      </c>
      <c r="J7" s="16">
        <f>(110/7)*3</f>
        <v>47.142857142857139</v>
      </c>
      <c r="K7" s="16">
        <f t="shared" ref="K7:K9" si="0">+I7-J7</f>
        <v>-35.13422535054405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19 MAR'!C8, 'REPORTE DIARIO'!C:C)</f>
        <v>17228</v>
      </c>
      <c r="E8" s="16">
        <f>SUMIF('REPORTE DIARIO'!B:B,'EPR 19 MAR'!C8, 'REPORTE DIARIO'!D:D)</f>
        <v>205230.71</v>
      </c>
      <c r="F8" s="16">
        <f>J8*D8</f>
        <v>332254.28571428568</v>
      </c>
      <c r="G8" s="16">
        <f>+E8-F8</f>
        <v>-127023.57571428569</v>
      </c>
      <c r="H8" s="15">
        <f>ABS(G8/F8)</f>
        <v>0.38230831377000402</v>
      </c>
      <c r="I8" s="16">
        <f>E8/D8</f>
        <v>11.912625377292779</v>
      </c>
      <c r="J8" s="16">
        <f>(45/7)*3</f>
        <v>19.285714285714285</v>
      </c>
      <c r="K8" s="16">
        <f t="shared" si="0"/>
        <v>-7.3730889084215061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19 MAR'!C9, 'REPORTE DIARIO'!C:C)</f>
        <v>80906</v>
      </c>
      <c r="E9" s="16">
        <f>SUMIF('REPORTE DIARIO'!B:B,'EPR 19 MAR'!C9, 'REPORTE DIARIO'!D:D)</f>
        <v>250011.41</v>
      </c>
      <c r="F9" s="16">
        <f>J9*D9</f>
        <v>520110</v>
      </c>
      <c r="G9" s="16">
        <f>+E9-F9</f>
        <v>-270098.58999999997</v>
      </c>
      <c r="H9" s="15">
        <f>ABS(G9/F9)</f>
        <v>0.51931051123800731</v>
      </c>
      <c r="I9" s="16">
        <f>E9/D9</f>
        <v>3.0901467134699527</v>
      </c>
      <c r="J9" s="16">
        <f>(15/7)*3</f>
        <v>6.4285714285714288</v>
      </c>
      <c r="K9" s="16">
        <f t="shared" si="0"/>
        <v>-3.3384247151014761</v>
      </c>
    </row>
    <row r="10" spans="2:12" x14ac:dyDescent="0.25">
      <c r="B10" s="16"/>
      <c r="C10" s="19" t="s">
        <v>17</v>
      </c>
      <c r="D10" s="24">
        <f>SUM(D6:D9)</f>
        <v>128728</v>
      </c>
      <c r="E10" s="20">
        <f>SUM(E6:E9)</f>
        <v>1227111.3899999999</v>
      </c>
      <c r="F10" s="20">
        <f>SUM(F6:F9)</f>
        <v>2979951.4285714282</v>
      </c>
      <c r="G10" s="20">
        <f>+E10-F10</f>
        <v>-1752840.0385714283</v>
      </c>
      <c r="H10" s="21">
        <f>ABS(G10/F10)</f>
        <v>0.58821094255611073</v>
      </c>
      <c r="I10" s="20">
        <f>E10/D10</f>
        <v>9.53259112236654</v>
      </c>
      <c r="J10" s="20">
        <f>F10/D10</f>
        <v>23.149209407210773</v>
      </c>
      <c r="K10" s="20">
        <f>I10-J10</f>
        <v>-13.616618284844233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2025-03-20T02:09:08Z</dcterms:modified>
</cp:coreProperties>
</file>