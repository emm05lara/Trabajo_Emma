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9 MARZO\NOCHE\"/>
    </mc:Choice>
  </mc:AlternateContent>
  <xr:revisionPtr revIDLastSave="0" documentId="13_ncr:1_{8A35F660-E44B-465F-AAD5-FB8B3C129D2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19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F6" i="3" s="1"/>
  <c r="D39" i="1"/>
  <c r="C39" i="1"/>
  <c r="D18" i="1"/>
  <c r="C18" i="1"/>
  <c r="D26" i="1"/>
  <c r="C26" i="1"/>
  <c r="D34" i="1"/>
  <c r="C34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<sst xmlns="http://schemas.openxmlformats.org/spreadsheetml/2006/main" count="69" uniqueCount="35">
  <si>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</si>
  <si>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</si>
  <si>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</si>
  <si>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</si>
  <si>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</si>
  <si>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</si>
  <si>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</si>
  <si>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</si>
  <si>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</si>
  <si>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</si>
  <si>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</si>
  <si>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</si>
  <si>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</si>
  <si>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</si>
  <si>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</si>
  <si>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</si>
  <si>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</si>
  <si>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</si>
  <si>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</si>
  <si>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</si>
  <si>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</si>
  <si>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</si>
  <si>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</si>
  <si>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</si>
  <si>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</si>
  <si>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</si>
  <si>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</si>
  <si>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</si>
  <si>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</si>
  <si>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</si>
  <si>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</si>
  <si>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</si>
  <si>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</si>
  <si>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</si>
  <si>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COBRANZA 19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</si>
</sst>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3" fontId="0" fillId="0" borderId="0" xfId="0" applyNumberFormat="1" applyFill="1" applyBorder="1"/>
    <xf numFmtId="0" fontId="7" fillId="0" borderId="0" xfId="0" applyFont="1"/>
    <xf numFmtId="4" fontId="0" fillId="0" borderId="2" xfId="0" applyNumberFormat="1" applyBorder="1"/>
    <xf numFmtId="43" fontId="0" fillId="0" borderId="2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B3" sqref="B3:D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7157</v>
      </c>
      <c r="D5" s="28">
        <v>86038</v>
      </c>
    </row>
    <row r="6" spans="2:8" x14ac:dyDescent="0.25">
      <c r="B6" s="1" t="s">
        <v>5</v>
      </c>
      <c r="C6" s="6">
        <v>8544</v>
      </c>
      <c r="D6" s="28">
        <v>21509</v>
      </c>
    </row>
    <row r="7" spans="2:8" x14ac:dyDescent="0.25">
      <c r="B7" s="1" t="s">
        <v>6</v>
      </c>
      <c r="C7" s="6">
        <v>10120</v>
      </c>
      <c r="D7" s="28">
        <v>44019.72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49920</v>
      </c>
      <c r="D9" s="28">
        <v>27237.78</v>
      </c>
      <c r="F9" s="7"/>
    </row>
    <row r="10" spans="2:8" x14ac:dyDescent="0.25">
      <c r="B10" s="3" t="s">
        <v>8</v>
      </c>
      <c r="C10" s="8">
        <f>SUM(C5:C9)</f>
        <v>75762</v>
      </c>
      <c r="D10" s="4">
        <f>SUM(D5:D9)</f>
        <v>178804.5</v>
      </c>
      <c r="E10" s="11" t="s">
        <v>14</v>
      </c>
    </row>
    <row r="12" spans="2:8" x14ac:dyDescent="0.25">
      <c r="B12" s="30" t="s">
        <v>32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3786</v>
      </c>
      <c r="D14" s="28">
        <v>67289.34</v>
      </c>
    </row>
    <row r="15" spans="2:8" x14ac:dyDescent="0.25">
      <c r="B15" s="9" t="s">
        <v>5</v>
      </c>
      <c r="C15" s="6">
        <v>1679</v>
      </c>
      <c r="D15" s="29">
        <v>0</v>
      </c>
    </row>
    <row r="16" spans="2:8" x14ac:dyDescent="0.25">
      <c r="B16" s="9" t="s">
        <v>6</v>
      </c>
      <c r="C16" s="6">
        <v>3267</v>
      </c>
      <c r="D16" s="28">
        <v>1463</v>
      </c>
    </row>
    <row r="17" spans="2:11" x14ac:dyDescent="0.25">
      <c r="B17" s="9" t="s">
        <v>7</v>
      </c>
      <c r="C17" s="6">
        <v>20984</v>
      </c>
      <c r="D17" s="28">
        <v>13913.51</v>
      </c>
    </row>
    <row r="18" spans="2:11" x14ac:dyDescent="0.25">
      <c r="B18" s="10" t="s">
        <v>8</v>
      </c>
      <c r="C18" s="8">
        <f>SUM(C14:C17)</f>
        <v>29716</v>
      </c>
      <c r="D18" s="4">
        <f>SUM(D14:D17)</f>
        <v>82665.849999999991</v>
      </c>
    </row>
    <row r="20" spans="2:11" x14ac:dyDescent="0.25">
      <c r="B20" s="30" t="s">
        <v>10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2027</v>
      </c>
      <c r="D22" s="28">
        <v>24225.91</v>
      </c>
    </row>
    <row r="23" spans="2:11" x14ac:dyDescent="0.25">
      <c r="B23" s="9" t="s">
        <v>5</v>
      </c>
      <c r="C23" s="6">
        <v>1728</v>
      </c>
      <c r="D23" s="28">
        <v>3480.1</v>
      </c>
    </row>
    <row r="24" spans="2:11" x14ac:dyDescent="0.25">
      <c r="B24" s="9" t="s">
        <v>6</v>
      </c>
      <c r="C24" s="6">
        <v>267</v>
      </c>
      <c r="D24" s="28">
        <v>1050</v>
      </c>
    </row>
    <row r="25" spans="2:11" x14ac:dyDescent="0.25">
      <c r="B25" s="9" t="s">
        <v>7</v>
      </c>
      <c r="C25" s="6">
        <v>8252</v>
      </c>
      <c r="D25" s="28">
        <v>9882</v>
      </c>
    </row>
    <row r="26" spans="2:11" x14ac:dyDescent="0.25">
      <c r="B26" s="10" t="s">
        <v>8</v>
      </c>
      <c r="C26" s="8">
        <f>SUM(C22:C25)</f>
        <v>12274</v>
      </c>
      <c r="D26" s="4">
        <f>SUM(D22:D25)</f>
        <v>38638.009999999995</v>
      </c>
      <c r="K26" s="7"/>
    </row>
    <row r="28" spans="2:11" x14ac:dyDescent="0.25">
      <c r="B28" s="31" t="s">
        <v>9</v>
      </c>
      <c r="C28" s="31"/>
      <c r="D28" s="31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1671</v>
      </c>
      <c r="D30" s="28">
        <v>11598.98</v>
      </c>
    </row>
    <row r="31" spans="2:11" x14ac:dyDescent="0.25">
      <c r="B31" s="9" t="s">
        <v>5</v>
      </c>
      <c r="C31" s="6">
        <v>876</v>
      </c>
      <c r="D31" s="28">
        <v>2132</v>
      </c>
    </row>
    <row r="32" spans="2:11" x14ac:dyDescent="0.25">
      <c r="B32" s="9" t="s">
        <v>6</v>
      </c>
      <c r="C32" s="6">
        <v>3574</v>
      </c>
      <c r="D32" s="28">
        <v>51</v>
      </c>
    </row>
    <row r="33" spans="2:5" x14ac:dyDescent="0.25">
      <c r="B33" s="9" t="s">
        <v>7</v>
      </c>
      <c r="C33" s="6">
        <v>1750</v>
      </c>
      <c r="D33" s="29">
        <v>0</v>
      </c>
    </row>
    <row r="34" spans="2:5" x14ac:dyDescent="0.25">
      <c r="B34" s="10" t="s">
        <v>8</v>
      </c>
      <c r="C34" s="8">
        <f>SUM(C30:C33)</f>
        <v>7871</v>
      </c>
      <c r="D34" s="4">
        <f>SUM(D30:D33)</f>
        <v>13781.98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3126</v>
      </c>
      <c r="D38" s="28">
        <v>4096</v>
      </c>
    </row>
    <row r="39" spans="2:5" x14ac:dyDescent="0.25">
      <c r="B39" s="10" t="s">
        <v>8</v>
      </c>
      <c r="C39" s="8">
        <f>SUM(C38:C38)</f>
        <v>3126</v>
      </c>
      <c r="D39" s="4">
        <f>SUM(D38:D38)</f>
        <v>4096</v>
      </c>
    </row>
    <row r="40" spans="2:5" x14ac:dyDescent="0.25">
      <c r="B40" s="25"/>
      <c r="C40" s="25"/>
      <c r="D40" s="25"/>
    </row>
    <row r="41" spans="2:5" x14ac:dyDescent="0.25">
      <c r="E41" s="27"/>
    </row>
    <row r="42" spans="2:5" x14ac:dyDescent="0.25">
      <c r="B42" s="12" t="s">
        <v>13</v>
      </c>
      <c r="C42" s="13">
        <f>SUM(C10+C34+C26+C18+C39)</f>
        <v>128749</v>
      </c>
      <c r="D42" s="13">
        <f>SUM(D10+D34+D26+D18+D39)</f>
        <v>317986.33999999997</v>
      </c>
    </row>
  </sheetData>
  <mergeCells count="5">
    <mergeCell ref="B20:D20"/>
    <mergeCell ref="B3:D3"/>
    <mergeCell ref="B28:D28"/>
    <mergeCell ref="B12:D12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19 MAR'!C6, 'REPORTE DIARIO'!C:C)</f>
        <v>17767</v>
      </c>
      <c r="E6" s="16">
        <f>SUMIF('REPORTE DIARIO'!B:B,'EPR 19 MAR'!C6, 'REPORTE DIARIO'!D:D)</f>
        <v>193248.23</v>
      </c>
      <c r="F6" s="16">
        <f>J6*D6</f>
        <v>507628.57142857148</v>
      </c>
      <c r="G6" s="16">
        <f>+E6-F6</f>
        <v>-314380.3414285715</v>
      </c>
      <c r="H6" s="15">
        <f>ABS(G6/F6)</f>
        <v>0.61931175493893176</v>
      </c>
      <c r="I6" s="16">
        <f>E6/D6</f>
        <v>10.876807001744808</v>
      </c>
      <c r="J6" s="16">
        <f>200/7</f>
        <v>28.571428571428573</v>
      </c>
      <c r="K6" s="16">
        <f>+I6-J6</f>
        <v>-17.694621569683765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19 MAR'!C7, 'REPORTE DIARIO'!C:C)</f>
        <v>12827</v>
      </c>
      <c r="E7" s="16">
        <f>SUMIF('REPORTE DIARIO'!B:B,'EPR 19 MAR'!C7, 'REPORTE DIARIO'!D:D)</f>
        <v>27121.1</v>
      </c>
      <c r="F7" s="16">
        <f>J7*D7</f>
        <v>201567.14285714284</v>
      </c>
      <c r="G7" s="16">
        <f>+E7-F7</f>
        <v>-174446.04285714283</v>
      </c>
      <c r="H7" s="15">
        <f>ABS(G7/F7)</f>
        <v>0.8654488047229919</v>
      </c>
      <c r="I7" s="16">
        <f>E7/D7</f>
        <v>2.1143759257815544</v>
      </c>
      <c r="J7" s="16">
        <f>110/7</f>
        <v>15.714285714285714</v>
      </c>
      <c r="K7" s="16">
        <f t="shared" ref="K7:K9" si="0">+I7-J7</f>
        <v>-13.59990978850416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19 MAR'!C8, 'REPORTE DIARIO'!C:C)</f>
        <v>17228</v>
      </c>
      <c r="E8" s="16">
        <f>SUMIF('REPORTE DIARIO'!B:B,'EPR 19 MAR'!C8, 'REPORTE DIARIO'!D:D)</f>
        <v>46583.72</v>
      </c>
      <c r="F8" s="16">
        <f>J8*D8</f>
        <v>110751.42857142858</v>
      </c>
      <c r="G8" s="16">
        <f>+E8-F8</f>
        <v>-64167.708571428579</v>
      </c>
      <c r="H8" s="15">
        <f>ABS(G8/F8)</f>
        <v>0.57938492892706961</v>
      </c>
      <c r="I8" s="16">
        <f>E8/D8</f>
        <v>2.7039540283259811</v>
      </c>
      <c r="J8" s="16">
        <f>45/7</f>
        <v>6.4285714285714288</v>
      </c>
      <c r="K8" s="16">
        <f t="shared" si="0"/>
        <v>-3.7246174002454477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19 MAR'!C9, 'REPORTE DIARIO'!C:C)</f>
        <v>80906</v>
      </c>
      <c r="E9" s="16">
        <f>SUMIF('REPORTE DIARIO'!B:B,'EPR 19 MAR'!C9, 'REPORTE DIARIO'!D:D)</f>
        <v>51033.29</v>
      </c>
      <c r="F9" s="16">
        <f>J9*D9</f>
        <v>173370</v>
      </c>
      <c r="G9" s="16">
        <f>+E9-F9</f>
        <v>-122336.70999999999</v>
      </c>
      <c r="H9" s="15">
        <f>ABS(G9/F9)</f>
        <v>0.70563944165657255</v>
      </c>
      <c r="I9" s="16">
        <f>E9/D9</f>
        <v>0.63077262502163001</v>
      </c>
      <c r="J9" s="16">
        <f>15/7</f>
        <v>2.1428571428571428</v>
      </c>
      <c r="K9" s="16">
        <f t="shared" si="0"/>
        <v>-1.5120845178355129</v>
      </c>
    </row>
    <row r="10" spans="2:12" x14ac:dyDescent="0.25">
      <c r="B10" s="16"/>
      <c r="C10" s="19" t="s">
        <v>17</v>
      </c>
      <c r="D10" s="24">
        <f>SUM(D6:D9)</f>
        <v>128728</v>
      </c>
      <c r="E10" s="20">
        <f>SUM(E6:E9)</f>
        <v>317986.34000000003</v>
      </c>
      <c r="F10" s="20">
        <f>SUM(F6:F9)</f>
        <v>993317.14285714296</v>
      </c>
      <c r="G10" s="20">
        <f>+E10-F10</f>
        <v>-675330.80285714287</v>
      </c>
      <c r="H10" s="21">
        <f>ABS(G10/F10)</f>
        <v>0.67987430571735108</v>
      </c>
      <c r="I10" s="20">
        <f>E10/D10</f>
        <v>2.4702189111925925</v>
      </c>
      <c r="J10" s="20">
        <f>F10/D10</f>
        <v>7.7164031357369254</v>
      </c>
      <c r="K10" s="20">
        <f>I10-J10</f>
        <v>-5.2461842245443329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19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2025-03-20T02:05:48Z</dcterms:modified>
</cp:coreProperties>
</file>