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7\5 JUL\MAÑANA\"/>
    </mc:Choice>
  </mc:AlternateContent>
  <xr:revisionPtr revIDLastSave="0" documentId="8_{5B82AE4D-88B2-4069-99FF-9EDE1FD3EA3D}" xr6:coauthVersionLast="47" xr6:coauthVersionMax="47" xr10:uidLastSave="{00000000-0000-0000-0000-000000000000}"/>
  <bookViews>
    <workbookView xWindow="1470" yWindow="1350" windowWidth="19860" windowHeight="1953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19" i="1" l="1"/>
  <c r="D19" i="1"/>
  <c r="D28" i="1"/>
  <c r="C28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<sst xmlns="http://schemas.openxmlformats.org/spreadsheetml/2006/main" count="89" uniqueCount="37">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</sst>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59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4096</v>
      </c>
      <c r="D5" s="25">
        <v>545421.42999999993</v>
      </c>
    </row>
    <row r="6" spans="2:8" x14ac:dyDescent="0.25">
      <c r="B6" s="1" t="s">
        <v>5</v>
      </c>
      <c r="C6" s="6">
        <v>3563</v>
      </c>
      <c r="D6" s="25">
        <v>257600.93999999997</v>
      </c>
    </row>
    <row r="7" spans="2:8" x14ac:dyDescent="0.25">
      <c r="B7" s="1" t="s">
        <v>6</v>
      </c>
      <c r="C7" s="6">
        <v>6844</v>
      </c>
      <c r="D7" s="25">
        <v>317113.48</v>
      </c>
    </row>
    <row r="8" spans="2:8" x14ac:dyDescent="0.25">
      <c r="B8" s="5" t="s">
        <v>12</v>
      </c>
      <c r="C8" s="7">
        <v>1977</v>
      </c>
      <c r="D8" s="25">
        <v>1374</v>
      </c>
    </row>
    <row r="9" spans="2:8" x14ac:dyDescent="0.25">
      <c r="B9" s="1" t="s">
        <v>7</v>
      </c>
      <c r="C9" s="6">
        <v>15786</v>
      </c>
      <c r="D9" s="25">
        <v>424232.99000000005</v>
      </c>
      <c r="E9" s="14"/>
      <c r="F9" s="7"/>
    </row>
    <row r="10" spans="2:8" x14ac:dyDescent="0.25">
      <c r="B10" s="3" t="s">
        <v>8</v>
      </c>
      <c r="C10" s="8">
        <f>SUM(C5:C9)</f>
        <v>32266</v>
      </c>
      <c r="D10" s="4">
        <f>SUM(D5:D9)</f>
        <v>1545742.8399999999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4515</v>
      </c>
      <c r="D14" s="25">
        <v>231196.16</v>
      </c>
    </row>
    <row r="15" spans="2:8" x14ac:dyDescent="0.25">
      <c r="B15" s="1" t="s">
        <v>5</v>
      </c>
      <c r="C15" s="6">
        <v>2486</v>
      </c>
      <c r="D15" s="25">
        <v>49911.08</v>
      </c>
    </row>
    <row r="16" spans="2:8" x14ac:dyDescent="0.25">
      <c r="B16" s="1" t="s">
        <v>6</v>
      </c>
      <c r="C16" s="6">
        <v>3775</v>
      </c>
      <c r="D16" s="25">
        <v>166356.22999999998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14377</v>
      </c>
      <c r="D18" s="25">
        <v>135478.56</v>
      </c>
    </row>
    <row r="19" spans="2:4" x14ac:dyDescent="0.25">
      <c r="B19" s="3" t="s">
        <v>8</v>
      </c>
      <c r="C19" s="8">
        <f>SUM(C14:C18)</f>
        <v>25153</v>
      </c>
      <c r="D19" s="4">
        <f>SUM(D14:D18)</f>
        <v>582942.03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2592</v>
      </c>
      <c r="D23" s="25">
        <v>327450.10000000003</v>
      </c>
    </row>
    <row r="24" spans="2:4" x14ac:dyDescent="0.25">
      <c r="B24" s="9" t="s">
        <v>5</v>
      </c>
      <c r="C24" s="6">
        <v>827</v>
      </c>
      <c r="D24" s="25">
        <v>36089.69</v>
      </c>
    </row>
    <row r="25" spans="2:4" x14ac:dyDescent="0.25">
      <c r="B25" s="9" t="s">
        <v>6</v>
      </c>
      <c r="C25" s="6">
        <v>2347</v>
      </c>
      <c r="D25" s="25">
        <v>60529.450000000004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17261</v>
      </c>
      <c r="D27" s="25">
        <v>99366.080000000016</v>
      </c>
    </row>
    <row r="28" spans="2:4" x14ac:dyDescent="0.25">
      <c r="B28" s="10" t="s">
        <v>8</v>
      </c>
      <c r="C28" s="8">
        <f>SUM(C23:C27)</f>
        <v>23028</v>
      </c>
      <c r="D28" s="4">
        <f>SUM(D23:D27)</f>
        <v>523435.32000000007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474</v>
      </c>
      <c r="D32" s="25">
        <v>127249.36</v>
      </c>
    </row>
    <row r="33" spans="2:4" x14ac:dyDescent="0.25">
      <c r="B33" s="9" t="s">
        <v>5</v>
      </c>
      <c r="C33" s="6">
        <v>1523</v>
      </c>
      <c r="D33" s="25">
        <v>188276.03999999998</v>
      </c>
    </row>
    <row r="34" spans="2:4" x14ac:dyDescent="0.25">
      <c r="B34" s="9" t="s">
        <v>6</v>
      </c>
      <c r="C34" s="6">
        <v>805</v>
      </c>
      <c r="D34" s="25">
        <v>40235.020000000004</v>
      </c>
    </row>
    <row r="35" spans="2:4" x14ac:dyDescent="0.25">
      <c r="B35" s="9" t="s">
        <v>7</v>
      </c>
      <c r="C35" s="6">
        <v>4323</v>
      </c>
      <c r="D35" s="25">
        <v>9855</v>
      </c>
    </row>
    <row r="36" spans="2:4" x14ac:dyDescent="0.25">
      <c r="B36" s="10" t="s">
        <v>8</v>
      </c>
      <c r="C36" s="8">
        <f>SUM(C32:C35)</f>
        <v>7125</v>
      </c>
      <c r="D36" s="4">
        <f>SUM(D32:D35)</f>
        <v>365615.42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630</v>
      </c>
      <c r="D40" s="25">
        <v>98303.859999999986</v>
      </c>
    </row>
    <row r="41" spans="2:4" x14ac:dyDescent="0.25">
      <c r="B41" s="1" t="s">
        <v>5</v>
      </c>
      <c r="C41" s="6">
        <v>269</v>
      </c>
      <c r="D41" s="25">
        <v>5691</v>
      </c>
    </row>
    <row r="42" spans="2:4" x14ac:dyDescent="0.25">
      <c r="B42" s="1" t="s">
        <v>6</v>
      </c>
      <c r="C42" s="6">
        <v>367</v>
      </c>
      <c r="D42" s="25">
        <v>8854</v>
      </c>
    </row>
    <row r="43" spans="2:4" x14ac:dyDescent="0.25">
      <c r="B43" s="1" t="s">
        <v>7</v>
      </c>
      <c r="C43" s="6">
        <v>419</v>
      </c>
      <c r="D43" s="25">
        <v>31839</v>
      </c>
    </row>
    <row r="44" spans="2:4" x14ac:dyDescent="0.25">
      <c r="B44" s="3" t="s">
        <v>8</v>
      </c>
      <c r="C44" s="8">
        <f>SUM(C40:C43)</f>
        <v>1685</v>
      </c>
      <c r="D44" s="4">
        <f>SUM(D40:D43)</f>
        <v>144687.85999999999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1712</v>
      </c>
      <c r="D48" s="25">
        <v>108133.3</v>
      </c>
    </row>
    <row r="49" spans="2:4" x14ac:dyDescent="0.25">
      <c r="B49" s="10" t="s">
        <v>8</v>
      </c>
      <c r="C49" s="8">
        <f>SUM(C48:C48)</f>
        <v>1712</v>
      </c>
      <c r="D49" s="4">
        <f>SUM(D48:D48)</f>
        <v>108133.3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829</v>
      </c>
      <c r="D53" s="25">
        <v>43596.06</v>
      </c>
    </row>
    <row r="54" spans="2:4" x14ac:dyDescent="0.25">
      <c r="B54" s="1" t="s">
        <v>5</v>
      </c>
      <c r="C54" s="6">
        <v>176</v>
      </c>
      <c r="D54" s="25">
        <v>500</v>
      </c>
    </row>
    <row r="55" spans="2:4" x14ac:dyDescent="0.25">
      <c r="B55" s="1" t="s">
        <v>6</v>
      </c>
      <c r="C55" s="6">
        <v>600</v>
      </c>
      <c r="D55" s="25">
        <v>6459</v>
      </c>
    </row>
    <row r="56" spans="2:4" x14ac:dyDescent="0.25">
      <c r="B56" s="1" t="s">
        <v>7</v>
      </c>
      <c r="C56" s="6">
        <v>2409</v>
      </c>
      <c r="D56" s="25">
        <v>8744</v>
      </c>
    </row>
    <row r="57" spans="2:4" x14ac:dyDescent="0.25">
      <c r="B57" s="3" t="s">
        <v>8</v>
      </c>
      <c r="C57" s="8">
        <f>SUM(C53:C56)</f>
        <v>4014</v>
      </c>
      <c r="D57" s="4">
        <f>SUM(D53:D56)</f>
        <v>59299.06</v>
      </c>
    </row>
    <row r="59" spans="2:4" x14ac:dyDescent="0.25">
      <c r="B59" s="12" t="s">
        <v>13</v>
      </c>
      <c r="C59" s="13">
        <f>SUM(C10+C28+C36+C49+C19+C57+C44)</f>
        <v>94983</v>
      </c>
      <c r="D59" s="13">
        <f>SUM(D10+D28+D36+D49+D19+D57+D44)</f>
        <v>3329855.83</v>
      </c>
    </row>
  </sheetData>
  <mergeCells count="7">
    <mergeCell ref="B46:D46"/>
    <mergeCell ref="B38:D38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26 JUN'!C6, 'REPORTE DIARIO'!C:C)</f>
        <v>14848</v>
      </c>
      <c r="E6" s="16">
        <f>SUMIF('REPORTE DIARIO'!B:B,'EPR 26 JUN'!C6, 'REPORTE DIARIO'!D:D)</f>
        <v>1481350.2700000003</v>
      </c>
      <c r="F6" s="16">
        <f>J6*D6</f>
        <v>933302.85714285704</v>
      </c>
      <c r="G6" s="16">
        <f>+E6-F6</f>
        <v>548047.41285714321</v>
      </c>
      <c r="H6" s="15">
        <f>ABS(G6/F6)</f>
        <v>0.58721283092917365</v>
      </c>
      <c r="I6" s="16">
        <f>E6/D6</f>
        <v>99.767663658405183</v>
      </c>
      <c r="J6" s="16">
        <f>(220/7)*2</f>
        <v>62.857142857142854</v>
      </c>
      <c r="K6" s="16">
        <f>+I6-J6</f>
        <v>36.910520801262329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8844</v>
      </c>
      <c r="E7" s="16">
        <f>SUMIF('REPORTE DIARIO'!B:B,'EPR 26 JUN'!C7, 'REPORTE DIARIO'!D:D)</f>
        <v>538068.75</v>
      </c>
      <c r="F7" s="16">
        <f>J7*D7</f>
        <v>277954.28571428568</v>
      </c>
      <c r="G7" s="16">
        <f>+E7-F7</f>
        <v>260114.46428571432</v>
      </c>
      <c r="H7" s="15">
        <f>ABS(G7/F7)</f>
        <v>0.93581742629826103</v>
      </c>
      <c r="I7" s="16">
        <f>E7/D7</f>
        <v>60.839976255088196</v>
      </c>
      <c r="J7" s="16">
        <f>(110/7)*2</f>
        <v>31.428571428571427</v>
      </c>
      <c r="K7" s="16">
        <f t="shared" ref="K7:K9" si="0">+I7-J7</f>
        <v>29.411404826516769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14738</v>
      </c>
      <c r="E8" s="16">
        <f>SUMIF('REPORTE DIARIO'!B:B,'EPR 26 JUN'!C8, 'REPORTE DIARIO'!D:D)</f>
        <v>599547.17999999993</v>
      </c>
      <c r="F8" s="16">
        <f>J8*D8</f>
        <v>189488.57142857145</v>
      </c>
      <c r="G8" s="16">
        <f>+E8-F8</f>
        <v>410058.60857142846</v>
      </c>
      <c r="H8" s="15">
        <f>ABS(G8/F8)</f>
        <v>2.1640281811191016</v>
      </c>
      <c r="I8" s="16">
        <f>E8/D8</f>
        <v>40.680362328674171</v>
      </c>
      <c r="J8" s="16">
        <f>(45/7)*2</f>
        <v>12.857142857142858</v>
      </c>
      <c r="K8" s="16">
        <f t="shared" si="0"/>
        <v>27.823219471531313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26 JUN'!C9, 'REPORTE DIARIO'!C:C)</f>
        <v>54575</v>
      </c>
      <c r="E9" s="16">
        <f>SUMIF('REPORTE DIARIO'!B:B,'EPR 26 JUN'!C9, 'REPORTE DIARIO'!D:D)</f>
        <v>709515.63000000012</v>
      </c>
      <c r="F9" s="16">
        <f>J9*D9</f>
        <v>233892.85714285713</v>
      </c>
      <c r="G9" s="16">
        <f>+E9-F9</f>
        <v>475622.77285714296</v>
      </c>
      <c r="H9" s="15">
        <f>ABS(G9/F9)</f>
        <v>2.0335070453504356</v>
      </c>
      <c r="I9" s="16">
        <f>E9/D9</f>
        <v>13.000744480073296</v>
      </c>
      <c r="J9" s="16">
        <f>(15/7)*2</f>
        <v>4.2857142857142856</v>
      </c>
      <c r="K9" s="16">
        <f t="shared" si="0"/>
        <v>8.7150301943590094</v>
      </c>
    </row>
    <row r="10" spans="2:12" x14ac:dyDescent="0.25">
      <c r="B10" s="16"/>
      <c r="C10" s="19" t="s">
        <v>17</v>
      </c>
      <c r="D10" s="24">
        <f>SUM(D6:D9)</f>
        <v>93005</v>
      </c>
      <c r="E10" s="20">
        <f>SUM(E6:E9)</f>
        <v>3328481.83</v>
      </c>
      <c r="F10" s="20">
        <f>SUM(F6:F9)</f>
        <v>1634638.5714285711</v>
      </c>
      <c r="G10" s="20">
        <f>+E10-F10</f>
        <v>1693843.2585714289</v>
      </c>
      <c r="H10" s="21">
        <f>ABS(G10/F10)</f>
        <v>1.0362188242573505</v>
      </c>
      <c r="I10" s="20">
        <f>E10/D10</f>
        <v>35.78820310735982</v>
      </c>
      <c r="J10" s="20">
        <f>F10/D10</f>
        <v>17.575813896334296</v>
      </c>
      <c r="K10" s="20">
        <f>I10-J10</f>
        <v>18.212389211025524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2025-07-05T16:32:31Z</dcterms:modified>
</cp:coreProperties>
</file>