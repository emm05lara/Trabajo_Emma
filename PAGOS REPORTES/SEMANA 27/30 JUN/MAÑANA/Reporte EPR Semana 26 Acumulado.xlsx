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30 JUN\MAÑANA\"/>
    </mc:Choice>
  </mc:AlternateContent>
  <xr:revisionPtr revIDLastSave="0" documentId="13_ncr:1_{928DB903-2EC2-4DC5-AACC-93C060AB9813}" xr6:coauthVersionLast="47" xr6:coauthVersionMax="47" xr10:uidLastSave="{00000000-0000-0000-0000-000000000000}"/>
  <bookViews>
    <workbookView xWindow="1950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<sst xmlns="http://schemas.openxmlformats.org/spreadsheetml/2006/main" count="89" uniqueCount="37">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</sst>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7" zoomScaleNormal="100" workbookViewId="0">
      <selection activeCell="D52" sqref="D5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3662</v>
      </c>
      <c r="D5" s="25">
        <v>867882.39</v>
      </c>
    </row>
    <row r="6" spans="2:8" x14ac:dyDescent="0.25">
      <c r="B6" s="1" t="s">
        <v>5</v>
      </c>
      <c r="C6" s="6">
        <v>4121</v>
      </c>
      <c r="D6" s="25">
        <v>542415.17999999993</v>
      </c>
    </row>
    <row r="7" spans="2:8" x14ac:dyDescent="0.25">
      <c r="B7" s="1" t="s">
        <v>6</v>
      </c>
      <c r="C7" s="6">
        <v>6859</v>
      </c>
      <c r="D7" s="25">
        <v>346848.89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15493</v>
      </c>
      <c r="D9" s="25">
        <v>510729.25000000006</v>
      </c>
      <c r="E9" s="14"/>
      <c r="F9" s="7"/>
    </row>
    <row r="10" spans="2:8" x14ac:dyDescent="0.25">
      <c r="B10" s="3" t="s">
        <v>8</v>
      </c>
      <c r="C10" s="8">
        <f>SUM(C5:C9)</f>
        <v>30146</v>
      </c>
      <c r="D10" s="4">
        <f>SUM(D5:D9)</f>
        <v>2267875.71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3038</v>
      </c>
      <c r="D14" s="25">
        <v>350518.64</v>
      </c>
    </row>
    <row r="15" spans="2:8" x14ac:dyDescent="0.25">
      <c r="B15" s="9" t="s">
        <v>5</v>
      </c>
      <c r="C15" s="6">
        <v>1085</v>
      </c>
      <c r="D15" s="25">
        <v>99206.27</v>
      </c>
    </row>
    <row r="16" spans="2:8" x14ac:dyDescent="0.25">
      <c r="B16" s="9" t="s">
        <v>6</v>
      </c>
      <c r="C16" s="6">
        <v>2509</v>
      </c>
      <c r="D16" s="25">
        <v>60158.169999999991</v>
      </c>
    </row>
    <row r="17" spans="2:4" x14ac:dyDescent="0.25">
      <c r="B17" s="5" t="s">
        <v>12</v>
      </c>
      <c r="C17" s="7">
        <v>1</v>
      </c>
      <c r="D17" s="25">
        <v>44</v>
      </c>
    </row>
    <row r="18" spans="2:4" x14ac:dyDescent="0.25">
      <c r="B18" s="9" t="s">
        <v>7</v>
      </c>
      <c r="C18" s="6">
        <v>17351</v>
      </c>
      <c r="D18" s="25">
        <v>115207.38</v>
      </c>
    </row>
    <row r="19" spans="2:4" x14ac:dyDescent="0.25">
      <c r="B19" s="10" t="s">
        <v>8</v>
      </c>
      <c r="C19" s="8">
        <f>SUM(C14:C18)</f>
        <v>23984</v>
      </c>
      <c r="D19" s="4">
        <f>SUM(D14:D18)</f>
        <v>625134.46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2629</v>
      </c>
      <c r="D23" s="25">
        <v>261886.54000000004</v>
      </c>
    </row>
    <row r="24" spans="2:4" x14ac:dyDescent="0.25">
      <c r="B24" s="1" t="s">
        <v>5</v>
      </c>
      <c r="C24" s="6">
        <v>1793</v>
      </c>
      <c r="D24" s="25">
        <v>115298.36</v>
      </c>
    </row>
    <row r="25" spans="2:4" x14ac:dyDescent="0.25">
      <c r="B25" s="1" t="s">
        <v>6</v>
      </c>
      <c r="C25" s="6">
        <v>2162</v>
      </c>
      <c r="D25" s="25">
        <v>99261.28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12674</v>
      </c>
      <c r="D27" s="25">
        <v>110606.39999999999</v>
      </c>
    </row>
    <row r="28" spans="2:4" x14ac:dyDescent="0.25">
      <c r="B28" s="3" t="s">
        <v>8</v>
      </c>
      <c r="C28" s="8">
        <f>SUM(C23:C27)</f>
        <v>19258</v>
      </c>
      <c r="D28" s="4">
        <f>SUM(D23:D27)</f>
        <v>587052.58000000007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487</v>
      </c>
      <c r="D32" s="25">
        <v>177035.30000000002</v>
      </c>
    </row>
    <row r="33" spans="2:4" x14ac:dyDescent="0.25">
      <c r="B33" s="9" t="s">
        <v>5</v>
      </c>
      <c r="C33" s="6">
        <v>2812</v>
      </c>
      <c r="D33" s="25">
        <v>240646.97000000003</v>
      </c>
    </row>
    <row r="34" spans="2:4" x14ac:dyDescent="0.25">
      <c r="B34" s="9" t="s">
        <v>6</v>
      </c>
      <c r="C34" s="6">
        <v>736</v>
      </c>
      <c r="D34" s="25">
        <v>44101.130000000005</v>
      </c>
    </row>
    <row r="35" spans="2:4" x14ac:dyDescent="0.25">
      <c r="B35" s="9" t="s">
        <v>7</v>
      </c>
      <c r="C35" s="6">
        <v>4012</v>
      </c>
      <c r="D35" s="25">
        <v>21106.06</v>
      </c>
    </row>
    <row r="36" spans="2:4" x14ac:dyDescent="0.25">
      <c r="B36" s="10" t="s">
        <v>8</v>
      </c>
      <c r="C36" s="8">
        <f>SUM(C32:C35)</f>
        <v>8047</v>
      </c>
      <c r="D36" s="4">
        <f>SUM(D32:D35)</f>
        <v>482889.46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2465</v>
      </c>
      <c r="D40" s="25">
        <v>123541.74</v>
      </c>
    </row>
    <row r="41" spans="2:4" x14ac:dyDescent="0.25">
      <c r="B41" s="1" t="s">
        <v>5</v>
      </c>
      <c r="C41" s="6">
        <v>1430</v>
      </c>
      <c r="D41" s="25">
        <v>114561</v>
      </c>
    </row>
    <row r="42" spans="2:4" x14ac:dyDescent="0.25">
      <c r="B42" s="1" t="s">
        <v>6</v>
      </c>
      <c r="C42" s="6">
        <v>1870</v>
      </c>
      <c r="D42" s="25">
        <v>14727</v>
      </c>
    </row>
    <row r="43" spans="2:4" x14ac:dyDescent="0.25">
      <c r="B43" s="1" t="s">
        <v>7</v>
      </c>
      <c r="C43" s="6">
        <v>2196</v>
      </c>
      <c r="D43" s="25">
        <v>21592.14</v>
      </c>
    </row>
    <row r="44" spans="2:4" x14ac:dyDescent="0.25">
      <c r="B44" s="3" t="s">
        <v>8</v>
      </c>
      <c r="C44" s="8">
        <f>SUM(C40:C43)</f>
        <v>7961</v>
      </c>
      <c r="D44" s="4">
        <f>SUM(D40:D43)</f>
        <v>274421.88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1880</v>
      </c>
      <c r="D48" s="25">
        <v>65395</v>
      </c>
    </row>
    <row r="49" spans="2:4" x14ac:dyDescent="0.25">
      <c r="B49" s="10" t="s">
        <v>8</v>
      </c>
      <c r="C49" s="8">
        <f>SUM(C48:C48)</f>
        <v>1880</v>
      </c>
      <c r="D49" s="4">
        <f>SUM(D48:D48)</f>
        <v>65395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575</v>
      </c>
      <c r="D53" s="25">
        <v>26774</v>
      </c>
    </row>
    <row r="54" spans="2:4" x14ac:dyDescent="0.25">
      <c r="B54" s="1" t="s">
        <v>5</v>
      </c>
      <c r="C54" s="6">
        <v>383</v>
      </c>
      <c r="D54" s="25">
        <v>4936</v>
      </c>
    </row>
    <row r="55" spans="2:4" x14ac:dyDescent="0.25">
      <c r="B55" s="1" t="s">
        <v>6</v>
      </c>
      <c r="C55" s="6">
        <v>619</v>
      </c>
      <c r="D55" s="25">
        <v>2578</v>
      </c>
    </row>
    <row r="56" spans="2:4" x14ac:dyDescent="0.25">
      <c r="B56" s="1" t="s">
        <v>7</v>
      </c>
      <c r="C56" s="6">
        <v>2422</v>
      </c>
      <c r="D56" s="25">
        <v>11220</v>
      </c>
    </row>
    <row r="57" spans="2:4" x14ac:dyDescent="0.25">
      <c r="B57" s="3" t="s">
        <v>8</v>
      </c>
      <c r="C57" s="8">
        <f>SUM(C53:C56)</f>
        <v>3999</v>
      </c>
      <c r="D57" s="4">
        <f>SUM(D53:D56)</f>
        <v>45508</v>
      </c>
    </row>
    <row r="59" spans="2:4" x14ac:dyDescent="0.25">
      <c r="B59" s="12" t="s">
        <v>13</v>
      </c>
      <c r="C59" s="13">
        <f>SUM(C10+C19+C36+C49+C28+C57+C44)</f>
        <v>95275</v>
      </c>
      <c r="D59" s="13">
        <f>SUM(D10+D19+D36+D49+D28+D57+D44)</f>
        <v>4348277.09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14736</v>
      </c>
      <c r="E6" s="16">
        <f>SUMIF('REPORTE DIARIO'!B:B,'EPR 26 JUN'!C6, 'REPORTE DIARIO'!D:D)</f>
        <v>1873033.61</v>
      </c>
      <c r="F6" s="16">
        <f>J6*D6</f>
        <v>926262.85714285704</v>
      </c>
      <c r="G6" s="16">
        <f>+E6-F6</f>
        <v>946770.75285714306</v>
      </c>
      <c r="H6" s="15">
        <f>ABS(G6/F6)</f>
        <v>1.022140470770408</v>
      </c>
      <c r="I6" s="16">
        <f>E6/D6</f>
        <v>127.10597244842563</v>
      </c>
      <c r="J6" s="16">
        <f>(220/7)*2</f>
        <v>62.857142857142854</v>
      </c>
      <c r="K6" s="16">
        <f>+I6-J6</f>
        <v>64.248829591282771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11624</v>
      </c>
      <c r="E7" s="16">
        <f>SUMIF('REPORTE DIARIO'!B:B,'EPR 26 JUN'!C7, 'REPORTE DIARIO'!D:D)</f>
        <v>1117063.78</v>
      </c>
      <c r="F7" s="16">
        <f>J7*D7</f>
        <v>365325.71428571426</v>
      </c>
      <c r="G7" s="16">
        <f>+E7-F7</f>
        <v>751738.06571428571</v>
      </c>
      <c r="H7" s="15">
        <f>ABS(G7/F7)</f>
        <v>2.0577201010448603</v>
      </c>
      <c r="I7" s="16">
        <f>E7/D7</f>
        <v>96.09977460426704</v>
      </c>
      <c r="J7" s="16">
        <f>(110/7)*2</f>
        <v>31.428571428571427</v>
      </c>
      <c r="K7" s="16">
        <f t="shared" ref="K7:K9" si="0">+I7-J7</f>
        <v>64.671203175695609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14755</v>
      </c>
      <c r="E8" s="16">
        <f>SUMIF('REPORTE DIARIO'!B:B,'EPR 26 JUN'!C8, 'REPORTE DIARIO'!D:D)</f>
        <v>567674.47</v>
      </c>
      <c r="F8" s="16">
        <f>J8*D8</f>
        <v>189707.14285714287</v>
      </c>
      <c r="G8" s="16">
        <f>+E8-F8</f>
        <v>377967.32714285713</v>
      </c>
      <c r="H8" s="15">
        <f>ABS(G8/F8)</f>
        <v>1.9923726721638615</v>
      </c>
      <c r="I8" s="16">
        <f>E8/D8</f>
        <v>38.473362927821078</v>
      </c>
      <c r="J8" s="16">
        <f>(45/7)*2</f>
        <v>12.857142857142858</v>
      </c>
      <c r="K8" s="16">
        <f t="shared" si="0"/>
        <v>25.616220070678221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54148</v>
      </c>
      <c r="E9" s="16">
        <f>SUMIF('REPORTE DIARIO'!B:B,'EPR 26 JUN'!C9, 'REPORTE DIARIO'!D:D)</f>
        <v>790461.23000000021</v>
      </c>
      <c r="F9" s="16">
        <f>J9*D9</f>
        <v>232062.85714285713</v>
      </c>
      <c r="G9" s="16">
        <f>+E9-F9</f>
        <v>558398.37285714305</v>
      </c>
      <c r="H9" s="15">
        <f>ABS(G9/F9)</f>
        <v>2.4062376018812648</v>
      </c>
      <c r="I9" s="16">
        <f>E9/D9</f>
        <v>14.598161150919706</v>
      </c>
      <c r="J9" s="16">
        <f>(15/7)*2</f>
        <v>4.2857142857142856</v>
      </c>
      <c r="K9" s="16">
        <f t="shared" si="0"/>
        <v>10.31244686520542</v>
      </c>
    </row>
    <row r="10" spans="2:12" x14ac:dyDescent="0.25">
      <c r="B10" s="16"/>
      <c r="C10" s="19" t="s">
        <v>17</v>
      </c>
      <c r="D10" s="24">
        <f>SUM(D6:D9)</f>
        <v>95263</v>
      </c>
      <c r="E10" s="20">
        <f>SUM(E6:E9)</f>
        <v>4348233.0900000008</v>
      </c>
      <c r="F10" s="20">
        <f>SUM(F6:F9)</f>
        <v>1713358.5714285714</v>
      </c>
      <c r="G10" s="20">
        <f>+E10-F10</f>
        <v>2634874.5185714294</v>
      </c>
      <c r="H10" s="21">
        <f>ABS(G10/F10)</f>
        <v>1.5378418519682735</v>
      </c>
      <c r="I10" s="20">
        <f>E10/D10</f>
        <v>45.644511405267529</v>
      </c>
      <c r="J10" s="20">
        <f>F10/D10</f>
        <v>17.985561775595681</v>
      </c>
      <c r="K10" s="20">
        <f>I10-J10</f>
        <v>27.658949629671849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2025-06-30T16:20:35Z</dcterms:modified>
</cp:coreProperties>
</file>