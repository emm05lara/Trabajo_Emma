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7\2 JUL\NOCHE\"/>
    </mc:Choice>
  </mc:AlternateContent>
  <xr:revisionPtr revIDLastSave="0" documentId="13_ncr:1_{7220317E-A543-4741-8221-F7459D013430}" xr6:coauthVersionLast="47" xr6:coauthVersionMax="47" xr10:uidLastSave="{00000000-0000-0000-0000-000000000000}"/>
  <bookViews>
    <workbookView xWindow="11025" yWindow="1170" windowWidth="19860" windowHeight="1953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28" i="1" l="1"/>
  <c r="D28" i="1"/>
  <c r="D19" i="1"/>
  <c r="C19" i="1"/>
  <c r="D6" i="3"/>
  <c r="D49" i="1"/>
  <c r="C49" i="1"/>
  <c r="D57" i="1"/>
  <c r="D41" i="1" l="1"/>
  <c r="C41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<sst xmlns="http://schemas.openxmlformats.org/spreadsheetml/2006/main" count="89" uniqueCount="37">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</sst>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1" zoomScaleNormal="10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3928</v>
      </c>
      <c r="D5" s="25">
        <v>335199.42999999993</v>
      </c>
    </row>
    <row r="6" spans="2:8" x14ac:dyDescent="0.25">
      <c r="B6" s="1" t="s">
        <v>5</v>
      </c>
      <c r="C6" s="6">
        <v>4199</v>
      </c>
      <c r="D6" s="25">
        <v>186575.46999999997</v>
      </c>
    </row>
    <row r="7" spans="2:8" x14ac:dyDescent="0.25">
      <c r="B7" s="1" t="s">
        <v>6</v>
      </c>
      <c r="C7" s="6">
        <v>6975</v>
      </c>
      <c r="D7" s="25">
        <v>192995.83000000002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15606</v>
      </c>
      <c r="D9" s="25">
        <v>226066.50999999998</v>
      </c>
      <c r="E9" s="14"/>
      <c r="F9" s="7"/>
    </row>
    <row r="10" spans="2:8" x14ac:dyDescent="0.25">
      <c r="B10" s="3" t="s">
        <v>8</v>
      </c>
      <c r="C10" s="8">
        <f>SUM(C5:C9)</f>
        <v>30719</v>
      </c>
      <c r="D10" s="4">
        <f>SUM(D5:D9)</f>
        <v>940837.24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2983</v>
      </c>
      <c r="D14" s="25">
        <v>180300.78999999998</v>
      </c>
    </row>
    <row r="15" spans="2:8" x14ac:dyDescent="0.25">
      <c r="B15" s="9" t="s">
        <v>5</v>
      </c>
      <c r="C15" s="6">
        <v>1118</v>
      </c>
      <c r="D15" s="25">
        <v>11881.56</v>
      </c>
    </row>
    <row r="16" spans="2:8" x14ac:dyDescent="0.25">
      <c r="B16" s="9" t="s">
        <v>6</v>
      </c>
      <c r="C16" s="6">
        <v>2530</v>
      </c>
      <c r="D16" s="25">
        <v>48614.3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17234</v>
      </c>
      <c r="D18" s="25">
        <v>71596.33</v>
      </c>
    </row>
    <row r="19" spans="2:4" x14ac:dyDescent="0.25">
      <c r="B19" s="10" t="s">
        <v>8</v>
      </c>
      <c r="C19" s="8">
        <f>SUM(C14:C18)</f>
        <v>23866</v>
      </c>
      <c r="D19" s="4">
        <f>SUM(D14:D18)</f>
        <v>312392.98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4601</v>
      </c>
      <c r="D23" s="25">
        <v>110096.38999999998</v>
      </c>
    </row>
    <row r="24" spans="2:4" x14ac:dyDescent="0.25">
      <c r="B24" s="1" t="s">
        <v>5</v>
      </c>
      <c r="C24" s="6">
        <v>3140</v>
      </c>
      <c r="D24" s="25">
        <v>32650.080000000002</v>
      </c>
    </row>
    <row r="25" spans="2:4" x14ac:dyDescent="0.25">
      <c r="B25" s="1" t="s">
        <v>6</v>
      </c>
      <c r="C25" s="6">
        <v>3821</v>
      </c>
      <c r="D25" s="25">
        <v>48026.25</v>
      </c>
    </row>
    <row r="26" spans="2:4" x14ac:dyDescent="0.25">
      <c r="B26" s="5" t="s">
        <v>12</v>
      </c>
      <c r="C26" s="7">
        <v>0</v>
      </c>
      <c r="D26" s="26">
        <v>0</v>
      </c>
    </row>
    <row r="27" spans="2:4" x14ac:dyDescent="0.25">
      <c r="B27" s="1" t="s">
        <v>7</v>
      </c>
      <c r="C27" s="6">
        <v>14444</v>
      </c>
      <c r="D27" s="25">
        <v>78838.37</v>
      </c>
    </row>
    <row r="28" spans="2:4" x14ac:dyDescent="0.25">
      <c r="B28" s="3" t="s">
        <v>8</v>
      </c>
      <c r="C28" s="8">
        <f>SUM(C23:C27)</f>
        <v>26006</v>
      </c>
      <c r="D28" s="4">
        <f>SUM(D23:D27)</f>
        <v>269611.08999999997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480</v>
      </c>
      <c r="D32" s="25">
        <v>100594.20999999999</v>
      </c>
    </row>
    <row r="33" spans="2:4" x14ac:dyDescent="0.25">
      <c r="B33" s="9" t="s">
        <v>5</v>
      </c>
      <c r="C33" s="6">
        <v>2840</v>
      </c>
      <c r="D33" s="25">
        <v>62991.17</v>
      </c>
    </row>
    <row r="34" spans="2:4" x14ac:dyDescent="0.25">
      <c r="B34" s="9" t="s">
        <v>6</v>
      </c>
      <c r="C34" s="6">
        <v>756</v>
      </c>
      <c r="D34" s="25">
        <v>9822.02</v>
      </c>
    </row>
    <row r="35" spans="2:4" x14ac:dyDescent="0.25">
      <c r="B35" s="9" t="s">
        <v>7</v>
      </c>
      <c r="C35" s="6">
        <v>4323</v>
      </c>
      <c r="D35" s="25">
        <v>4038</v>
      </c>
    </row>
    <row r="36" spans="2:4" x14ac:dyDescent="0.25">
      <c r="B36" s="10" t="s">
        <v>8</v>
      </c>
      <c r="C36" s="8">
        <f>SUM(C32:C35)</f>
        <v>8399</v>
      </c>
      <c r="D36" s="4">
        <f>SUM(D32:D35)</f>
        <v>177445.4</v>
      </c>
    </row>
    <row r="38" spans="2:4" x14ac:dyDescent="0.25">
      <c r="B38" s="27" t="s">
        <v>11</v>
      </c>
      <c r="C38" s="27"/>
      <c r="D38" s="27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6">
        <v>1844</v>
      </c>
      <c r="D40" s="25">
        <v>73819</v>
      </c>
    </row>
    <row r="41" spans="2:4" x14ac:dyDescent="0.25">
      <c r="B41" s="10" t="s">
        <v>8</v>
      </c>
      <c r="C41" s="8">
        <f>SUM(C40:C40)</f>
        <v>1844</v>
      </c>
      <c r="D41" s="4">
        <f>SUM(D40:D40)</f>
        <v>73819</v>
      </c>
    </row>
    <row r="43" spans="2:4" x14ac:dyDescent="0.25">
      <c r="B43" s="28" t="s">
        <v>32</v>
      </c>
      <c r="C43" s="28"/>
      <c r="D43" s="28"/>
    </row>
    <row r="44" spans="2:4" x14ac:dyDescent="0.25">
      <c r="B44" s="2" t="s">
        <v>1</v>
      </c>
      <c r="C44" s="2" t="s">
        <v>2</v>
      </c>
      <c r="D44" s="2" t="s">
        <v>3</v>
      </c>
    </row>
    <row r="45" spans="2:4" x14ac:dyDescent="0.25">
      <c r="B45" s="9" t="s">
        <v>4</v>
      </c>
      <c r="C45" s="6">
        <v>582</v>
      </c>
      <c r="D45" s="25">
        <v>18076.5</v>
      </c>
    </row>
    <row r="46" spans="2:4" x14ac:dyDescent="0.25">
      <c r="B46" s="1" t="s">
        <v>5</v>
      </c>
      <c r="C46" s="6">
        <v>261</v>
      </c>
      <c r="D46" s="25">
        <v>5091</v>
      </c>
    </row>
    <row r="47" spans="2:4" x14ac:dyDescent="0.25">
      <c r="B47" s="1" t="s">
        <v>6</v>
      </c>
      <c r="C47" s="6">
        <v>338</v>
      </c>
      <c r="D47" s="25">
        <v>3633</v>
      </c>
    </row>
    <row r="48" spans="2:4" x14ac:dyDescent="0.25">
      <c r="B48" s="1" t="s">
        <v>7</v>
      </c>
      <c r="C48" s="6">
        <v>427</v>
      </c>
      <c r="D48" s="25">
        <v>18728</v>
      </c>
    </row>
    <row r="49" spans="2:4" x14ac:dyDescent="0.25">
      <c r="B49" s="3" t="s">
        <v>8</v>
      </c>
      <c r="C49" s="8">
        <f>SUM(C45:C48)</f>
        <v>1608</v>
      </c>
      <c r="D49" s="4">
        <f>SUM(D45:D48)</f>
        <v>45528.5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648</v>
      </c>
      <c r="D53" s="25">
        <v>18008.060000000001</v>
      </c>
    </row>
    <row r="54" spans="2:4" x14ac:dyDescent="0.25">
      <c r="B54" s="1" t="s">
        <v>5</v>
      </c>
      <c r="C54" s="6">
        <v>374</v>
      </c>
      <c r="D54" s="26">
        <v>0</v>
      </c>
    </row>
    <row r="55" spans="2:4" x14ac:dyDescent="0.25">
      <c r="B55" s="1" t="s">
        <v>6</v>
      </c>
      <c r="C55" s="6">
        <v>625</v>
      </c>
      <c r="D55" s="25">
        <v>998</v>
      </c>
    </row>
    <row r="56" spans="2:4" x14ac:dyDescent="0.25">
      <c r="B56" s="1" t="s">
        <v>7</v>
      </c>
      <c r="C56" s="6">
        <v>2422</v>
      </c>
      <c r="D56" s="25">
        <v>5220</v>
      </c>
    </row>
    <row r="57" spans="2:4" x14ac:dyDescent="0.25">
      <c r="B57" s="3" t="s">
        <v>8</v>
      </c>
      <c r="C57" s="8">
        <f>SUM(C53:C56)</f>
        <v>4069</v>
      </c>
      <c r="D57" s="4">
        <f>SUM(D53:D56)</f>
        <v>24226.06</v>
      </c>
    </row>
    <row r="59" spans="2:4" x14ac:dyDescent="0.25">
      <c r="B59" s="12" t="s">
        <v>13</v>
      </c>
      <c r="C59" s="13">
        <f>SUM(C10+C19+C36+C41+C28+C57+C49)</f>
        <v>96511</v>
      </c>
      <c r="D59" s="13">
        <f>SUM(D10+D19+D36+D41+D28+D57+D49)</f>
        <v>1843860.27</v>
      </c>
    </row>
  </sheetData>
  <mergeCells count="7">
    <mergeCell ref="B38:D38"/>
    <mergeCell ref="B43:D43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26 JUN'!C6, 'REPORTE DIARIO'!C:C)</f>
        <v>15066</v>
      </c>
      <c r="E6" s="16">
        <f>SUMIF('REPORTE DIARIO'!B:B,'EPR 26 JUN'!C6, 'REPORTE DIARIO'!D:D)</f>
        <v>836094.37999999989</v>
      </c>
      <c r="F6" s="16">
        <f>J6*D6</f>
        <v>947005.7142857142</v>
      </c>
      <c r="G6" s="16">
        <f>+E6-F6</f>
        <v>-110911.33428571431</v>
      </c>
      <c r="H6" s="15">
        <f>ABS(G6/F6)</f>
        <v>0.11711791450949161</v>
      </c>
      <c r="I6" s="16">
        <f>E6/D6</f>
        <v>55.495445373689094</v>
      </c>
      <c r="J6" s="16">
        <f>(220/7)*2</f>
        <v>62.857142857142854</v>
      </c>
      <c r="K6" s="16">
        <f>+I6-J6</f>
        <v>-7.3616974834537601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11932</v>
      </c>
      <c r="E7" s="16">
        <f>SUMIF('REPORTE DIARIO'!B:B,'EPR 26 JUN'!C7, 'REPORTE DIARIO'!D:D)</f>
        <v>299189.27999999997</v>
      </c>
      <c r="F7" s="16">
        <f>J7*D7</f>
        <v>375005.71428571426</v>
      </c>
      <c r="G7" s="16">
        <f>+E7-F7</f>
        <v>-75816.434285714291</v>
      </c>
      <c r="H7" s="15">
        <f>ABS(G7/F7)</f>
        <v>0.20217407734739282</v>
      </c>
      <c r="I7" s="16">
        <f>E7/D7</f>
        <v>25.074528997653367</v>
      </c>
      <c r="J7" s="16">
        <f>(110/7)*2</f>
        <v>31.428571428571427</v>
      </c>
      <c r="K7" s="16">
        <f t="shared" ref="K7:K9" si="0">+I7-J7</f>
        <v>-6.3540424309180601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15045</v>
      </c>
      <c r="E8" s="16">
        <f>SUMIF('REPORTE DIARIO'!B:B,'EPR 26 JUN'!C8, 'REPORTE DIARIO'!D:D)</f>
        <v>304089.40000000002</v>
      </c>
      <c r="F8" s="16">
        <f>J8*D8</f>
        <v>193435.71428571429</v>
      </c>
      <c r="G8" s="16">
        <f>+E8-F8</f>
        <v>110653.68571428573</v>
      </c>
      <c r="H8" s="15">
        <f>ABS(G8/F8)</f>
        <v>0.5720437206897826</v>
      </c>
      <c r="I8" s="16">
        <f>E8/D8</f>
        <v>20.211990694582919</v>
      </c>
      <c r="J8" s="16">
        <f>(45/7)*2</f>
        <v>12.857142857142858</v>
      </c>
      <c r="K8" s="16">
        <f t="shared" si="0"/>
        <v>7.3548478374400617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26 JUN'!C9, 'REPORTE DIARIO'!C:C)</f>
        <v>54456</v>
      </c>
      <c r="E9" s="16">
        <f>SUMIF('REPORTE DIARIO'!B:B,'EPR 26 JUN'!C9, 'REPORTE DIARIO'!D:D)</f>
        <v>404487.20999999996</v>
      </c>
      <c r="F9" s="16">
        <f>J9*D9</f>
        <v>233382.85714285713</v>
      </c>
      <c r="G9" s="16">
        <f>+E9-F9</f>
        <v>171104.35285714283</v>
      </c>
      <c r="H9" s="15">
        <f>ABS(G9/F9)</f>
        <v>0.733148762303511</v>
      </c>
      <c r="I9" s="16">
        <f>E9/D9</f>
        <v>7.4277804098721898</v>
      </c>
      <c r="J9" s="16">
        <f>(15/7)*2</f>
        <v>4.2857142857142856</v>
      </c>
      <c r="K9" s="16">
        <f t="shared" si="0"/>
        <v>3.1420661241579042</v>
      </c>
    </row>
    <row r="10" spans="2:12" x14ac:dyDescent="0.25">
      <c r="B10" s="16"/>
      <c r="C10" s="19" t="s">
        <v>17</v>
      </c>
      <c r="D10" s="24">
        <f>SUM(D6:D9)</f>
        <v>96499</v>
      </c>
      <c r="E10" s="20">
        <f>SUM(E6:E9)</f>
        <v>1843860.27</v>
      </c>
      <c r="F10" s="20">
        <f>SUM(F6:F9)</f>
        <v>1748829.9999999998</v>
      </c>
      <c r="G10" s="20">
        <f>+E10-F10</f>
        <v>95030.270000000251</v>
      </c>
      <c r="H10" s="21">
        <f>ABS(G10/F10)</f>
        <v>5.4339341159518231E-2</v>
      </c>
      <c r="I10" s="20">
        <f>E10/D10</f>
        <v>19.107558316666495</v>
      </c>
      <c r="J10" s="20">
        <f>F10/D10</f>
        <v>18.122778474388333</v>
      </c>
      <c r="K10" s="20">
        <f>I10-J10</f>
        <v>0.98477984227816151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2025-07-03T02:21:12Z</dcterms:modified>
</cp:coreProperties>
</file>