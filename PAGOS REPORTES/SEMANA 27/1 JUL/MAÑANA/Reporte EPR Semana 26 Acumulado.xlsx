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1 JUL\MAÑANA\"/>
    </mc:Choice>
  </mc:AlternateContent>
  <xr:revisionPtr revIDLastSave="0" documentId="13_ncr:1_{098F196B-A32C-4D12-8BF1-E5398CC69FCE}" xr6:coauthVersionLast="47" xr6:coauthVersionMax="47" xr10:uidLastSave="{00000000-0000-0000-0000-000000000000}"/>
  <bookViews>
    <workbookView xWindow="5580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9" i="1"/>
  <c r="C49" i="1"/>
  <c r="D57" i="1"/>
  <c r="D41" i="1" l="1"/>
  <c r="C41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<sst xmlns="http://schemas.openxmlformats.org/spreadsheetml/2006/main" count="89" uniqueCount="37">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</sst>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3862</v>
      </c>
      <c r="D5" s="25">
        <v>151537.73000000001</v>
      </c>
    </row>
    <row r="6" spans="2:8" x14ac:dyDescent="0.25">
      <c r="B6" s="1" t="s">
        <v>5</v>
      </c>
      <c r="C6" s="6">
        <v>4120</v>
      </c>
      <c r="D6" s="25">
        <v>58494.289999999994</v>
      </c>
    </row>
    <row r="7" spans="2:8" x14ac:dyDescent="0.25">
      <c r="B7" s="1" t="s">
        <v>6</v>
      </c>
      <c r="C7" s="6">
        <v>6894</v>
      </c>
      <c r="D7" s="25">
        <v>113931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15493</v>
      </c>
      <c r="D9" s="25">
        <v>156854.91999999998</v>
      </c>
      <c r="E9" s="14"/>
      <c r="F9" s="7"/>
    </row>
    <row r="10" spans="2:8" x14ac:dyDescent="0.25">
      <c r="B10" s="3" t="s">
        <v>8</v>
      </c>
      <c r="C10" s="8">
        <f>SUM(C5:C9)</f>
        <v>30380</v>
      </c>
      <c r="D10" s="4">
        <f>SUM(D5:D9)</f>
        <v>480817.94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2626</v>
      </c>
      <c r="D14" s="25">
        <v>59232.12</v>
      </c>
    </row>
    <row r="15" spans="2:8" x14ac:dyDescent="0.25">
      <c r="B15" s="1" t="s">
        <v>5</v>
      </c>
      <c r="C15" s="6">
        <v>1811</v>
      </c>
      <c r="D15" s="25">
        <v>21288.240000000002</v>
      </c>
    </row>
    <row r="16" spans="2:8" x14ac:dyDescent="0.25">
      <c r="B16" s="1" t="s">
        <v>6</v>
      </c>
      <c r="C16" s="6">
        <v>2162</v>
      </c>
      <c r="D16" s="25">
        <v>22065</v>
      </c>
    </row>
    <row r="17" spans="2:4" x14ac:dyDescent="0.25">
      <c r="B17" s="5" t="s">
        <v>12</v>
      </c>
      <c r="C17" s="7">
        <v>0</v>
      </c>
      <c r="D17" s="26">
        <v>0</v>
      </c>
    </row>
    <row r="18" spans="2:4" x14ac:dyDescent="0.25">
      <c r="B18" s="1" t="s">
        <v>7</v>
      </c>
      <c r="C18" s="6">
        <v>12669</v>
      </c>
      <c r="D18" s="25">
        <v>28582.79</v>
      </c>
    </row>
    <row r="19" spans="2:4" x14ac:dyDescent="0.25">
      <c r="B19" s="3" t="s">
        <v>8</v>
      </c>
      <c r="C19" s="8">
        <f>SUM(C14:C18)</f>
        <v>19268</v>
      </c>
      <c r="D19" s="4">
        <f>SUM(D14:D18)</f>
        <v>131168.15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3028</v>
      </c>
      <c r="D23" s="25">
        <v>73953.050000000017</v>
      </c>
    </row>
    <row r="24" spans="2:4" x14ac:dyDescent="0.25">
      <c r="B24" s="9" t="s">
        <v>5</v>
      </c>
      <c r="C24" s="6">
        <v>1080</v>
      </c>
      <c r="D24" s="25">
        <v>8211.56</v>
      </c>
    </row>
    <row r="25" spans="2:4" x14ac:dyDescent="0.25">
      <c r="B25" s="9" t="s">
        <v>6</v>
      </c>
      <c r="C25" s="6">
        <v>2519</v>
      </c>
      <c r="D25" s="25">
        <v>17320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17363</v>
      </c>
      <c r="D27" s="25">
        <v>25999.339999999997</v>
      </c>
    </row>
    <row r="28" spans="2:4" x14ac:dyDescent="0.25">
      <c r="B28" s="10" t="s">
        <v>8</v>
      </c>
      <c r="C28" s="8">
        <f>SUM(C23:C27)</f>
        <v>23991</v>
      </c>
      <c r="D28" s="4">
        <f>SUM(D23:D27)</f>
        <v>125483.95000000001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485</v>
      </c>
      <c r="D32" s="25">
        <v>45444.86</v>
      </c>
    </row>
    <row r="33" spans="2:4" x14ac:dyDescent="0.25">
      <c r="B33" s="9" t="s">
        <v>5</v>
      </c>
      <c r="C33" s="6">
        <v>2806</v>
      </c>
      <c r="D33" s="25">
        <v>37737</v>
      </c>
    </row>
    <row r="34" spans="2:4" x14ac:dyDescent="0.25">
      <c r="B34" s="9" t="s">
        <v>6</v>
      </c>
      <c r="C34" s="6">
        <v>742</v>
      </c>
      <c r="D34" s="25">
        <v>7665.02</v>
      </c>
    </row>
    <row r="35" spans="2:4" x14ac:dyDescent="0.25">
      <c r="B35" s="9" t="s">
        <v>7</v>
      </c>
      <c r="C35" s="6">
        <v>4012</v>
      </c>
      <c r="D35" s="25">
        <v>2500</v>
      </c>
    </row>
    <row r="36" spans="2:4" x14ac:dyDescent="0.25">
      <c r="B36" s="10" t="s">
        <v>8</v>
      </c>
      <c r="C36" s="8">
        <f>SUM(C32:C35)</f>
        <v>8045</v>
      </c>
      <c r="D36" s="4">
        <f>SUM(D32:D35)</f>
        <v>93346.880000000005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1872</v>
      </c>
      <c r="D40" s="25">
        <v>61925</v>
      </c>
    </row>
    <row r="41" spans="2:4" x14ac:dyDescent="0.25">
      <c r="B41" s="10" t="s">
        <v>8</v>
      </c>
      <c r="C41" s="8">
        <f>SUM(C40:C40)</f>
        <v>1872</v>
      </c>
      <c r="D41" s="4">
        <f>SUM(D40:D40)</f>
        <v>61925</v>
      </c>
    </row>
    <row r="43" spans="2:4" x14ac:dyDescent="0.25">
      <c r="B43" s="28" t="s">
        <v>32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2655</v>
      </c>
      <c r="D45" s="25">
        <v>5489.5</v>
      </c>
    </row>
    <row r="46" spans="2:4" x14ac:dyDescent="0.25">
      <c r="B46" s="1" t="s">
        <v>5</v>
      </c>
      <c r="C46" s="6">
        <v>1476</v>
      </c>
      <c r="D46" s="25">
        <v>5091</v>
      </c>
    </row>
    <row r="47" spans="2:4" x14ac:dyDescent="0.25">
      <c r="B47" s="1" t="s">
        <v>6</v>
      </c>
      <c r="C47" s="6">
        <v>1939</v>
      </c>
      <c r="D47" s="25">
        <v>3233</v>
      </c>
    </row>
    <row r="48" spans="2:4" x14ac:dyDescent="0.25">
      <c r="B48" s="1" t="s">
        <v>7</v>
      </c>
      <c r="C48" s="6">
        <v>2455</v>
      </c>
      <c r="D48" s="25">
        <v>18728</v>
      </c>
    </row>
    <row r="49" spans="2:4" x14ac:dyDescent="0.25">
      <c r="B49" s="3" t="s">
        <v>8</v>
      </c>
      <c r="C49" s="8">
        <f>SUM(C45:C48)</f>
        <v>8525</v>
      </c>
      <c r="D49" s="4">
        <f>SUM(D45:D48)</f>
        <v>32541.5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574</v>
      </c>
      <c r="D53" s="25">
        <v>8174.18</v>
      </c>
    </row>
    <row r="54" spans="2:4" x14ac:dyDescent="0.25">
      <c r="B54" s="1" t="s">
        <v>5</v>
      </c>
      <c r="C54" s="6">
        <v>380</v>
      </c>
      <c r="D54" s="26">
        <v>0</v>
      </c>
    </row>
    <row r="55" spans="2:4" x14ac:dyDescent="0.25">
      <c r="B55" s="1" t="s">
        <v>6</v>
      </c>
      <c r="C55" s="6">
        <v>622</v>
      </c>
      <c r="D55" s="26">
        <v>0</v>
      </c>
    </row>
    <row r="56" spans="2:4" x14ac:dyDescent="0.25">
      <c r="B56" s="1" t="s">
        <v>7</v>
      </c>
      <c r="C56" s="6">
        <v>2422</v>
      </c>
      <c r="D56" s="25">
        <v>1364</v>
      </c>
    </row>
    <row r="57" spans="2:4" x14ac:dyDescent="0.25">
      <c r="B57" s="3" t="s">
        <v>8</v>
      </c>
      <c r="C57" s="8">
        <f>SUM(C53:C56)</f>
        <v>3998</v>
      </c>
      <c r="D57" s="4">
        <f>SUM(D53:D56)</f>
        <v>9538.18</v>
      </c>
    </row>
    <row r="59" spans="2:4" x14ac:dyDescent="0.25">
      <c r="B59" s="12" t="s">
        <v>13</v>
      </c>
      <c r="C59" s="13">
        <f>SUM(C10+C28+C36+C41+C19+C57+C49)</f>
        <v>96079</v>
      </c>
      <c r="D59" s="13">
        <f>SUM(D10+D28+D36+D41+D19+D57+D49)</f>
        <v>934821.60000000009</v>
      </c>
    </row>
  </sheetData>
  <mergeCells count="7">
    <mergeCell ref="B38:D38"/>
    <mergeCell ref="B43:D43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15102</v>
      </c>
      <c r="E6" s="16">
        <f>SUMIF('REPORTE DIARIO'!B:B,'EPR 26 JUN'!C6, 'REPORTE DIARIO'!D:D)</f>
        <v>405756.44</v>
      </c>
      <c r="F6" s="16">
        <f>J6*D6</f>
        <v>949268.57142857136</v>
      </c>
      <c r="G6" s="16">
        <f>+E6-F6</f>
        <v>-543512.13142857142</v>
      </c>
      <c r="H6" s="15">
        <f>ABS(G6/F6)</f>
        <v>0.5725588603556423</v>
      </c>
      <c r="I6" s="16">
        <f>E6/D6</f>
        <v>26.867728777645347</v>
      </c>
      <c r="J6" s="16">
        <f>(220/7)*2</f>
        <v>62.857142857142854</v>
      </c>
      <c r="K6" s="16">
        <f>+I6-J6</f>
        <v>-35.989414079497507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11673</v>
      </c>
      <c r="E7" s="16">
        <f>SUMIF('REPORTE DIARIO'!B:B,'EPR 26 JUN'!C7, 'REPORTE DIARIO'!D:D)</f>
        <v>130822.09</v>
      </c>
      <c r="F7" s="16">
        <f>J7*D7</f>
        <v>366865.71428571426</v>
      </c>
      <c r="G7" s="16">
        <f>+E7-F7</f>
        <v>-236043.62428571426</v>
      </c>
      <c r="H7" s="15">
        <f>ABS(G7/F7)</f>
        <v>0.64340606138485856</v>
      </c>
      <c r="I7" s="16">
        <f>E7/D7</f>
        <v>11.207238070761587</v>
      </c>
      <c r="J7" s="16">
        <f>(110/7)*2</f>
        <v>31.428571428571427</v>
      </c>
      <c r="K7" s="16">
        <f t="shared" ref="K7:K9" si="0">+I7-J7</f>
        <v>-20.22133335780984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14878</v>
      </c>
      <c r="E8" s="16">
        <f>SUMIF('REPORTE DIARIO'!B:B,'EPR 26 JUN'!C8, 'REPORTE DIARIO'!D:D)</f>
        <v>164214.01999999999</v>
      </c>
      <c r="F8" s="16">
        <f>J8*D8</f>
        <v>191288.57142857145</v>
      </c>
      <c r="G8" s="16">
        <f>+E8-F8</f>
        <v>-27074.55142857146</v>
      </c>
      <c r="H8" s="15">
        <f>ABS(G8/F8)</f>
        <v>0.14153773655359905</v>
      </c>
      <c r="I8" s="16">
        <f>E8/D8</f>
        <v>11.037371958596585</v>
      </c>
      <c r="J8" s="16">
        <f>(45/7)*2</f>
        <v>12.857142857142858</v>
      </c>
      <c r="K8" s="16">
        <f t="shared" si="0"/>
        <v>-1.8197708985462722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54414</v>
      </c>
      <c r="E9" s="16">
        <f>SUMIF('REPORTE DIARIO'!B:B,'EPR 26 JUN'!C9, 'REPORTE DIARIO'!D:D)</f>
        <v>234029.05</v>
      </c>
      <c r="F9" s="16">
        <f>J9*D9</f>
        <v>233202.85714285713</v>
      </c>
      <c r="G9" s="16">
        <f>+E9-F9</f>
        <v>826.19285714285797</v>
      </c>
      <c r="H9" s="15">
        <f>ABS(G9/F9)</f>
        <v>3.5428076107864434E-3</v>
      </c>
      <c r="I9" s="16">
        <f>E9/D9</f>
        <v>4.3008977469033702</v>
      </c>
      <c r="J9" s="16">
        <f>(15/7)*2</f>
        <v>4.2857142857142856</v>
      </c>
      <c r="K9" s="16">
        <f t="shared" si="0"/>
        <v>1.5183461189084646E-2</v>
      </c>
    </row>
    <row r="10" spans="2:12" x14ac:dyDescent="0.25">
      <c r="B10" s="16"/>
      <c r="C10" s="19" t="s">
        <v>17</v>
      </c>
      <c r="D10" s="24">
        <f>SUM(D6:D9)</f>
        <v>96067</v>
      </c>
      <c r="E10" s="20">
        <f>SUM(E6:E9)</f>
        <v>934821.60000000009</v>
      </c>
      <c r="F10" s="20">
        <f>SUM(F6:F9)</f>
        <v>1740625.7142857141</v>
      </c>
      <c r="G10" s="20">
        <f>+E10-F10</f>
        <v>-805804.11428571399</v>
      </c>
      <c r="H10" s="21">
        <f>ABS(G10/F10)</f>
        <v>0.46293933708567842</v>
      </c>
      <c r="I10" s="20">
        <f>E10/D10</f>
        <v>9.7309336192449027</v>
      </c>
      <c r="J10" s="20">
        <f>F10/D10</f>
        <v>18.118872394117794</v>
      </c>
      <c r="K10" s="20">
        <f>I10-J10</f>
        <v>-8.3879387748728913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2025-07-01T15:26:12Z</dcterms:modified>
</cp:coreProperties>
</file>