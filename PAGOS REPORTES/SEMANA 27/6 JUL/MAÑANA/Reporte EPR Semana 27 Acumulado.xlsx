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7\6 JUL\MAÑANA\"/>
    </mc:Choice>
  </mc:AlternateContent>
  <xr:revisionPtr revIDLastSave="0" documentId="13_ncr:1_{D403EAF9-DC5E-48BB-AD20-CBDEDA9D86A2}" xr6:coauthVersionLast="47" xr6:coauthVersionMax="47" xr10:uidLastSave="{00000000-0000-0000-0000-000000000000}"/>
  <bookViews>
    <workbookView xWindow="11190" yWindow="1035" windowWidth="19860" windowHeight="1953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19" i="1" l="1"/>
  <c r="D19" i="1"/>
  <c r="D28" i="1"/>
  <c r="C28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<sst xmlns="http://schemas.openxmlformats.org/spreadsheetml/2006/main" count="89" uniqueCount="37">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</sst>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2" zoomScaleNormal="100" workbookViewId="0">
      <selection activeCell="B51" sqref="B51:D5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4133</v>
      </c>
      <c r="D5" s="25">
        <v>710044.56</v>
      </c>
    </row>
    <row r="6" spans="2:8" x14ac:dyDescent="0.25">
      <c r="B6" s="1" t="s">
        <v>5</v>
      </c>
      <c r="C6" s="6">
        <v>3637</v>
      </c>
      <c r="D6" s="25">
        <v>312043.94</v>
      </c>
    </row>
    <row r="7" spans="2:8" x14ac:dyDescent="0.25">
      <c r="B7" s="1" t="s">
        <v>6</v>
      </c>
      <c r="C7" s="6">
        <v>6841</v>
      </c>
      <c r="D7" s="25">
        <v>419892.44</v>
      </c>
    </row>
    <row r="8" spans="2:8" x14ac:dyDescent="0.25">
      <c r="B8" s="5" t="s">
        <v>12</v>
      </c>
      <c r="C8" s="7">
        <v>1837</v>
      </c>
      <c r="D8" s="25">
        <v>1375</v>
      </c>
    </row>
    <row r="9" spans="2:8" x14ac:dyDescent="0.25">
      <c r="B9" s="1" t="s">
        <v>7</v>
      </c>
      <c r="C9" s="6">
        <v>15870</v>
      </c>
      <c r="D9" s="25">
        <v>489262.99000000005</v>
      </c>
      <c r="E9" s="14"/>
      <c r="F9" s="7"/>
    </row>
    <row r="10" spans="2:8" x14ac:dyDescent="0.25">
      <c r="B10" s="3" t="s">
        <v>8</v>
      </c>
      <c r="C10" s="8">
        <f>SUM(C5:C9)</f>
        <v>32318</v>
      </c>
      <c r="D10" s="4">
        <f>SUM(D5:D9)</f>
        <v>1932618.93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4338</v>
      </c>
      <c r="D14" s="25">
        <v>273236.46000000008</v>
      </c>
    </row>
    <row r="15" spans="2:8" x14ac:dyDescent="0.25">
      <c r="B15" s="1" t="s">
        <v>5</v>
      </c>
      <c r="C15" s="6">
        <v>2565</v>
      </c>
      <c r="D15" s="25">
        <v>63037.85</v>
      </c>
    </row>
    <row r="16" spans="2:8" x14ac:dyDescent="0.25">
      <c r="B16" s="1" t="s">
        <v>6</v>
      </c>
      <c r="C16" s="6">
        <v>3769</v>
      </c>
      <c r="D16" s="25">
        <v>152890.23000000001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14375</v>
      </c>
      <c r="D18" s="25">
        <v>158014.58000000002</v>
      </c>
    </row>
    <row r="19" spans="2:4" x14ac:dyDescent="0.25">
      <c r="B19" s="3" t="s">
        <v>8</v>
      </c>
      <c r="C19" s="8">
        <f>SUM(C14:C18)</f>
        <v>25047</v>
      </c>
      <c r="D19" s="4">
        <f>SUM(D14:D18)</f>
        <v>647179.12000000011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2571</v>
      </c>
      <c r="D23" s="25">
        <v>419607.29000000004</v>
      </c>
    </row>
    <row r="24" spans="2:4" x14ac:dyDescent="0.25">
      <c r="B24" s="9" t="s">
        <v>5</v>
      </c>
      <c r="C24" s="6">
        <v>842</v>
      </c>
      <c r="D24" s="25">
        <v>40444.69</v>
      </c>
    </row>
    <row r="25" spans="2:4" x14ac:dyDescent="0.25">
      <c r="B25" s="9" t="s">
        <v>6</v>
      </c>
      <c r="C25" s="6">
        <v>2349</v>
      </c>
      <c r="D25" s="25">
        <v>72402.45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17264</v>
      </c>
      <c r="D27" s="25">
        <v>108831.90000000001</v>
      </c>
    </row>
    <row r="28" spans="2:4" x14ac:dyDescent="0.25">
      <c r="B28" s="10" t="s">
        <v>8</v>
      </c>
      <c r="C28" s="8">
        <f>SUM(C23:C27)</f>
        <v>23027</v>
      </c>
      <c r="D28" s="4">
        <f>SUM(D23:D27)</f>
        <v>641286.33000000007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471</v>
      </c>
      <c r="D32" s="25">
        <v>138611.80000000002</v>
      </c>
    </row>
    <row r="33" spans="2:4" x14ac:dyDescent="0.25">
      <c r="B33" s="9" t="s">
        <v>5</v>
      </c>
      <c r="C33" s="6">
        <v>1541</v>
      </c>
      <c r="D33" s="25">
        <v>184403.77999999997</v>
      </c>
    </row>
    <row r="34" spans="2:4" x14ac:dyDescent="0.25">
      <c r="B34" s="9" t="s">
        <v>6</v>
      </c>
      <c r="C34" s="6">
        <v>806</v>
      </c>
      <c r="D34" s="25">
        <v>43331.02</v>
      </c>
    </row>
    <row r="35" spans="2:4" x14ac:dyDescent="0.25">
      <c r="B35" s="9" t="s">
        <v>7</v>
      </c>
      <c r="C35" s="6">
        <v>4323</v>
      </c>
      <c r="D35" s="25">
        <v>24158</v>
      </c>
    </row>
    <row r="36" spans="2:4" x14ac:dyDescent="0.25">
      <c r="B36" s="10" t="s">
        <v>8</v>
      </c>
      <c r="C36" s="8">
        <f>SUM(C32:C35)</f>
        <v>7141</v>
      </c>
      <c r="D36" s="4">
        <f>SUM(D32:D35)</f>
        <v>390504.6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645</v>
      </c>
      <c r="D40" s="25">
        <v>113717.63999999998</v>
      </c>
    </row>
    <row r="41" spans="2:4" x14ac:dyDescent="0.25">
      <c r="B41" s="1" t="s">
        <v>5</v>
      </c>
      <c r="C41" s="6">
        <v>301</v>
      </c>
      <c r="D41" s="25">
        <v>6091</v>
      </c>
    </row>
    <row r="42" spans="2:4" x14ac:dyDescent="0.25">
      <c r="B42" s="1" t="s">
        <v>6</v>
      </c>
      <c r="C42" s="6">
        <v>382</v>
      </c>
      <c r="D42" s="25">
        <v>15347</v>
      </c>
    </row>
    <row r="43" spans="2:4" x14ac:dyDescent="0.25">
      <c r="B43" s="1" t="s">
        <v>7</v>
      </c>
      <c r="C43" s="6">
        <v>419</v>
      </c>
      <c r="D43" s="25">
        <v>36854</v>
      </c>
    </row>
    <row r="44" spans="2:4" x14ac:dyDescent="0.25">
      <c r="B44" s="3" t="s">
        <v>8</v>
      </c>
      <c r="C44" s="8">
        <f>SUM(C40:C43)</f>
        <v>1747</v>
      </c>
      <c r="D44" s="4">
        <f>SUM(D40:D43)</f>
        <v>172009.63999999998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1784</v>
      </c>
      <c r="D48" s="25">
        <v>113735.3</v>
      </c>
    </row>
    <row r="49" spans="2:4" x14ac:dyDescent="0.25">
      <c r="B49" s="10" t="s">
        <v>8</v>
      </c>
      <c r="C49" s="8">
        <f>SUM(C48:C48)</f>
        <v>1784</v>
      </c>
      <c r="D49" s="4">
        <f>SUM(D48:D48)</f>
        <v>113735.3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891</v>
      </c>
      <c r="D53" s="25">
        <v>59483.06</v>
      </c>
    </row>
    <row r="54" spans="2:4" x14ac:dyDescent="0.25">
      <c r="B54" s="1" t="s">
        <v>5</v>
      </c>
      <c r="C54" s="6">
        <v>176</v>
      </c>
      <c r="D54" s="25">
        <v>2863</v>
      </c>
    </row>
    <row r="55" spans="2:4" x14ac:dyDescent="0.25">
      <c r="B55" s="1" t="s">
        <v>6</v>
      </c>
      <c r="C55" s="6">
        <v>600</v>
      </c>
      <c r="D55" s="25">
        <v>6771</v>
      </c>
    </row>
    <row r="56" spans="2:4" x14ac:dyDescent="0.25">
      <c r="B56" s="1" t="s">
        <v>7</v>
      </c>
      <c r="C56" s="6">
        <v>2409</v>
      </c>
      <c r="D56" s="25">
        <v>11255</v>
      </c>
    </row>
    <row r="57" spans="2:4" x14ac:dyDescent="0.25">
      <c r="B57" s="3" t="s">
        <v>8</v>
      </c>
      <c r="C57" s="8">
        <f>SUM(C53:C56)</f>
        <v>4076</v>
      </c>
      <c r="D57" s="4">
        <f>SUM(D53:D56)</f>
        <v>80372.06</v>
      </c>
    </row>
    <row r="59" spans="2:4" x14ac:dyDescent="0.25">
      <c r="B59" s="12" t="s">
        <v>13</v>
      </c>
      <c r="C59" s="13">
        <f>SUM(C10+C28+C36+C49+C19+C57+C44)</f>
        <v>95140</v>
      </c>
      <c r="D59" s="13">
        <f>SUM(D10+D28+D36+D49+D19+D57+D44)</f>
        <v>3977705.98</v>
      </c>
    </row>
  </sheetData>
  <mergeCells count="7">
    <mergeCell ref="B46:D46"/>
    <mergeCell ref="B38:D38"/>
    <mergeCell ref="B12:D12"/>
    <mergeCell ref="B51:D51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26 JUN'!C6, 'REPORTE DIARIO'!C:C)</f>
        <v>14833</v>
      </c>
      <c r="E6" s="16">
        <f>SUMIF('REPORTE DIARIO'!B:B,'EPR 26 JUN'!C6, 'REPORTE DIARIO'!D:D)</f>
        <v>1828436.11</v>
      </c>
      <c r="F6" s="16">
        <f>J6*D6</f>
        <v>932360</v>
      </c>
      <c r="G6" s="16">
        <f>+E6-F6</f>
        <v>896076.1100000001</v>
      </c>
      <c r="H6" s="15">
        <f>ABS(G6/F6)</f>
        <v>0.96108381955467859</v>
      </c>
      <c r="I6" s="16">
        <f>E6/D6</f>
        <v>123.2681258005798</v>
      </c>
      <c r="J6" s="16">
        <f>(220/7)*2</f>
        <v>62.857142857142854</v>
      </c>
      <c r="K6" s="16">
        <f>+I6-J6</f>
        <v>60.410982943436942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9062</v>
      </c>
      <c r="E7" s="16">
        <f>SUMIF('REPORTE DIARIO'!B:B,'EPR 26 JUN'!C7, 'REPORTE DIARIO'!D:D)</f>
        <v>608884.26</v>
      </c>
      <c r="F7" s="16">
        <f>J7*D7</f>
        <v>284805.71428571426</v>
      </c>
      <c r="G7" s="16">
        <f>+E7-F7</f>
        <v>324078.54571428575</v>
      </c>
      <c r="H7" s="15">
        <f>ABS(G7/F7)</f>
        <v>1.1378934110471302</v>
      </c>
      <c r="I7" s="16">
        <f>E7/D7</f>
        <v>67.190935775766945</v>
      </c>
      <c r="J7" s="16">
        <f>(110/7)*2</f>
        <v>31.428571428571427</v>
      </c>
      <c r="K7" s="16">
        <f t="shared" ref="K7:K9" si="0">+I7-J7</f>
        <v>35.762364347195515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14747</v>
      </c>
      <c r="E8" s="16">
        <f>SUMIF('REPORTE DIARIO'!B:B,'EPR 26 JUN'!C8, 'REPORTE DIARIO'!D:D)</f>
        <v>710634.14</v>
      </c>
      <c r="F8" s="16">
        <f>J8*D8</f>
        <v>189604.28571428571</v>
      </c>
      <c r="G8" s="16">
        <f>+E8-F8</f>
        <v>521029.85428571433</v>
      </c>
      <c r="H8" s="15">
        <f>ABS(G8/F8)</f>
        <v>2.7479856392637299</v>
      </c>
      <c r="I8" s="16">
        <f>E8/D8</f>
        <v>48.18838679053367</v>
      </c>
      <c r="J8" s="16">
        <f>(45/7)*2</f>
        <v>12.857142857142858</v>
      </c>
      <c r="K8" s="16">
        <f t="shared" si="0"/>
        <v>35.331243933390809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26 JUN'!C9, 'REPORTE DIARIO'!C:C)</f>
        <v>54660</v>
      </c>
      <c r="E9" s="16">
        <f>SUMIF('REPORTE DIARIO'!B:B,'EPR 26 JUN'!C9, 'REPORTE DIARIO'!D:D)</f>
        <v>828376.47000000009</v>
      </c>
      <c r="F9" s="16">
        <f>J9*D9</f>
        <v>234257.14285714284</v>
      </c>
      <c r="G9" s="16">
        <f>+E9-F9</f>
        <v>594119.32714285725</v>
      </c>
      <c r="H9" s="15">
        <f>ABS(G9/F9)</f>
        <v>2.536184467618003</v>
      </c>
      <c r="I9" s="16">
        <f>E9/D9</f>
        <v>15.15507628979144</v>
      </c>
      <c r="J9" s="16">
        <f>(15/7)*2</f>
        <v>4.2857142857142856</v>
      </c>
      <c r="K9" s="16">
        <f t="shared" si="0"/>
        <v>10.869362004077153</v>
      </c>
    </row>
    <row r="10" spans="2:12" x14ac:dyDescent="0.25">
      <c r="B10" s="16"/>
      <c r="C10" s="19" t="s">
        <v>17</v>
      </c>
      <c r="D10" s="24">
        <f>SUM(D6:D9)</f>
        <v>93302</v>
      </c>
      <c r="E10" s="20">
        <f>SUM(E6:E9)</f>
        <v>3976330.9800000004</v>
      </c>
      <c r="F10" s="20">
        <f>SUM(F6:F9)</f>
        <v>1641027.1428571427</v>
      </c>
      <c r="G10" s="20">
        <f>+E10-F10</f>
        <v>2335303.8371428577</v>
      </c>
      <c r="H10" s="21">
        <f>ABS(G10/F10)</f>
        <v>1.4230744733916654</v>
      </c>
      <c r="I10" s="20">
        <f>E10/D10</f>
        <v>42.617853636577998</v>
      </c>
      <c r="J10" s="20">
        <f>F10/D10</f>
        <v>17.588338329908712</v>
      </c>
      <c r="K10" s="20">
        <f>I10-J10</f>
        <v>25.029515306669285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2025-07-06T13:43:28Z</dcterms:modified>
</cp:coreProperties>
</file>