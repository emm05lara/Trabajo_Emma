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6 JUL\NOCHE\"/>
    </mc:Choice>
  </mc:AlternateContent>
  <xr:revisionPtr revIDLastSave="0" documentId="13_ncr:1_{69B58D8F-0785-4CF6-AC62-0E89DC286602}" xr6:coauthVersionLast="47" xr6:coauthVersionMax="47" xr10:uidLastSave="{00000000-0000-0000-0000-000000000000}"/>
  <bookViews>
    <workbookView xWindow="11280" yWindow="1035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<sst xmlns="http://schemas.openxmlformats.org/spreadsheetml/2006/main" count="89" uniqueCount="37">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</sst>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1" zoomScaleNormal="100" workbookViewId="0">
      <selection activeCell="D56" sqref="D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4212</v>
      </c>
      <c r="D5" s="25">
        <v>863518.1</v>
      </c>
    </row>
    <row r="6" spans="2:8" x14ac:dyDescent="0.25">
      <c r="B6" s="1" t="s">
        <v>5</v>
      </c>
      <c r="C6" s="6">
        <v>3688</v>
      </c>
      <c r="D6" s="25">
        <v>351808.94</v>
      </c>
    </row>
    <row r="7" spans="2:8" x14ac:dyDescent="0.25">
      <c r="B7" s="1" t="s">
        <v>6</v>
      </c>
      <c r="C7" s="6">
        <v>6921</v>
      </c>
      <c r="D7" s="25">
        <v>477830.44</v>
      </c>
    </row>
    <row r="8" spans="2:8" x14ac:dyDescent="0.25">
      <c r="B8" s="5" t="s">
        <v>12</v>
      </c>
      <c r="C8" s="7">
        <v>1977</v>
      </c>
      <c r="D8" s="25">
        <v>1675</v>
      </c>
    </row>
    <row r="9" spans="2:8" x14ac:dyDescent="0.25">
      <c r="B9" s="1" t="s">
        <v>7</v>
      </c>
      <c r="C9" s="6">
        <v>16125</v>
      </c>
      <c r="D9" s="25">
        <v>546717.99</v>
      </c>
      <c r="E9" s="14"/>
      <c r="F9" s="7"/>
    </row>
    <row r="10" spans="2:8" x14ac:dyDescent="0.25">
      <c r="B10" s="3" t="s">
        <v>8</v>
      </c>
      <c r="C10" s="8">
        <f>SUM(C5:C9)</f>
        <v>32923</v>
      </c>
      <c r="D10" s="4">
        <f>SUM(D5:D9)</f>
        <v>2241550.4699999997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2585</v>
      </c>
      <c r="D14" s="25">
        <v>438432.09</v>
      </c>
    </row>
    <row r="15" spans="2:8" x14ac:dyDescent="0.25">
      <c r="B15" s="9" t="s">
        <v>5</v>
      </c>
      <c r="C15" s="6">
        <v>850</v>
      </c>
      <c r="D15" s="25">
        <v>74196.69</v>
      </c>
    </row>
    <row r="16" spans="2:8" x14ac:dyDescent="0.25">
      <c r="B16" s="9" t="s">
        <v>6</v>
      </c>
      <c r="C16" s="6">
        <v>2358</v>
      </c>
      <c r="D16" s="25">
        <v>77290.45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17278</v>
      </c>
      <c r="D18" s="25">
        <v>119271.03000000001</v>
      </c>
    </row>
    <row r="19" spans="2:4" x14ac:dyDescent="0.25">
      <c r="B19" s="10" t="s">
        <v>8</v>
      </c>
      <c r="C19" s="8">
        <f>SUM(C14:C18)</f>
        <v>23072</v>
      </c>
      <c r="D19" s="4">
        <f>SUM(D14:D18)</f>
        <v>709190.26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4338</v>
      </c>
      <c r="D23" s="25">
        <v>329761.76000000007</v>
      </c>
    </row>
    <row r="24" spans="2:4" x14ac:dyDescent="0.25">
      <c r="B24" s="1" t="s">
        <v>5</v>
      </c>
      <c r="C24" s="6">
        <v>2619</v>
      </c>
      <c r="D24" s="25">
        <v>68172.850000000006</v>
      </c>
    </row>
    <row r="25" spans="2:4" x14ac:dyDescent="0.25">
      <c r="B25" s="1" t="s">
        <v>6</v>
      </c>
      <c r="C25" s="6">
        <v>3769</v>
      </c>
      <c r="D25" s="25">
        <v>180649.23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14375</v>
      </c>
      <c r="D27" s="25">
        <v>169903.6</v>
      </c>
    </row>
    <row r="28" spans="2:4" x14ac:dyDescent="0.25">
      <c r="B28" s="3" t="s">
        <v>8</v>
      </c>
      <c r="C28" s="8">
        <f>SUM(C23:C27)</f>
        <v>25101</v>
      </c>
      <c r="D28" s="4">
        <f>SUM(D23:D27)</f>
        <v>748487.44000000006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471</v>
      </c>
      <c r="D32" s="25">
        <v>144798.80000000002</v>
      </c>
    </row>
    <row r="33" spans="2:4" x14ac:dyDescent="0.25">
      <c r="B33" s="9" t="s">
        <v>5</v>
      </c>
      <c r="C33" s="6">
        <v>1549</v>
      </c>
      <c r="D33" s="25">
        <v>198358.77999999997</v>
      </c>
    </row>
    <row r="34" spans="2:4" x14ac:dyDescent="0.25">
      <c r="B34" s="9" t="s">
        <v>6</v>
      </c>
      <c r="C34" s="6">
        <v>816</v>
      </c>
      <c r="D34" s="25">
        <v>48937.75</v>
      </c>
    </row>
    <row r="35" spans="2:4" x14ac:dyDescent="0.25">
      <c r="B35" s="9" t="s">
        <v>7</v>
      </c>
      <c r="C35" s="6">
        <v>4323</v>
      </c>
      <c r="D35" s="25">
        <v>24158</v>
      </c>
    </row>
    <row r="36" spans="2:4" x14ac:dyDescent="0.25">
      <c r="B36" s="10" t="s">
        <v>8</v>
      </c>
      <c r="C36" s="8">
        <f>SUM(C32:C35)</f>
        <v>7159</v>
      </c>
      <c r="D36" s="4">
        <f>SUM(D32:D35)</f>
        <v>416253.32999999996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673</v>
      </c>
      <c r="D40" s="25">
        <v>124730.63999999998</v>
      </c>
    </row>
    <row r="41" spans="2:4" x14ac:dyDescent="0.25">
      <c r="B41" s="1" t="s">
        <v>5</v>
      </c>
      <c r="C41" s="6">
        <v>311</v>
      </c>
      <c r="D41" s="25">
        <v>6457</v>
      </c>
    </row>
    <row r="42" spans="2:4" x14ac:dyDescent="0.25">
      <c r="B42" s="1" t="s">
        <v>6</v>
      </c>
      <c r="C42" s="6">
        <v>425</v>
      </c>
      <c r="D42" s="25">
        <v>18437</v>
      </c>
    </row>
    <row r="43" spans="2:4" x14ac:dyDescent="0.25">
      <c r="B43" s="1" t="s">
        <v>7</v>
      </c>
      <c r="C43" s="6">
        <v>419</v>
      </c>
      <c r="D43" s="25">
        <v>37354</v>
      </c>
    </row>
    <row r="44" spans="2:4" x14ac:dyDescent="0.25">
      <c r="B44" s="3" t="s">
        <v>8</v>
      </c>
      <c r="C44" s="8">
        <f>SUM(C40:C43)</f>
        <v>1828</v>
      </c>
      <c r="D44" s="4">
        <f>SUM(D40:D43)</f>
        <v>186978.63999999998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1889</v>
      </c>
      <c r="D48" s="25">
        <v>123329.3</v>
      </c>
    </row>
    <row r="49" spans="2:4" x14ac:dyDescent="0.25">
      <c r="B49" s="10" t="s">
        <v>8</v>
      </c>
      <c r="C49" s="8">
        <f>SUM(C48:C48)</f>
        <v>1889</v>
      </c>
      <c r="D49" s="4">
        <f>SUM(D48:D48)</f>
        <v>123329.3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970</v>
      </c>
      <c r="D53" s="25">
        <v>74072.06</v>
      </c>
    </row>
    <row r="54" spans="2:4" x14ac:dyDescent="0.25">
      <c r="B54" s="1" t="s">
        <v>5</v>
      </c>
      <c r="C54" s="6">
        <v>176</v>
      </c>
      <c r="D54" s="25">
        <v>2863</v>
      </c>
    </row>
    <row r="55" spans="2:4" x14ac:dyDescent="0.25">
      <c r="B55" s="1" t="s">
        <v>6</v>
      </c>
      <c r="C55" s="6">
        <v>600</v>
      </c>
      <c r="D55" s="25">
        <v>6771</v>
      </c>
    </row>
    <row r="56" spans="2:4" x14ac:dyDescent="0.25">
      <c r="B56" s="1" t="s">
        <v>7</v>
      </c>
      <c r="C56" s="6">
        <v>2409</v>
      </c>
      <c r="D56" s="25">
        <v>12110</v>
      </c>
    </row>
    <row r="57" spans="2:4" x14ac:dyDescent="0.25">
      <c r="B57" s="3" t="s">
        <v>8</v>
      </c>
      <c r="C57" s="8">
        <f>SUM(C53:C56)</f>
        <v>4155</v>
      </c>
      <c r="D57" s="4">
        <f>SUM(D53:D56)</f>
        <v>95816.06</v>
      </c>
    </row>
    <row r="59" spans="2:4" x14ac:dyDescent="0.25">
      <c r="B59" s="12" t="s">
        <v>13</v>
      </c>
      <c r="C59" s="13">
        <f>SUM(C10+C19+C36+C49+C28+C57+C44)</f>
        <v>96127</v>
      </c>
      <c r="D59" s="13">
        <f>SUM(D10+D19+D36+D49+D28+D57+D44)</f>
        <v>4521605.4999999991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15138</v>
      </c>
      <c r="E6" s="16">
        <f>SUMIF('REPORTE DIARIO'!B:B,'EPR 26 JUN'!C6, 'REPORTE DIARIO'!D:D)</f>
        <v>2098642.75</v>
      </c>
      <c r="F6" s="16">
        <f>J6*D6</f>
        <v>951531.42857142852</v>
      </c>
      <c r="G6" s="16">
        <f>+E6-F6</f>
        <v>1147111.3214285714</v>
      </c>
      <c r="H6" s="15">
        <f>ABS(G6/F6)</f>
        <v>1.2055422311702038</v>
      </c>
      <c r="I6" s="16">
        <f>E6/D6</f>
        <v>138.63408310212711</v>
      </c>
      <c r="J6" s="16">
        <f>(220/7)*2</f>
        <v>62.857142857142854</v>
      </c>
      <c r="K6" s="16">
        <f>+I6-J6</f>
        <v>75.776940244984246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9193</v>
      </c>
      <c r="E7" s="16">
        <f>SUMIF('REPORTE DIARIO'!B:B,'EPR 26 JUN'!C7, 'REPORTE DIARIO'!D:D)</f>
        <v>701857.26</v>
      </c>
      <c r="F7" s="16">
        <f>J7*D7</f>
        <v>288922.8571428571</v>
      </c>
      <c r="G7" s="16">
        <f>+E7-F7</f>
        <v>412934.40285714291</v>
      </c>
      <c r="H7" s="15">
        <f>ABS(G7/F7)</f>
        <v>1.4292202664082359</v>
      </c>
      <c r="I7" s="16">
        <f>E7/D7</f>
        <v>76.346922658544543</v>
      </c>
      <c r="J7" s="16">
        <f>(110/7)*2</f>
        <v>31.428571428571427</v>
      </c>
      <c r="K7" s="16">
        <f t="shared" ref="K7:K9" si="0">+I7-J7</f>
        <v>44.918351229973112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14889</v>
      </c>
      <c r="E8" s="16">
        <f>SUMIF('REPORTE DIARIO'!B:B,'EPR 26 JUN'!C8, 'REPORTE DIARIO'!D:D)</f>
        <v>809915.87</v>
      </c>
      <c r="F8" s="16">
        <f>J8*D8</f>
        <v>191430</v>
      </c>
      <c r="G8" s="16">
        <f>+E8-F8</f>
        <v>618485.87</v>
      </c>
      <c r="H8" s="15">
        <f>ABS(G8/F8)</f>
        <v>3.230872224834143</v>
      </c>
      <c r="I8" s="16">
        <f>E8/D8</f>
        <v>54.396928605010409</v>
      </c>
      <c r="J8" s="16">
        <f>(45/7)*2</f>
        <v>12.857142857142858</v>
      </c>
      <c r="K8" s="16">
        <f t="shared" si="0"/>
        <v>41.539785747867555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54929</v>
      </c>
      <c r="E9" s="16">
        <f>SUMIF('REPORTE DIARIO'!B:B,'EPR 26 JUN'!C9, 'REPORTE DIARIO'!D:D)</f>
        <v>909514.62</v>
      </c>
      <c r="F9" s="16">
        <f>J9*D9</f>
        <v>235410</v>
      </c>
      <c r="G9" s="16">
        <f>+E9-F9</f>
        <v>674104.62</v>
      </c>
      <c r="H9" s="15">
        <f>ABS(G9/F9)</f>
        <v>2.8635343443354149</v>
      </c>
      <c r="I9" s="16">
        <f>E9/D9</f>
        <v>16.558004332866062</v>
      </c>
      <c r="J9" s="16">
        <f>(15/7)*2</f>
        <v>4.2857142857142856</v>
      </c>
      <c r="K9" s="16">
        <f t="shared" si="0"/>
        <v>12.272290047151778</v>
      </c>
    </row>
    <row r="10" spans="2:12" x14ac:dyDescent="0.25">
      <c r="B10" s="16"/>
      <c r="C10" s="19" t="s">
        <v>17</v>
      </c>
      <c r="D10" s="24">
        <f>SUM(D6:D9)</f>
        <v>94149</v>
      </c>
      <c r="E10" s="20">
        <f>SUM(E6:E9)</f>
        <v>4519930.5</v>
      </c>
      <c r="F10" s="20">
        <f>SUM(F6:F9)</f>
        <v>1667294.2857142857</v>
      </c>
      <c r="G10" s="20">
        <f>+E10-F10</f>
        <v>2852636.2142857146</v>
      </c>
      <c r="H10" s="21">
        <f>ABS(G10/F10)</f>
        <v>1.7109374384160481</v>
      </c>
      <c r="I10" s="20">
        <f>E10/D10</f>
        <v>48.00826880795335</v>
      </c>
      <c r="J10" s="20">
        <f>F10/D10</f>
        <v>17.70910244096364</v>
      </c>
      <c r="K10" s="20">
        <f>I10-J10</f>
        <v>30.299166366989709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2025-07-07T01:57:08Z</dcterms:modified>
</cp:coreProperties>
</file>