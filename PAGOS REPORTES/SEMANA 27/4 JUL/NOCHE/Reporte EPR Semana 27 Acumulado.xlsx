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7\4 JUL\NOCHE\"/>
    </mc:Choice>
  </mc:AlternateContent>
  <xr:revisionPtr revIDLastSave="0" documentId="13_ncr:1_{72E36FDD-E98C-4619-8D3B-07338DE04D2D}" xr6:coauthVersionLast="47" xr6:coauthVersionMax="47" xr10:uidLastSave="{00000000-0000-0000-0000-000000000000}"/>
  <bookViews>
    <workbookView xWindow="15855" yWindow="1350" windowWidth="19860" windowHeight="19530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7" i="1"/>
  <c r="C28" i="1" l="1"/>
  <c r="D28" i="1"/>
  <c r="D19" i="1"/>
  <c r="C19" i="1"/>
  <c r="D6" i="3"/>
  <c r="D44" i="1"/>
  <c r="C44" i="1"/>
  <c r="D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<sst xmlns="http://schemas.openxmlformats.org/spreadsheetml/2006/main" count="89" uniqueCount="37">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</sst>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25" zoomScaleNormal="100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4096</v>
      </c>
      <c r="D5" s="25">
        <v>507590.48999999993</v>
      </c>
    </row>
    <row r="6" spans="2:8" x14ac:dyDescent="0.25">
      <c r="B6" s="1" t="s">
        <v>5</v>
      </c>
      <c r="C6" s="6">
        <v>3563</v>
      </c>
      <c r="D6" s="25">
        <v>243222.94</v>
      </c>
    </row>
    <row r="7" spans="2:8" x14ac:dyDescent="0.25">
      <c r="B7" s="1" t="s">
        <v>6</v>
      </c>
      <c r="C7" s="6">
        <v>6844</v>
      </c>
      <c r="D7" s="25">
        <v>310500.47999999998</v>
      </c>
    </row>
    <row r="8" spans="2:8" x14ac:dyDescent="0.25">
      <c r="B8" s="5" t="s">
        <v>12</v>
      </c>
      <c r="C8" s="7">
        <v>1977</v>
      </c>
      <c r="D8" s="25">
        <v>874</v>
      </c>
    </row>
    <row r="9" spans="2:8" x14ac:dyDescent="0.25">
      <c r="B9" s="1" t="s">
        <v>7</v>
      </c>
      <c r="C9" s="6">
        <v>15786</v>
      </c>
      <c r="D9" s="25">
        <v>384199.99000000005</v>
      </c>
      <c r="E9" s="14"/>
      <c r="F9" s="7"/>
    </row>
    <row r="10" spans="2:8" x14ac:dyDescent="0.25">
      <c r="B10" s="3" t="s">
        <v>8</v>
      </c>
      <c r="C10" s="8">
        <f>SUM(C5:C9)</f>
        <v>32266</v>
      </c>
      <c r="D10" s="4">
        <f>SUM(D5:D9)</f>
        <v>1446387.9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2592</v>
      </c>
      <c r="D14" s="25">
        <v>310497.63999999996</v>
      </c>
    </row>
    <row r="15" spans="2:8" x14ac:dyDescent="0.25">
      <c r="B15" s="9" t="s">
        <v>5</v>
      </c>
      <c r="C15" s="6">
        <v>827</v>
      </c>
      <c r="D15" s="25">
        <v>35360.69</v>
      </c>
    </row>
    <row r="16" spans="2:8" x14ac:dyDescent="0.25">
      <c r="B16" s="9" t="s">
        <v>6</v>
      </c>
      <c r="C16" s="6">
        <v>2347</v>
      </c>
      <c r="D16" s="25">
        <v>55895.450000000004</v>
      </c>
    </row>
    <row r="17" spans="2:4" x14ac:dyDescent="0.25">
      <c r="B17" s="5" t="s">
        <v>12</v>
      </c>
      <c r="C17" s="7">
        <v>1</v>
      </c>
      <c r="D17" s="26">
        <v>0</v>
      </c>
    </row>
    <row r="18" spans="2:4" x14ac:dyDescent="0.25">
      <c r="B18" s="9" t="s">
        <v>7</v>
      </c>
      <c r="C18" s="6">
        <v>17261</v>
      </c>
      <c r="D18" s="25">
        <v>96722.080000000016</v>
      </c>
    </row>
    <row r="19" spans="2:4" x14ac:dyDescent="0.25">
      <c r="B19" s="10" t="s">
        <v>8</v>
      </c>
      <c r="C19" s="8">
        <f>SUM(C14:C18)</f>
        <v>23028</v>
      </c>
      <c r="D19" s="4">
        <f>SUM(D14:D18)</f>
        <v>498475.86</v>
      </c>
    </row>
    <row r="21" spans="2:4" x14ac:dyDescent="0.25">
      <c r="B21" s="28" t="s">
        <v>30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4515</v>
      </c>
      <c r="D23" s="25">
        <v>212237.83000000002</v>
      </c>
    </row>
    <row r="24" spans="2:4" x14ac:dyDescent="0.25">
      <c r="B24" s="1" t="s">
        <v>5</v>
      </c>
      <c r="C24" s="6">
        <v>2486</v>
      </c>
      <c r="D24" s="25">
        <v>45687.08</v>
      </c>
    </row>
    <row r="25" spans="2:4" x14ac:dyDescent="0.25">
      <c r="B25" s="1" t="s">
        <v>6</v>
      </c>
      <c r="C25" s="6">
        <v>3775</v>
      </c>
      <c r="D25" s="25">
        <v>78532.23</v>
      </c>
    </row>
    <row r="26" spans="2:4" x14ac:dyDescent="0.25">
      <c r="B26" s="5" t="s">
        <v>12</v>
      </c>
      <c r="C26" s="6">
        <v>0</v>
      </c>
      <c r="D26" s="26">
        <v>0</v>
      </c>
    </row>
    <row r="27" spans="2:4" x14ac:dyDescent="0.25">
      <c r="B27" s="1" t="s">
        <v>7</v>
      </c>
      <c r="C27" s="7">
        <v>14377</v>
      </c>
      <c r="D27" s="25">
        <v>130689.56</v>
      </c>
    </row>
    <row r="28" spans="2:4" x14ac:dyDescent="0.25">
      <c r="B28" s="3" t="s">
        <v>8</v>
      </c>
      <c r="C28" s="8">
        <f>SUM(C23:C27)</f>
        <v>25153</v>
      </c>
      <c r="D28" s="4">
        <f>SUM(D23:D27)</f>
        <v>467146.7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474</v>
      </c>
      <c r="D32" s="25">
        <v>120005.02</v>
      </c>
    </row>
    <row r="33" spans="2:4" x14ac:dyDescent="0.25">
      <c r="B33" s="9" t="s">
        <v>5</v>
      </c>
      <c r="C33" s="6">
        <v>1523</v>
      </c>
      <c r="D33" s="25">
        <v>145414.66</v>
      </c>
    </row>
    <row r="34" spans="2:4" x14ac:dyDescent="0.25">
      <c r="B34" s="9" t="s">
        <v>6</v>
      </c>
      <c r="C34" s="6">
        <v>805</v>
      </c>
      <c r="D34" s="25">
        <v>30483.02</v>
      </c>
    </row>
    <row r="35" spans="2:4" x14ac:dyDescent="0.25">
      <c r="B35" s="9" t="s">
        <v>7</v>
      </c>
      <c r="C35" s="6">
        <v>4323</v>
      </c>
      <c r="D35" s="25">
        <v>9505</v>
      </c>
    </row>
    <row r="36" spans="2:4" x14ac:dyDescent="0.25">
      <c r="B36" s="10" t="s">
        <v>8</v>
      </c>
      <c r="C36" s="8">
        <f>SUM(C32:C35)</f>
        <v>7125</v>
      </c>
      <c r="D36" s="4">
        <f>SUM(D32:D35)</f>
        <v>305407.7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630</v>
      </c>
      <c r="D40" s="25">
        <v>76388.179999999993</v>
      </c>
    </row>
    <row r="41" spans="2:4" x14ac:dyDescent="0.25">
      <c r="B41" s="1" t="s">
        <v>5</v>
      </c>
      <c r="C41" s="6">
        <v>269</v>
      </c>
      <c r="D41" s="25">
        <v>5691</v>
      </c>
    </row>
    <row r="42" spans="2:4" x14ac:dyDescent="0.25">
      <c r="B42" s="1" t="s">
        <v>6</v>
      </c>
      <c r="C42" s="6">
        <v>367</v>
      </c>
      <c r="D42" s="25">
        <v>8854</v>
      </c>
    </row>
    <row r="43" spans="2:4" x14ac:dyDescent="0.25">
      <c r="B43" s="1" t="s">
        <v>7</v>
      </c>
      <c r="C43" s="6">
        <v>419</v>
      </c>
      <c r="D43" s="25">
        <v>18827</v>
      </c>
    </row>
    <row r="44" spans="2:4" x14ac:dyDescent="0.25">
      <c r="B44" s="3" t="s">
        <v>8</v>
      </c>
      <c r="C44" s="8">
        <f>SUM(C40:C43)</f>
        <v>1685</v>
      </c>
      <c r="D44" s="4">
        <f>SUM(D40:D43)</f>
        <v>109760.18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1712</v>
      </c>
      <c r="D48" s="25">
        <v>103386.29999999999</v>
      </c>
    </row>
    <row r="49" spans="2:4" x14ac:dyDescent="0.25">
      <c r="B49" s="10" t="s">
        <v>8</v>
      </c>
      <c r="C49" s="8">
        <f>SUM(C48:C48)</f>
        <v>1712</v>
      </c>
      <c r="D49" s="4">
        <f>SUM(D48:D48)</f>
        <v>103386.29999999999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829</v>
      </c>
      <c r="D53" s="25">
        <v>41895.06</v>
      </c>
    </row>
    <row r="54" spans="2:4" x14ac:dyDescent="0.25">
      <c r="B54" s="1" t="s">
        <v>5</v>
      </c>
      <c r="C54" s="6">
        <v>176</v>
      </c>
      <c r="D54" s="25">
        <v>500</v>
      </c>
    </row>
    <row r="55" spans="2:4" x14ac:dyDescent="0.25">
      <c r="B55" s="1" t="s">
        <v>6</v>
      </c>
      <c r="C55" s="6">
        <v>600</v>
      </c>
      <c r="D55" s="25">
        <v>6459</v>
      </c>
    </row>
    <row r="56" spans="2:4" x14ac:dyDescent="0.25">
      <c r="B56" s="1" t="s">
        <v>7</v>
      </c>
      <c r="C56" s="6">
        <v>2409</v>
      </c>
      <c r="D56" s="25">
        <v>8187</v>
      </c>
    </row>
    <row r="57" spans="2:4" x14ac:dyDescent="0.25">
      <c r="B57" s="3" t="s">
        <v>8</v>
      </c>
      <c r="C57" s="8">
        <f>SUM(C53:C56)</f>
        <v>4014</v>
      </c>
      <c r="D57" s="4">
        <f>SUM(D53:D56)</f>
        <v>57041.06</v>
      </c>
    </row>
    <row r="59" spans="2:4" x14ac:dyDescent="0.25">
      <c r="B59" s="12" t="s">
        <v>13</v>
      </c>
      <c r="C59" s="13">
        <f>SUM(C10+C19+C36+C49+C28+C57+C44)</f>
        <v>94983</v>
      </c>
      <c r="D59" s="13">
        <f>SUM(D10+D19+D36+D49+D28+D57+D44)</f>
        <v>2987605.7</v>
      </c>
    </row>
  </sheetData>
  <mergeCells count="7">
    <mergeCell ref="B46:D46"/>
    <mergeCell ref="B38:D38"/>
    <mergeCell ref="B21:D21"/>
    <mergeCell ref="B51:D51"/>
    <mergeCell ref="B3:D3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26 JUN'!C6, 'REPORTE DIARIO'!C:C)</f>
        <v>14848</v>
      </c>
      <c r="E6" s="16">
        <f>SUMIF('REPORTE DIARIO'!B:B,'EPR 26 JUN'!C6, 'REPORTE DIARIO'!D:D)</f>
        <v>1372000.52</v>
      </c>
      <c r="F6" s="16">
        <f>J6*D6</f>
        <v>933302.85714285704</v>
      </c>
      <c r="G6" s="16">
        <f>+E6-F6</f>
        <v>438697.66285714298</v>
      </c>
      <c r="H6" s="15">
        <f>ABS(G6/F6)</f>
        <v>0.47004855872844847</v>
      </c>
      <c r="I6" s="16">
        <f>E6/D6</f>
        <v>92.403052262931041</v>
      </c>
      <c r="J6" s="16">
        <f>(220/7)*2</f>
        <v>62.857142857142854</v>
      </c>
      <c r="K6" s="16">
        <f>+I6-J6</f>
        <v>29.545909405788187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8844</v>
      </c>
      <c r="E7" s="16">
        <f>SUMIF('REPORTE DIARIO'!B:B,'EPR 26 JUN'!C7, 'REPORTE DIARIO'!D:D)</f>
        <v>475876.37</v>
      </c>
      <c r="F7" s="16">
        <f>J7*D7</f>
        <v>277954.28571428568</v>
      </c>
      <c r="G7" s="16">
        <f>+E7-F7</f>
        <v>197922.08428571431</v>
      </c>
      <c r="H7" s="15">
        <f>ABS(G7/F7)</f>
        <v>0.71206703568932217</v>
      </c>
      <c r="I7" s="16">
        <f>E7/D7</f>
        <v>53.807821121664404</v>
      </c>
      <c r="J7" s="16">
        <f>(110/7)*2</f>
        <v>31.428571428571427</v>
      </c>
      <c r="K7" s="16">
        <f t="shared" ref="K7:K9" si="0">+I7-J7</f>
        <v>22.379249693092977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14738</v>
      </c>
      <c r="E8" s="16">
        <f>SUMIF('REPORTE DIARIO'!B:B,'EPR 26 JUN'!C8, 'REPORTE DIARIO'!D:D)</f>
        <v>490724.18</v>
      </c>
      <c r="F8" s="16">
        <f>J8*D8</f>
        <v>189488.57142857145</v>
      </c>
      <c r="G8" s="16">
        <f>+E8-F8</f>
        <v>301235.60857142857</v>
      </c>
      <c r="H8" s="15">
        <f>ABS(G8/F8)</f>
        <v>1.5897296934605931</v>
      </c>
      <c r="I8" s="16">
        <f>E8/D8</f>
        <v>33.296524630207628</v>
      </c>
      <c r="J8" s="16">
        <f>(45/7)*2</f>
        <v>12.857142857142858</v>
      </c>
      <c r="K8" s="16">
        <f t="shared" si="0"/>
        <v>20.43938177306477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26 JUN'!C9, 'REPORTE DIARIO'!C:C)</f>
        <v>54575</v>
      </c>
      <c r="E9" s="16">
        <f>SUMIF('REPORTE DIARIO'!B:B,'EPR 26 JUN'!C9, 'REPORTE DIARIO'!D:D)</f>
        <v>648130.63000000012</v>
      </c>
      <c r="F9" s="16">
        <f>J9*D9</f>
        <v>233892.85714285713</v>
      </c>
      <c r="G9" s="16">
        <f>+E9-F9</f>
        <v>414237.77285714296</v>
      </c>
      <c r="H9" s="15">
        <f>ABS(G9/F9)</f>
        <v>1.7710578164605288</v>
      </c>
      <c r="I9" s="16">
        <f>E9/D9</f>
        <v>11.875962070545123</v>
      </c>
      <c r="J9" s="16">
        <f>(15/7)*2</f>
        <v>4.2857142857142856</v>
      </c>
      <c r="K9" s="16">
        <f t="shared" si="0"/>
        <v>7.5902477848308374</v>
      </c>
    </row>
    <row r="10" spans="2:12" x14ac:dyDescent="0.25">
      <c r="B10" s="16"/>
      <c r="C10" s="19" t="s">
        <v>17</v>
      </c>
      <c r="D10" s="24">
        <f>SUM(D6:D9)</f>
        <v>93005</v>
      </c>
      <c r="E10" s="20">
        <f>SUM(E6:E9)</f>
        <v>2986731.7</v>
      </c>
      <c r="F10" s="20">
        <f>SUM(F6:F9)</f>
        <v>1634638.5714285711</v>
      </c>
      <c r="G10" s="20">
        <f>+E10-F10</f>
        <v>1352093.1285714291</v>
      </c>
      <c r="H10" s="21">
        <f>ABS(G10/F10)</f>
        <v>0.82715112209164676</v>
      </c>
      <c r="I10" s="20">
        <f>E10/D10</f>
        <v>32.113668082361166</v>
      </c>
      <c r="J10" s="20">
        <f>F10/D10</f>
        <v>17.575813896334296</v>
      </c>
      <c r="K10" s="20">
        <f>I10-J10</f>
        <v>14.53785418602687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2025-07-05T02:19:49Z</dcterms:modified>
</cp:coreProperties>
</file>