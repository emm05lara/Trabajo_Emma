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3 JUL\NOCHE\"/>
    </mc:Choice>
  </mc:AlternateContent>
  <xr:revisionPtr revIDLastSave="0" documentId="13_ncr:1_{65F36451-9E1B-47F5-8B69-B119AED84AE7}" xr6:coauthVersionLast="47" xr6:coauthVersionMax="47" xr10:uidLastSave="{00000000-0000-0000-0000-000000000000}"/>
  <bookViews>
    <workbookView xWindow="13440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<sst xmlns="http://schemas.openxmlformats.org/spreadsheetml/2006/main" count="89" uniqueCount="37">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</sst>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0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4069</v>
      </c>
      <c r="D5" s="25">
        <v>403087.49</v>
      </c>
    </row>
    <row r="6" spans="2:8" x14ac:dyDescent="0.25">
      <c r="B6" s="1" t="s">
        <v>5</v>
      </c>
      <c r="C6" s="6">
        <v>3580</v>
      </c>
      <c r="D6" s="25">
        <v>218341.67999999996</v>
      </c>
    </row>
    <row r="7" spans="2:8" x14ac:dyDescent="0.25">
      <c r="B7" s="1" t="s">
        <v>6</v>
      </c>
      <c r="C7" s="6">
        <v>6776</v>
      </c>
      <c r="D7" s="25">
        <v>219512.39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15630</v>
      </c>
      <c r="D9" s="25">
        <v>281457.03000000003</v>
      </c>
      <c r="E9" s="14"/>
      <c r="F9" s="7"/>
    </row>
    <row r="10" spans="2:8" x14ac:dyDescent="0.25">
      <c r="B10" s="3" t="s">
        <v>8</v>
      </c>
      <c r="C10" s="8">
        <f>SUM(C5:C9)</f>
        <v>30066</v>
      </c>
      <c r="D10" s="4">
        <f>SUM(D5:D9)</f>
        <v>1122398.5899999999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2588</v>
      </c>
      <c r="D14" s="25">
        <v>211831.26999999996</v>
      </c>
    </row>
    <row r="15" spans="2:8" x14ac:dyDescent="0.25">
      <c r="B15" s="9" t="s">
        <v>5</v>
      </c>
      <c r="C15" s="6">
        <v>909</v>
      </c>
      <c r="D15" s="25">
        <v>20318.559999999998</v>
      </c>
    </row>
    <row r="16" spans="2:8" x14ac:dyDescent="0.25">
      <c r="B16" s="9" t="s">
        <v>6</v>
      </c>
      <c r="C16" s="6">
        <v>2273</v>
      </c>
      <c r="D16" s="25">
        <v>51344.450000000004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17255</v>
      </c>
      <c r="D18" s="25">
        <v>82358.080000000002</v>
      </c>
    </row>
    <row r="19" spans="2:4" x14ac:dyDescent="0.25">
      <c r="B19" s="10" t="s">
        <v>8</v>
      </c>
      <c r="C19" s="8">
        <f>SUM(C14:C18)</f>
        <v>23026</v>
      </c>
      <c r="D19" s="4">
        <f>SUM(D14:D18)</f>
        <v>365852.36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4534</v>
      </c>
      <c r="D23" s="25">
        <v>126417.44</v>
      </c>
    </row>
    <row r="24" spans="2:4" x14ac:dyDescent="0.25">
      <c r="B24" s="1" t="s">
        <v>5</v>
      </c>
      <c r="C24" s="6">
        <v>2527</v>
      </c>
      <c r="D24" s="25">
        <v>38825.08</v>
      </c>
    </row>
    <row r="25" spans="2:4" x14ac:dyDescent="0.25">
      <c r="B25" s="1" t="s">
        <v>6</v>
      </c>
      <c r="C25" s="6">
        <v>3777</v>
      </c>
      <c r="D25" s="25">
        <v>55970.25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14380</v>
      </c>
      <c r="D27" s="25">
        <v>98726.56</v>
      </c>
    </row>
    <row r="28" spans="2:4" x14ac:dyDescent="0.25">
      <c r="B28" s="3" t="s">
        <v>8</v>
      </c>
      <c r="C28" s="8">
        <f>SUM(C23:C27)</f>
        <v>25218</v>
      </c>
      <c r="D28" s="4">
        <f>SUM(D23:D27)</f>
        <v>319939.33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474</v>
      </c>
      <c r="D32" s="25">
        <v>113373.08</v>
      </c>
    </row>
    <row r="33" spans="2:4" x14ac:dyDescent="0.25">
      <c r="B33" s="9" t="s">
        <v>5</v>
      </c>
      <c r="C33" s="6">
        <v>1522</v>
      </c>
      <c r="D33" s="25">
        <v>71048.659999999989</v>
      </c>
    </row>
    <row r="34" spans="2:4" x14ac:dyDescent="0.25">
      <c r="B34" s="9" t="s">
        <v>6</v>
      </c>
      <c r="C34" s="6">
        <v>731</v>
      </c>
      <c r="D34" s="25">
        <v>24202.02</v>
      </c>
    </row>
    <row r="35" spans="2:4" x14ac:dyDescent="0.25">
      <c r="B35" s="9" t="s">
        <v>7</v>
      </c>
      <c r="C35" s="6">
        <v>4323</v>
      </c>
      <c r="D35" s="25">
        <v>4177</v>
      </c>
    </row>
    <row r="36" spans="2:4" x14ac:dyDescent="0.25">
      <c r="B36" s="10" t="s">
        <v>8</v>
      </c>
      <c r="C36" s="8">
        <f>SUM(C32:C35)</f>
        <v>7050</v>
      </c>
      <c r="D36" s="4">
        <f>SUM(D32:D35)</f>
        <v>212800.75999999998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620</v>
      </c>
      <c r="D40" s="25">
        <v>70959.179999999993</v>
      </c>
    </row>
    <row r="41" spans="2:4" x14ac:dyDescent="0.25">
      <c r="B41" s="1" t="s">
        <v>5</v>
      </c>
      <c r="C41" s="6">
        <v>266</v>
      </c>
      <c r="D41" s="25">
        <v>5091</v>
      </c>
    </row>
    <row r="42" spans="2:4" x14ac:dyDescent="0.25">
      <c r="B42" s="1" t="s">
        <v>6</v>
      </c>
      <c r="C42" s="6">
        <v>348</v>
      </c>
      <c r="D42" s="25">
        <v>4938</v>
      </c>
    </row>
    <row r="43" spans="2:4" x14ac:dyDescent="0.25">
      <c r="B43" s="1" t="s">
        <v>7</v>
      </c>
      <c r="C43" s="6">
        <v>419</v>
      </c>
      <c r="D43" s="25">
        <v>18827</v>
      </c>
    </row>
    <row r="44" spans="2:4" x14ac:dyDescent="0.25">
      <c r="B44" s="3" t="s">
        <v>8</v>
      </c>
      <c r="C44" s="8">
        <f>SUM(C40:C43)</f>
        <v>1653</v>
      </c>
      <c r="D44" s="4">
        <f>SUM(D40:D43)</f>
        <v>99815.18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1684</v>
      </c>
      <c r="D48" s="25">
        <v>75533</v>
      </c>
    </row>
    <row r="49" spans="2:4" x14ac:dyDescent="0.25">
      <c r="B49" s="10" t="s">
        <v>8</v>
      </c>
      <c r="C49" s="8">
        <f>SUM(C48:C48)</f>
        <v>1684</v>
      </c>
      <c r="D49" s="4">
        <f>SUM(D48:D48)</f>
        <v>75533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795</v>
      </c>
      <c r="D53" s="25">
        <v>34529.06</v>
      </c>
    </row>
    <row r="54" spans="2:4" x14ac:dyDescent="0.25">
      <c r="B54" s="1" t="s">
        <v>5</v>
      </c>
      <c r="C54" s="6">
        <v>176</v>
      </c>
      <c r="D54" s="25">
        <v>500</v>
      </c>
    </row>
    <row r="55" spans="2:4" x14ac:dyDescent="0.25">
      <c r="B55" s="1" t="s">
        <v>6</v>
      </c>
      <c r="C55" s="6">
        <v>600</v>
      </c>
      <c r="D55" s="25">
        <v>1139</v>
      </c>
    </row>
    <row r="56" spans="2:4" x14ac:dyDescent="0.25">
      <c r="B56" s="1" t="s">
        <v>7</v>
      </c>
      <c r="C56" s="6">
        <v>2409</v>
      </c>
      <c r="D56" s="25">
        <v>5220</v>
      </c>
    </row>
    <row r="57" spans="2:4" x14ac:dyDescent="0.25">
      <c r="B57" s="3" t="s">
        <v>8</v>
      </c>
      <c r="C57" s="8">
        <f>SUM(C53:C56)</f>
        <v>3980</v>
      </c>
      <c r="D57" s="4">
        <f>SUM(D53:D56)</f>
        <v>41388.06</v>
      </c>
    </row>
    <row r="59" spans="2:4" x14ac:dyDescent="0.25">
      <c r="B59" s="12" t="s">
        <v>13</v>
      </c>
      <c r="C59" s="13">
        <f>SUM(C10+C19+C36+C49+C28+C57+C44)</f>
        <v>92677</v>
      </c>
      <c r="D59" s="13">
        <f>SUM(D10+D19+D36+D49+D28+D57+D44)</f>
        <v>2237727.2799999998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14764</v>
      </c>
      <c r="E6" s="16">
        <f>SUMIF('REPORTE DIARIO'!B:B,'EPR 26 JUN'!C6, 'REPORTE DIARIO'!D:D)</f>
        <v>1035730.52</v>
      </c>
      <c r="F6" s="16">
        <f>J6*D6</f>
        <v>928022.85714285704</v>
      </c>
      <c r="G6" s="16">
        <f>+E6-F6</f>
        <v>107707.66285714298</v>
      </c>
      <c r="H6" s="15">
        <f>ABS(G6/F6)</f>
        <v>0.11606143321593078</v>
      </c>
      <c r="I6" s="16">
        <f>E6/D6</f>
        <v>70.152432945001351</v>
      </c>
      <c r="J6" s="16">
        <f>(220/7)*2</f>
        <v>62.857142857142854</v>
      </c>
      <c r="K6" s="16">
        <f>+I6-J6</f>
        <v>7.295290087858497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8980</v>
      </c>
      <c r="E7" s="16">
        <f>SUMIF('REPORTE DIARIO'!B:B,'EPR 26 JUN'!C7, 'REPORTE DIARIO'!D:D)</f>
        <v>354124.97999999992</v>
      </c>
      <c r="F7" s="16">
        <f>J7*D7</f>
        <v>282228.57142857142</v>
      </c>
      <c r="G7" s="16">
        <f>+E7-F7</f>
        <v>71896.408571428503</v>
      </c>
      <c r="H7" s="15">
        <f>ABS(G7/F7)</f>
        <v>0.25474532293986613</v>
      </c>
      <c r="I7" s="16">
        <f>E7/D7</f>
        <v>39.434853006681507</v>
      </c>
      <c r="J7" s="16">
        <f>(110/7)*2</f>
        <v>31.428571428571427</v>
      </c>
      <c r="K7" s="16">
        <f t="shared" ref="K7:K9" si="0">+I7-J7</f>
        <v>8.0062815781100802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14505</v>
      </c>
      <c r="E8" s="16">
        <f>SUMIF('REPORTE DIARIO'!B:B,'EPR 26 JUN'!C8, 'REPORTE DIARIO'!D:D)</f>
        <v>357106.11000000004</v>
      </c>
      <c r="F8" s="16">
        <f>J8*D8</f>
        <v>186492.85714285716</v>
      </c>
      <c r="G8" s="16">
        <f>+E8-F8</f>
        <v>170613.25285714288</v>
      </c>
      <c r="H8" s="15">
        <f>ABS(G8/F8)</f>
        <v>0.91485140756061134</v>
      </c>
      <c r="I8" s="16">
        <f>E8/D8</f>
        <v>24.619518097207862</v>
      </c>
      <c r="J8" s="16">
        <f>(45/7)*2</f>
        <v>12.857142857142858</v>
      </c>
      <c r="K8" s="16">
        <f t="shared" si="0"/>
        <v>11.762375240065005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54416</v>
      </c>
      <c r="E9" s="16">
        <f>SUMIF('REPORTE DIARIO'!B:B,'EPR 26 JUN'!C9, 'REPORTE DIARIO'!D:D)</f>
        <v>490765.67000000004</v>
      </c>
      <c r="F9" s="16">
        <f>J9*D9</f>
        <v>233211.42857142855</v>
      </c>
      <c r="G9" s="16">
        <f>+E9-F9</f>
        <v>257554.24142857149</v>
      </c>
      <c r="H9" s="15">
        <f>ABS(G9/F9)</f>
        <v>1.1043808744976971</v>
      </c>
      <c r="I9" s="16">
        <f>E9/D9</f>
        <v>9.0187751764187016</v>
      </c>
      <c r="J9" s="16">
        <f>(15/7)*2</f>
        <v>4.2857142857142856</v>
      </c>
      <c r="K9" s="16">
        <f t="shared" si="0"/>
        <v>4.733060890704416</v>
      </c>
    </row>
    <row r="10" spans="2:12" x14ac:dyDescent="0.25">
      <c r="B10" s="16"/>
      <c r="C10" s="19" t="s">
        <v>17</v>
      </c>
      <c r="D10" s="24">
        <f>SUM(D6:D9)</f>
        <v>92665</v>
      </c>
      <c r="E10" s="20">
        <f>SUM(E6:E9)</f>
        <v>2237727.2800000003</v>
      </c>
      <c r="F10" s="20">
        <f>SUM(F6:F9)</f>
        <v>1629955.7142857141</v>
      </c>
      <c r="G10" s="20">
        <f>+E10-F10</f>
        <v>607771.56571428617</v>
      </c>
      <c r="H10" s="21">
        <f>ABS(G10/F10)</f>
        <v>0.37287612196299846</v>
      </c>
      <c r="I10" s="20">
        <f>E10/D10</f>
        <v>24.148570441914426</v>
      </c>
      <c r="J10" s="20">
        <f>F10/D10</f>
        <v>17.589766516869521</v>
      </c>
      <c r="K10" s="20">
        <f>I10-J10</f>
        <v>6.5588039250449057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2025-07-04T02:08:29Z</dcterms:modified>
</cp:coreProperties>
</file>