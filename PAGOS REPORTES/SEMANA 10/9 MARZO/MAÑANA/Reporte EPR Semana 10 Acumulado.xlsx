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9 MARZO\MAÑANA\"/>
    </mc:Choice>
  </mc:AlternateContent>
  <xr:revisionPtr revIDLastSave="0" documentId="13_ncr:1_{1DB31AAD-05E6-40A3-A429-DAEF73238343}" xr6:coauthVersionLast="47" xr6:coauthVersionMax="47" xr10:uidLastSave="{00000000-0000-0000-0000-000000000000}"/>
  <bookViews>
    <workbookView xWindow="23550" yWindow="12030" windowWidth="13410" windowHeight="8850" activeTab="2" xr2:uid="{4DC6C92A-CD8A-4966-829B-0B6A986E825B}"/>
  </bookViews>
  <sheets>
    <sheet name="REPORTE DIARIO" sheetId="1" r:id="rId1"/>
    <sheet name="DATA" sheetId="4" r:id="rId2"/>
    <sheet name="EPR 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<sst xmlns="http://schemas.openxmlformats.org/spreadsheetml/2006/main" count="70" uniqueCount="35">
  <si>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</si>
  <si>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</si>
  <si>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</si>
  <si>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</si>
  <si>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</si>
  <si>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</si>
  <si>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</si>
  <si>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</si>
  <si>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</si>
  <si>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</si>
  <si>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</si>
  <si>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</si>
  <si>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</si>
  <si>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</si>
  <si>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</si>
  <si>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</si>
  <si>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</si>
  <si>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</si>
  <si>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</si>
  <si>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</si>
  <si>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</si>
  <si>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</si>
  <si>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</si>
  <si>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</si>
  <si>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</si>
  <si>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</si>
  <si>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</si>
  <si>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</si>
  <si>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</si>
  <si>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</si>
  <si>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</si>
  <si>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</si>
  <si>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</si>
  <si>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SALDO ACUMULADO SEMANA 10</t>
  </si>
  <si>
    <t>Samantha, Sofia, Edith, Fernando e Itzayana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</si>
</sst>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0" fontId="7" fillId="0" borderId="0" xfId="0" applyFont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6559</v>
      </c>
      <c r="D5" s="27">
        <v>918520.36</v>
      </c>
    </row>
    <row r="6" spans="2:8" x14ac:dyDescent="0.25">
      <c r="B6" s="1" t="s">
        <v>5</v>
      </c>
      <c r="C6">
        <v>8098</v>
      </c>
      <c r="D6" s="27">
        <v>461527.35999999993</v>
      </c>
    </row>
    <row r="7" spans="2:8" x14ac:dyDescent="0.25">
      <c r="B7" s="1" t="s">
        <v>6</v>
      </c>
      <c r="C7" s="6">
        <v>8880</v>
      </c>
      <c r="D7" s="27">
        <v>238823.68999999997</v>
      </c>
    </row>
    <row r="8" spans="2:8" x14ac:dyDescent="0.25">
      <c r="B8" s="5" t="s">
        <v>12</v>
      </c>
      <c r="C8" s="7">
        <v>21</v>
      </c>
      <c r="D8" s="27">
        <v>911.83</v>
      </c>
    </row>
    <row r="9" spans="2:8" x14ac:dyDescent="0.25">
      <c r="B9" s="1" t="s">
        <v>7</v>
      </c>
      <c r="C9" s="6">
        <v>49265</v>
      </c>
      <c r="D9" s="27">
        <v>518109.75999999995</v>
      </c>
      <c r="F9" s="7"/>
    </row>
    <row r="10" spans="2:8" x14ac:dyDescent="0.25">
      <c r="B10" s="3" t="s">
        <v>8</v>
      </c>
      <c r="C10" s="8">
        <f>SUM(C5:C9)</f>
        <v>72823</v>
      </c>
      <c r="D10" s="4">
        <f>SUM(D5:D9)</f>
        <v>2137893</v>
      </c>
      <c r="E10" s="11" t="s">
        <v>14</v>
      </c>
    </row>
    <row r="12" spans="2:8" x14ac:dyDescent="0.25">
      <c r="B12" s="31" t="s">
        <v>9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1682</v>
      </c>
      <c r="D14" s="27">
        <v>311529.00999999989</v>
      </c>
    </row>
    <row r="15" spans="2:8" x14ac:dyDescent="0.25">
      <c r="B15" s="9" t="s">
        <v>5</v>
      </c>
      <c r="C15" s="6">
        <v>655</v>
      </c>
      <c r="D15" s="27">
        <v>58617.81</v>
      </c>
    </row>
    <row r="16" spans="2:8" x14ac:dyDescent="0.25">
      <c r="B16" s="9" t="s">
        <v>6</v>
      </c>
      <c r="C16" s="6">
        <v>586</v>
      </c>
      <c r="D16" s="27">
        <v>22407</v>
      </c>
    </row>
    <row r="17" spans="2:11" x14ac:dyDescent="0.25">
      <c r="B17" s="9" t="s">
        <v>7</v>
      </c>
      <c r="C17" s="6">
        <v>1816</v>
      </c>
      <c r="D17" s="27">
        <v>2677</v>
      </c>
    </row>
    <row r="18" spans="2:11" x14ac:dyDescent="0.25">
      <c r="B18" s="10" t="s">
        <v>8</v>
      </c>
      <c r="C18" s="8">
        <f>SUM(C14:C17)</f>
        <v>4739</v>
      </c>
      <c r="D18" s="4">
        <f>SUM(D14:D17)</f>
        <v>395230.81999999989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1738</v>
      </c>
      <c r="D22" s="27">
        <v>300129.02999999997</v>
      </c>
    </row>
    <row r="23" spans="2:11" x14ac:dyDescent="0.25">
      <c r="B23" s="9" t="s">
        <v>5</v>
      </c>
      <c r="C23" s="6">
        <v>927</v>
      </c>
      <c r="D23" s="27">
        <v>65163.81</v>
      </c>
    </row>
    <row r="24" spans="2:11" x14ac:dyDescent="0.25">
      <c r="B24" s="9" t="s">
        <v>6</v>
      </c>
      <c r="C24" s="6">
        <v>13</v>
      </c>
      <c r="D24" s="11">
        <v>0</v>
      </c>
    </row>
    <row r="25" spans="2:11" x14ac:dyDescent="0.25">
      <c r="B25" s="9" t="s">
        <v>7</v>
      </c>
      <c r="C25" s="6">
        <v>715</v>
      </c>
      <c r="D25" s="27">
        <v>37701</v>
      </c>
    </row>
    <row r="26" spans="2:11" x14ac:dyDescent="0.25">
      <c r="B26" s="10" t="s">
        <v>8</v>
      </c>
      <c r="C26" s="8">
        <f>SUM(C22:C25)</f>
        <v>3393</v>
      </c>
      <c r="D26" s="4">
        <f>SUM(D22:D25)</f>
        <v>402993.83999999997</v>
      </c>
    </row>
    <row r="27" spans="2:11" x14ac:dyDescent="0.25">
      <c r="K27" s="7"/>
    </row>
    <row r="28" spans="2:11" x14ac:dyDescent="0.25">
      <c r="B28" s="30" t="s">
        <v>15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1183</v>
      </c>
      <c r="D30" s="27">
        <v>179516.28</v>
      </c>
    </row>
    <row r="31" spans="2:11" x14ac:dyDescent="0.25">
      <c r="B31" s="9" t="s">
        <v>5</v>
      </c>
      <c r="C31" s="6">
        <v>2569</v>
      </c>
      <c r="D31" s="27">
        <v>135347.76</v>
      </c>
    </row>
    <row r="32" spans="2:11" x14ac:dyDescent="0.25">
      <c r="B32" s="9" t="s">
        <v>6</v>
      </c>
      <c r="C32" s="6">
        <v>2679</v>
      </c>
      <c r="D32" s="27">
        <v>48222</v>
      </c>
    </row>
    <row r="33" spans="2:5" x14ac:dyDescent="0.25">
      <c r="B33" s="14" t="s">
        <v>12</v>
      </c>
      <c r="C33" s="6">
        <v>1</v>
      </c>
      <c r="D33" s="28">
        <v>0</v>
      </c>
    </row>
    <row r="34" spans="2:5" x14ac:dyDescent="0.25">
      <c r="B34" s="9" t="s">
        <v>7</v>
      </c>
      <c r="C34" s="6">
        <v>13884</v>
      </c>
      <c r="D34" s="27">
        <v>128112.87999999999</v>
      </c>
    </row>
    <row r="35" spans="2:5" x14ac:dyDescent="0.25">
      <c r="B35" s="10" t="s">
        <v>8</v>
      </c>
      <c r="C35" s="8">
        <f>SUM(C30:C34)</f>
        <v>20316</v>
      </c>
      <c r="D35" s="4">
        <f>SUM(D30:D34)</f>
        <v>491198.92000000004</v>
      </c>
    </row>
    <row r="37" spans="2:5" x14ac:dyDescent="0.25">
      <c r="B37" s="30" t="s">
        <v>11</v>
      </c>
      <c r="C37" s="30"/>
      <c r="D37" s="30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5277</v>
      </c>
      <c r="D39" s="27">
        <v>113910.68</v>
      </c>
    </row>
    <row r="40" spans="2:5" x14ac:dyDescent="0.25">
      <c r="B40" s="10" t="s">
        <v>8</v>
      </c>
      <c r="C40" s="8">
        <f>SUM(C39:C39)</f>
        <v>5277</v>
      </c>
      <c r="D40" s="4">
        <f>SUM(D39:D39)</f>
        <v>113910.68</v>
      </c>
    </row>
    <row r="41" spans="2:5" x14ac:dyDescent="0.25">
      <c r="B41" s="26"/>
      <c r="C41" s="26"/>
      <c r="D41" s="26"/>
    </row>
    <row r="42" spans="2:5" x14ac:dyDescent="0.25">
      <c r="E42" s="29"/>
    </row>
    <row r="43" spans="2:5" x14ac:dyDescent="0.25">
      <c r="B43" s="12" t="s">
        <v>13</v>
      </c>
      <c r="C43" s="13">
        <f>SUM(C10+C18+C26+C35+C40)</f>
        <v>106548</v>
      </c>
      <c r="D43" s="13">
        <f>SUM(D10+D18+D26+D35+D40)</f>
        <v>3541227.26</v>
      </c>
    </row>
  </sheetData>
  <mergeCells count="5">
    <mergeCell ref="B20:D20"/>
    <mergeCell ref="B3:D3"/>
    <mergeCell ref="B12:D12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33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9 MAR'!C6, 'REPORTE DIARIO'!C:C)</f>
        <v>16439</v>
      </c>
      <c r="E6" s="17">
        <f>SUMIF('REPORTE DIARIO'!B:B,'EPR 9 MAR'!C6, 'REPORTE DIARIO'!D:D)</f>
        <v>1823605.3599999999</v>
      </c>
      <c r="F6" s="17">
        <f>J6*D6</f>
        <v>3287800</v>
      </c>
      <c r="G6" s="17">
        <f>+E6-F6</f>
        <v>-1464194.6400000001</v>
      </c>
      <c r="H6" s="16">
        <f>ABS(G6/F6)</f>
        <v>0.44534176044771584</v>
      </c>
      <c r="I6" s="17">
        <f>E6/D6</f>
        <v>110.93164791045683</v>
      </c>
      <c r="J6" s="17">
        <v>200</v>
      </c>
      <c r="K6" s="17">
        <f>+I6-J6</f>
        <v>-89.068352089543168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9 MAR'!C7, 'REPORTE DIARIO'!C:C)</f>
        <v>12249</v>
      </c>
      <c r="E7" s="17">
        <f>SUMIF('REPORTE DIARIO'!B:B,'EPR 9 MAR'!C7, 'REPORTE DIARIO'!D:D)</f>
        <v>720656.74</v>
      </c>
      <c r="F7" s="17">
        <f>J7*D7</f>
        <v>1347390</v>
      </c>
      <c r="G7" s="17">
        <f>+E7-F7</f>
        <v>-626733.26</v>
      </c>
      <c r="H7" s="16">
        <f>ABS(G7/F7)</f>
        <v>0.46514614180007274</v>
      </c>
      <c r="I7" s="17">
        <f>E7/D7</f>
        <v>58.833924401992</v>
      </c>
      <c r="J7" s="17">
        <v>110</v>
      </c>
      <c r="K7" s="17">
        <f t="shared" ref="K7:K9" si="0">+I7-J7</f>
        <v>-51.166075598008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9 MAR'!C8, 'REPORTE DIARIO'!C:C)</f>
        <v>12158</v>
      </c>
      <c r="E8" s="17">
        <f>SUMIF('REPORTE DIARIO'!B:B,'EPR 9 MAR'!C8, 'REPORTE DIARIO'!D:D)</f>
        <v>309452.68999999994</v>
      </c>
      <c r="F8" s="17">
        <f>J8*D8</f>
        <v>547110</v>
      </c>
      <c r="G8" s="17">
        <f>+E8-F8</f>
        <v>-237657.31000000006</v>
      </c>
      <c r="H8" s="16">
        <f>ABS(G8/F8)</f>
        <v>0.43438670468461565</v>
      </c>
      <c r="I8" s="17">
        <f>E8/D8</f>
        <v>25.452598289192295</v>
      </c>
      <c r="J8" s="17">
        <v>45</v>
      </c>
      <c r="K8" s="17">
        <f t="shared" si="0"/>
        <v>-19.547401710807705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9 MAR'!C9, 'REPORTE DIARIO'!C:C)</f>
        <v>65680</v>
      </c>
      <c r="E9" s="17">
        <f>SUMIF('REPORTE DIARIO'!B:B,'EPR 9 MAR'!C9, 'REPORTE DIARIO'!D:D)</f>
        <v>686600.64</v>
      </c>
      <c r="F9" s="17">
        <f>J9*D9</f>
        <v>985200</v>
      </c>
      <c r="G9" s="17">
        <f>+E9-F9</f>
        <v>-298599.36</v>
      </c>
      <c r="H9" s="16">
        <f>ABS(G9/F9)</f>
        <v>0.30308501827040191</v>
      </c>
      <c r="I9" s="17">
        <f>E9/D9</f>
        <v>10.453724725943971</v>
      </c>
      <c r="J9" s="17">
        <v>15</v>
      </c>
      <c r="K9" s="17">
        <f t="shared" si="0"/>
        <v>-4.546275274056029</v>
      </c>
    </row>
    <row r="10" spans="2:12" x14ac:dyDescent="0.25">
      <c r="B10" s="17"/>
      <c r="C10" s="20" t="s">
        <v>18</v>
      </c>
      <c r="D10" s="25">
        <f>SUM(D6:D9)</f>
        <v>106526</v>
      </c>
      <c r="E10" s="21">
        <f>SUM(E6:E9)</f>
        <v>3540315.4299999997</v>
      </c>
      <c r="F10" s="21">
        <f>SUM(F6:F9)</f>
        <v>6167500</v>
      </c>
      <c r="G10" s="21">
        <f>+E10-F10</f>
        <v>-2627184.5700000003</v>
      </c>
      <c r="H10" s="22">
        <f>ABS(G10/F10)</f>
        <v>0.42597236643696801</v>
      </c>
      <c r="I10" s="21">
        <f>E10/D10</f>
        <v>33.234284869421543</v>
      </c>
      <c r="J10" s="21">
        <f>F10/D10</f>
        <v>57.896663725287723</v>
      </c>
      <c r="K10" s="21">
        <f>I10-J10</f>
        <v>-24.66237885586618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2025-03-09T15:34:15Z</dcterms:modified>
</cp:coreProperties>
</file>