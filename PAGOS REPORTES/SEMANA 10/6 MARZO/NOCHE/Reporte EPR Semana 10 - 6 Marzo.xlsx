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6 MARZO\NOCHE\"/>
    </mc:Choice>
  </mc:AlternateContent>
  <xr:revisionPtr revIDLastSave="0" documentId="13_ncr:1_{7C4CA262-7D65-4554-B5CF-4BBF5CD4C22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D6" i="3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G10" i="3" l="1"/>
  <c r="H10" i="3" s="1"/>
  <c r="K10" i="3"/>
</calcChain>
</file>

<file path=xl/sharedStrings.xml><?xml version="1.0" encoding="utf-8"?>
<sst xmlns="http://schemas.openxmlformats.org/spreadsheetml/2006/main" count="70" uniqueCount="35">
  <si>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</si>
  <si>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</si>
  <si>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</si>
  <si>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</si>
  <si>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</si>
  <si>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</si>
  <si>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</si>
  <si>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</si>
  <si>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</si>
  <si>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</si>
  <si>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</si>
  <si>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</si>
  <si>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</si>
  <si>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</si>
  <si>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</si>
  <si>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</si>
  <si>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</si>
  <si>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</si>
  <si>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</si>
  <si>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</si>
  <si>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</si>
  <si>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</si>
  <si>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</si>
  <si>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</si>
  <si>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</si>
  <si>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</si>
  <si>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</si>
  <si>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</si>
  <si>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</si>
  <si>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</si>
  <si>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</si>
  <si>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</si>
  <si>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</si>
  <si>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Erik, Edith, Fernando e Itzayana</t>
  </si>
  <si>
    <t>COBRANZA 6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</si>
</sst>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43" fontId="0" fillId="0" borderId="1" xfId="0" applyNumberFormat="1" applyBorder="1"/>
    <xf numFmtId="0" fontId="7" fillId="0" borderId="0" xfId="0" applyFont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D39" sqref="D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6617</v>
      </c>
      <c r="D5" s="32">
        <v>103701.88</v>
      </c>
    </row>
    <row r="6" spans="2:8" x14ac:dyDescent="0.25">
      <c r="B6" s="1" t="s">
        <v>5</v>
      </c>
      <c r="C6" s="6">
        <v>8283</v>
      </c>
      <c r="D6" s="32">
        <v>29861</v>
      </c>
    </row>
    <row r="7" spans="2:8" x14ac:dyDescent="0.25">
      <c r="B7" s="1" t="s">
        <v>6</v>
      </c>
      <c r="C7" s="6">
        <v>8805</v>
      </c>
      <c r="D7" s="32">
        <v>42186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49201</v>
      </c>
      <c r="D9" s="32">
        <v>106257.56999999999</v>
      </c>
      <c r="F9" s="7"/>
    </row>
    <row r="10" spans="2:8" x14ac:dyDescent="0.25">
      <c r="B10" s="3" t="s">
        <v>8</v>
      </c>
      <c r="C10" s="8">
        <f>SUM(C5:C9)</f>
        <v>72927</v>
      </c>
      <c r="D10" s="4">
        <f>SUM(D5:D9)</f>
        <v>282006.45</v>
      </c>
      <c r="E10" s="11" t="s">
        <v>14</v>
      </c>
    </row>
    <row r="12" spans="2:8" x14ac:dyDescent="0.25">
      <c r="B12" s="31" t="s">
        <v>9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1687</v>
      </c>
      <c r="D14" s="32">
        <v>41385.449999999997</v>
      </c>
    </row>
    <row r="15" spans="2:8" x14ac:dyDescent="0.25">
      <c r="B15" s="9" t="s">
        <v>5</v>
      </c>
      <c r="C15" s="6">
        <v>655</v>
      </c>
      <c r="D15" s="32">
        <v>1775</v>
      </c>
    </row>
    <row r="16" spans="2:8" x14ac:dyDescent="0.25">
      <c r="B16" s="9" t="s">
        <v>6</v>
      </c>
      <c r="C16" s="6">
        <v>600</v>
      </c>
      <c r="D16" s="32">
        <v>980</v>
      </c>
    </row>
    <row r="17" spans="2:11" x14ac:dyDescent="0.25">
      <c r="B17" s="9" t="s">
        <v>7</v>
      </c>
      <c r="C17" s="6">
        <v>1816</v>
      </c>
      <c r="D17" s="28">
        <v>0</v>
      </c>
    </row>
    <row r="18" spans="2:11" x14ac:dyDescent="0.25">
      <c r="B18" s="10" t="s">
        <v>8</v>
      </c>
      <c r="C18" s="8">
        <f>SUM(C14:C17)</f>
        <v>4758</v>
      </c>
      <c r="D18" s="4">
        <f>SUM(D14:D17)</f>
        <v>44140.45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1731</v>
      </c>
      <c r="D22" s="32">
        <v>12018.5</v>
      </c>
    </row>
    <row r="23" spans="2:11" x14ac:dyDescent="0.25">
      <c r="B23" s="9" t="s">
        <v>5</v>
      </c>
      <c r="C23" s="6">
        <v>913</v>
      </c>
      <c r="D23" s="32">
        <v>8444.17</v>
      </c>
    </row>
    <row r="24" spans="2:11" x14ac:dyDescent="0.25">
      <c r="B24" s="9" t="s">
        <v>6</v>
      </c>
      <c r="C24" s="6">
        <v>13</v>
      </c>
      <c r="D24" s="28">
        <v>0</v>
      </c>
    </row>
    <row r="25" spans="2:11" x14ac:dyDescent="0.25">
      <c r="B25" s="9" t="s">
        <v>7</v>
      </c>
      <c r="C25" s="6">
        <v>714</v>
      </c>
      <c r="D25" s="32">
        <v>500</v>
      </c>
    </row>
    <row r="26" spans="2:11" x14ac:dyDescent="0.25">
      <c r="B26" s="10" t="s">
        <v>8</v>
      </c>
      <c r="C26" s="8">
        <f>SUM(C22:C25)</f>
        <v>3371</v>
      </c>
      <c r="D26" s="4">
        <f>SUM(D22:D25)</f>
        <v>20962.669999999998</v>
      </c>
    </row>
    <row r="27" spans="2:11" x14ac:dyDescent="0.25">
      <c r="K27" s="7"/>
    </row>
    <row r="28" spans="2:11" x14ac:dyDescent="0.25">
      <c r="B28" s="30" t="s">
        <v>15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1190</v>
      </c>
      <c r="D30" s="32">
        <v>11469</v>
      </c>
    </row>
    <row r="31" spans="2:11" x14ac:dyDescent="0.25">
      <c r="B31" s="9" t="s">
        <v>5</v>
      </c>
      <c r="C31" s="6">
        <v>2512</v>
      </c>
      <c r="D31" s="32">
        <v>8513</v>
      </c>
    </row>
    <row r="32" spans="2:11" x14ac:dyDescent="0.25">
      <c r="B32" s="9" t="s">
        <v>6</v>
      </c>
      <c r="C32" s="6">
        <v>2767</v>
      </c>
      <c r="D32" s="32">
        <v>4961</v>
      </c>
    </row>
    <row r="33" spans="2:5" x14ac:dyDescent="0.25">
      <c r="B33" s="14" t="s">
        <v>12</v>
      </c>
      <c r="C33" s="6">
        <v>1</v>
      </c>
      <c r="D33" s="27">
        <v>0</v>
      </c>
    </row>
    <row r="34" spans="2:5" x14ac:dyDescent="0.25">
      <c r="B34" s="9" t="s">
        <v>7</v>
      </c>
      <c r="C34" s="6">
        <v>13856</v>
      </c>
      <c r="D34" s="32">
        <v>3696</v>
      </c>
    </row>
    <row r="35" spans="2:5" x14ac:dyDescent="0.25">
      <c r="B35" s="10" t="s">
        <v>8</v>
      </c>
      <c r="C35" s="8">
        <f>SUM(C30:C34)</f>
        <v>20326</v>
      </c>
      <c r="D35" s="4">
        <f>SUM(D30:D34)</f>
        <v>28639</v>
      </c>
    </row>
    <row r="37" spans="2:5" x14ac:dyDescent="0.25">
      <c r="B37" s="30" t="s">
        <v>11</v>
      </c>
      <c r="C37" s="30"/>
      <c r="D37" s="30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5385</v>
      </c>
      <c r="D39" s="32">
        <v>2837</v>
      </c>
    </row>
    <row r="40" spans="2:5" x14ac:dyDescent="0.25">
      <c r="B40" s="10" t="s">
        <v>8</v>
      </c>
      <c r="C40" s="8">
        <f>SUM(C39:C39)</f>
        <v>5385</v>
      </c>
      <c r="D40" s="4">
        <f>SUM(D39:D39)</f>
        <v>2837</v>
      </c>
    </row>
    <row r="41" spans="2:5" x14ac:dyDescent="0.25">
      <c r="B41" s="26"/>
      <c r="C41" s="26"/>
      <c r="D41" s="26"/>
    </row>
    <row r="42" spans="2:5" x14ac:dyDescent="0.25">
      <c r="E42" s="29"/>
    </row>
    <row r="43" spans="2:5" x14ac:dyDescent="0.25">
      <c r="B43" s="12" t="s">
        <v>13</v>
      </c>
      <c r="C43" s="13">
        <f>SUM(C10+C18+C26+C35+C40)</f>
        <v>106767</v>
      </c>
      <c r="D43" s="13">
        <f>SUM(D10+D18+D26+D35+D40)</f>
        <v>378585.57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E16" sqref="E1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34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1 MAR'!C6, 'REPORTE DIARIO'!C:C)</f>
        <v>16610</v>
      </c>
      <c r="E6" s="17">
        <f>SUMIF('REPORTE DIARIO'!B:B,'EPR 1 MAR'!C6, 'REPORTE DIARIO'!D:D)</f>
        <v>171411.83000000002</v>
      </c>
      <c r="F6" s="17">
        <f>J6*D6</f>
        <v>474571.42857142858</v>
      </c>
      <c r="G6" s="17">
        <f>+E6-F6</f>
        <v>-303159.59857142856</v>
      </c>
      <c r="H6" s="16">
        <f>ABS(G6/F6)</f>
        <v>0.63880710114388917</v>
      </c>
      <c r="I6" s="17">
        <f>E6/D6</f>
        <v>10.319797110174594</v>
      </c>
      <c r="J6" s="17">
        <f>200/7</f>
        <v>28.571428571428573</v>
      </c>
      <c r="K6" s="17">
        <f>+I6-J6</f>
        <v>-18.251631461253979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1 MAR'!C7, 'REPORTE DIARIO'!C:C)</f>
        <v>12363</v>
      </c>
      <c r="E7" s="17">
        <f>SUMIF('REPORTE DIARIO'!B:B,'EPR 1 MAR'!C7, 'REPORTE DIARIO'!D:D)</f>
        <v>48593.17</v>
      </c>
      <c r="F7" s="17">
        <f>J7*D7</f>
        <v>194275.71428571429</v>
      </c>
      <c r="G7" s="17">
        <f>+E7-F7</f>
        <v>-145682.54428571428</v>
      </c>
      <c r="H7" s="16">
        <f>ABS(G7/F7)</f>
        <v>0.74987522151875463</v>
      </c>
      <c r="I7" s="17">
        <f>E7/D7</f>
        <v>3.9305322332767125</v>
      </c>
      <c r="J7" s="17">
        <f>110/7</f>
        <v>15.714285714285714</v>
      </c>
      <c r="K7" s="17">
        <f t="shared" ref="K7:K9" si="0">+I7-J7</f>
        <v>-11.783753481009001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1 MAR'!C8, 'REPORTE DIARIO'!C:C)</f>
        <v>12185</v>
      </c>
      <c r="E8" s="17">
        <f>SUMIF('REPORTE DIARIO'!B:B,'EPR 1 MAR'!C8, 'REPORTE DIARIO'!D:D)</f>
        <v>48127</v>
      </c>
      <c r="F8" s="17">
        <f>J8*D8</f>
        <v>78332.142857142855</v>
      </c>
      <c r="G8" s="17">
        <f>+E8-F8</f>
        <v>-30205.142857142855</v>
      </c>
      <c r="H8" s="16">
        <f>ABS(G8/F8)</f>
        <v>0.3856034286235353</v>
      </c>
      <c r="I8" s="17">
        <f>E8/D8</f>
        <v>3.9496922445629874</v>
      </c>
      <c r="J8" s="17">
        <f>45/7</f>
        <v>6.4285714285714288</v>
      </c>
      <c r="K8" s="17">
        <f t="shared" si="0"/>
        <v>-2.4788791840084414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1 MAR'!C9, 'REPORTE DIARIO'!C:C)</f>
        <v>65587</v>
      </c>
      <c r="E9" s="17">
        <f>SUMIF('REPORTE DIARIO'!B:B,'EPR 1 MAR'!C9, 'REPORTE DIARIO'!D:D)</f>
        <v>110453.56999999999</v>
      </c>
      <c r="F9" s="17">
        <f>J9*D9</f>
        <v>140543.57142857142</v>
      </c>
      <c r="G9" s="17">
        <f>+E9-F9</f>
        <v>-30090.001428571428</v>
      </c>
      <c r="H9" s="16">
        <f>ABS(G9/F9)</f>
        <v>0.21409731603315699</v>
      </c>
      <c r="I9" s="17">
        <f>E9/D9</f>
        <v>1.6840771799289491</v>
      </c>
      <c r="J9" s="17">
        <f>15/7</f>
        <v>2.1428571428571428</v>
      </c>
      <c r="K9" s="17">
        <f t="shared" si="0"/>
        <v>-0.45877996292819367</v>
      </c>
    </row>
    <row r="10" spans="2:12" x14ac:dyDescent="0.25">
      <c r="B10" s="17"/>
      <c r="C10" s="20" t="s">
        <v>18</v>
      </c>
      <c r="D10" s="25">
        <f>SUM(D6:D9)</f>
        <v>106745</v>
      </c>
      <c r="E10" s="21">
        <f>SUM(E6:E9)</f>
        <v>378585.57</v>
      </c>
      <c r="F10" s="21">
        <f>SUM(F6:F9)</f>
        <v>887722.85714285704</v>
      </c>
      <c r="G10" s="21">
        <f>+E10-F10</f>
        <v>-509137.28714285704</v>
      </c>
      <c r="H10" s="22">
        <f>ABS(G10/F10)</f>
        <v>0.57353179885614225</v>
      </c>
      <c r="I10" s="21">
        <f>E10/D10</f>
        <v>3.5466351585554361</v>
      </c>
      <c r="J10" s="21">
        <f>F10/D10</f>
        <v>8.316294506935753</v>
      </c>
      <c r="K10" s="21">
        <f>I10-J10</f>
        <v>-4.7696593483803174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2025-03-07T03:47:26Z</dcterms:modified>
</cp:coreProperties>
</file>