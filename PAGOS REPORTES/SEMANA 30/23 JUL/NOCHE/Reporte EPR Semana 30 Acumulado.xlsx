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3 JUL\NOCHE\"/>
    </mc:Choice>
  </mc:AlternateContent>
  <xr:revisionPtr revIDLastSave="0" documentId="13_ncr:1_{27E828CC-4151-4AB2-B2F7-7F0DA67FA856}" xr6:coauthVersionLast="47" xr6:coauthVersionMax="47" xr10:uidLastSave="{00000000-0000-0000-0000-000000000000}"/>
  <bookViews>
    <workbookView xWindow="20100" yWindow="14310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<sst xmlns="http://schemas.openxmlformats.org/spreadsheetml/2006/main" count="89" uniqueCount="37">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</sst>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1" zoomScaleNormal="100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2819</v>
      </c>
      <c r="D5" s="25">
        <v>270895.45999999996</v>
      </c>
    </row>
    <row r="6" spans="2:8" x14ac:dyDescent="0.25">
      <c r="B6" s="1" t="s">
        <v>5</v>
      </c>
      <c r="C6" s="6">
        <v>2477</v>
      </c>
      <c r="D6" s="25">
        <v>81592</v>
      </c>
    </row>
    <row r="7" spans="2:8" x14ac:dyDescent="0.25">
      <c r="B7" s="1" t="s">
        <v>6</v>
      </c>
      <c r="C7" s="6">
        <v>5334</v>
      </c>
      <c r="D7" s="25">
        <v>76032.48000000001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19399</v>
      </c>
      <c r="D9" s="25">
        <v>283428.91999999993</v>
      </c>
      <c r="E9" s="14"/>
      <c r="F9" s="7"/>
    </row>
    <row r="10" spans="2:8" x14ac:dyDescent="0.25">
      <c r="B10" s="3" t="s">
        <v>8</v>
      </c>
      <c r="C10" s="8">
        <f>SUM(C5:C9)</f>
        <v>30040</v>
      </c>
      <c r="D10" s="4">
        <f>SUM(D5:D9)</f>
        <v>711948.85999999987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1560</v>
      </c>
      <c r="D14" s="25">
        <v>105085.79000000001</v>
      </c>
    </row>
    <row r="15" spans="2:8" x14ac:dyDescent="0.25">
      <c r="B15" s="9" t="s">
        <v>5</v>
      </c>
      <c r="C15" s="6">
        <v>277</v>
      </c>
      <c r="D15" s="25">
        <v>34354.21</v>
      </c>
    </row>
    <row r="16" spans="2:8" x14ac:dyDescent="0.25">
      <c r="B16" s="9" t="s">
        <v>6</v>
      </c>
      <c r="C16" s="6">
        <v>1386</v>
      </c>
      <c r="D16" s="25">
        <v>25390</v>
      </c>
    </row>
    <row r="17" spans="2:4" x14ac:dyDescent="0.25">
      <c r="B17" s="5" t="s">
        <v>12</v>
      </c>
      <c r="C17" s="7">
        <v>1</v>
      </c>
      <c r="D17" s="25">
        <v>45</v>
      </c>
    </row>
    <row r="18" spans="2:4" x14ac:dyDescent="0.25">
      <c r="B18" s="9" t="s">
        <v>7</v>
      </c>
      <c r="C18" s="6">
        <v>17390</v>
      </c>
      <c r="D18" s="25">
        <v>64955.039999999994</v>
      </c>
    </row>
    <row r="19" spans="2:4" x14ac:dyDescent="0.25">
      <c r="B19" s="10" t="s">
        <v>8</v>
      </c>
      <c r="C19" s="8">
        <f>SUM(C14:C18)</f>
        <v>20614</v>
      </c>
      <c r="D19" s="4">
        <f>SUM(D14:D18)</f>
        <v>229830.03999999998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2166</v>
      </c>
      <c r="D23" s="25">
        <v>90860.829999999987</v>
      </c>
    </row>
    <row r="24" spans="2:4" x14ac:dyDescent="0.25">
      <c r="B24" s="1" t="s">
        <v>5</v>
      </c>
      <c r="C24" s="6">
        <v>1476</v>
      </c>
      <c r="D24" s="25">
        <v>32606.27</v>
      </c>
    </row>
    <row r="25" spans="2:4" x14ac:dyDescent="0.25">
      <c r="B25" s="1" t="s">
        <v>6</v>
      </c>
      <c r="C25" s="6">
        <v>3623</v>
      </c>
      <c r="D25" s="25">
        <v>31240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18154</v>
      </c>
      <c r="D27" s="25">
        <v>51863</v>
      </c>
    </row>
    <row r="28" spans="2:4" x14ac:dyDescent="0.25">
      <c r="B28" s="3" t="s">
        <v>8</v>
      </c>
      <c r="C28" s="8">
        <f>SUM(C23:C27)</f>
        <v>25419</v>
      </c>
      <c r="D28" s="4">
        <f>SUM(D23:D27)</f>
        <v>206570.09999999998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704</v>
      </c>
      <c r="D32" s="25">
        <v>46457.98</v>
      </c>
    </row>
    <row r="33" spans="2:4" x14ac:dyDescent="0.25">
      <c r="B33" s="9" t="s">
        <v>5</v>
      </c>
      <c r="C33" s="6">
        <v>1156</v>
      </c>
      <c r="D33" s="25">
        <v>56804.51</v>
      </c>
    </row>
    <row r="34" spans="2:4" x14ac:dyDescent="0.25">
      <c r="B34" s="9" t="s">
        <v>6</v>
      </c>
      <c r="C34" s="6">
        <v>800</v>
      </c>
      <c r="D34" s="25">
        <v>5206</v>
      </c>
    </row>
    <row r="35" spans="2:4" x14ac:dyDescent="0.25">
      <c r="B35" s="9" t="s">
        <v>7</v>
      </c>
      <c r="C35" s="6">
        <v>4323</v>
      </c>
      <c r="D35" s="25">
        <v>3516</v>
      </c>
    </row>
    <row r="36" spans="2:4" x14ac:dyDescent="0.25">
      <c r="B36" s="10" t="s">
        <v>8</v>
      </c>
      <c r="C36" s="8">
        <f>SUM(C32:C35)</f>
        <v>6983</v>
      </c>
      <c r="D36" s="4">
        <f>SUM(D32:D35)</f>
        <v>111984.49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711</v>
      </c>
      <c r="D40" s="25">
        <v>31935.5</v>
      </c>
    </row>
    <row r="41" spans="2:4" x14ac:dyDescent="0.25">
      <c r="B41" s="1" t="s">
        <v>5</v>
      </c>
      <c r="C41" s="6">
        <v>697</v>
      </c>
      <c r="D41" s="25">
        <v>3427.52</v>
      </c>
    </row>
    <row r="42" spans="2:4" x14ac:dyDescent="0.25">
      <c r="B42" s="1" t="s">
        <v>6</v>
      </c>
      <c r="C42" s="6">
        <v>1003</v>
      </c>
      <c r="D42" s="25">
        <v>3273</v>
      </c>
    </row>
    <row r="43" spans="2:4" x14ac:dyDescent="0.25">
      <c r="B43" s="1" t="s">
        <v>7</v>
      </c>
      <c r="C43" s="6">
        <v>418</v>
      </c>
      <c r="D43" s="25">
        <v>3932</v>
      </c>
    </row>
    <row r="44" spans="2:4" x14ac:dyDescent="0.25">
      <c r="B44" s="3" t="s">
        <v>8</v>
      </c>
      <c r="C44" s="8">
        <f>SUM(C40:C43)</f>
        <v>2829</v>
      </c>
      <c r="D44" s="4">
        <f>SUM(D40:D43)</f>
        <v>42568.02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1481</v>
      </c>
      <c r="D48" s="25">
        <v>23149</v>
      </c>
    </row>
    <row r="49" spans="2:4" x14ac:dyDescent="0.25">
      <c r="B49" s="10" t="s">
        <v>8</v>
      </c>
      <c r="C49" s="8">
        <f>SUM(C48:C48)</f>
        <v>1481</v>
      </c>
      <c r="D49" s="4">
        <f>SUM(D48:D48)</f>
        <v>23149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591</v>
      </c>
      <c r="D53" s="25">
        <v>10556</v>
      </c>
    </row>
    <row r="54" spans="2:4" x14ac:dyDescent="0.25">
      <c r="B54" s="1" t="s">
        <v>5</v>
      </c>
      <c r="C54" s="6">
        <v>10</v>
      </c>
      <c r="D54" s="25">
        <v>1926</v>
      </c>
    </row>
    <row r="55" spans="2:4" x14ac:dyDescent="0.25">
      <c r="B55" s="1" t="s">
        <v>6</v>
      </c>
      <c r="C55" s="6">
        <v>544</v>
      </c>
      <c r="D55" s="25">
        <v>2741</v>
      </c>
    </row>
    <row r="56" spans="2:4" x14ac:dyDescent="0.25">
      <c r="B56" s="1" t="s">
        <v>7</v>
      </c>
      <c r="C56" s="6">
        <v>2298</v>
      </c>
      <c r="D56" s="25">
        <v>2118</v>
      </c>
    </row>
    <row r="57" spans="2:4" x14ac:dyDescent="0.25">
      <c r="B57" s="3" t="s">
        <v>8</v>
      </c>
      <c r="C57" s="8">
        <f>SUM(C53:C56)</f>
        <v>3443</v>
      </c>
      <c r="D57" s="4">
        <f>SUM(D53:D56)</f>
        <v>17341</v>
      </c>
    </row>
    <row r="59" spans="2:4" x14ac:dyDescent="0.25">
      <c r="B59" s="12" t="s">
        <v>13</v>
      </c>
      <c r="C59" s="13">
        <f>SUMIF(B:B, "Total general", C:C)</f>
        <v>90809</v>
      </c>
      <c r="D59" s="13">
        <f>SUMIF(B:B, "Total general", D:D)</f>
        <v>1343391.51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10032</v>
      </c>
      <c r="E6" s="16">
        <f>SUMIF('REPORTE DIARIO'!B:B,'EPR 26 JUN'!C6, 'REPORTE DIARIO'!D:D)</f>
        <v>578940.55999999994</v>
      </c>
      <c r="F6" s="16">
        <f>J6*D6</f>
        <v>630582.85714285716</v>
      </c>
      <c r="G6" s="16">
        <f>+E6-F6</f>
        <v>-51642.29714285722</v>
      </c>
      <c r="H6" s="15">
        <f>ABS(G6/F6)</f>
        <v>8.1896132376395661E-2</v>
      </c>
      <c r="I6" s="16">
        <f>E6/D6</f>
        <v>57.709385964912272</v>
      </c>
      <c r="J6" s="16">
        <f>(220/7)*2</f>
        <v>62.857142857142854</v>
      </c>
      <c r="K6" s="16">
        <f>+I6-J6</f>
        <v>-5.1477568922305821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6093</v>
      </c>
      <c r="E7" s="16">
        <f>SUMIF('REPORTE DIARIO'!B:B,'EPR 26 JUN'!C7, 'REPORTE DIARIO'!D:D)</f>
        <v>210710.50999999998</v>
      </c>
      <c r="F7" s="16">
        <f>J7*D7</f>
        <v>191494.28571428571</v>
      </c>
      <c r="G7" s="16">
        <f>+E7-F7</f>
        <v>19216.22428571427</v>
      </c>
      <c r="H7" s="15">
        <f>ABS(G7/F7)</f>
        <v>0.10034881309401242</v>
      </c>
      <c r="I7" s="16">
        <f>E7/D7</f>
        <v>34.582391268668964</v>
      </c>
      <c r="J7" s="16">
        <f>(110/7)*2</f>
        <v>31.428571428571427</v>
      </c>
      <c r="K7" s="16">
        <f t="shared" ref="K7:K9" si="0">+I7-J7</f>
        <v>3.1538198400975368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12690</v>
      </c>
      <c r="E8" s="16">
        <f>SUMIF('REPORTE DIARIO'!B:B,'EPR 26 JUN'!C8, 'REPORTE DIARIO'!D:D)</f>
        <v>143882.48000000001</v>
      </c>
      <c r="F8" s="16">
        <f>J8*D8</f>
        <v>163157.14285714287</v>
      </c>
      <c r="G8" s="16">
        <f>+E8-F8</f>
        <v>-19274.662857142859</v>
      </c>
      <c r="H8" s="15">
        <f>ABS(G8/F8)</f>
        <v>0.11813557481831714</v>
      </c>
      <c r="I8" s="16">
        <f>E8/D8</f>
        <v>11.338256895193066</v>
      </c>
      <c r="J8" s="16">
        <f>(45/7)*2</f>
        <v>12.857142857142858</v>
      </c>
      <c r="K8" s="16">
        <f t="shared" si="0"/>
        <v>-1.5188859619497919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61982</v>
      </c>
      <c r="E9" s="16">
        <f>SUMIF('REPORTE DIARIO'!B:B,'EPR 26 JUN'!C9, 'REPORTE DIARIO'!D:D)</f>
        <v>409812.9599999999</v>
      </c>
      <c r="F9" s="16">
        <f>J9*D9</f>
        <v>265637.14285714284</v>
      </c>
      <c r="G9" s="16">
        <f>+E9-F9</f>
        <v>144175.81714285706</v>
      </c>
      <c r="H9" s="15">
        <f>ABS(G9/F9)</f>
        <v>0.54275473524571627</v>
      </c>
      <c r="I9" s="16">
        <f>E9/D9</f>
        <v>6.6118060081959262</v>
      </c>
      <c r="J9" s="16">
        <f>(15/7)*2</f>
        <v>4.2857142857142856</v>
      </c>
      <c r="K9" s="16">
        <f t="shared" si="0"/>
        <v>2.3260917224816406</v>
      </c>
    </row>
    <row r="10" spans="2:12" x14ac:dyDescent="0.25">
      <c r="B10" s="16"/>
      <c r="C10" s="19" t="s">
        <v>17</v>
      </c>
      <c r="D10" s="24">
        <f>SUM(D6:D9)</f>
        <v>90797</v>
      </c>
      <c r="E10" s="20">
        <f>SUM(E6:E9)</f>
        <v>1343346.5099999998</v>
      </c>
      <c r="F10" s="20">
        <f>SUM(F6:F9)</f>
        <v>1250871.4285714286</v>
      </c>
      <c r="G10" s="20">
        <f>+E10-F10</f>
        <v>92475.081428571139</v>
      </c>
      <c r="H10" s="21">
        <f>ABS(G10/F10)</f>
        <v>7.3928526398738925E-2</v>
      </c>
      <c r="I10" s="20">
        <f>E10/D10</f>
        <v>14.795053911472843</v>
      </c>
      <c r="J10" s="20">
        <f>F10/D10</f>
        <v>13.776572227842644</v>
      </c>
      <c r="K10" s="20">
        <f>I10-J10</f>
        <v>1.0184816836301991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2025-07-24T03:12:06Z</dcterms:modified>
</cp:coreProperties>
</file>