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3 JUL\MAÑANA\"/>
    </mc:Choice>
  </mc:AlternateContent>
  <xr:revisionPtr revIDLastSave="0" documentId="8_{01B57520-4AF0-4FE6-9A45-98A8BA4D7AC8}" xr6:coauthVersionLast="47" xr6:coauthVersionMax="47" xr10:uidLastSave="{00000000-0000-0000-0000-000000000000}"/>
  <bookViews>
    <workbookView xWindow="21045" yWindow="14310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<sst xmlns="http://schemas.openxmlformats.org/spreadsheetml/2006/main" count="89" uniqueCount="37">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</sst>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59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3657</v>
      </c>
      <c r="D5" s="25">
        <v>188440.03</v>
      </c>
    </row>
    <row r="6" spans="2:8" x14ac:dyDescent="0.25">
      <c r="B6" s="1" t="s">
        <v>5</v>
      </c>
      <c r="C6" s="6">
        <v>3317</v>
      </c>
      <c r="D6" s="25">
        <v>69124</v>
      </c>
    </row>
    <row r="7" spans="2:8" x14ac:dyDescent="0.25">
      <c r="B7" s="1" t="s">
        <v>6</v>
      </c>
      <c r="C7" s="6">
        <v>5316</v>
      </c>
      <c r="D7" s="25">
        <v>67064.48000000001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18695</v>
      </c>
      <c r="D9" s="25">
        <v>245959.61999999997</v>
      </c>
      <c r="E9" s="14"/>
      <c r="F9" s="7"/>
    </row>
    <row r="10" spans="2:8" x14ac:dyDescent="0.25">
      <c r="B10" s="3" t="s">
        <v>8</v>
      </c>
      <c r="C10" s="8">
        <f>SUM(C5:C9)</f>
        <v>30996</v>
      </c>
      <c r="D10" s="4">
        <f>SUM(D5:D9)</f>
        <v>570588.13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3581</v>
      </c>
      <c r="D14" s="25">
        <v>69004.489999999991</v>
      </c>
    </row>
    <row r="15" spans="2:8" x14ac:dyDescent="0.25">
      <c r="B15" s="1" t="s">
        <v>5</v>
      </c>
      <c r="C15" s="6">
        <v>2302</v>
      </c>
      <c r="D15" s="25">
        <v>31588.27</v>
      </c>
    </row>
    <row r="16" spans="2:8" x14ac:dyDescent="0.25">
      <c r="B16" s="1" t="s">
        <v>6</v>
      </c>
      <c r="C16" s="6">
        <v>3654</v>
      </c>
      <c r="D16" s="25">
        <v>26456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18169</v>
      </c>
      <c r="D18" s="25">
        <v>46316</v>
      </c>
    </row>
    <row r="19" spans="2:4" x14ac:dyDescent="0.25">
      <c r="B19" s="3" t="s">
        <v>8</v>
      </c>
      <c r="C19" s="8">
        <f>SUM(C14:C18)</f>
        <v>27706</v>
      </c>
      <c r="D19" s="4">
        <f>SUM(D14:D18)</f>
        <v>173364.76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2482</v>
      </c>
      <c r="D23" s="25">
        <v>68965.63</v>
      </c>
    </row>
    <row r="24" spans="2:4" x14ac:dyDescent="0.25">
      <c r="B24" s="9" t="s">
        <v>5</v>
      </c>
      <c r="C24" s="6">
        <v>834</v>
      </c>
      <c r="D24" s="25">
        <v>7158.29</v>
      </c>
    </row>
    <row r="25" spans="2:4" x14ac:dyDescent="0.25">
      <c r="B25" s="9" t="s">
        <v>6</v>
      </c>
      <c r="C25" s="6">
        <v>1937</v>
      </c>
      <c r="D25" s="25">
        <v>22338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17279</v>
      </c>
      <c r="D27" s="25">
        <v>43614.06</v>
      </c>
    </row>
    <row r="28" spans="2:4" x14ac:dyDescent="0.25">
      <c r="B28" s="10" t="s">
        <v>8</v>
      </c>
      <c r="C28" s="8">
        <f>SUM(C23:C27)</f>
        <v>22533</v>
      </c>
      <c r="D28" s="4">
        <f>SUM(D23:D27)</f>
        <v>142075.97999999998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704</v>
      </c>
      <c r="D32" s="25">
        <v>25515.83</v>
      </c>
    </row>
    <row r="33" spans="2:4" x14ac:dyDescent="0.25">
      <c r="B33" s="9" t="s">
        <v>5</v>
      </c>
      <c r="C33" s="6">
        <v>1481</v>
      </c>
      <c r="D33" s="25">
        <v>44591</v>
      </c>
    </row>
    <row r="34" spans="2:4" x14ac:dyDescent="0.25">
      <c r="B34" s="9" t="s">
        <v>6</v>
      </c>
      <c r="C34" s="6">
        <v>802</v>
      </c>
      <c r="D34" s="25">
        <v>4002</v>
      </c>
    </row>
    <row r="35" spans="2:4" x14ac:dyDescent="0.25">
      <c r="B35" s="9" t="s">
        <v>7</v>
      </c>
      <c r="C35" s="6">
        <v>4323</v>
      </c>
      <c r="D35" s="25">
        <v>2000</v>
      </c>
    </row>
    <row r="36" spans="2:4" x14ac:dyDescent="0.25">
      <c r="B36" s="10" t="s">
        <v>8</v>
      </c>
      <c r="C36" s="8">
        <f>SUM(C32:C35)</f>
        <v>7310</v>
      </c>
      <c r="D36" s="4">
        <f>SUM(D32:D35)</f>
        <v>76108.83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713</v>
      </c>
      <c r="D40" s="25">
        <v>28752.5</v>
      </c>
    </row>
    <row r="41" spans="2:4" x14ac:dyDescent="0.25">
      <c r="B41" s="1" t="s">
        <v>5</v>
      </c>
      <c r="C41" s="6">
        <v>698</v>
      </c>
      <c r="D41" s="25">
        <v>3427.52</v>
      </c>
    </row>
    <row r="42" spans="2:4" x14ac:dyDescent="0.25">
      <c r="B42" s="1" t="s">
        <v>6</v>
      </c>
      <c r="C42" s="6">
        <v>1003</v>
      </c>
      <c r="D42" s="25">
        <v>2555</v>
      </c>
    </row>
    <row r="43" spans="2:4" x14ac:dyDescent="0.25">
      <c r="B43" s="1" t="s">
        <v>7</v>
      </c>
      <c r="C43" s="6">
        <v>418</v>
      </c>
      <c r="D43" s="25">
        <v>3732</v>
      </c>
    </row>
    <row r="44" spans="2:4" x14ac:dyDescent="0.25">
      <c r="B44" s="3" t="s">
        <v>8</v>
      </c>
      <c r="C44" s="8">
        <f>SUM(C40:C43)</f>
        <v>2832</v>
      </c>
      <c r="D44" s="4">
        <f>SUM(D40:D43)</f>
        <v>38467.020000000004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969</v>
      </c>
      <c r="D48" s="25">
        <v>9442</v>
      </c>
    </row>
    <row r="49" spans="2:4" x14ac:dyDescent="0.25">
      <c r="B49" s="1" t="s">
        <v>5</v>
      </c>
      <c r="C49" s="6">
        <v>92</v>
      </c>
      <c r="D49" s="25">
        <v>1926</v>
      </c>
    </row>
    <row r="50" spans="2:4" x14ac:dyDescent="0.25">
      <c r="B50" s="1" t="s">
        <v>6</v>
      </c>
      <c r="C50" s="6">
        <v>546</v>
      </c>
      <c r="D50" s="25">
        <v>1320</v>
      </c>
    </row>
    <row r="51" spans="2:4" x14ac:dyDescent="0.25">
      <c r="B51" s="1" t="s">
        <v>7</v>
      </c>
      <c r="C51" s="6">
        <v>2300</v>
      </c>
      <c r="D51" s="25">
        <v>1216</v>
      </c>
    </row>
    <row r="52" spans="2:4" x14ac:dyDescent="0.25">
      <c r="B52" s="3" t="s">
        <v>8</v>
      </c>
      <c r="C52" s="8">
        <f>SUM(C48:C51)</f>
        <v>3907</v>
      </c>
      <c r="D52" s="4">
        <f>SUM(D48:D51)</f>
        <v>13904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1512</v>
      </c>
      <c r="D56" s="25">
        <v>8977</v>
      </c>
    </row>
    <row r="57" spans="2:4" x14ac:dyDescent="0.25">
      <c r="B57" s="10" t="s">
        <v>8</v>
      </c>
      <c r="C57" s="8">
        <f>SUM(C56:C56)</f>
        <v>1512</v>
      </c>
      <c r="D57" s="4">
        <f>SUM(D56:D56)</f>
        <v>8977</v>
      </c>
    </row>
    <row r="59" spans="2:4" x14ac:dyDescent="0.25">
      <c r="B59" s="12" t="s">
        <v>13</v>
      </c>
      <c r="C59" s="13">
        <f>SUMIF(B:B, "Total general", C:C)</f>
        <v>96796</v>
      </c>
      <c r="D59" s="13">
        <f>SUMIF(B:B, "Total general", D:D)</f>
        <v>1023485.72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13618</v>
      </c>
      <c r="E6" s="16">
        <f>SUMIF('REPORTE DIARIO'!B:B,'EPR 26 JUN'!C6, 'REPORTE DIARIO'!D:D)</f>
        <v>399097.48000000004</v>
      </c>
      <c r="F6" s="16">
        <f>J6*D6</f>
        <v>855988.57142857136</v>
      </c>
      <c r="G6" s="16">
        <f>+E6-F6</f>
        <v>-456891.09142857132</v>
      </c>
      <c r="H6" s="15">
        <f>ABS(G6/F6)</f>
        <v>0.53375840131376917</v>
      </c>
      <c r="I6" s="16">
        <f>E6/D6</f>
        <v>29.30661477456308</v>
      </c>
      <c r="J6" s="16">
        <f>(220/7)*2</f>
        <v>62.857142857142854</v>
      </c>
      <c r="K6" s="16">
        <f>+I6-J6</f>
        <v>-33.550528082579774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8724</v>
      </c>
      <c r="E7" s="16">
        <f>SUMIF('REPORTE DIARIO'!B:B,'EPR 26 JUN'!C7, 'REPORTE DIARIO'!D:D)</f>
        <v>157815.07999999999</v>
      </c>
      <c r="F7" s="16">
        <f>J7*D7</f>
        <v>274182.8571428571</v>
      </c>
      <c r="G7" s="16">
        <f>+E7-F7</f>
        <v>-116367.77714285711</v>
      </c>
      <c r="H7" s="15">
        <f>ABS(G7/F7)</f>
        <v>0.42441667708724101</v>
      </c>
      <c r="I7" s="16">
        <f>E7/D7</f>
        <v>18.089761577258137</v>
      </c>
      <c r="J7" s="16">
        <f>(110/7)*2</f>
        <v>31.428571428571427</v>
      </c>
      <c r="K7" s="16">
        <f t="shared" ref="K7:K9" si="0">+I7-J7</f>
        <v>-13.33880985131329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13258</v>
      </c>
      <c r="E8" s="16">
        <f>SUMIF('REPORTE DIARIO'!B:B,'EPR 26 JUN'!C8, 'REPORTE DIARIO'!D:D)</f>
        <v>123735.48000000001</v>
      </c>
      <c r="F8" s="16">
        <f>J8*D8</f>
        <v>170460</v>
      </c>
      <c r="G8" s="16">
        <f>+E8-F8</f>
        <v>-46724.51999999999</v>
      </c>
      <c r="H8" s="15">
        <f>ABS(G8/F8)</f>
        <v>0.27410841253079893</v>
      </c>
      <c r="I8" s="16">
        <f>E8/D8</f>
        <v>9.3328918388897275</v>
      </c>
      <c r="J8" s="16">
        <f>(45/7)*2</f>
        <v>12.857142857142858</v>
      </c>
      <c r="K8" s="16">
        <f t="shared" si="0"/>
        <v>-3.5242510182531301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61184</v>
      </c>
      <c r="E9" s="16">
        <f>SUMIF('REPORTE DIARIO'!B:B,'EPR 26 JUN'!C9, 'REPORTE DIARIO'!D:D)</f>
        <v>342837.68</v>
      </c>
      <c r="F9" s="16">
        <f>J9*D9</f>
        <v>262217.14285714284</v>
      </c>
      <c r="G9" s="16">
        <f>+E9-F9</f>
        <v>80620.537142857153</v>
      </c>
      <c r="H9" s="15">
        <f>ABS(G9/F9)</f>
        <v>0.3074571565550907</v>
      </c>
      <c r="I9" s="16">
        <f>E9/D9</f>
        <v>5.6033878138075313</v>
      </c>
      <c r="J9" s="16">
        <f>(15/7)*2</f>
        <v>4.2857142857142856</v>
      </c>
      <c r="K9" s="16">
        <f t="shared" si="0"/>
        <v>1.3176735280932457</v>
      </c>
    </row>
    <row r="10" spans="2:12" x14ac:dyDescent="0.25">
      <c r="B10" s="16"/>
      <c r="C10" s="19" t="s">
        <v>17</v>
      </c>
      <c r="D10" s="24">
        <f>SUM(D6:D9)</f>
        <v>96784</v>
      </c>
      <c r="E10" s="20">
        <f>SUM(E6:E9)</f>
        <v>1023485.72</v>
      </c>
      <c r="F10" s="20">
        <f>SUM(F6:F9)</f>
        <v>1562848.5714285714</v>
      </c>
      <c r="G10" s="20">
        <f>+E10-F10</f>
        <v>-539362.85142857139</v>
      </c>
      <c r="H10" s="21">
        <f>ABS(G10/F10)</f>
        <v>0.34511523463565613</v>
      </c>
      <c r="I10" s="20">
        <f>E10/D10</f>
        <v>10.574947511985451</v>
      </c>
      <c r="J10" s="20">
        <f>F10/D10</f>
        <v>16.147798927803887</v>
      </c>
      <c r="K10" s="20">
        <f>I10-J10</f>
        <v>-5.5728514158184357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2025-07-23T16:16:46Z</dcterms:modified>
</cp:coreProperties>
</file>