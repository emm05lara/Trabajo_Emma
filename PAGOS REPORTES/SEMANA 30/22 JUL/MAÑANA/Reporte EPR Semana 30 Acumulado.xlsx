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0\22 JUL\MAÑANA\"/>
    </mc:Choice>
  </mc:AlternateContent>
  <xr:revisionPtr revIDLastSave="0" documentId="13_ncr:1_{FCD9EE5E-8D99-4AF6-919D-035430A8CAD5}" xr6:coauthVersionLast="47" xr6:coauthVersionMax="47" xr10:uidLastSave="{00000000-0000-0000-0000-000000000000}"/>
  <bookViews>
    <workbookView xWindow="7590" yWindow="10005" windowWidth="11130" windowHeight="6570" xr2:uid="{4DC6C92A-CD8A-4966-829B-0B6A986E825B}"/>
  </bookViews>
  <sheets>
    <sheet name="REPORTE DIARIO" sheetId="1" r:id="rId1"/>
    <sheet name="DATA" sheetId="4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2" i="1"/>
  <c r="C19" i="1" l="1"/>
  <c r="D19" i="1"/>
  <c r="D28" i="1"/>
  <c r="C28" i="1"/>
  <c r="D6" i="3"/>
  <c r="D44" i="1"/>
  <c r="C44" i="1"/>
  <c r="D52" i="1"/>
  <c r="D57" i="1" l="1"/>
  <c r="C57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<sst xmlns="http://schemas.openxmlformats.org/spreadsheetml/2006/main" count="89" uniqueCount="37">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</sst>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44" zoomScaleNormal="100" workbookViewId="0">
      <selection activeCell="B56" sqref="B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3505</v>
      </c>
      <c r="D5" s="25">
        <v>86008.03</v>
      </c>
    </row>
    <row r="6" spans="2:8" x14ac:dyDescent="0.25">
      <c r="B6" s="1" t="s">
        <v>5</v>
      </c>
      <c r="C6" s="6">
        <v>3059</v>
      </c>
      <c r="D6" s="25">
        <v>51778</v>
      </c>
    </row>
    <row r="7" spans="2:8" x14ac:dyDescent="0.25">
      <c r="B7" s="1" t="s">
        <v>6</v>
      </c>
      <c r="C7" s="6">
        <v>4940</v>
      </c>
      <c r="D7" s="25">
        <v>47807.740000000005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18645</v>
      </c>
      <c r="D9" s="25">
        <v>149729.57</v>
      </c>
      <c r="E9" s="14"/>
      <c r="F9" s="7"/>
    </row>
    <row r="10" spans="2:8" x14ac:dyDescent="0.25">
      <c r="B10" s="3" t="s">
        <v>8</v>
      </c>
      <c r="C10" s="8">
        <f>SUM(C5:C9)</f>
        <v>30160</v>
      </c>
      <c r="D10" s="4">
        <f>SUM(D5:D9)</f>
        <v>335323.34000000003</v>
      </c>
      <c r="E10" s="11" t="s">
        <v>14</v>
      </c>
    </row>
    <row r="12" spans="2:8" x14ac:dyDescent="0.25">
      <c r="B12" s="28" t="s">
        <v>36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3581</v>
      </c>
      <c r="D14" s="25">
        <v>40381.99</v>
      </c>
    </row>
    <row r="15" spans="2:8" x14ac:dyDescent="0.25">
      <c r="B15" s="1" t="s">
        <v>5</v>
      </c>
      <c r="C15" s="6">
        <v>2302</v>
      </c>
      <c r="D15" s="25">
        <v>30756.27</v>
      </c>
    </row>
    <row r="16" spans="2:8" x14ac:dyDescent="0.25">
      <c r="B16" s="1" t="s">
        <v>6</v>
      </c>
      <c r="C16" s="6">
        <v>3654</v>
      </c>
      <c r="D16" s="25">
        <v>16461</v>
      </c>
    </row>
    <row r="17" spans="2:4" x14ac:dyDescent="0.25">
      <c r="B17" s="5" t="s">
        <v>12</v>
      </c>
      <c r="C17" s="6">
        <v>0</v>
      </c>
      <c r="D17" s="26">
        <v>0</v>
      </c>
    </row>
    <row r="18" spans="2:4" x14ac:dyDescent="0.25">
      <c r="B18" s="1" t="s">
        <v>7</v>
      </c>
      <c r="C18" s="7">
        <v>18169</v>
      </c>
      <c r="D18" s="25">
        <v>17655</v>
      </c>
    </row>
    <row r="19" spans="2:4" x14ac:dyDescent="0.25">
      <c r="B19" s="3" t="s">
        <v>8</v>
      </c>
      <c r="C19" s="8">
        <f>SUM(C14:C18)</f>
        <v>27706</v>
      </c>
      <c r="D19" s="4">
        <f>SUM(D14:D18)</f>
        <v>105254.26</v>
      </c>
    </row>
    <row r="21" spans="2:4" x14ac:dyDescent="0.25">
      <c r="B21" s="27" t="s">
        <v>10</v>
      </c>
      <c r="C21" s="27"/>
      <c r="D21" s="27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2472</v>
      </c>
      <c r="D23" s="25">
        <v>32424.07</v>
      </c>
    </row>
    <row r="24" spans="2:4" x14ac:dyDescent="0.25">
      <c r="B24" s="9" t="s">
        <v>5</v>
      </c>
      <c r="C24" s="6">
        <v>834</v>
      </c>
      <c r="D24" s="25">
        <v>3550</v>
      </c>
    </row>
    <row r="25" spans="2:4" x14ac:dyDescent="0.25">
      <c r="B25" s="9" t="s">
        <v>6</v>
      </c>
      <c r="C25" s="6">
        <v>1937</v>
      </c>
      <c r="D25" s="25">
        <v>11964</v>
      </c>
    </row>
    <row r="26" spans="2:4" x14ac:dyDescent="0.25">
      <c r="B26" s="5" t="s">
        <v>12</v>
      </c>
      <c r="C26" s="7">
        <v>1</v>
      </c>
      <c r="D26" s="26">
        <v>0</v>
      </c>
    </row>
    <row r="27" spans="2:4" x14ac:dyDescent="0.25">
      <c r="B27" s="9" t="s">
        <v>7</v>
      </c>
      <c r="C27" s="6">
        <v>17277</v>
      </c>
      <c r="D27" s="25">
        <v>16152.869999999999</v>
      </c>
    </row>
    <row r="28" spans="2:4" x14ac:dyDescent="0.25">
      <c r="B28" s="10" t="s">
        <v>8</v>
      </c>
      <c r="C28" s="8">
        <f>SUM(C23:C27)</f>
        <v>22521</v>
      </c>
      <c r="D28" s="4">
        <f>SUM(D23:D27)</f>
        <v>64090.94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704</v>
      </c>
      <c r="D32" s="25">
        <v>11274</v>
      </c>
    </row>
    <row r="33" spans="2:4" x14ac:dyDescent="0.25">
      <c r="B33" s="9" t="s">
        <v>5</v>
      </c>
      <c r="C33" s="6">
        <v>1469</v>
      </c>
      <c r="D33" s="25">
        <v>20396</v>
      </c>
    </row>
    <row r="34" spans="2:4" x14ac:dyDescent="0.25">
      <c r="B34" s="9" t="s">
        <v>6</v>
      </c>
      <c r="C34" s="6">
        <v>802</v>
      </c>
      <c r="D34" s="25">
        <v>1859</v>
      </c>
    </row>
    <row r="35" spans="2:4" x14ac:dyDescent="0.25">
      <c r="B35" s="9" t="s">
        <v>7</v>
      </c>
      <c r="C35" s="6">
        <v>4323</v>
      </c>
      <c r="D35" s="25">
        <v>1000</v>
      </c>
    </row>
    <row r="36" spans="2:4" x14ac:dyDescent="0.25">
      <c r="B36" s="10" t="s">
        <v>8</v>
      </c>
      <c r="C36" s="8">
        <f>SUM(C32:C35)</f>
        <v>7298</v>
      </c>
      <c r="D36" s="4">
        <f>SUM(D32:D35)</f>
        <v>34529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713</v>
      </c>
      <c r="D40" s="25">
        <v>10307</v>
      </c>
    </row>
    <row r="41" spans="2:4" x14ac:dyDescent="0.25">
      <c r="B41" s="1" t="s">
        <v>5</v>
      </c>
      <c r="C41" s="6">
        <v>698</v>
      </c>
      <c r="D41" s="25">
        <v>2038.04</v>
      </c>
    </row>
    <row r="42" spans="2:4" x14ac:dyDescent="0.25">
      <c r="B42" s="1" t="s">
        <v>6</v>
      </c>
      <c r="C42" s="6">
        <v>1003</v>
      </c>
      <c r="D42" s="25">
        <v>727</v>
      </c>
    </row>
    <row r="43" spans="2:4" x14ac:dyDescent="0.25">
      <c r="B43" s="1" t="s">
        <v>7</v>
      </c>
      <c r="C43" s="6">
        <v>418</v>
      </c>
      <c r="D43" s="25">
        <v>3732</v>
      </c>
    </row>
    <row r="44" spans="2:4" x14ac:dyDescent="0.25">
      <c r="B44" s="3" t="s">
        <v>8</v>
      </c>
      <c r="C44" s="8">
        <f>SUM(C40:C43)</f>
        <v>2832</v>
      </c>
      <c r="D44" s="4">
        <f>SUM(D40:D43)</f>
        <v>16804.04</v>
      </c>
    </row>
    <row r="46" spans="2:4" x14ac:dyDescent="0.25">
      <c r="B46" s="28" t="s">
        <v>30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969</v>
      </c>
      <c r="D48" s="25">
        <v>6865</v>
      </c>
    </row>
    <row r="49" spans="2:4" x14ac:dyDescent="0.25">
      <c r="B49" s="1" t="s">
        <v>5</v>
      </c>
      <c r="C49" s="6">
        <v>92</v>
      </c>
      <c r="D49" s="25">
        <v>1926</v>
      </c>
    </row>
    <row r="50" spans="2:4" x14ac:dyDescent="0.25">
      <c r="B50" s="1" t="s">
        <v>6</v>
      </c>
      <c r="C50" s="6">
        <v>546</v>
      </c>
      <c r="D50" s="26">
        <v>0</v>
      </c>
    </row>
    <row r="51" spans="2:4" x14ac:dyDescent="0.25">
      <c r="B51" s="1" t="s">
        <v>7</v>
      </c>
      <c r="C51" s="6">
        <v>2300</v>
      </c>
      <c r="D51" s="25">
        <v>851</v>
      </c>
    </row>
    <row r="52" spans="2:4" x14ac:dyDescent="0.25">
      <c r="B52" s="3" t="s">
        <v>8</v>
      </c>
      <c r="C52" s="8">
        <f>SUM(C48:C51)</f>
        <v>3907</v>
      </c>
      <c r="D52" s="4">
        <f>SUM(D48:D51)</f>
        <v>9642</v>
      </c>
    </row>
    <row r="54" spans="2:4" x14ac:dyDescent="0.25">
      <c r="B54" s="27" t="s">
        <v>11</v>
      </c>
      <c r="C54" s="27"/>
      <c r="D54" s="27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1512</v>
      </c>
      <c r="D56" s="25">
        <v>6809</v>
      </c>
    </row>
    <row r="57" spans="2:4" x14ac:dyDescent="0.25">
      <c r="B57" s="10" t="s">
        <v>8</v>
      </c>
      <c r="C57" s="8">
        <f>SUM(C56:C56)</f>
        <v>1512</v>
      </c>
      <c r="D57" s="4">
        <f>SUM(D56:D56)</f>
        <v>6809</v>
      </c>
    </row>
    <row r="59" spans="2:4" x14ac:dyDescent="0.25">
      <c r="B59" s="12" t="s">
        <v>13</v>
      </c>
      <c r="C59" s="13">
        <f>SUMIF(B:B, "Total general", C:C)</f>
        <v>95936</v>
      </c>
      <c r="D59" s="13">
        <f>SUMIF(B:B, "Total general", D:D)</f>
        <v>572452.58000000007</v>
      </c>
    </row>
  </sheetData>
  <mergeCells count="7">
    <mergeCell ref="B54:D54"/>
    <mergeCell ref="B38:D38"/>
    <mergeCell ref="B12:D12"/>
    <mergeCell ref="B46:D46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13456</v>
      </c>
      <c r="E6" s="16">
        <f>SUMIF('REPORTE DIARIO'!B:B,'EPR 26 JUN'!C6, 'REPORTE DIARIO'!D:D)</f>
        <v>194069.09</v>
      </c>
      <c r="F6" s="16">
        <f>J6*D6</f>
        <v>845805.7142857142</v>
      </c>
      <c r="G6" s="16">
        <f>+E6-F6</f>
        <v>-651736.62428571424</v>
      </c>
      <c r="H6" s="15">
        <f>ABS(G6/F6)</f>
        <v>0.7705512191249595</v>
      </c>
      <c r="I6" s="16">
        <f>E6/D6</f>
        <v>14.42249479785969</v>
      </c>
      <c r="J6" s="16">
        <f>(220/7)*2</f>
        <v>62.857142857142854</v>
      </c>
      <c r="K6" s="16">
        <f>+I6-J6</f>
        <v>-48.434648059283163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8454</v>
      </c>
      <c r="E7" s="16">
        <f>SUMIF('REPORTE DIARIO'!B:B,'EPR 26 JUN'!C7, 'REPORTE DIARIO'!D:D)</f>
        <v>110444.31</v>
      </c>
      <c r="F7" s="16">
        <f>J7*D7</f>
        <v>265697.14285714284</v>
      </c>
      <c r="G7" s="16">
        <f>+E7-F7</f>
        <v>-155252.83285714284</v>
      </c>
      <c r="H7" s="15">
        <f>ABS(G7/F7)</f>
        <v>0.5843225530679399</v>
      </c>
      <c r="I7" s="16">
        <f>E7/D7</f>
        <v>13.064148332150461</v>
      </c>
      <c r="J7" s="16">
        <f>(110/7)*2</f>
        <v>31.428571428571427</v>
      </c>
      <c r="K7" s="16">
        <f t="shared" ref="K7:K9" si="0">+I7-J7</f>
        <v>-18.364423096420964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12882</v>
      </c>
      <c r="E8" s="16">
        <f>SUMIF('REPORTE DIARIO'!B:B,'EPR 26 JUN'!C8, 'REPORTE DIARIO'!D:D)</f>
        <v>78818.740000000005</v>
      </c>
      <c r="F8" s="16">
        <f>J8*D8</f>
        <v>165625.71428571429</v>
      </c>
      <c r="G8" s="16">
        <f>+E8-F8</f>
        <v>-86806.974285714285</v>
      </c>
      <c r="H8" s="15">
        <f>ABS(G8/F8)</f>
        <v>0.52411532025737895</v>
      </c>
      <c r="I8" s="16">
        <f>E8/D8</f>
        <v>6.1185173109765572</v>
      </c>
      <c r="J8" s="16">
        <f>(45/7)*2</f>
        <v>12.857142857142858</v>
      </c>
      <c r="K8" s="16">
        <f t="shared" si="0"/>
        <v>-6.7386255461663005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61132</v>
      </c>
      <c r="E9" s="16">
        <f>SUMIF('REPORTE DIARIO'!B:B,'EPR 26 JUN'!C9, 'REPORTE DIARIO'!D:D)</f>
        <v>189120.44</v>
      </c>
      <c r="F9" s="16">
        <f>J9*D9</f>
        <v>261994.28571428571</v>
      </c>
      <c r="G9" s="16">
        <f>+E9-F9</f>
        <v>-72873.845714285708</v>
      </c>
      <c r="H9" s="15">
        <f>ABS(G9/F9)</f>
        <v>0.27815051582368205</v>
      </c>
      <c r="I9" s="16">
        <f>E9/D9</f>
        <v>3.0936406464699338</v>
      </c>
      <c r="J9" s="16">
        <f>(15/7)*2</f>
        <v>4.2857142857142856</v>
      </c>
      <c r="K9" s="16">
        <f t="shared" si="0"/>
        <v>-1.1920736392443518</v>
      </c>
    </row>
    <row r="10" spans="2:12" x14ac:dyDescent="0.25">
      <c r="B10" s="16"/>
      <c r="C10" s="19" t="s">
        <v>17</v>
      </c>
      <c r="D10" s="24">
        <f>SUM(D6:D9)</f>
        <v>95924</v>
      </c>
      <c r="E10" s="20">
        <f>SUM(E6:E9)</f>
        <v>572452.58000000007</v>
      </c>
      <c r="F10" s="20">
        <f>SUM(F6:F9)</f>
        <v>1539122.857142857</v>
      </c>
      <c r="G10" s="20">
        <f>+E10-F10</f>
        <v>-966670.27714285697</v>
      </c>
      <c r="H10" s="21">
        <f>ABS(G10/F10)</f>
        <v>0.62806570161483433</v>
      </c>
      <c r="I10" s="20">
        <f>E10/D10</f>
        <v>5.9677721946541018</v>
      </c>
      <c r="J10" s="20">
        <f>F10/D10</f>
        <v>16.045232237426056</v>
      </c>
      <c r="K10" s="20">
        <f>I10-J10</f>
        <v>-10.077460042771953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2025-07-22T15:54:19Z</dcterms:modified>
</cp:coreProperties>
</file>