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30\24 JUL\NOCHE\"/>
    </mc:Choice>
  </mc:AlternateContent>
  <xr:revisionPtr revIDLastSave="0" documentId="8_{718160BB-9B8D-40A8-A33A-ED2F486ECEC1}" xr6:coauthVersionLast="47" xr6:coauthVersionMax="47" xr10:uidLastSave="{00000000-0000-0000-0000-000000000000}"/>
  <bookViews>
    <workbookView xWindow="3885" yWindow="3885" windowWidth="11130" windowHeight="6570" xr2:uid="{4DC6C92A-CD8A-4966-829B-0B6A986E825B}"/>
  </bookViews>
  <sheets>
    <sheet name="REPORTE DIARIO" sheetId="1" r:id="rId1"/>
    <sheet name="DATA" sheetId="4" r:id="rId2"/>
    <sheet name="EPR 26 JU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9" i="3" l="1"/>
  <c r="J8" i="3"/>
  <c r="J7" i="3"/>
  <c r="J6" i="3"/>
  <c r="C57" i="1"/>
  <c r="C28" i="1" l="1"/>
  <c r="D28" i="1"/>
  <c r="D19" i="1"/>
  <c r="C19" i="1"/>
  <c r="D6" i="3"/>
  <c r="D44" i="1"/>
  <c r="C44" i="1"/>
  <c r="D57" i="1"/>
  <c r="D49" i="1" l="1"/>
  <c r="C49" i="1"/>
  <c r="D36" i="1"/>
  <c r="C36" i="1"/>
  <c r="D10" i="1"/>
  <c r="C10" i="1"/>
  <c r="F6" i="3"/>
  <c r="E7" i="3"/>
  <c r="E8" i="3"/>
  <c r="E9" i="3"/>
  <c r="E6" i="3"/>
  <c r="D7" i="3"/>
  <c r="F7" i="3" s="1"/>
  <c r="D8" i="3"/>
  <c r="F8" i="3" s="1"/>
  <c r="D9" i="3"/>
  <c r="F9" i="3" s="1"/>
  <c r="C59" i="1" l="1"/>
  <c r="D59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<sst xmlns="http://schemas.openxmlformats.org/spreadsheetml/2006/main" count="89" uniqueCount="37">
  <si>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</si>
  <si>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</si>
  <si>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</si>
  <si>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</si>
  <si>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</si>
  <si>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</si>
  <si>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</si>
  <si>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</si>
  <si>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</si>
  <si>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</si>
  <si>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</si>
  <si>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</si>
  <si>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</si>
  <si>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</si>
  <si>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</si>
  <si>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</si>
  <si>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</si>
  <si>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</si>
  <si>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</si>
  <si>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</si>
  <si>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</si>
  <si>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</si>
  <si>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</si>
  <si>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</si>
  <si>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</si>
  <si>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</si>
  <si>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</si>
  <si>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</si>
  <si>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</si>
  <si>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Gabriel</t>
  </si>
  <si>
    <t>COBRANZA GENERAL  FEDERICO</t>
  </si>
  <si>
    <t>COBRANZA GENERAL  OLGUIN</t>
  </si>
  <si>
    <t>Samantha, Samantha 2, Sofia, Edith, Fernando, Olguin y Federico</t>
  </si>
  <si>
    <t>Zareth</t>
  </si>
  <si>
    <t>Fernando (Naucalpan)</t>
  </si>
  <si>
    <t>SALDO ACUMULADO SEMANA 26</t>
  </si>
  <si>
    <t>COBRANZA GENERAL  ANDREA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</si>
</sst>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" fontId="0" fillId="0" borderId="1" xfId="0" applyNumberFormat="1" applyBorder="1"/>
    <xf numFmtId="43" fontId="0" fillId="0" borderId="1" xfId="0" applyNumberFormat="1" applyBorder="1"/>
    <xf numFmtId="43" fontId="4" fillId="2" borderId="0" xfId="1" applyFont="1" applyFill="1" applyAlignment="1">
      <alignment horizontal="center"/>
    </xf>
    <xf numFmtId="0" fontId="4" fillId="2" borderId="0" xfId="0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H59"/>
  <sheetViews>
    <sheetView showGridLines="0" tabSelected="1" topLeftCell="A5" zoomScaleNormal="100" workbookViewId="0">
      <selection activeCell="B3" sqref="B3:D59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28" t="s">
        <v>0</v>
      </c>
      <c r="C3" s="28"/>
      <c r="D3" s="28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2953</v>
      </c>
      <c r="D5" s="25">
        <v>315887.98</v>
      </c>
    </row>
    <row r="6" spans="2:8" x14ac:dyDescent="0.25">
      <c r="B6" s="1" t="s">
        <v>5</v>
      </c>
      <c r="C6" s="6">
        <v>2521</v>
      </c>
      <c r="D6" s="25">
        <v>107395</v>
      </c>
    </row>
    <row r="7" spans="2:8" x14ac:dyDescent="0.25">
      <c r="B7" s="1" t="s">
        <v>6</v>
      </c>
      <c r="C7" s="6">
        <v>5374</v>
      </c>
      <c r="D7" s="25">
        <v>98898.610000000015</v>
      </c>
    </row>
    <row r="8" spans="2:8" x14ac:dyDescent="0.25">
      <c r="B8" s="5" t="s">
        <v>12</v>
      </c>
      <c r="C8" s="7">
        <v>11</v>
      </c>
      <c r="D8" s="26">
        <v>0</v>
      </c>
    </row>
    <row r="9" spans="2:8" x14ac:dyDescent="0.25">
      <c r="B9" s="1" t="s">
        <v>7</v>
      </c>
      <c r="C9" s="6">
        <v>19720</v>
      </c>
      <c r="D9" s="25">
        <v>318863.88999999996</v>
      </c>
      <c r="E9" s="14"/>
      <c r="F9" s="7"/>
    </row>
    <row r="10" spans="2:8" x14ac:dyDescent="0.25">
      <c r="B10" s="3" t="s">
        <v>8</v>
      </c>
      <c r="C10" s="8">
        <f>SUM(C5:C9)</f>
        <v>30579</v>
      </c>
      <c r="D10" s="4">
        <f>SUM(D5:D9)</f>
        <v>841045.48</v>
      </c>
      <c r="E10" s="11" t="s">
        <v>14</v>
      </c>
    </row>
    <row r="12" spans="2:8" x14ac:dyDescent="0.25">
      <c r="B12" s="27" t="s">
        <v>10</v>
      </c>
      <c r="C12" s="27"/>
      <c r="D12" s="27"/>
    </row>
    <row r="13" spans="2:8" x14ac:dyDescent="0.25">
      <c r="B13" s="4" t="s">
        <v>1</v>
      </c>
      <c r="C13" s="4" t="s">
        <v>2</v>
      </c>
      <c r="D13" s="4" t="s">
        <v>3</v>
      </c>
    </row>
    <row r="14" spans="2:8" x14ac:dyDescent="0.25">
      <c r="B14" s="9" t="s">
        <v>4</v>
      </c>
      <c r="C14" s="6">
        <v>1609</v>
      </c>
      <c r="D14" s="25">
        <v>156108.75</v>
      </c>
    </row>
    <row r="15" spans="2:8" x14ac:dyDescent="0.25">
      <c r="B15" s="9" t="s">
        <v>5</v>
      </c>
      <c r="C15" s="6">
        <v>277</v>
      </c>
      <c r="D15" s="25">
        <v>16547.18</v>
      </c>
    </row>
    <row r="16" spans="2:8" x14ac:dyDescent="0.25">
      <c r="B16" s="9" t="s">
        <v>6</v>
      </c>
      <c r="C16" s="6">
        <v>1357</v>
      </c>
      <c r="D16" s="25">
        <v>27332.37</v>
      </c>
    </row>
    <row r="17" spans="2:4" x14ac:dyDescent="0.25">
      <c r="B17" s="5" t="s">
        <v>12</v>
      </c>
      <c r="C17" s="7">
        <v>1</v>
      </c>
      <c r="D17" s="25">
        <v>45</v>
      </c>
    </row>
    <row r="18" spans="2:4" x14ac:dyDescent="0.25">
      <c r="B18" s="9" t="s">
        <v>7</v>
      </c>
      <c r="C18" s="6">
        <v>17437</v>
      </c>
      <c r="D18" s="25">
        <v>79611.159999999989</v>
      </c>
    </row>
    <row r="19" spans="2:4" x14ac:dyDescent="0.25">
      <c r="B19" s="10" t="s">
        <v>8</v>
      </c>
      <c r="C19" s="8">
        <f>SUM(C14:C18)</f>
        <v>20681</v>
      </c>
      <c r="D19" s="4">
        <f>SUM(D14:D18)</f>
        <v>279644.45999999996</v>
      </c>
    </row>
    <row r="21" spans="2:4" x14ac:dyDescent="0.25">
      <c r="B21" s="28" t="s">
        <v>36</v>
      </c>
      <c r="C21" s="28"/>
      <c r="D21" s="28"/>
    </row>
    <row r="22" spans="2:4" x14ac:dyDescent="0.25">
      <c r="B22" s="2" t="s">
        <v>1</v>
      </c>
      <c r="C22" s="2" t="s">
        <v>2</v>
      </c>
      <c r="D22" s="2" t="s">
        <v>3</v>
      </c>
    </row>
    <row r="23" spans="2:4" x14ac:dyDescent="0.25">
      <c r="B23" s="1" t="s">
        <v>4</v>
      </c>
      <c r="C23" s="6">
        <v>2156</v>
      </c>
      <c r="D23" s="25">
        <v>104677.83</v>
      </c>
    </row>
    <row r="24" spans="2:4" x14ac:dyDescent="0.25">
      <c r="B24" s="1" t="s">
        <v>5</v>
      </c>
      <c r="C24" s="6">
        <v>1473</v>
      </c>
      <c r="D24" s="25">
        <v>35295.270000000004</v>
      </c>
    </row>
    <row r="25" spans="2:4" x14ac:dyDescent="0.25">
      <c r="B25" s="1" t="s">
        <v>6</v>
      </c>
      <c r="C25" s="6">
        <v>3607</v>
      </c>
      <c r="D25" s="25">
        <v>39013</v>
      </c>
    </row>
    <row r="26" spans="2:4" x14ac:dyDescent="0.25">
      <c r="B26" s="5" t="s">
        <v>12</v>
      </c>
      <c r="C26" s="6">
        <v>0</v>
      </c>
      <c r="D26" s="26">
        <v>0</v>
      </c>
    </row>
    <row r="27" spans="2:4" x14ac:dyDescent="0.25">
      <c r="B27" s="1" t="s">
        <v>7</v>
      </c>
      <c r="C27" s="7">
        <v>18149</v>
      </c>
      <c r="D27" s="25">
        <v>61018</v>
      </c>
    </row>
    <row r="28" spans="2:4" x14ac:dyDescent="0.25">
      <c r="B28" s="3" t="s">
        <v>8</v>
      </c>
      <c r="C28" s="8">
        <f>SUM(C23:C27)</f>
        <v>25385</v>
      </c>
      <c r="D28" s="4">
        <f>SUM(D23:D27)</f>
        <v>240004.1</v>
      </c>
    </row>
    <row r="30" spans="2:4" x14ac:dyDescent="0.25">
      <c r="B30" s="28" t="s">
        <v>9</v>
      </c>
      <c r="C30" s="28"/>
      <c r="D30" s="28"/>
    </row>
    <row r="31" spans="2:4" x14ac:dyDescent="0.25">
      <c r="B31" s="2" t="s">
        <v>1</v>
      </c>
      <c r="C31" s="2" t="s">
        <v>2</v>
      </c>
      <c r="D31" s="2" t="s">
        <v>3</v>
      </c>
    </row>
    <row r="32" spans="2:4" x14ac:dyDescent="0.25">
      <c r="B32" s="9" t="s">
        <v>4</v>
      </c>
      <c r="C32" s="6">
        <v>701</v>
      </c>
      <c r="D32" s="25">
        <v>53085.979999999996</v>
      </c>
    </row>
    <row r="33" spans="2:4" x14ac:dyDescent="0.25">
      <c r="B33" s="9" t="s">
        <v>5</v>
      </c>
      <c r="C33" s="6">
        <v>1155</v>
      </c>
      <c r="D33" s="25">
        <v>77557.19</v>
      </c>
    </row>
    <row r="34" spans="2:4" x14ac:dyDescent="0.25">
      <c r="B34" s="9" t="s">
        <v>6</v>
      </c>
      <c r="C34" s="6">
        <v>797</v>
      </c>
      <c r="D34" s="25">
        <v>6289</v>
      </c>
    </row>
    <row r="35" spans="2:4" x14ac:dyDescent="0.25">
      <c r="B35" s="9" t="s">
        <v>7</v>
      </c>
      <c r="C35" s="6">
        <v>4323</v>
      </c>
      <c r="D35" s="25">
        <v>12266</v>
      </c>
    </row>
    <row r="36" spans="2:4" x14ac:dyDescent="0.25">
      <c r="B36" s="10" t="s">
        <v>8</v>
      </c>
      <c r="C36" s="8">
        <f>SUM(C32:C35)</f>
        <v>6976</v>
      </c>
      <c r="D36" s="4">
        <f>SUM(D32:D35)</f>
        <v>149198.16999999998</v>
      </c>
    </row>
    <row r="38" spans="2:4" x14ac:dyDescent="0.25">
      <c r="B38" s="28" t="s">
        <v>31</v>
      </c>
      <c r="C38" s="28"/>
      <c r="D38" s="28"/>
    </row>
    <row r="39" spans="2:4" x14ac:dyDescent="0.25">
      <c r="B39" s="2" t="s">
        <v>1</v>
      </c>
      <c r="C39" s="2" t="s">
        <v>2</v>
      </c>
      <c r="D39" s="2" t="s">
        <v>3</v>
      </c>
    </row>
    <row r="40" spans="2:4" x14ac:dyDescent="0.25">
      <c r="B40" s="9" t="s">
        <v>4</v>
      </c>
      <c r="C40" s="6">
        <v>711</v>
      </c>
      <c r="D40" s="25">
        <v>41913.5</v>
      </c>
    </row>
    <row r="41" spans="2:4" x14ac:dyDescent="0.25">
      <c r="B41" s="1" t="s">
        <v>5</v>
      </c>
      <c r="C41" s="6">
        <v>697</v>
      </c>
      <c r="D41" s="25">
        <v>3427.52</v>
      </c>
    </row>
    <row r="42" spans="2:4" x14ac:dyDescent="0.25">
      <c r="B42" s="1" t="s">
        <v>6</v>
      </c>
      <c r="C42" s="6">
        <v>1003</v>
      </c>
      <c r="D42" s="25">
        <v>6839</v>
      </c>
    </row>
    <row r="43" spans="2:4" x14ac:dyDescent="0.25">
      <c r="B43" s="1" t="s">
        <v>7</v>
      </c>
      <c r="C43" s="6">
        <v>418</v>
      </c>
      <c r="D43" s="25">
        <v>4031</v>
      </c>
    </row>
    <row r="44" spans="2:4" x14ac:dyDescent="0.25">
      <c r="B44" s="3" t="s">
        <v>8</v>
      </c>
      <c r="C44" s="8">
        <f>SUM(C40:C43)</f>
        <v>2829</v>
      </c>
      <c r="D44" s="4">
        <f>SUM(D40:D43)</f>
        <v>56211.02</v>
      </c>
    </row>
    <row r="46" spans="2:4" x14ac:dyDescent="0.25">
      <c r="B46" s="27" t="s">
        <v>11</v>
      </c>
      <c r="C46" s="27"/>
      <c r="D46" s="27"/>
    </row>
    <row r="47" spans="2:4" x14ac:dyDescent="0.25">
      <c r="B47" s="4" t="s">
        <v>1</v>
      </c>
      <c r="C47" s="4" t="s">
        <v>2</v>
      </c>
      <c r="D47" s="4" t="s">
        <v>3</v>
      </c>
    </row>
    <row r="48" spans="2:4" x14ac:dyDescent="0.25">
      <c r="B48" s="9" t="s">
        <v>4</v>
      </c>
      <c r="C48" s="6">
        <v>1474</v>
      </c>
      <c r="D48" s="25">
        <v>32345.8</v>
      </c>
    </row>
    <row r="49" spans="2:4" x14ac:dyDescent="0.25">
      <c r="B49" s="10" t="s">
        <v>8</v>
      </c>
      <c r="C49" s="8">
        <f>SUM(C48:C48)</f>
        <v>1474</v>
      </c>
      <c r="D49" s="4">
        <f>SUM(D48:D48)</f>
        <v>32345.8</v>
      </c>
    </row>
    <row r="51" spans="2:4" x14ac:dyDescent="0.25">
      <c r="B51" s="28" t="s">
        <v>30</v>
      </c>
      <c r="C51" s="28"/>
      <c r="D51" s="28"/>
    </row>
    <row r="52" spans="2:4" x14ac:dyDescent="0.25">
      <c r="B52" s="2" t="s">
        <v>1</v>
      </c>
      <c r="C52" s="2" t="s">
        <v>2</v>
      </c>
      <c r="D52" s="2" t="s">
        <v>3</v>
      </c>
    </row>
    <row r="53" spans="2:4" x14ac:dyDescent="0.25">
      <c r="B53" s="9" t="s">
        <v>4</v>
      </c>
      <c r="C53" s="6">
        <v>589</v>
      </c>
      <c r="D53" s="25">
        <v>16502.490000000002</v>
      </c>
    </row>
    <row r="54" spans="2:4" x14ac:dyDescent="0.25">
      <c r="B54" s="1" t="s">
        <v>5</v>
      </c>
      <c r="C54" s="6">
        <v>9</v>
      </c>
      <c r="D54" s="25">
        <v>1926</v>
      </c>
    </row>
    <row r="55" spans="2:4" x14ac:dyDescent="0.25">
      <c r="B55" s="1" t="s">
        <v>6</v>
      </c>
      <c r="C55" s="6">
        <v>543</v>
      </c>
      <c r="D55" s="25">
        <v>3711</v>
      </c>
    </row>
    <row r="56" spans="2:4" x14ac:dyDescent="0.25">
      <c r="B56" s="1" t="s">
        <v>7</v>
      </c>
      <c r="C56" s="6">
        <v>2297</v>
      </c>
      <c r="D56" s="25">
        <v>2118</v>
      </c>
    </row>
    <row r="57" spans="2:4" x14ac:dyDescent="0.25">
      <c r="B57" s="3" t="s">
        <v>8</v>
      </c>
      <c r="C57" s="8">
        <f>SUM(C53:C56)</f>
        <v>3438</v>
      </c>
      <c r="D57" s="4">
        <f>SUM(D53:D56)</f>
        <v>24257.49</v>
      </c>
    </row>
    <row r="59" spans="2:4" x14ac:dyDescent="0.25">
      <c r="B59" s="12" t="s">
        <v>13</v>
      </c>
      <c r="C59" s="13">
        <f>SUMIF(B:B, "Total general", C:C)</f>
        <v>91362</v>
      </c>
      <c r="D59" s="13">
        <f>SUMIF(B:B, "Total general", D:D)</f>
        <v>1622706.52</v>
      </c>
    </row>
  </sheetData>
  <mergeCells count="7">
    <mergeCell ref="B46:D46"/>
    <mergeCell ref="B38:D38"/>
    <mergeCell ref="B21:D21"/>
    <mergeCell ref="B51:D51"/>
    <mergeCell ref="B3:D3"/>
    <mergeCell ref="B12:D12"/>
    <mergeCell ref="B30:D30"/>
  </mergeCells>
  <pageMargins left="0.7" right="0.7" top="0.75" bottom="0.75" header="0.3" footer="0.3"/>
  <pageSetup paperSize="9"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8820-D247-4809-9D99-E8C30411415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zoomScale="145" zoomScaleNormal="145" workbookViewId="0">
      <selection activeCell="B2" sqref="B2"/>
    </sheetView>
  </sheetViews>
  <sheetFormatPr baseColWidth="10" defaultRowHeight="15" x14ac:dyDescent="0.25"/>
  <cols>
    <col min="2" max="2" width="19.85546875" customWidth="1"/>
    <col min="3" max="3" width="36.710937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.28515625" bestFit="1" customWidth="1"/>
    <col min="9" max="9" width="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8" t="s">
        <v>21</v>
      </c>
    </row>
    <row r="3" spans="2:12" x14ac:dyDescent="0.25">
      <c r="B3" s="17" t="s">
        <v>35</v>
      </c>
    </row>
    <row r="5" spans="2:12" x14ac:dyDescent="0.25">
      <c r="B5" t="s">
        <v>27</v>
      </c>
      <c r="C5" t="s">
        <v>28</v>
      </c>
      <c r="D5" s="17" t="s">
        <v>15</v>
      </c>
      <c r="E5" s="17" t="s">
        <v>26</v>
      </c>
      <c r="F5" s="17" t="s">
        <v>19</v>
      </c>
      <c r="G5" s="17" t="s">
        <v>20</v>
      </c>
      <c r="H5" s="17" t="s">
        <v>22</v>
      </c>
      <c r="I5" s="17" t="s">
        <v>16</v>
      </c>
      <c r="J5" s="17" t="s">
        <v>18</v>
      </c>
      <c r="K5" s="17" t="s">
        <v>23</v>
      </c>
      <c r="L5" s="15"/>
    </row>
    <row r="6" spans="2:12" x14ac:dyDescent="0.25">
      <c r="B6" s="16" t="s">
        <v>33</v>
      </c>
      <c r="C6" s="16" t="s">
        <v>4</v>
      </c>
      <c r="D6" s="23">
        <f>SUMIF('REPORTE DIARIO'!B:B,'EPR 26 JUN'!C6, 'REPORTE DIARIO'!C:C)</f>
        <v>10193</v>
      </c>
      <c r="E6" s="16">
        <f>SUMIF('REPORTE DIARIO'!B:B,'EPR 26 JUN'!C6, 'REPORTE DIARIO'!D:D)</f>
        <v>720522.33</v>
      </c>
      <c r="F6" s="16">
        <f>J6*D6</f>
        <v>640702.85714285716</v>
      </c>
      <c r="G6" s="16">
        <f>+E6-F6</f>
        <v>79819.472857142799</v>
      </c>
      <c r="H6" s="15">
        <f>ABS(G6/F6)</f>
        <v>0.12458110958500923</v>
      </c>
      <c r="I6" s="16">
        <f>E6/D6</f>
        <v>70.687955459629151</v>
      </c>
      <c r="J6" s="16">
        <f>(220/7)*2</f>
        <v>62.857142857142854</v>
      </c>
      <c r="K6" s="16">
        <f>+I6-J6</f>
        <v>7.8308126024862972</v>
      </c>
      <c r="L6" s="15"/>
    </row>
    <row r="7" spans="2:12" x14ac:dyDescent="0.25">
      <c r="B7" s="16" t="s">
        <v>29</v>
      </c>
      <c r="C7" s="16" t="s">
        <v>5</v>
      </c>
      <c r="D7" s="23">
        <f>SUMIF('REPORTE DIARIO'!B:B,'EPR 26 JUN'!C7, 'REPORTE DIARIO'!C:C)</f>
        <v>6132</v>
      </c>
      <c r="E7" s="16">
        <f>SUMIF('REPORTE DIARIO'!B:B,'EPR 26 JUN'!C7, 'REPORTE DIARIO'!D:D)</f>
        <v>242148.16</v>
      </c>
      <c r="F7" s="16">
        <f>J7*D7</f>
        <v>192720</v>
      </c>
      <c r="G7" s="16">
        <f>+E7-F7</f>
        <v>49428.160000000003</v>
      </c>
      <c r="H7" s="15">
        <f>ABS(G7/F7)</f>
        <v>0.25647654628476546</v>
      </c>
      <c r="I7" s="16">
        <f>E7/D7</f>
        <v>39.489262883235483</v>
      </c>
      <c r="J7" s="16">
        <f>(110/7)*2</f>
        <v>31.428571428571427</v>
      </c>
      <c r="K7" s="16">
        <f t="shared" ref="K7:K9" si="0">+I7-J7</f>
        <v>8.060691454664056</v>
      </c>
      <c r="L7" s="15"/>
    </row>
    <row r="8" spans="2:12" x14ac:dyDescent="0.25">
      <c r="B8" s="16" t="s">
        <v>29</v>
      </c>
      <c r="C8" s="16" t="s">
        <v>6</v>
      </c>
      <c r="D8" s="23">
        <f>SUMIF('REPORTE DIARIO'!B:B,'EPR 26 JUN'!C8, 'REPORTE DIARIO'!C:C)</f>
        <v>12681</v>
      </c>
      <c r="E8" s="16">
        <f>SUMIF('REPORTE DIARIO'!B:B,'EPR 26 JUN'!C8, 'REPORTE DIARIO'!D:D)</f>
        <v>182082.98</v>
      </c>
      <c r="F8" s="16">
        <f>J8*D8</f>
        <v>163041.42857142858</v>
      </c>
      <c r="G8" s="16">
        <f>+E8-F8</f>
        <v>19041.551428571431</v>
      </c>
      <c r="H8" s="15">
        <f>ABS(G8/F8)</f>
        <v>0.11678965030798483</v>
      </c>
      <c r="I8" s="16">
        <f>E8/D8</f>
        <v>14.358724075388377</v>
      </c>
      <c r="J8" s="16">
        <f>(45/7)*2</f>
        <v>12.857142857142858</v>
      </c>
      <c r="K8" s="16">
        <f t="shared" si="0"/>
        <v>1.5015812182455193</v>
      </c>
      <c r="L8" s="15"/>
    </row>
    <row r="9" spans="2:12" x14ac:dyDescent="0.25">
      <c r="B9" s="16" t="s">
        <v>34</v>
      </c>
      <c r="C9" s="16" t="s">
        <v>7</v>
      </c>
      <c r="D9" s="23">
        <f>SUMIF('REPORTE DIARIO'!B:B,'EPR 26 JUN'!C9, 'REPORTE DIARIO'!C:C)</f>
        <v>62344</v>
      </c>
      <c r="E9" s="16">
        <f>SUMIF('REPORTE DIARIO'!B:B,'EPR 26 JUN'!C9, 'REPORTE DIARIO'!D:D)</f>
        <v>477908.04999999993</v>
      </c>
      <c r="F9" s="16">
        <f>J9*D9</f>
        <v>267188.57142857142</v>
      </c>
      <c r="G9" s="16">
        <f>+E9-F9</f>
        <v>210719.47857142851</v>
      </c>
      <c r="H9" s="15">
        <f>ABS(G9/F9)</f>
        <v>0.78865453505282501</v>
      </c>
      <c r="I9" s="16">
        <f>E9/D9</f>
        <v>7.6656622930835354</v>
      </c>
      <c r="J9" s="16">
        <f>(15/7)*2</f>
        <v>4.2857142857142856</v>
      </c>
      <c r="K9" s="16">
        <f t="shared" si="0"/>
        <v>3.3799480073692498</v>
      </c>
    </row>
    <row r="10" spans="2:12" x14ac:dyDescent="0.25">
      <c r="B10" s="16"/>
      <c r="C10" s="19" t="s">
        <v>17</v>
      </c>
      <c r="D10" s="24">
        <f>SUM(D6:D9)</f>
        <v>91350</v>
      </c>
      <c r="E10" s="20">
        <f>SUM(E6:E9)</f>
        <v>1622661.52</v>
      </c>
      <c r="F10" s="20">
        <f>SUM(F6:F9)</f>
        <v>1263652.857142857</v>
      </c>
      <c r="G10" s="20">
        <f>+E10-F10</f>
        <v>359008.66285714298</v>
      </c>
      <c r="H10" s="21">
        <f>ABS(G10/F10)</f>
        <v>0.28410386668128806</v>
      </c>
      <c r="I10" s="20">
        <f>E10/D10</f>
        <v>17.76312556102901</v>
      </c>
      <c r="J10" s="20">
        <f>F10/D10</f>
        <v>13.833090937524434</v>
      </c>
      <c r="K10" s="20">
        <f>I10-J10</f>
        <v>3.9300346235045769</v>
      </c>
    </row>
    <row r="12" spans="2:12" x14ac:dyDescent="0.25">
      <c r="B12" s="22" t="s">
        <v>24</v>
      </c>
      <c r="I12" s="14"/>
    </row>
    <row r="13" spans="2:12" x14ac:dyDescent="0.25">
      <c r="B13" t="s">
        <v>25</v>
      </c>
    </row>
    <row r="14" spans="2:12" x14ac:dyDescent="0.25">
      <c r="B14" t="s">
        <v>32</v>
      </c>
    </row>
  </sheetData>
  <pageMargins left="0.7" right="0.7" top="0.75" bottom="0.75" header="0.3" footer="0.3"/>
  <pageSetup scale="6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DATA</vt:lpstr>
      <vt:lpstr>EPR 26 JUN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2025-06-23T16:20:39Z</cp:lastPrinted>
  <dcterms:created xsi:type="dcterms:W3CDTF">2025-01-27T15:11:28Z</dcterms:created>
  <dcterms:modified xsi:type="dcterms:W3CDTF">2025-07-25T01:52:51Z</dcterms:modified>
</cp:coreProperties>
</file>