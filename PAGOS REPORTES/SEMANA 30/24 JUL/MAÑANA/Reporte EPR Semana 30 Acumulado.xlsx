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4 JUL\MAÑANA\"/>
    </mc:Choice>
  </mc:AlternateContent>
  <xr:revisionPtr revIDLastSave="0" documentId="13_ncr:1_{5F5D0C01-882E-4D37-94D9-E1C25E0F18AE}" xr6:coauthVersionLast="47" xr6:coauthVersionMax="47" xr10:uidLastSave="{00000000-0000-0000-0000-000000000000}"/>
  <bookViews>
    <workbookView xWindow="20100" yWindow="1431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<sst xmlns="http://schemas.openxmlformats.org/spreadsheetml/2006/main" count="89" uniqueCount="37">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</sst>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2819</v>
      </c>
      <c r="D5" s="25">
        <v>283052.98</v>
      </c>
    </row>
    <row r="6" spans="2:8" x14ac:dyDescent="0.25">
      <c r="B6" s="1" t="s">
        <v>5</v>
      </c>
      <c r="C6" s="6">
        <v>2477</v>
      </c>
      <c r="D6" s="25">
        <v>88901</v>
      </c>
    </row>
    <row r="7" spans="2:8" x14ac:dyDescent="0.25">
      <c r="B7" s="1" t="s">
        <v>6</v>
      </c>
      <c r="C7" s="6">
        <v>5334</v>
      </c>
      <c r="D7" s="25">
        <v>83816.610000000015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19399</v>
      </c>
      <c r="D9" s="25">
        <v>291509.78999999998</v>
      </c>
      <c r="E9" s="14"/>
      <c r="F9" s="7"/>
    </row>
    <row r="10" spans="2:8" x14ac:dyDescent="0.25">
      <c r="B10" s="3" t="s">
        <v>8</v>
      </c>
      <c r="C10" s="8">
        <f>SUM(C5:C9)</f>
        <v>30040</v>
      </c>
      <c r="D10" s="4">
        <f>SUM(D5:D9)</f>
        <v>747280.37999999989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2166</v>
      </c>
      <c r="D14" s="25">
        <v>95442.83</v>
      </c>
    </row>
    <row r="15" spans="2:8" x14ac:dyDescent="0.25">
      <c r="B15" s="1" t="s">
        <v>5</v>
      </c>
      <c r="C15" s="6">
        <v>1476</v>
      </c>
      <c r="D15" s="25">
        <v>34074.270000000004</v>
      </c>
    </row>
    <row r="16" spans="2:8" x14ac:dyDescent="0.25">
      <c r="B16" s="1" t="s">
        <v>6</v>
      </c>
      <c r="C16" s="6">
        <v>3623</v>
      </c>
      <c r="D16" s="25">
        <v>32918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18154</v>
      </c>
      <c r="D18" s="25">
        <v>53884</v>
      </c>
    </row>
    <row r="19" spans="2:4" x14ac:dyDescent="0.25">
      <c r="B19" s="3" t="s">
        <v>8</v>
      </c>
      <c r="C19" s="8">
        <f>SUM(C14:C18)</f>
        <v>25419</v>
      </c>
      <c r="D19" s="4">
        <f>SUM(D14:D18)</f>
        <v>216319.1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1560</v>
      </c>
      <c r="D23" s="25">
        <v>103009.05</v>
      </c>
    </row>
    <row r="24" spans="2:4" x14ac:dyDescent="0.25">
      <c r="B24" s="9" t="s">
        <v>5</v>
      </c>
      <c r="C24" s="6">
        <v>277</v>
      </c>
      <c r="D24" s="25">
        <v>15487.179999999998</v>
      </c>
    </row>
    <row r="25" spans="2:4" x14ac:dyDescent="0.25">
      <c r="B25" s="9" t="s">
        <v>6</v>
      </c>
      <c r="C25" s="6">
        <v>1386</v>
      </c>
      <c r="D25" s="25">
        <v>25296.37</v>
      </c>
    </row>
    <row r="26" spans="2:4" x14ac:dyDescent="0.25">
      <c r="B26" s="5" t="s">
        <v>12</v>
      </c>
      <c r="C26" s="7">
        <v>1</v>
      </c>
      <c r="D26" s="25">
        <v>45</v>
      </c>
    </row>
    <row r="27" spans="2:4" x14ac:dyDescent="0.25">
      <c r="B27" s="9" t="s">
        <v>7</v>
      </c>
      <c r="C27" s="6">
        <v>17390</v>
      </c>
      <c r="D27" s="25">
        <v>65544.039999999994</v>
      </c>
    </row>
    <row r="28" spans="2:4" x14ac:dyDescent="0.25">
      <c r="B28" s="10" t="s">
        <v>8</v>
      </c>
      <c r="C28" s="8">
        <f>SUM(C23:C27)</f>
        <v>20614</v>
      </c>
      <c r="D28" s="4">
        <f>SUM(D23:D27)</f>
        <v>209381.64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704</v>
      </c>
      <c r="D32" s="25">
        <v>46667.979999999996</v>
      </c>
    </row>
    <row r="33" spans="2:4" x14ac:dyDescent="0.25">
      <c r="B33" s="9" t="s">
        <v>5</v>
      </c>
      <c r="C33" s="6">
        <v>1156</v>
      </c>
      <c r="D33" s="25">
        <v>58362.51</v>
      </c>
    </row>
    <row r="34" spans="2:4" x14ac:dyDescent="0.25">
      <c r="B34" s="9" t="s">
        <v>6</v>
      </c>
      <c r="C34" s="6">
        <v>800</v>
      </c>
      <c r="D34" s="25">
        <v>5206</v>
      </c>
    </row>
    <row r="35" spans="2:4" x14ac:dyDescent="0.25">
      <c r="B35" s="9" t="s">
        <v>7</v>
      </c>
      <c r="C35" s="6">
        <v>4323</v>
      </c>
      <c r="D35" s="25">
        <v>12266</v>
      </c>
    </row>
    <row r="36" spans="2:4" x14ac:dyDescent="0.25">
      <c r="B36" s="10" t="s">
        <v>8</v>
      </c>
      <c r="C36" s="8">
        <f>SUM(C32:C35)</f>
        <v>6983</v>
      </c>
      <c r="D36" s="4">
        <f>SUM(D32:D35)</f>
        <v>122502.48999999999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711</v>
      </c>
      <c r="D40" s="25">
        <v>31935.5</v>
      </c>
    </row>
    <row r="41" spans="2:4" x14ac:dyDescent="0.25">
      <c r="B41" s="1" t="s">
        <v>5</v>
      </c>
      <c r="C41" s="6">
        <v>697</v>
      </c>
      <c r="D41" s="25">
        <v>3427.52</v>
      </c>
    </row>
    <row r="42" spans="2:4" x14ac:dyDescent="0.25">
      <c r="B42" s="1" t="s">
        <v>6</v>
      </c>
      <c r="C42" s="6">
        <v>1003</v>
      </c>
      <c r="D42" s="25">
        <v>4273</v>
      </c>
    </row>
    <row r="43" spans="2:4" x14ac:dyDescent="0.25">
      <c r="B43" s="1" t="s">
        <v>7</v>
      </c>
      <c r="C43" s="6">
        <v>418</v>
      </c>
      <c r="D43" s="25">
        <v>3932</v>
      </c>
    </row>
    <row r="44" spans="2:4" x14ac:dyDescent="0.25">
      <c r="B44" s="3" t="s">
        <v>8</v>
      </c>
      <c r="C44" s="8">
        <f>SUM(C40:C43)</f>
        <v>2829</v>
      </c>
      <c r="D44" s="4">
        <f>SUM(D40:D43)</f>
        <v>43568.02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1481</v>
      </c>
      <c r="D48" s="25">
        <v>31502.799999999999</v>
      </c>
    </row>
    <row r="49" spans="2:4" x14ac:dyDescent="0.25">
      <c r="B49" s="10" t="s">
        <v>8</v>
      </c>
      <c r="C49" s="8">
        <f>SUM(C48:C48)</f>
        <v>1481</v>
      </c>
      <c r="D49" s="4">
        <f>SUM(D48:D48)</f>
        <v>31502.799999999999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591</v>
      </c>
      <c r="D53" s="25">
        <v>10556</v>
      </c>
    </row>
    <row r="54" spans="2:4" x14ac:dyDescent="0.25">
      <c r="B54" s="1" t="s">
        <v>5</v>
      </c>
      <c r="C54" s="6">
        <v>10</v>
      </c>
      <c r="D54" s="25">
        <v>1926</v>
      </c>
    </row>
    <row r="55" spans="2:4" x14ac:dyDescent="0.25">
      <c r="B55" s="1" t="s">
        <v>6</v>
      </c>
      <c r="C55" s="6">
        <v>544</v>
      </c>
      <c r="D55" s="25">
        <v>3711</v>
      </c>
    </row>
    <row r="56" spans="2:4" x14ac:dyDescent="0.25">
      <c r="B56" s="1" t="s">
        <v>7</v>
      </c>
      <c r="C56" s="6">
        <v>2298</v>
      </c>
      <c r="D56" s="25">
        <v>2118</v>
      </c>
    </row>
    <row r="57" spans="2:4" x14ac:dyDescent="0.25">
      <c r="B57" s="3" t="s">
        <v>8</v>
      </c>
      <c r="C57" s="8">
        <f>SUM(C53:C56)</f>
        <v>3443</v>
      </c>
      <c r="D57" s="4">
        <f>SUM(D53:D56)</f>
        <v>18311</v>
      </c>
    </row>
    <row r="59" spans="2:4" x14ac:dyDescent="0.25">
      <c r="B59" s="12" t="s">
        <v>13</v>
      </c>
      <c r="C59" s="13">
        <f>SUMIF(B:B, "Total general", C:C)</f>
        <v>90809</v>
      </c>
      <c r="D59" s="13">
        <f>SUMIF(B:B, "Total general", D:D)</f>
        <v>1388865.43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10032</v>
      </c>
      <c r="E6" s="16">
        <f>SUMIF('REPORTE DIARIO'!B:B,'EPR 26 JUN'!C6, 'REPORTE DIARIO'!D:D)</f>
        <v>602167.14</v>
      </c>
      <c r="F6" s="16">
        <f>J6*D6</f>
        <v>630582.85714285716</v>
      </c>
      <c r="G6" s="16">
        <f>+E6-F6</f>
        <v>-28415.717142857146</v>
      </c>
      <c r="H6" s="15">
        <f>ABS(G6/F6)</f>
        <v>4.5062622335798178E-2</v>
      </c>
      <c r="I6" s="16">
        <f>E6/D6</f>
        <v>60.024635167464119</v>
      </c>
      <c r="J6" s="16">
        <f>(220/7)*2</f>
        <v>62.857142857142854</v>
      </c>
      <c r="K6" s="16">
        <f>+I6-J6</f>
        <v>-2.8325076896787351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6093</v>
      </c>
      <c r="E7" s="16">
        <f>SUMIF('REPORTE DIARIO'!B:B,'EPR 26 JUN'!C7, 'REPORTE DIARIO'!D:D)</f>
        <v>202178.48</v>
      </c>
      <c r="F7" s="16">
        <f>J7*D7</f>
        <v>191494.28571428571</v>
      </c>
      <c r="G7" s="16">
        <f>+E7-F7</f>
        <v>10684.1942857143</v>
      </c>
      <c r="H7" s="15">
        <f>ABS(G7/F7)</f>
        <v>5.5793802127627905E-2</v>
      </c>
      <c r="I7" s="16">
        <f>E7/D7</f>
        <v>33.182090924011163</v>
      </c>
      <c r="J7" s="16">
        <f>(110/7)*2</f>
        <v>31.428571428571427</v>
      </c>
      <c r="K7" s="16">
        <f t="shared" ref="K7:K9" si="0">+I7-J7</f>
        <v>1.7535194954397362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12690</v>
      </c>
      <c r="E8" s="16">
        <f>SUMIF('REPORTE DIARIO'!B:B,'EPR 26 JUN'!C8, 'REPORTE DIARIO'!D:D)</f>
        <v>155220.98000000001</v>
      </c>
      <c r="F8" s="16">
        <f>J8*D8</f>
        <v>163157.14285714287</v>
      </c>
      <c r="G8" s="16">
        <f>+E8-F8</f>
        <v>-7936.1628571428591</v>
      </c>
      <c r="H8" s="15">
        <f>ABS(G8/F8)</f>
        <v>4.8641222309780241E-2</v>
      </c>
      <c r="I8" s="16">
        <f>E8/D8</f>
        <v>12.23175571315997</v>
      </c>
      <c r="J8" s="16">
        <f>(45/7)*2</f>
        <v>12.857142857142858</v>
      </c>
      <c r="K8" s="16">
        <f t="shared" si="0"/>
        <v>-0.62538714398288775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61982</v>
      </c>
      <c r="E9" s="16">
        <f>SUMIF('REPORTE DIARIO'!B:B,'EPR 26 JUN'!C9, 'REPORTE DIARIO'!D:D)</f>
        <v>429253.82999999996</v>
      </c>
      <c r="F9" s="16">
        <f>J9*D9</f>
        <v>265637.14285714284</v>
      </c>
      <c r="G9" s="16">
        <f>+E9-F9</f>
        <v>163616.68714285712</v>
      </c>
      <c r="H9" s="15">
        <f>ABS(G9/F9)</f>
        <v>0.61594054725565484</v>
      </c>
      <c r="I9" s="16">
        <f>E9/D9</f>
        <v>6.9254594882385199</v>
      </c>
      <c r="J9" s="16">
        <f>(15/7)*2</f>
        <v>4.2857142857142856</v>
      </c>
      <c r="K9" s="16">
        <f t="shared" si="0"/>
        <v>2.6397452025242343</v>
      </c>
    </row>
    <row r="10" spans="2:12" x14ac:dyDescent="0.25">
      <c r="B10" s="16"/>
      <c r="C10" s="19" t="s">
        <v>17</v>
      </c>
      <c r="D10" s="24">
        <f>SUM(D6:D9)</f>
        <v>90797</v>
      </c>
      <c r="E10" s="20">
        <f>SUM(E6:E9)</f>
        <v>1388820.43</v>
      </c>
      <c r="F10" s="20">
        <f>SUM(F6:F9)</f>
        <v>1250871.4285714286</v>
      </c>
      <c r="G10" s="20">
        <f>+E10-F10</f>
        <v>137949.0014285713</v>
      </c>
      <c r="H10" s="21">
        <f>ABS(G10/F10)</f>
        <v>0.1102823186121674</v>
      </c>
      <c r="I10" s="20">
        <f>E10/D10</f>
        <v>15.295884555657125</v>
      </c>
      <c r="J10" s="20">
        <f>F10/D10</f>
        <v>13.776572227842644</v>
      </c>
      <c r="K10" s="20">
        <f>I10-J10</f>
        <v>1.5193123278144807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2025-07-24T16:35:35Z</dcterms:modified>
</cp:coreProperties>
</file>