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5 JUL\NOCHE\"/>
    </mc:Choice>
  </mc:AlternateContent>
  <xr:revisionPtr revIDLastSave="0" documentId="13_ncr:1_{D8D9C902-C804-45A9-B2AA-4004929D2EA9}" xr6:coauthVersionLast="47" xr6:coauthVersionMax="47" xr10:uidLastSave="{00000000-0000-0000-0000-000000000000}"/>
  <bookViews>
    <workbookView xWindow="9975" yWindow="9975" windowWidth="11130" windowHeight="657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28" i="1" l="1"/>
  <c r="D28" i="1"/>
  <c r="D19" i="1"/>
  <c r="C19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<sst xmlns="http://schemas.openxmlformats.org/spreadsheetml/2006/main" count="89" uniqueCount="37">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</sst>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7" zoomScaleNormal="100" workbookViewId="0">
      <selection activeCell="B56" sqref="B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3110</v>
      </c>
      <c r="D5" s="25">
        <v>473284.92</v>
      </c>
    </row>
    <row r="6" spans="2:8" x14ac:dyDescent="0.25">
      <c r="B6" s="1" t="s">
        <v>5</v>
      </c>
      <c r="C6" s="6">
        <v>2557</v>
      </c>
      <c r="D6" s="25">
        <v>161492.57</v>
      </c>
    </row>
    <row r="7" spans="2:8" x14ac:dyDescent="0.25">
      <c r="B7" s="1" t="s">
        <v>6</v>
      </c>
      <c r="C7" s="6">
        <v>5434</v>
      </c>
      <c r="D7" s="25">
        <v>140505.28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19760</v>
      </c>
      <c r="D9" s="25">
        <v>432119.90999999986</v>
      </c>
      <c r="E9" s="14"/>
      <c r="F9" s="7"/>
    </row>
    <row r="10" spans="2:8" x14ac:dyDescent="0.25">
      <c r="B10" s="3" t="s">
        <v>8</v>
      </c>
      <c r="C10" s="8">
        <f>SUM(C5:C9)</f>
        <v>30872</v>
      </c>
      <c r="D10" s="4">
        <f>SUM(D5:D9)</f>
        <v>1207402.68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1667</v>
      </c>
      <c r="D14" s="25">
        <v>263823.40999999997</v>
      </c>
    </row>
    <row r="15" spans="2:8" x14ac:dyDescent="0.25">
      <c r="B15" s="9" t="s">
        <v>5</v>
      </c>
      <c r="C15" s="6">
        <v>277</v>
      </c>
      <c r="D15" s="25">
        <v>64952.76</v>
      </c>
    </row>
    <row r="16" spans="2:8" x14ac:dyDescent="0.25">
      <c r="B16" s="9" t="s">
        <v>6</v>
      </c>
      <c r="C16" s="6">
        <v>1355</v>
      </c>
      <c r="D16" s="25">
        <v>36693.729999999996</v>
      </c>
    </row>
    <row r="17" spans="2:4" x14ac:dyDescent="0.25">
      <c r="B17" s="5" t="s">
        <v>12</v>
      </c>
      <c r="C17" s="7">
        <v>1</v>
      </c>
      <c r="D17" s="25">
        <v>84</v>
      </c>
    </row>
    <row r="18" spans="2:4" x14ac:dyDescent="0.25">
      <c r="B18" s="9" t="s">
        <v>7</v>
      </c>
      <c r="C18" s="6">
        <v>17436</v>
      </c>
      <c r="D18" s="25">
        <v>103165.02</v>
      </c>
    </row>
    <row r="19" spans="2:4" x14ac:dyDescent="0.25">
      <c r="B19" s="10" t="s">
        <v>8</v>
      </c>
      <c r="C19" s="8">
        <f>SUM(C14:C18)</f>
        <v>20736</v>
      </c>
      <c r="D19" s="4">
        <f>SUM(D14:D18)</f>
        <v>468718.92</v>
      </c>
    </row>
    <row r="21" spans="2:4" x14ac:dyDescent="0.25">
      <c r="B21" s="28" t="s">
        <v>36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2148</v>
      </c>
      <c r="D23" s="25">
        <v>149087.22</v>
      </c>
    </row>
    <row r="24" spans="2:4" x14ac:dyDescent="0.25">
      <c r="B24" s="1" t="s">
        <v>5</v>
      </c>
      <c r="C24" s="6">
        <v>1472</v>
      </c>
      <c r="D24" s="25">
        <v>49426.270000000004</v>
      </c>
    </row>
    <row r="25" spans="2:4" x14ac:dyDescent="0.25">
      <c r="B25" s="1" t="s">
        <v>6</v>
      </c>
      <c r="C25" s="6">
        <v>3607</v>
      </c>
      <c r="D25" s="25">
        <v>57154</v>
      </c>
    </row>
    <row r="26" spans="2:4" x14ac:dyDescent="0.25">
      <c r="B26" s="5" t="s">
        <v>12</v>
      </c>
      <c r="C26" s="6">
        <v>0</v>
      </c>
      <c r="D26" s="26">
        <v>0</v>
      </c>
    </row>
    <row r="27" spans="2:4" x14ac:dyDescent="0.25">
      <c r="B27" s="1" t="s">
        <v>7</v>
      </c>
      <c r="C27" s="7">
        <v>18149</v>
      </c>
      <c r="D27" s="25">
        <v>92817.17</v>
      </c>
    </row>
    <row r="28" spans="2:4" x14ac:dyDescent="0.25">
      <c r="B28" s="3" t="s">
        <v>8</v>
      </c>
      <c r="C28" s="8">
        <f>SUM(C23:C27)</f>
        <v>25376</v>
      </c>
      <c r="D28" s="4">
        <f>SUM(D23:D27)</f>
        <v>348484.66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701</v>
      </c>
      <c r="D32" s="25">
        <v>72221.899999999994</v>
      </c>
    </row>
    <row r="33" spans="2:4" x14ac:dyDescent="0.25">
      <c r="B33" s="9" t="s">
        <v>5</v>
      </c>
      <c r="C33" s="6">
        <v>1155</v>
      </c>
      <c r="D33" s="25">
        <v>123645.50000000001</v>
      </c>
    </row>
    <row r="34" spans="2:4" x14ac:dyDescent="0.25">
      <c r="B34" s="9" t="s">
        <v>6</v>
      </c>
      <c r="C34" s="6">
        <v>797</v>
      </c>
      <c r="D34" s="25">
        <v>14156</v>
      </c>
    </row>
    <row r="35" spans="2:4" x14ac:dyDescent="0.25">
      <c r="B35" s="9" t="s">
        <v>7</v>
      </c>
      <c r="C35" s="6">
        <v>4323</v>
      </c>
      <c r="D35" s="25">
        <v>11072</v>
      </c>
    </row>
    <row r="36" spans="2:4" x14ac:dyDescent="0.25">
      <c r="B36" s="10" t="s">
        <v>8</v>
      </c>
      <c r="C36" s="8">
        <f>SUM(C32:C35)</f>
        <v>6976</v>
      </c>
      <c r="D36" s="4">
        <f>SUM(D32:D35)</f>
        <v>221095.40000000002</v>
      </c>
    </row>
    <row r="38" spans="2:4" x14ac:dyDescent="0.25">
      <c r="B38" s="28" t="s">
        <v>31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710</v>
      </c>
      <c r="D40" s="25">
        <v>49577.5</v>
      </c>
    </row>
    <row r="41" spans="2:4" x14ac:dyDescent="0.25">
      <c r="B41" s="1" t="s">
        <v>5</v>
      </c>
      <c r="C41" s="6">
        <v>697</v>
      </c>
      <c r="D41" s="25">
        <v>21031.52</v>
      </c>
    </row>
    <row r="42" spans="2:4" x14ac:dyDescent="0.25">
      <c r="B42" s="1" t="s">
        <v>6</v>
      </c>
      <c r="C42" s="6">
        <v>1003</v>
      </c>
      <c r="D42" s="25">
        <v>9646</v>
      </c>
    </row>
    <row r="43" spans="2:4" x14ac:dyDescent="0.25">
      <c r="B43" s="1" t="s">
        <v>7</v>
      </c>
      <c r="C43" s="6">
        <v>418</v>
      </c>
      <c r="D43" s="25">
        <v>4527</v>
      </c>
    </row>
    <row r="44" spans="2:4" x14ac:dyDescent="0.25">
      <c r="B44" s="3" t="s">
        <v>8</v>
      </c>
      <c r="C44" s="8">
        <f>SUM(C40:C43)</f>
        <v>2828</v>
      </c>
      <c r="D44" s="4">
        <f>SUM(D40:D43)</f>
        <v>84782.02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1473</v>
      </c>
      <c r="D48" s="25">
        <v>40904.020000000004</v>
      </c>
    </row>
    <row r="49" spans="2:4" x14ac:dyDescent="0.25">
      <c r="B49" s="10" t="s">
        <v>8</v>
      </c>
      <c r="C49" s="8">
        <f>SUM(C48:C48)</f>
        <v>1473</v>
      </c>
      <c r="D49" s="4">
        <f>SUM(D48:D48)</f>
        <v>40904.020000000004</v>
      </c>
    </row>
    <row r="51" spans="2:4" x14ac:dyDescent="0.25">
      <c r="B51" s="28" t="s">
        <v>30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589</v>
      </c>
      <c r="D53" s="25">
        <v>23601.119999999999</v>
      </c>
    </row>
    <row r="54" spans="2:4" x14ac:dyDescent="0.25">
      <c r="B54" s="1" t="s">
        <v>5</v>
      </c>
      <c r="C54" s="6">
        <v>9</v>
      </c>
      <c r="D54" s="25">
        <v>1926</v>
      </c>
    </row>
    <row r="55" spans="2:4" x14ac:dyDescent="0.25">
      <c r="B55" s="1" t="s">
        <v>6</v>
      </c>
      <c r="C55" s="6">
        <v>543</v>
      </c>
      <c r="D55" s="25">
        <v>3711</v>
      </c>
    </row>
    <row r="56" spans="2:4" x14ac:dyDescent="0.25">
      <c r="B56" s="1" t="s">
        <v>7</v>
      </c>
      <c r="C56" s="6">
        <v>2297</v>
      </c>
      <c r="D56" s="25">
        <v>2675</v>
      </c>
    </row>
    <row r="57" spans="2:4" x14ac:dyDescent="0.25">
      <c r="B57" s="3" t="s">
        <v>8</v>
      </c>
      <c r="C57" s="8">
        <f>SUM(C53:C56)</f>
        <v>3438</v>
      </c>
      <c r="D57" s="4">
        <f>SUM(D53:D56)</f>
        <v>31913.119999999999</v>
      </c>
    </row>
    <row r="59" spans="2:4" x14ac:dyDescent="0.25">
      <c r="B59" s="12" t="s">
        <v>13</v>
      </c>
      <c r="C59" s="13">
        <f>SUMIF(B:B, "Total general", C:C)</f>
        <v>91699</v>
      </c>
      <c r="D59" s="13">
        <f>SUMIF(B:B, "Total general", D:D)</f>
        <v>2403300.8199999998</v>
      </c>
    </row>
  </sheetData>
  <mergeCells count="7">
    <mergeCell ref="B46:D46"/>
    <mergeCell ref="B38:D38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35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33</v>
      </c>
      <c r="C6" s="16" t="s">
        <v>4</v>
      </c>
      <c r="D6" s="23">
        <f>SUMIF('REPORTE DIARIO'!B:B,'EPR 26 JUN'!C6, 'REPORTE DIARIO'!C:C)</f>
        <v>10398</v>
      </c>
      <c r="E6" s="16">
        <f>SUMIF('REPORTE DIARIO'!B:B,'EPR 26 JUN'!C6, 'REPORTE DIARIO'!D:D)</f>
        <v>1072500.0900000001</v>
      </c>
      <c r="F6" s="16">
        <f>J6*D6</f>
        <v>653588.57142857136</v>
      </c>
      <c r="G6" s="16">
        <f>+E6-F6</f>
        <v>418911.51857142872</v>
      </c>
      <c r="H6" s="15">
        <f>ABS(G6/F6)</f>
        <v>0.64094070319467056</v>
      </c>
      <c r="I6" s="16">
        <f>E6/D6</f>
        <v>103.14484420080785</v>
      </c>
      <c r="J6" s="16">
        <f>(220/7)*2</f>
        <v>62.857142857142854</v>
      </c>
      <c r="K6" s="16">
        <f>+I6-J6</f>
        <v>40.287701343664999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6167</v>
      </c>
      <c r="E7" s="16">
        <f>SUMIF('REPORTE DIARIO'!B:B,'EPR 26 JUN'!C7, 'REPORTE DIARIO'!D:D)</f>
        <v>422474.62000000005</v>
      </c>
      <c r="F7" s="16">
        <f>J7*D7</f>
        <v>193820</v>
      </c>
      <c r="G7" s="16">
        <f>+E7-F7</f>
        <v>228654.62000000005</v>
      </c>
      <c r="H7" s="15">
        <f>ABS(G7/F7)</f>
        <v>1.1797266535961204</v>
      </c>
      <c r="I7" s="16">
        <f>E7/D7</f>
        <v>68.505694827306641</v>
      </c>
      <c r="J7" s="16">
        <f>(110/7)*2</f>
        <v>31.428571428571427</v>
      </c>
      <c r="K7" s="16">
        <f t="shared" ref="K7:K9" si="0">+I7-J7</f>
        <v>37.07712339873521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12739</v>
      </c>
      <c r="E8" s="16">
        <f>SUMIF('REPORTE DIARIO'!B:B,'EPR 26 JUN'!C8, 'REPORTE DIARIO'!D:D)</f>
        <v>261866.01</v>
      </c>
      <c r="F8" s="16">
        <f>J8*D8</f>
        <v>163787.14285714287</v>
      </c>
      <c r="G8" s="16">
        <f>+E8-F8</f>
        <v>98078.86714285714</v>
      </c>
      <c r="H8" s="15">
        <f>ABS(G8/F8)</f>
        <v>0.59881908574718046</v>
      </c>
      <c r="I8" s="16">
        <f>E8/D8</f>
        <v>20.556245388178038</v>
      </c>
      <c r="J8" s="16">
        <f>(45/7)*2</f>
        <v>12.857142857142858</v>
      </c>
      <c r="K8" s="16">
        <f t="shared" si="0"/>
        <v>7.6991025310351802</v>
      </c>
      <c r="L8" s="15"/>
    </row>
    <row r="9" spans="2:12" x14ac:dyDescent="0.25">
      <c r="B9" s="16" t="s">
        <v>34</v>
      </c>
      <c r="C9" s="16" t="s">
        <v>7</v>
      </c>
      <c r="D9" s="23">
        <f>SUMIF('REPORTE DIARIO'!B:B,'EPR 26 JUN'!C9, 'REPORTE DIARIO'!C:C)</f>
        <v>62383</v>
      </c>
      <c r="E9" s="16">
        <f>SUMIF('REPORTE DIARIO'!B:B,'EPR 26 JUN'!C9, 'REPORTE DIARIO'!D:D)</f>
        <v>646376.09999999986</v>
      </c>
      <c r="F9" s="16">
        <f>J9*D9</f>
        <v>267355.71428571426</v>
      </c>
      <c r="G9" s="16">
        <f>+E9-F9</f>
        <v>379020.3857142856</v>
      </c>
      <c r="H9" s="15">
        <f>ABS(G9/F9)</f>
        <v>1.4176633057082857</v>
      </c>
      <c r="I9" s="16">
        <f>E9/D9</f>
        <v>10.361414167321223</v>
      </c>
      <c r="J9" s="16">
        <f>(15/7)*2</f>
        <v>4.2857142857142856</v>
      </c>
      <c r="K9" s="16">
        <f t="shared" si="0"/>
        <v>6.0756998816069379</v>
      </c>
    </row>
    <row r="10" spans="2:12" x14ac:dyDescent="0.25">
      <c r="B10" s="16"/>
      <c r="C10" s="19" t="s">
        <v>17</v>
      </c>
      <c r="D10" s="24">
        <f>SUM(D6:D9)</f>
        <v>91687</v>
      </c>
      <c r="E10" s="20">
        <f>SUM(E6:E9)</f>
        <v>2403216.8200000003</v>
      </c>
      <c r="F10" s="20">
        <f>SUM(F6:F9)</f>
        <v>1278551.4285714284</v>
      </c>
      <c r="G10" s="20">
        <f>+E10-F10</f>
        <v>1124665.3914285719</v>
      </c>
      <c r="H10" s="21">
        <f>ABS(G10/F10)</f>
        <v>0.87964032286538607</v>
      </c>
      <c r="I10" s="20">
        <f>E10/D10</f>
        <v>26.211096665830492</v>
      </c>
      <c r="J10" s="20">
        <f>F10/D10</f>
        <v>13.944740569234771</v>
      </c>
      <c r="K10" s="20">
        <f>I10-J10</f>
        <v>12.266356096595722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32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2025-07-26T03:02:18Z</dcterms:modified>
</cp:coreProperties>
</file>