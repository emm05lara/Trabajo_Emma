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F:\PAGOS REPORTES\SEMANA 30\26 JUL\NOCHE\"/>
    </mc:Choice>
  </mc:AlternateContent>
  <xr:revisionPtr revIDLastSave="0" documentId="8_{AB5602D6-B8DF-48F0-AEA3-B5C81BA117B0}" xr6:coauthVersionLast="47" xr6:coauthVersionMax="47" xr10:uidLastSave="{00000000-0000-0000-0000-000000000000}"/>
  <bookViews>
    <workbookView xWindow="-120" yWindow="-120" windowWidth="51840" windowHeight="21120" xr2:uid="{1B4D4686-0DF9-4E18-BB30-1CF726D8539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" i="2" l="1"/>
  <c r="D8" i="1"/>
</calcChain>
</file>

<file path=xl/sharedStrings.xml><?xml version="1.0" encoding="utf-8"?>
<sst xmlns="http://schemas.openxmlformats.org/spreadsheetml/2006/main" count="92" uniqueCount="18">
  <si>
    <t>Suma de Recuperación por Gestión</t>
  </si>
  <si>
    <t>Extrajudicial - 0 a 28 semanas de atraso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</si>
  <si>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</si>
  <si>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</si>
  <si>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</si>
  <si>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</si>
  <si>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</si>
  <si>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</si>
  <si>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</si>
  <si>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</si>
  <si>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</si>
  <si>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OLGUIN</t>
  </si>
  <si>
    <t>SOFIA</t>
  </si>
  <si>
    <t>TOTAL COBRADO</t>
  </si>
  <si>
    <t>Segmento</t>
  </si>
  <si>
    <t>CONSUMO</t>
  </si>
  <si>
    <t>TOR</t>
  </si>
  <si>
    <t>Producto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</si>
</sst>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theme="8" tint="-0.249977111117893"/>
      </patternFill>
    </fill>
  </fills>
  <borders count="4">
    <border>
      <left/>
      <right/>
      <top/>
      <bottom/>
      <diagonal/>
    </border>
    <border>
      <left/>
      <right/>
      <top/>
      <bottom style="thin">
        <color theme="8" tint="0.79998168889431442"/>
      </bottom>
      <diagonal/>
    </border>
    <border>
      <left/>
      <right/>
      <top style="thin">
        <color theme="8" tint="0.79998168889431442"/>
      </top>
      <bottom style="thin">
        <color theme="8" tint="0.79998168889431442"/>
      </bottom>
      <diagonal/>
    </border>
    <border>
      <left/>
      <right/>
      <top style="double">
        <color theme="8" tint="-0.249977111117893"/>
      </top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2" borderId="1" xfId="0" applyFont="1" applyFill="1" applyBorder="1"/>
    <xf numFmtId="0" fontId="0" fillId="0" borderId="2" xfId="0" applyBorder="1" applyAlignment="1">
      <alignment horizontal="left"/>
    </xf>
    <xf numFmtId="4" fontId="0" fillId="0" borderId="2" xfId="0" applyNumberFormat="1" applyBorder="1"/>
    <xf numFmtId="0" fontId="1" fillId="0" borderId="3" xfId="0" applyFont="1" applyBorder="1" applyAlignment="1">
      <alignment horizontal="left"/>
    </xf>
    <xf numFmtId="4" fontId="1" fillId="0" borderId="3" xfId="0" applyNumberFormat="1" applyFont="1" applyBorder="1"/>
    <xf numFmtId="0" fontId="2" fillId="2" borderId="0" xfId="0" applyFont="1" applyFill="1" applyBorder="1" applyAlignment="1">
      <alignment horizontal="center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CF8AD0-5A49-404E-B691-7EE7F3B91017}">
  <dimension ref="B2:D51"/>
  <sheetViews>
    <sheetView tabSelected="1" workbookViewId="0">
      <selection activeCell="B2" sqref="B2:D51"/>
    </sheetView>
  </sheetViews>
  <sheetFormatPr baseColWidth="10" defaultRowHeight="15" x14ac:dyDescent="0.25"/>
  <cols>
    <col min="2" max="2" width="36.710937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14</v>
      </c>
      <c r="C3" s="1" t="s">
        <v>0</v>
      </c>
    </row>
    <row r="4" spans="2:4" x14ac:dyDescent="0.25">
      <c r="B4" s="2" t="s">
        <v>1</v>
      </c>
      <c r="C4" s="3">
        <v>92774.35</v>
      </c>
    </row>
    <row r="5" spans="2:4" x14ac:dyDescent="0.25">
      <c r="B5" s="2" t="s">
        <v>2</v>
      </c>
      <c r="C5" s="3">
        <v>94303.07</v>
      </c>
    </row>
    <row r="6" spans="2:4" x14ac:dyDescent="0.25">
      <c r="B6" s="2" t="s">
        <v>3</v>
      </c>
      <c r="C6" s="3">
        <v>66706.27</v>
      </c>
    </row>
    <row r="7" spans="2:4" ht="15.75" thickBot="1" x14ac:dyDescent="0.3">
      <c r="B7" s="2" t="s">
        <v>4</v>
      </c>
      <c r="C7" s="3">
        <v>139002.34</v>
      </c>
      <c r="D7" s="1" t="s">
        <v>13</v>
      </c>
    </row>
    <row r="8" spans="2:4" ht="15.75" thickTop="1" x14ac:dyDescent="0.25">
      <c r="B8" s="4" t="s">
        <v>5</v>
      </c>
      <c r="C8" s="5">
        <v>392786.03</v>
      </c>
      <c r="D8" s="5">
        <f>SUMIF(B:B, "Total general", C:C)</f>
        <v>773662.85</v>
      </c>
    </row>
    <row r="10" spans="2:4" x14ac:dyDescent="0.25">
      <c r="B10" s="6" t="s">
        <v>7</v>
      </c>
      <c r="C10" s="6"/>
    </row>
    <row r="11" spans="2:4" x14ac:dyDescent="0.25">
      <c r="B11" s="1" t="s">
        <v>14</v>
      </c>
      <c r="C11" s="1" t="s">
        <v>0</v>
      </c>
    </row>
    <row r="12" spans="2:4" x14ac:dyDescent="0.25">
      <c r="B12" s="2" t="s">
        <v>1</v>
      </c>
      <c r="C12" s="3">
        <v>58210.239999999998</v>
      </c>
    </row>
    <row r="13" spans="2:4" x14ac:dyDescent="0.25">
      <c r="B13" s="2" t="s">
        <v>2</v>
      </c>
      <c r="C13" s="3">
        <v>8708</v>
      </c>
    </row>
    <row r="14" spans="2:4" x14ac:dyDescent="0.25">
      <c r="B14" s="2" t="s">
        <v>3</v>
      </c>
      <c r="C14" s="3">
        <v>83373.510000000009</v>
      </c>
    </row>
    <row r="15" spans="2:4" ht="15.75" thickBot="1" x14ac:dyDescent="0.3">
      <c r="B15" s="2" t="s">
        <v>4</v>
      </c>
      <c r="C15" s="3">
        <v>46950.75</v>
      </c>
    </row>
    <row r="16" spans="2:4" ht="15.75" thickTop="1" x14ac:dyDescent="0.25">
      <c r="B16" s="4" t="s">
        <v>5</v>
      </c>
      <c r="C16" s="5">
        <v>197242.5</v>
      </c>
    </row>
    <row r="18" spans="2:3" x14ac:dyDescent="0.25">
      <c r="B18" s="6" t="s">
        <v>8</v>
      </c>
      <c r="C18" s="6"/>
    </row>
    <row r="19" spans="2:3" x14ac:dyDescent="0.25">
      <c r="B19" s="1" t="s">
        <v>14</v>
      </c>
      <c r="C19" s="1" t="s">
        <v>0</v>
      </c>
    </row>
    <row r="20" spans="2:3" x14ac:dyDescent="0.25">
      <c r="B20" s="2" t="s">
        <v>1</v>
      </c>
      <c r="C20" s="3">
        <v>26220.36</v>
      </c>
    </row>
    <row r="21" spans="2:3" x14ac:dyDescent="0.25">
      <c r="B21" s="2" t="s">
        <v>2</v>
      </c>
      <c r="C21" s="3">
        <v>30515.49</v>
      </c>
    </row>
    <row r="22" spans="2:3" x14ac:dyDescent="0.25">
      <c r="B22" s="2" t="s">
        <v>3</v>
      </c>
      <c r="C22" s="3">
        <v>5009</v>
      </c>
    </row>
    <row r="23" spans="2:3" ht="15.75" thickBot="1" x14ac:dyDescent="0.3">
      <c r="B23" s="2" t="s">
        <v>4</v>
      </c>
      <c r="C23" s="3">
        <v>13848.98</v>
      </c>
    </row>
    <row r="24" spans="2:3" ht="15.75" thickTop="1" x14ac:dyDescent="0.25">
      <c r="B24" s="4" t="s">
        <v>5</v>
      </c>
      <c r="C24" s="5">
        <v>75593.83</v>
      </c>
    </row>
    <row r="26" spans="2:3" x14ac:dyDescent="0.25">
      <c r="B26" s="6" t="s">
        <v>12</v>
      </c>
      <c r="C26" s="6"/>
    </row>
    <row r="27" spans="2:3" x14ac:dyDescent="0.25">
      <c r="B27" s="1" t="s">
        <v>14</v>
      </c>
      <c r="C27" s="1" t="s">
        <v>0</v>
      </c>
    </row>
    <row r="28" spans="2:3" x14ac:dyDescent="0.25">
      <c r="B28" s="2" t="s">
        <v>1</v>
      </c>
      <c r="C28" s="3">
        <v>13497.18</v>
      </c>
    </row>
    <row r="29" spans="2:3" x14ac:dyDescent="0.25">
      <c r="B29" s="2" t="s">
        <v>2</v>
      </c>
      <c r="C29" s="3">
        <v>24214.94</v>
      </c>
    </row>
    <row r="30" spans="2:3" x14ac:dyDescent="0.25">
      <c r="B30" s="2" t="s">
        <v>3</v>
      </c>
      <c r="C30" s="3">
        <v>5612</v>
      </c>
    </row>
    <row r="31" spans="2:3" ht="15.75" thickBot="1" x14ac:dyDescent="0.3">
      <c r="B31" s="2" t="s">
        <v>4</v>
      </c>
      <c r="C31" s="3">
        <v>1422</v>
      </c>
    </row>
    <row r="32" spans="2:3" ht="15.75" thickTop="1" x14ac:dyDescent="0.25">
      <c r="B32" s="4" t="s">
        <v>5</v>
      </c>
      <c r="C32" s="5">
        <v>44746.119999999995</v>
      </c>
    </row>
    <row r="34" spans="2:3" x14ac:dyDescent="0.25">
      <c r="B34" s="6" t="s">
        <v>11</v>
      </c>
      <c r="C34" s="6"/>
    </row>
    <row r="35" spans="2:3" x14ac:dyDescent="0.25">
      <c r="B35" s="1" t="s">
        <v>14</v>
      </c>
      <c r="C35" s="1" t="s">
        <v>0</v>
      </c>
    </row>
    <row r="36" spans="2:3" x14ac:dyDescent="0.25">
      <c r="B36" s="2" t="s">
        <v>1</v>
      </c>
      <c r="C36" s="3">
        <v>8242</v>
      </c>
    </row>
    <row r="37" spans="2:3" x14ac:dyDescent="0.25">
      <c r="B37" s="2" t="s">
        <v>2</v>
      </c>
      <c r="C37" s="3">
        <v>228.38</v>
      </c>
    </row>
    <row r="38" spans="2:3" ht="15.75" thickBot="1" x14ac:dyDescent="0.3">
      <c r="B38" s="2" t="s">
        <v>3</v>
      </c>
      <c r="C38" s="3">
        <v>21793.97</v>
      </c>
    </row>
    <row r="39" spans="2:3" ht="15.75" thickTop="1" x14ac:dyDescent="0.25">
      <c r="B39" s="4" t="s">
        <v>5</v>
      </c>
      <c r="C39" s="5">
        <v>30264.35</v>
      </c>
    </row>
    <row r="41" spans="2:3" x14ac:dyDescent="0.25">
      <c r="B41" s="6" t="s">
        <v>9</v>
      </c>
      <c r="C41" s="6"/>
    </row>
    <row r="42" spans="2:3" x14ac:dyDescent="0.25">
      <c r="B42" s="1" t="s">
        <v>14</v>
      </c>
      <c r="C42" s="1" t="s">
        <v>0</v>
      </c>
    </row>
    <row r="43" spans="2:3" x14ac:dyDescent="0.25">
      <c r="B43" s="2" t="s">
        <v>1</v>
      </c>
      <c r="C43" s="3">
        <v>17011.02</v>
      </c>
    </row>
    <row r="44" spans="2:3" x14ac:dyDescent="0.25">
      <c r="B44" s="2" t="s">
        <v>3</v>
      </c>
      <c r="C44" s="3">
        <v>312</v>
      </c>
    </row>
    <row r="45" spans="2:3" ht="15.75" thickBot="1" x14ac:dyDescent="0.3">
      <c r="B45" s="2" t="s">
        <v>4</v>
      </c>
      <c r="C45" s="3">
        <v>2452</v>
      </c>
    </row>
    <row r="46" spans="2:3" ht="15.75" thickTop="1" x14ac:dyDescent="0.25">
      <c r="B46" s="4" t="s">
        <v>5</v>
      </c>
      <c r="C46" s="5">
        <v>19775.02</v>
      </c>
    </row>
    <row r="48" spans="2:3" x14ac:dyDescent="0.25">
      <c r="B48" s="6" t="s">
        <v>10</v>
      </c>
      <c r="C48" s="6"/>
    </row>
    <row r="49" spans="2:3" x14ac:dyDescent="0.25">
      <c r="B49" s="1" t="s">
        <v>14</v>
      </c>
      <c r="C49" s="1" t="s">
        <v>0</v>
      </c>
    </row>
    <row r="50" spans="2:3" ht="15.75" thickBot="1" x14ac:dyDescent="0.3">
      <c r="B50" s="2" t="s">
        <v>1</v>
      </c>
      <c r="C50" s="3">
        <v>13255</v>
      </c>
    </row>
    <row r="51" spans="2:3" ht="15.75" thickTop="1" x14ac:dyDescent="0.25">
      <c r="B51" s="4" t="s">
        <v>5</v>
      </c>
      <c r="C51" s="5">
        <v>13255</v>
      </c>
    </row>
  </sheetData>
  <mergeCells count="7">
    <mergeCell ref="B26:C26"/>
    <mergeCell ref="B2:C2"/>
    <mergeCell ref="B10:C10"/>
    <mergeCell ref="B18:C18"/>
    <mergeCell ref="B41:C41"/>
    <mergeCell ref="B48:C48"/>
    <mergeCell ref="B34:C3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B2B45A-C990-4F27-B155-EA66961E41A7}">
  <dimension ref="B2:D39"/>
  <sheetViews>
    <sheetView workbookViewId="0">
      <selection activeCell="B2" sqref="B2:C2"/>
    </sheetView>
  </sheetViews>
  <sheetFormatPr baseColWidth="10" defaultRowHeight="15" x14ac:dyDescent="0.25"/>
  <cols>
    <col min="2" max="2" width="15.28515625" bestFit="1" customWidth="1"/>
    <col min="3" max="3" width="32.28515625" bestFit="1" customWidth="1"/>
    <col min="4" max="4" width="15.85546875" bestFit="1" customWidth="1"/>
  </cols>
  <sheetData>
    <row r="2" spans="2:4" x14ac:dyDescent="0.25">
      <c r="B2" s="6" t="s">
        <v>6</v>
      </c>
      <c r="C2" s="6"/>
    </row>
    <row r="3" spans="2:4" x14ac:dyDescent="0.25">
      <c r="B3" s="1" t="s">
        <v>17</v>
      </c>
      <c r="C3" s="1" t="s">
        <v>0</v>
      </c>
    </row>
    <row r="4" spans="2:4" x14ac:dyDescent="0.25">
      <c r="B4" s="2" t="s">
        <v>15</v>
      </c>
      <c r="C4" s="7">
        <v>56307</v>
      </c>
      <c r="D4" s="7"/>
    </row>
    <row r="5" spans="2:4" ht="15.75" thickBot="1" x14ac:dyDescent="0.3">
      <c r="B5" s="2" t="s">
        <v>16</v>
      </c>
      <c r="C5" s="3">
        <v>336479.03</v>
      </c>
      <c r="D5" s="1" t="s">
        <v>13</v>
      </c>
    </row>
    <row r="6" spans="2:4" ht="15.75" thickTop="1" x14ac:dyDescent="0.25">
      <c r="B6" s="4" t="s">
        <v>5</v>
      </c>
      <c r="C6" s="5">
        <v>392786.03</v>
      </c>
      <c r="D6" s="5">
        <f>SUMIF(B:B, "Total general", C:C)</f>
        <v>773662.85</v>
      </c>
    </row>
    <row r="8" spans="2:4" x14ac:dyDescent="0.25">
      <c r="B8" s="6" t="s">
        <v>7</v>
      </c>
      <c r="C8" s="6"/>
    </row>
    <row r="9" spans="2:4" x14ac:dyDescent="0.25">
      <c r="B9" s="1" t="s">
        <v>17</v>
      </c>
      <c r="C9" s="1" t="s">
        <v>0</v>
      </c>
    </row>
    <row r="10" spans="2:4" x14ac:dyDescent="0.25">
      <c r="B10" s="2" t="s">
        <v>15</v>
      </c>
      <c r="C10" s="7">
        <v>96947</v>
      </c>
      <c r="D10" s="7"/>
    </row>
    <row r="11" spans="2:4" ht="15.75" thickBot="1" x14ac:dyDescent="0.3">
      <c r="B11" s="2" t="s">
        <v>16</v>
      </c>
      <c r="C11" s="3">
        <v>100295.5</v>
      </c>
    </row>
    <row r="12" spans="2:4" ht="15.75" thickTop="1" x14ac:dyDescent="0.25">
      <c r="B12" s="4" t="s">
        <v>5</v>
      </c>
      <c r="C12" s="5">
        <v>197242.5</v>
      </c>
    </row>
    <row r="14" spans="2:4" x14ac:dyDescent="0.25">
      <c r="B14" s="6" t="s">
        <v>8</v>
      </c>
      <c r="C14" s="6"/>
    </row>
    <row r="15" spans="2:4" x14ac:dyDescent="0.25">
      <c r="B15" s="1" t="s">
        <v>17</v>
      </c>
      <c r="C15" s="1" t="s">
        <v>0</v>
      </c>
    </row>
    <row r="16" spans="2:4" ht="15.75" thickBot="1" x14ac:dyDescent="0.3">
      <c r="B16" s="2" t="s">
        <v>16</v>
      </c>
      <c r="C16" s="3">
        <v>75593.83</v>
      </c>
    </row>
    <row r="17" spans="2:4" ht="15.75" thickTop="1" x14ac:dyDescent="0.25">
      <c r="B17" s="4" t="s">
        <v>5</v>
      </c>
      <c r="C17" s="5">
        <v>75593.83</v>
      </c>
    </row>
    <row r="19" spans="2:4" x14ac:dyDescent="0.25">
      <c r="B19" s="6" t="s">
        <v>12</v>
      </c>
      <c r="C19" s="6"/>
    </row>
    <row r="20" spans="2:4" x14ac:dyDescent="0.25">
      <c r="B20" s="1" t="s">
        <v>17</v>
      </c>
      <c r="C20" s="1" t="s">
        <v>0</v>
      </c>
    </row>
    <row r="21" spans="2:4" ht="15.75" thickBot="1" x14ac:dyDescent="0.3">
      <c r="B21" s="2" t="s">
        <v>16</v>
      </c>
      <c r="C21" s="3">
        <v>44746.12</v>
      </c>
    </row>
    <row r="22" spans="2:4" ht="15.75" thickTop="1" x14ac:dyDescent="0.25">
      <c r="B22" s="4" t="s">
        <v>5</v>
      </c>
      <c r="C22" s="5">
        <v>44746.12</v>
      </c>
    </row>
    <row r="24" spans="2:4" x14ac:dyDescent="0.25">
      <c r="B24" s="6" t="s">
        <v>11</v>
      </c>
      <c r="C24" s="6"/>
    </row>
    <row r="25" spans="2:4" x14ac:dyDescent="0.25">
      <c r="B25" s="1" t="s">
        <v>17</v>
      </c>
      <c r="C25" s="1" t="s">
        <v>0</v>
      </c>
    </row>
    <row r="26" spans="2:4" x14ac:dyDescent="0.25">
      <c r="B26" s="2" t="s">
        <v>15</v>
      </c>
      <c r="C26" s="7">
        <v>26638.010000000002</v>
      </c>
      <c r="D26" s="7"/>
    </row>
    <row r="27" spans="2:4" ht="15.75" thickBot="1" x14ac:dyDescent="0.3">
      <c r="B27" s="2" t="s">
        <v>16</v>
      </c>
      <c r="C27" s="3">
        <v>3626.34</v>
      </c>
    </row>
    <row r="28" spans="2:4" ht="15.75" thickTop="1" x14ac:dyDescent="0.25">
      <c r="B28" s="4" t="s">
        <v>5</v>
      </c>
      <c r="C28" s="5">
        <v>30264.350000000002</v>
      </c>
    </row>
    <row r="30" spans="2:4" x14ac:dyDescent="0.25">
      <c r="B30" s="6" t="s">
        <v>9</v>
      </c>
      <c r="C30" s="6"/>
    </row>
    <row r="31" spans="2:4" x14ac:dyDescent="0.25">
      <c r="B31" s="1" t="s">
        <v>17</v>
      </c>
      <c r="C31" s="1" t="s">
        <v>0</v>
      </c>
    </row>
    <row r="32" spans="2:4" x14ac:dyDescent="0.25">
      <c r="B32" s="2" t="s">
        <v>15</v>
      </c>
      <c r="C32" s="7">
        <v>4388</v>
      </c>
      <c r="D32" s="7"/>
    </row>
    <row r="33" spans="2:4" ht="15.75" thickBot="1" x14ac:dyDescent="0.3">
      <c r="B33" s="2" t="s">
        <v>16</v>
      </c>
      <c r="C33" s="3">
        <v>15387.02</v>
      </c>
    </row>
    <row r="34" spans="2:4" ht="15.75" thickTop="1" x14ac:dyDescent="0.25">
      <c r="B34" s="4" t="s">
        <v>5</v>
      </c>
      <c r="C34" s="5">
        <v>19775.02</v>
      </c>
    </row>
    <row r="36" spans="2:4" x14ac:dyDescent="0.25">
      <c r="B36" s="6" t="s">
        <v>10</v>
      </c>
      <c r="C36" s="6"/>
    </row>
    <row r="37" spans="2:4" x14ac:dyDescent="0.25">
      <c r="B37" s="1" t="s">
        <v>17</v>
      </c>
      <c r="C37" s="1" t="s">
        <v>0</v>
      </c>
    </row>
    <row r="38" spans="2:4" ht="15.75" thickBot="1" x14ac:dyDescent="0.3">
      <c r="B38" s="2" t="s">
        <v>15</v>
      </c>
      <c r="C38" s="7">
        <v>13255</v>
      </c>
      <c r="D38" s="7"/>
    </row>
    <row r="39" spans="2:4" ht="15.75" thickTop="1" x14ac:dyDescent="0.25">
      <c r="B39" s="4" t="s">
        <v>5</v>
      </c>
      <c r="C39" s="5">
        <v>13255</v>
      </c>
    </row>
  </sheetData>
  <mergeCells count="7">
    <mergeCell ref="B36:C36"/>
    <mergeCell ref="B2:C2"/>
    <mergeCell ref="B8:C8"/>
    <mergeCell ref="B14:C14"/>
    <mergeCell ref="B19:C19"/>
    <mergeCell ref="B24:C24"/>
    <mergeCell ref="B30:C3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2025-07-27T04:02:09Z</dcterms:created>
  <dcterms:modified xsi:type="dcterms:W3CDTF">2025-07-27T04:07:28Z</dcterms:modified>
</cp:coreProperties>
</file>