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6 JUL\NOCHE\"/>
    </mc:Choice>
  </mc:AlternateContent>
  <xr:revisionPtr revIDLastSave="0" documentId="13_ncr:1_{0C35D097-6D06-452B-9743-A4044D873C74}" xr6:coauthVersionLast="47" xr6:coauthVersionMax="47" xr10:uidLastSave="{00000000-0000-0000-0000-000000000000}"/>
  <bookViews>
    <workbookView xWindow="13770" yWindow="13770" windowWidth="11130" windowHeight="6570" activeTab="1" xr2:uid="{4DC6C92A-CD8A-4966-829B-0B6A986E825B}"/>
  </bookViews>
  <sheets>
    <sheet name="REPORTE DIARIO" sheetId="1" r:id="rId1"/>
    <sheet name="CDC-OLGUIN" sheetId="5" r:id="rId2"/>
    <sheet name="DATA" sheetId="4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20" i="5"/>
  <c r="C18" i="5"/>
  <c r="C10" i="5"/>
  <c r="J9" i="3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<sst xmlns="http://schemas.openxmlformats.org/spreadsheetml/2006/main" count="110" uniqueCount="38">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</sst>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E3" sqref="E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3255</v>
      </c>
      <c r="D5" s="25">
        <v>585615.68000000017</v>
      </c>
    </row>
    <row r="6" spans="2:8" x14ac:dyDescent="0.25">
      <c r="B6" s="1" t="s">
        <v>5</v>
      </c>
      <c r="C6" s="6">
        <v>2592</v>
      </c>
      <c r="D6" s="25">
        <v>263161.71000000002</v>
      </c>
    </row>
    <row r="7" spans="2:8" x14ac:dyDescent="0.25">
      <c r="B7" s="1" t="s">
        <v>6</v>
      </c>
      <c r="C7" s="6">
        <v>5535</v>
      </c>
      <c r="D7" s="25">
        <v>214260.81999999998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19828</v>
      </c>
      <c r="D9" s="25">
        <v>599204.16999999993</v>
      </c>
      <c r="E9" s="14"/>
      <c r="F9" s="7"/>
    </row>
    <row r="10" spans="2:8" x14ac:dyDescent="0.25">
      <c r="B10" s="3" t="s">
        <v>8</v>
      </c>
      <c r="C10" s="8">
        <f>SUM(C5:C9)</f>
        <v>31221</v>
      </c>
      <c r="D10" s="4">
        <f>SUM(D5:D9)</f>
        <v>1662242.3800000001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2143</v>
      </c>
      <c r="D14" s="25">
        <v>228038.17</v>
      </c>
    </row>
    <row r="15" spans="2:8" x14ac:dyDescent="0.25">
      <c r="B15" s="1" t="s">
        <v>5</v>
      </c>
      <c r="C15" s="6">
        <v>1466</v>
      </c>
      <c r="D15" s="25">
        <v>58719.270000000004</v>
      </c>
    </row>
    <row r="16" spans="2:8" x14ac:dyDescent="0.25">
      <c r="B16" s="1" t="s">
        <v>6</v>
      </c>
      <c r="C16" s="6">
        <v>3607</v>
      </c>
      <c r="D16" s="25">
        <v>140164.02000000002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18148</v>
      </c>
      <c r="D18" s="25">
        <v>151054.66999999995</v>
      </c>
    </row>
    <row r="19" spans="2:4" x14ac:dyDescent="0.25">
      <c r="B19" s="3" t="s">
        <v>8</v>
      </c>
      <c r="C19" s="8">
        <f>SUM(C14:C18)</f>
        <v>25364</v>
      </c>
      <c r="D19" s="4">
        <f>SUM(D14:D18)</f>
        <v>577976.13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1671</v>
      </c>
      <c r="D23" s="25">
        <v>305592.94</v>
      </c>
    </row>
    <row r="24" spans="2:4" x14ac:dyDescent="0.25">
      <c r="B24" s="9" t="s">
        <v>5</v>
      </c>
      <c r="C24" s="6">
        <v>277</v>
      </c>
      <c r="D24" s="25">
        <v>97177.250000000015</v>
      </c>
    </row>
    <row r="25" spans="2:4" x14ac:dyDescent="0.25">
      <c r="B25" s="9" t="s">
        <v>6</v>
      </c>
      <c r="C25" s="6">
        <v>1354</v>
      </c>
      <c r="D25" s="25">
        <v>42404.73</v>
      </c>
    </row>
    <row r="26" spans="2:4" x14ac:dyDescent="0.25">
      <c r="B26" s="5" t="s">
        <v>12</v>
      </c>
      <c r="C26" s="7">
        <v>1</v>
      </c>
      <c r="D26" s="25">
        <v>84</v>
      </c>
    </row>
    <row r="27" spans="2:4" x14ac:dyDescent="0.25">
      <c r="B27" s="9" t="s">
        <v>7</v>
      </c>
      <c r="C27" s="6">
        <v>17442</v>
      </c>
      <c r="D27" s="25">
        <v>123907.20000000001</v>
      </c>
    </row>
    <row r="28" spans="2:4" x14ac:dyDescent="0.25">
      <c r="B28" s="10" t="s">
        <v>8</v>
      </c>
      <c r="C28" s="8">
        <f>SUM(C23:C27)</f>
        <v>20745</v>
      </c>
      <c r="D28" s="4">
        <f>SUM(D23:D27)</f>
        <v>569166.12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701</v>
      </c>
      <c r="D32" s="25">
        <v>88018.200000000012</v>
      </c>
    </row>
    <row r="33" spans="2:4" x14ac:dyDescent="0.25">
      <c r="B33" s="9" t="s">
        <v>5</v>
      </c>
      <c r="C33" s="6">
        <v>1153</v>
      </c>
      <c r="D33" s="25">
        <v>157860.36000000007</v>
      </c>
    </row>
    <row r="34" spans="2:4" x14ac:dyDescent="0.25">
      <c r="B34" s="9" t="s">
        <v>6</v>
      </c>
      <c r="C34" s="6">
        <v>797</v>
      </c>
      <c r="D34" s="25">
        <v>22740</v>
      </c>
    </row>
    <row r="35" spans="2:4" x14ac:dyDescent="0.25">
      <c r="B35" s="9" t="s">
        <v>7</v>
      </c>
      <c r="C35" s="6">
        <v>4323</v>
      </c>
      <c r="D35" s="25">
        <v>12494</v>
      </c>
    </row>
    <row r="36" spans="2:4" x14ac:dyDescent="0.25">
      <c r="B36" s="10" t="s">
        <v>8</v>
      </c>
      <c r="C36" s="8">
        <f>SUM(C32:C35)</f>
        <v>6974</v>
      </c>
      <c r="D36" s="4">
        <f>SUM(D32:D35)</f>
        <v>281112.56000000006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809</v>
      </c>
      <c r="D40" s="25">
        <v>65089.5</v>
      </c>
    </row>
    <row r="41" spans="2:4" x14ac:dyDescent="0.25">
      <c r="B41" s="1" t="s">
        <v>5</v>
      </c>
      <c r="C41" s="6">
        <v>697</v>
      </c>
      <c r="D41" s="25">
        <v>21288.280000000002</v>
      </c>
    </row>
    <row r="42" spans="2:4" x14ac:dyDescent="0.25">
      <c r="B42" s="1" t="s">
        <v>6</v>
      </c>
      <c r="C42" s="6">
        <v>1004</v>
      </c>
      <c r="D42" s="25">
        <v>32440.93</v>
      </c>
    </row>
    <row r="43" spans="2:4" x14ac:dyDescent="0.25">
      <c r="B43" s="1" t="s">
        <v>7</v>
      </c>
      <c r="C43" s="6">
        <v>418</v>
      </c>
      <c r="D43" s="25">
        <v>4527</v>
      </c>
    </row>
    <row r="44" spans="2:4" x14ac:dyDescent="0.25">
      <c r="B44" s="3" t="s">
        <v>8</v>
      </c>
      <c r="C44" s="8">
        <f>SUM(C40:C43)</f>
        <v>2928</v>
      </c>
      <c r="D44" s="4">
        <f>SUM(D40:D43)</f>
        <v>123345.70999999999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589</v>
      </c>
      <c r="D48" s="25">
        <v>47002.87000000001</v>
      </c>
    </row>
    <row r="49" spans="2:4" x14ac:dyDescent="0.25">
      <c r="B49" s="1" t="s">
        <v>5</v>
      </c>
      <c r="C49" s="6">
        <v>9</v>
      </c>
      <c r="D49" s="25">
        <v>1926</v>
      </c>
    </row>
    <row r="50" spans="2:4" x14ac:dyDescent="0.25">
      <c r="B50" s="1" t="s">
        <v>6</v>
      </c>
      <c r="C50" s="6">
        <v>543</v>
      </c>
      <c r="D50" s="25">
        <v>4023</v>
      </c>
    </row>
    <row r="51" spans="2:4" x14ac:dyDescent="0.25">
      <c r="B51" s="1" t="s">
        <v>7</v>
      </c>
      <c r="C51" s="6">
        <v>2297</v>
      </c>
      <c r="D51" s="25">
        <v>5127</v>
      </c>
    </row>
    <row r="52" spans="2:4" x14ac:dyDescent="0.25">
      <c r="B52" s="3" t="s">
        <v>8</v>
      </c>
      <c r="C52" s="8">
        <f>SUM(C48:C51)</f>
        <v>3438</v>
      </c>
      <c r="D52" s="4">
        <f>SUM(D48:D51)</f>
        <v>58078.87000000001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1473</v>
      </c>
      <c r="D56" s="25">
        <v>55939.020000000004</v>
      </c>
    </row>
    <row r="57" spans="2:4" x14ac:dyDescent="0.25">
      <c r="B57" s="10" t="s">
        <v>8</v>
      </c>
      <c r="C57" s="8">
        <f>SUM(C56:C56)</f>
        <v>1473</v>
      </c>
      <c r="D57" s="4">
        <f>SUM(D56:D56)</f>
        <v>55939.020000000004</v>
      </c>
    </row>
    <row r="59" spans="2:4" x14ac:dyDescent="0.25">
      <c r="B59" s="12" t="s">
        <v>13</v>
      </c>
      <c r="C59" s="13">
        <f>SUMIF(B:B, "Total general", C:C)</f>
        <v>92143</v>
      </c>
      <c r="D59" s="13">
        <f>SUMIF(B:B, "Total general", D:D)</f>
        <v>3327860.7900000005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D6" sqref="D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9395</v>
      </c>
      <c r="D5" s="25">
        <v>238947.62</v>
      </c>
    </row>
    <row r="6" spans="2:8" x14ac:dyDescent="0.25">
      <c r="B6" s="1" t="s">
        <v>5</v>
      </c>
      <c r="C6" s="6">
        <v>5560</v>
      </c>
      <c r="D6" s="25">
        <v>15844.39</v>
      </c>
    </row>
    <row r="7" spans="2:8" x14ac:dyDescent="0.25">
      <c r="B7" s="1" t="s">
        <v>6</v>
      </c>
      <c r="C7" s="6">
        <v>8276</v>
      </c>
      <c r="D7" s="25">
        <v>29173.39</v>
      </c>
    </row>
    <row r="8" spans="2:8" x14ac:dyDescent="0.25">
      <c r="B8" s="5" t="s">
        <v>12</v>
      </c>
      <c r="C8" s="7">
        <v>2739</v>
      </c>
      <c r="D8" s="25">
        <v>250</v>
      </c>
    </row>
    <row r="9" spans="2:8" x14ac:dyDescent="0.25">
      <c r="B9" s="1" t="s">
        <v>7</v>
      </c>
      <c r="C9" s="6">
        <v>112869</v>
      </c>
      <c r="D9" s="25">
        <v>13790</v>
      </c>
      <c r="E9" s="14"/>
      <c r="F9" s="7"/>
    </row>
    <row r="10" spans="2:8" x14ac:dyDescent="0.25">
      <c r="B10" s="3" t="s">
        <v>8</v>
      </c>
      <c r="C10" s="8">
        <f>SUM(C5:C9)</f>
        <v>138839</v>
      </c>
      <c r="D10" s="4">
        <f>SUM(D5:D9)</f>
        <v>298005.40000000002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809</v>
      </c>
      <c r="D14" s="25">
        <v>65089.5</v>
      </c>
    </row>
    <row r="15" spans="2:8" x14ac:dyDescent="0.25">
      <c r="B15" s="1" t="s">
        <v>5</v>
      </c>
      <c r="C15" s="6">
        <v>697</v>
      </c>
      <c r="D15" s="25">
        <v>21288.280000000002</v>
      </c>
    </row>
    <row r="16" spans="2:8" x14ac:dyDescent="0.25">
      <c r="B16" s="1" t="s">
        <v>6</v>
      </c>
      <c r="C16" s="6">
        <v>1004</v>
      </c>
      <c r="D16" s="25">
        <v>32440.93</v>
      </c>
    </row>
    <row r="17" spans="2:4" x14ac:dyDescent="0.25">
      <c r="B17" s="1" t="s">
        <v>7</v>
      </c>
      <c r="C17" s="6">
        <v>418</v>
      </c>
      <c r="D17" s="25">
        <v>4527</v>
      </c>
    </row>
    <row r="18" spans="2:4" x14ac:dyDescent="0.25">
      <c r="B18" s="3" t="s">
        <v>8</v>
      </c>
      <c r="C18" s="8">
        <f>SUM(C14:C17)</f>
        <v>2928</v>
      </c>
      <c r="D18" s="4">
        <f>SUM(D14:D17)</f>
        <v>123345.70999999999</v>
      </c>
    </row>
    <row r="20" spans="2:4" x14ac:dyDescent="0.25">
      <c r="B20" s="12" t="s">
        <v>13</v>
      </c>
      <c r="C20" s="13">
        <f>SUMIF(B:B, "Total general", C:C)</f>
        <v>141767</v>
      </c>
      <c r="D20" s="13">
        <f>SUMIF(B:B, "Total general", D:D)</f>
        <v>421351.11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10641</v>
      </c>
      <c r="E6" s="16">
        <f>SUMIF('REPORTE DIARIO'!B:B,'EPR 26 JUN'!C6, 'REPORTE DIARIO'!D:D)</f>
        <v>1375296.3800000004</v>
      </c>
      <c r="F6" s="16">
        <f>J6*D6</f>
        <v>668862.85714285716</v>
      </c>
      <c r="G6" s="16">
        <f>+E6-F6</f>
        <v>706433.52285714319</v>
      </c>
      <c r="H6" s="15">
        <f>ABS(G6/F6)</f>
        <v>1.0561709553955119</v>
      </c>
      <c r="I6" s="16">
        <f>E6/D6</f>
        <v>129.24503148200361</v>
      </c>
      <c r="J6" s="16">
        <f>(220/7)*2</f>
        <v>62.857142857142854</v>
      </c>
      <c r="K6" s="16">
        <f>+I6-J6</f>
        <v>66.38788862486075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6194</v>
      </c>
      <c r="E7" s="16">
        <f>SUMIF('REPORTE DIARIO'!B:B,'EPR 26 JUN'!C7, 'REPORTE DIARIO'!D:D)</f>
        <v>600132.87000000011</v>
      </c>
      <c r="F7" s="16">
        <f>J7*D7</f>
        <v>194668.57142857142</v>
      </c>
      <c r="G7" s="16">
        <f>+E7-F7</f>
        <v>405464.29857142869</v>
      </c>
      <c r="H7" s="15">
        <f>ABS(G7/F7)</f>
        <v>2.0828441673760536</v>
      </c>
      <c r="I7" s="16">
        <f>E7/D7</f>
        <v>96.889388117533116</v>
      </c>
      <c r="J7" s="16">
        <f>(110/7)*2</f>
        <v>31.428571428571427</v>
      </c>
      <c r="K7" s="16">
        <f t="shared" ref="K7:K9" si="0">+I7-J7</f>
        <v>65.460816688961685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12840</v>
      </c>
      <c r="E8" s="16">
        <f>SUMIF('REPORTE DIARIO'!B:B,'EPR 26 JUN'!C8, 'REPORTE DIARIO'!D:D)</f>
        <v>456033.49999999994</v>
      </c>
      <c r="F8" s="16">
        <f>J8*D8</f>
        <v>165085.71428571429</v>
      </c>
      <c r="G8" s="16">
        <f>+E8-F8</f>
        <v>290947.78571428568</v>
      </c>
      <c r="H8" s="15">
        <f>ABS(G8/F8)</f>
        <v>1.762404378677743</v>
      </c>
      <c r="I8" s="16">
        <f>E8/D8</f>
        <v>35.516627725856694</v>
      </c>
      <c r="J8" s="16">
        <f>(45/7)*2</f>
        <v>12.857142857142858</v>
      </c>
      <c r="K8" s="16">
        <f t="shared" si="0"/>
        <v>22.659484868713836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62456</v>
      </c>
      <c r="E9" s="16">
        <f>SUMIF('REPORTE DIARIO'!B:B,'EPR 26 JUN'!C9, 'REPORTE DIARIO'!D:D)</f>
        <v>896314.0399999998</v>
      </c>
      <c r="F9" s="16">
        <f>J9*D9</f>
        <v>267668.57142857142</v>
      </c>
      <c r="G9" s="16">
        <f>+E9-F9</f>
        <v>628645.46857142844</v>
      </c>
      <c r="H9" s="15">
        <f>ABS(G9/F9)</f>
        <v>2.3485964945988638</v>
      </c>
      <c r="I9" s="16">
        <f>E9/D9</f>
        <v>14.351127833995129</v>
      </c>
      <c r="J9" s="16">
        <f>(15/7)*2</f>
        <v>4.2857142857142856</v>
      </c>
      <c r="K9" s="16">
        <f t="shared" si="0"/>
        <v>10.065413548280844</v>
      </c>
    </row>
    <row r="10" spans="2:12" x14ac:dyDescent="0.25">
      <c r="B10" s="16"/>
      <c r="C10" s="19" t="s">
        <v>17</v>
      </c>
      <c r="D10" s="24">
        <f>SUM(D6:D9)</f>
        <v>92131</v>
      </c>
      <c r="E10" s="20">
        <f>SUM(E6:E9)</f>
        <v>3327776.79</v>
      </c>
      <c r="F10" s="20">
        <f>SUM(F6:F9)</f>
        <v>1296285.7142857143</v>
      </c>
      <c r="G10" s="20">
        <f>+E10-F10</f>
        <v>2031491.0757142857</v>
      </c>
      <c r="H10" s="21">
        <f>ABS(G10/F10)</f>
        <v>1.5671630515759312</v>
      </c>
      <c r="I10" s="20">
        <f>E10/D10</f>
        <v>36.120055030337241</v>
      </c>
      <c r="J10" s="20">
        <f>F10/D10</f>
        <v>14.070027615956782</v>
      </c>
      <c r="K10" s="20">
        <f>I10-J10</f>
        <v>22.050027414380459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2025-07-27T04:19:30Z</dcterms:modified>
</cp:coreProperties>
</file>