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9 MARZO\MAÑANA\"/>
    </mc:Choice>
  </mc:AlternateContent>
  <xr:revisionPtr revIDLastSave="0" documentId="13_ncr:1_{0191B79B-0E48-48C2-AC6B-15C7048F17C7}" xr6:coauthVersionLast="47" xr6:coauthVersionMax="47" xr10:uidLastSave="{00000000-0000-0000-0000-000000000000}"/>
  <bookViews>
    <workbookView xWindow="17250" yWindow="13305" windowWidth="10875" windowHeight="7575" activeTab="2" xr2:uid="{4DC6C92A-CD8A-4966-829B-0B6A986E825B}"/>
  </bookViews>
  <sheets>
    <sheet name="REPORTE DIARIO" sheetId="1" r:id="rId1"/>
    <sheet name="DATA" sheetId="4" r:id="rId2"/>
    <sheet name="EPR 29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35" i="1"/>
  <c r="C35" i="1"/>
  <c r="D40" i="1" l="1"/>
  <c r="C40" i="1"/>
  <c r="D26" i="1"/>
  <c r="C26" i="1"/>
  <c r="D18" i="1"/>
  <c r="C18" i="1"/>
  <c r="D48" i="1"/>
  <c r="C4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<sst xmlns="http://schemas.openxmlformats.org/spreadsheetml/2006/main" count="88" uniqueCount="37">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</sst>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7396</v>
      </c>
      <c r="D5" s="25">
        <v>603471.57999999996</v>
      </c>
    </row>
    <row r="6" spans="2:8" x14ac:dyDescent="0.25">
      <c r="B6" s="1" t="s">
        <v>5</v>
      </c>
      <c r="C6" s="6">
        <v>7944</v>
      </c>
      <c r="D6" s="25">
        <v>414826.32999999996</v>
      </c>
    </row>
    <row r="7" spans="2:8" x14ac:dyDescent="0.25">
      <c r="B7" s="1" t="s">
        <v>6</v>
      </c>
      <c r="C7" s="6">
        <v>10093</v>
      </c>
      <c r="D7" s="25">
        <v>195092.51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29544</v>
      </c>
      <c r="D9" s="25">
        <v>577336.32000000007</v>
      </c>
      <c r="F9" s="7"/>
    </row>
    <row r="10" spans="2:8" x14ac:dyDescent="0.25">
      <c r="B10" s="3" t="s">
        <v>8</v>
      </c>
      <c r="C10" s="8">
        <f>SUM(C5:C9)</f>
        <v>54998</v>
      </c>
      <c r="D10" s="4">
        <f>SUM(D5:D9)</f>
        <v>1790726.74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1481</v>
      </c>
      <c r="D14" s="25">
        <v>221817.38999999996</v>
      </c>
    </row>
    <row r="15" spans="2:8" x14ac:dyDescent="0.25">
      <c r="B15" s="9" t="s">
        <v>5</v>
      </c>
      <c r="C15" s="6">
        <v>1392</v>
      </c>
      <c r="D15" s="25">
        <v>118254.33</v>
      </c>
    </row>
    <row r="16" spans="2:8" x14ac:dyDescent="0.25">
      <c r="B16" s="9" t="s">
        <v>6</v>
      </c>
      <c r="C16" s="6">
        <v>720</v>
      </c>
      <c r="D16" s="25">
        <v>77506.989999999991</v>
      </c>
    </row>
    <row r="17" spans="2:11" x14ac:dyDescent="0.25">
      <c r="B17" s="9" t="s">
        <v>7</v>
      </c>
      <c r="C17" s="6">
        <v>8413</v>
      </c>
      <c r="D17" s="25">
        <v>93967.459999999992</v>
      </c>
    </row>
    <row r="18" spans="2:11" x14ac:dyDescent="0.25">
      <c r="B18" s="10" t="s">
        <v>8</v>
      </c>
      <c r="C18" s="8">
        <f>SUM(C14:C17)</f>
        <v>12006</v>
      </c>
      <c r="D18" s="4">
        <f>SUM(D14:D17)</f>
        <v>511546.16999999993</v>
      </c>
    </row>
    <row r="20" spans="2:11" x14ac:dyDescent="0.25">
      <c r="B20" s="29" t="s">
        <v>9</v>
      </c>
      <c r="C20" s="29"/>
      <c r="D20" s="29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1235</v>
      </c>
      <c r="D22" s="25">
        <v>262471.59999999998</v>
      </c>
    </row>
    <row r="23" spans="2:11" x14ac:dyDescent="0.25">
      <c r="B23" s="9" t="s">
        <v>5</v>
      </c>
      <c r="C23" s="6">
        <v>1161</v>
      </c>
      <c r="D23" s="25">
        <v>86981.710000000021</v>
      </c>
    </row>
    <row r="24" spans="2:11" x14ac:dyDescent="0.25">
      <c r="B24" s="9" t="s">
        <v>6</v>
      </c>
      <c r="C24" s="6">
        <v>2996</v>
      </c>
      <c r="D24" s="25">
        <v>66191.44</v>
      </c>
    </row>
    <row r="25" spans="2:11" x14ac:dyDescent="0.25">
      <c r="B25" s="9" t="s">
        <v>7</v>
      </c>
      <c r="C25" s="6">
        <v>1900</v>
      </c>
      <c r="D25" s="25">
        <v>71570.39</v>
      </c>
    </row>
    <row r="26" spans="2:11" x14ac:dyDescent="0.25">
      <c r="B26" s="10" t="s">
        <v>8</v>
      </c>
      <c r="C26" s="8">
        <f>SUM(C22:C25)</f>
        <v>7292</v>
      </c>
      <c r="D26" s="4">
        <f>SUM(D22:D25)</f>
        <v>487215.14</v>
      </c>
    </row>
    <row r="27" spans="2:11" x14ac:dyDescent="0.25">
      <c r="K27" s="7"/>
    </row>
    <row r="28" spans="2:11" x14ac:dyDescent="0.25">
      <c r="B28" s="29" t="s">
        <v>34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3278</v>
      </c>
      <c r="D30" s="25">
        <v>284782.71999999997</v>
      </c>
    </row>
    <row r="31" spans="2:11" x14ac:dyDescent="0.25">
      <c r="B31" s="1" t="s">
        <v>5</v>
      </c>
      <c r="C31" s="6">
        <v>1774</v>
      </c>
      <c r="D31" s="25">
        <v>35851.800000000003</v>
      </c>
    </row>
    <row r="32" spans="2:11" x14ac:dyDescent="0.25">
      <c r="B32" s="1" t="s">
        <v>6</v>
      </c>
      <c r="C32" s="6">
        <v>3423</v>
      </c>
      <c r="D32" s="25">
        <v>15367.86</v>
      </c>
    </row>
    <row r="33" spans="2:4" x14ac:dyDescent="0.25">
      <c r="B33" s="5" t="s">
        <v>12</v>
      </c>
      <c r="C33" s="7">
        <v>2</v>
      </c>
      <c r="D33" s="28">
        <v>0</v>
      </c>
    </row>
    <row r="34" spans="2:4" x14ac:dyDescent="0.25">
      <c r="B34" s="1" t="s">
        <v>7</v>
      </c>
      <c r="C34" s="6">
        <v>21210</v>
      </c>
      <c r="D34" s="25">
        <v>150198.28999999998</v>
      </c>
    </row>
    <row r="35" spans="2:4" x14ac:dyDescent="0.25">
      <c r="B35" s="3" t="s">
        <v>8</v>
      </c>
      <c r="C35" s="8">
        <f>SUM(C30:C34)</f>
        <v>29687</v>
      </c>
      <c r="D35" s="4">
        <f>SUM(D30:D34)</f>
        <v>486200.66999999993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3086</v>
      </c>
      <c r="D39" s="25">
        <v>50659</v>
      </c>
    </row>
    <row r="40" spans="2:4" x14ac:dyDescent="0.25">
      <c r="B40" s="10" t="s">
        <v>8</v>
      </c>
      <c r="C40" s="8">
        <f>SUM(C39:C39)</f>
        <v>3086</v>
      </c>
      <c r="D40" s="4">
        <f>SUM(D39:D39)</f>
        <v>50659</v>
      </c>
    </row>
    <row r="42" spans="2:4" x14ac:dyDescent="0.25">
      <c r="B42" s="30" t="s">
        <v>32</v>
      </c>
      <c r="C42" s="30"/>
      <c r="D42" s="30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13823.66</v>
      </c>
    </row>
    <row r="45" spans="2:4" x14ac:dyDescent="0.25">
      <c r="B45" s="9" t="s">
        <v>5</v>
      </c>
      <c r="C45" s="6">
        <v>131</v>
      </c>
      <c r="D45" s="28">
        <v>0</v>
      </c>
    </row>
    <row r="46" spans="2:4" x14ac:dyDescent="0.25">
      <c r="B46" s="9" t="s">
        <v>6</v>
      </c>
      <c r="C46" s="6">
        <v>15</v>
      </c>
      <c r="D46" s="28">
        <v>0</v>
      </c>
    </row>
    <row r="47" spans="2:4" x14ac:dyDescent="0.25">
      <c r="B47" s="9" t="s">
        <v>7</v>
      </c>
      <c r="C47" s="6">
        <v>10</v>
      </c>
      <c r="D47" s="28">
        <v>0</v>
      </c>
    </row>
    <row r="48" spans="2:4" x14ac:dyDescent="0.25">
      <c r="B48" s="10" t="s">
        <v>8</v>
      </c>
      <c r="C48" s="8">
        <f>SUM(C44:C47)</f>
        <v>224</v>
      </c>
      <c r="D48" s="4">
        <f>SUM(D44:D47)</f>
        <v>13823.66</v>
      </c>
    </row>
    <row r="50" spans="2:4" x14ac:dyDescent="0.25">
      <c r="B50" s="29" t="s">
        <v>35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0</v>
      </c>
      <c r="D52" s="25">
        <v>250.86</v>
      </c>
    </row>
    <row r="53" spans="2:4" x14ac:dyDescent="0.25">
      <c r="B53" s="1" t="s">
        <v>5</v>
      </c>
      <c r="C53" s="6">
        <v>122</v>
      </c>
      <c r="D53" s="25">
        <v>1000</v>
      </c>
    </row>
    <row r="54" spans="2:4" x14ac:dyDescent="0.25">
      <c r="B54" s="1" t="s">
        <v>6</v>
      </c>
      <c r="C54" s="6">
        <v>164</v>
      </c>
      <c r="D54" s="27">
        <v>0</v>
      </c>
    </row>
    <row r="55" spans="2:4" x14ac:dyDescent="0.25">
      <c r="B55" s="1" t="s">
        <v>7</v>
      </c>
      <c r="C55" s="6">
        <v>671</v>
      </c>
      <c r="D55" s="25">
        <v>2190</v>
      </c>
    </row>
    <row r="56" spans="2:4" x14ac:dyDescent="0.25">
      <c r="B56" s="3" t="s">
        <v>8</v>
      </c>
      <c r="C56" s="8">
        <f>SUM(C52:C55)</f>
        <v>957</v>
      </c>
      <c r="D56" s="8">
        <f>SUM(D52:D55)</f>
        <v>3440.86</v>
      </c>
    </row>
    <row r="58" spans="2:4" x14ac:dyDescent="0.25">
      <c r="B58" s="12" t="s">
        <v>13</v>
      </c>
      <c r="C58" s="13">
        <f>SUM(C10+C18+C48+C26+C40+C35+C56)</f>
        <v>108250</v>
      </c>
      <c r="D58" s="13">
        <f>SUM(D10+D18+D48+D26+D40+D35+D56)</f>
        <v>3343612.24</v>
      </c>
    </row>
  </sheetData>
  <mergeCells count="7">
    <mergeCell ref="B28:D28"/>
    <mergeCell ref="B50:D50"/>
    <mergeCell ref="B3:D3"/>
    <mergeCell ref="B42:D42"/>
    <mergeCell ref="B12:D12"/>
    <mergeCell ref="B20:D20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29 MAR'!C6, 'REPORTE DIARIO'!C:C)</f>
        <v>16544</v>
      </c>
      <c r="E6" s="16">
        <f>SUMIF('REPORTE DIARIO'!B:B,'EPR 29 MAR'!C6, 'REPORTE DIARIO'!D:D)</f>
        <v>1437276.8099999998</v>
      </c>
      <c r="F6" s="16">
        <f>J6*D6</f>
        <v>2836114.2857142859</v>
      </c>
      <c r="G6" s="16">
        <f>+E6-F6</f>
        <v>-1398837.4757142861</v>
      </c>
      <c r="H6" s="15">
        <f>ABS(G6/F6)</f>
        <v>0.49322323954303687</v>
      </c>
      <c r="I6" s="16">
        <f>E6/D6</f>
        <v>86.876016078336548</v>
      </c>
      <c r="J6" s="16">
        <f>(200/7)*6</f>
        <v>171.42857142857144</v>
      </c>
      <c r="K6" s="16">
        <f>+I6-J6</f>
        <v>-84.552555350234897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29 MAR'!C7, 'REPORTE DIARIO'!C:C)</f>
        <v>12524</v>
      </c>
      <c r="E7" s="16">
        <f>SUMIF('REPORTE DIARIO'!B:B,'EPR 29 MAR'!C7, 'REPORTE DIARIO'!D:D)</f>
        <v>656914.16999999993</v>
      </c>
      <c r="F7" s="16">
        <f>J7*D7</f>
        <v>1180834.2857142857</v>
      </c>
      <c r="G7" s="16">
        <f>+E7-F7</f>
        <v>-523920.11571428576</v>
      </c>
      <c r="H7" s="15">
        <f>ABS(G7/F7)</f>
        <v>0.44368640210795279</v>
      </c>
      <c r="I7" s="16">
        <f>E7/D7</f>
        <v>52.452424944107307</v>
      </c>
      <c r="J7" s="16">
        <f>(110/7)*6</f>
        <v>94.285714285714278</v>
      </c>
      <c r="K7" s="16">
        <f t="shared" ref="K7:K9" si="0">+I7-J7</f>
        <v>-41.833289341606971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29 MAR'!C8, 'REPORTE DIARIO'!C:C)</f>
        <v>17411</v>
      </c>
      <c r="E8" s="16">
        <f>SUMIF('REPORTE DIARIO'!B:B,'EPR 29 MAR'!C8, 'REPORTE DIARIO'!D:D)</f>
        <v>354158.8</v>
      </c>
      <c r="F8" s="16">
        <f>J8*D8</f>
        <v>671567.14285714284</v>
      </c>
      <c r="G8" s="16">
        <f>+E8-F8</f>
        <v>-317408.34285714285</v>
      </c>
      <c r="H8" s="15">
        <f>ABS(G8/F8)</f>
        <v>0.47263828529005714</v>
      </c>
      <c r="I8" s="16">
        <f>E8/D8</f>
        <v>20.34109471024065</v>
      </c>
      <c r="J8" s="16">
        <f>(45/7)*6</f>
        <v>38.571428571428569</v>
      </c>
      <c r="K8" s="16">
        <f t="shared" si="0"/>
        <v>-18.230333861187919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29 MAR'!C9, 'REPORTE DIARIO'!C:C)</f>
        <v>61748</v>
      </c>
      <c r="E9" s="16">
        <f>SUMIF('REPORTE DIARIO'!B:B,'EPR 29 MAR'!C9, 'REPORTE DIARIO'!D:D)</f>
        <v>895262.46</v>
      </c>
      <c r="F9" s="16">
        <f>J9*D9</f>
        <v>793902.85714285716</v>
      </c>
      <c r="G9" s="16">
        <f>+E9-F9</f>
        <v>101359.6028571428</v>
      </c>
      <c r="H9" s="15">
        <f>ABS(G9/F9)</f>
        <v>0.12767255079786652</v>
      </c>
      <c r="I9" s="16">
        <f>E9/D9</f>
        <v>14.498647081686856</v>
      </c>
      <c r="J9" s="16">
        <f>(15/7)*6</f>
        <v>12.857142857142858</v>
      </c>
      <c r="K9" s="16">
        <f t="shared" si="0"/>
        <v>1.6415042245439988</v>
      </c>
    </row>
    <row r="10" spans="2:12" x14ac:dyDescent="0.25">
      <c r="B10" s="16"/>
      <c r="C10" s="19" t="s">
        <v>17</v>
      </c>
      <c r="D10" s="24">
        <f>SUM(D6:D9)</f>
        <v>108227</v>
      </c>
      <c r="E10" s="20">
        <f>SUM(E6:E9)</f>
        <v>3343612.2399999998</v>
      </c>
      <c r="F10" s="20">
        <f>SUM(F6:F9)</f>
        <v>5482418.5714285718</v>
      </c>
      <c r="G10" s="20">
        <f>+E10-F10</f>
        <v>-2138806.3314285721</v>
      </c>
      <c r="H10" s="21">
        <f>ABS(G10/F10)</f>
        <v>0.39012094818423471</v>
      </c>
      <c r="I10" s="20">
        <f>E10/D10</f>
        <v>30.89443706284014</v>
      </c>
      <c r="J10" s="20">
        <f>F10/D10</f>
        <v>50.65666212154612</v>
      </c>
      <c r="K10" s="20">
        <f>I10-J10</f>
        <v>-19.76222505870598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2025-03-29T15:17:40Z</dcterms:modified>
</cp:coreProperties>
</file>