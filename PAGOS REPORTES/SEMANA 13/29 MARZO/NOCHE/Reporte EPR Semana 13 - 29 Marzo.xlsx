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9 MARZO\NOCHE\"/>
    </mc:Choice>
  </mc:AlternateContent>
  <xr:revisionPtr revIDLastSave="0" documentId="13_ncr:1_{8C897B0E-0088-4327-B90F-5EAA0F8535F0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29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1" l="1"/>
  <c r="C35" i="1"/>
  <c r="D19" i="1" l="1"/>
  <c r="C19" i="1"/>
  <c r="J9" i="3"/>
  <c r="J8" i="3"/>
  <c r="J7" i="3"/>
  <c r="J6" i="3"/>
  <c r="D6" i="3"/>
  <c r="F6" i="3" s="1"/>
  <c r="D56" i="1"/>
  <c r="C56" i="1"/>
  <c r="D51" i="1"/>
  <c r="C51" i="1"/>
  <c r="D27" i="1"/>
  <c r="C27" i="1"/>
  <c r="D43" i="1"/>
  <c r="C43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<sst xmlns="http://schemas.openxmlformats.org/spreadsheetml/2006/main" count="87" uniqueCount="36">
  <si>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</si>
  <si>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</si>
  <si>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</si>
  <si>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</si>
  <si>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</si>
  <si>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</si>
  <si>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</si>
  <si>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</si>
  <si>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</si>
  <si>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</si>
  <si>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</si>
  <si>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</si>
  <si>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</si>
  <si>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</si>
  <si>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</si>
  <si>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</si>
  <si>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</si>
  <si>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</si>
  <si>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</si>
  <si>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</si>
  <si>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</si>
  <si>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</si>
  <si>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</si>
  <si>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</si>
  <si>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</si>
  <si>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</si>
  <si>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</si>
  <si>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</si>
  <si>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</si>
  <si>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</si>
  <si>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</si>
  <si>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</si>
  <si>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COBRANZA GENERAL  SAMANTHA 2</t>
  </si>
  <si>
    <t>COBRANZA GENERAL  FEDERICO</t>
  </si>
  <si>
    <t>Samantha, Samantha 2, Sofia, Edith, Olguin, Fernando y Federico</t>
  </si>
  <si>
    <t>COBRANZA 29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</si>
</sst>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 applyFill="1" applyBorder="1"/>
    <xf numFmtId="4" fontId="0" fillId="0" borderId="2" xfId="0" applyNumberFormat="1" applyBorder="1"/>
    <xf numFmtId="43" fontId="0" fillId="0" borderId="2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3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7398</v>
      </c>
      <c r="D5" s="25">
        <v>160896.47999999998</v>
      </c>
    </row>
    <row r="6" spans="2:8" x14ac:dyDescent="0.25">
      <c r="B6" s="1" t="s">
        <v>5</v>
      </c>
      <c r="C6" s="6">
        <v>7979</v>
      </c>
      <c r="D6" s="25">
        <v>64668</v>
      </c>
    </row>
    <row r="7" spans="2:8" x14ac:dyDescent="0.25">
      <c r="B7" s="1" t="s">
        <v>6</v>
      </c>
      <c r="C7" s="6">
        <v>10145</v>
      </c>
      <c r="D7" s="25">
        <v>163154</v>
      </c>
    </row>
    <row r="8" spans="2:8" x14ac:dyDescent="0.25">
      <c r="B8" s="5" t="s">
        <v>12</v>
      </c>
      <c r="C8" s="7">
        <v>21</v>
      </c>
      <c r="D8" s="24">
        <v>0</v>
      </c>
    </row>
    <row r="9" spans="2:8" x14ac:dyDescent="0.25">
      <c r="B9" s="1" t="s">
        <v>7</v>
      </c>
      <c r="C9" s="6">
        <v>29560</v>
      </c>
      <c r="D9" s="25">
        <v>131294</v>
      </c>
    </row>
    <row r="10" spans="2:8" x14ac:dyDescent="0.25">
      <c r="B10" s="3" t="s">
        <v>8</v>
      </c>
      <c r="C10" s="8">
        <f>SUM(C5:C9)</f>
        <v>55103</v>
      </c>
      <c r="D10" s="4">
        <f>SUM(D5:D9)</f>
        <v>520012.48</v>
      </c>
    </row>
    <row r="12" spans="2:8" x14ac:dyDescent="0.25">
      <c r="B12" s="28" t="s">
        <v>32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3278</v>
      </c>
      <c r="D14" s="25">
        <v>137862.83000000002</v>
      </c>
    </row>
    <row r="15" spans="2:8" x14ac:dyDescent="0.25">
      <c r="B15" s="1" t="s">
        <v>5</v>
      </c>
      <c r="C15" s="6">
        <v>1796</v>
      </c>
      <c r="D15" s="25">
        <v>7940</v>
      </c>
    </row>
    <row r="16" spans="2:8" x14ac:dyDescent="0.25">
      <c r="B16" s="1" t="s">
        <v>6</v>
      </c>
      <c r="C16" s="6">
        <v>3437</v>
      </c>
      <c r="D16" s="25">
        <v>12610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21210</v>
      </c>
      <c r="D18" s="25">
        <v>36505</v>
      </c>
    </row>
    <row r="19" spans="2:11" x14ac:dyDescent="0.25">
      <c r="B19" s="3" t="s">
        <v>8</v>
      </c>
      <c r="C19" s="8">
        <f>SUM(C14:C18)</f>
        <v>29723</v>
      </c>
      <c r="D19" s="4">
        <f>SUM(D14:D18)</f>
        <v>194917.83000000002</v>
      </c>
    </row>
    <row r="21" spans="2:11" x14ac:dyDescent="0.25">
      <c r="B21" s="27" t="s">
        <v>10</v>
      </c>
      <c r="C21" s="27"/>
      <c r="D21" s="27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1487</v>
      </c>
      <c r="D23" s="25">
        <v>60848.06</v>
      </c>
    </row>
    <row r="24" spans="2:11" x14ac:dyDescent="0.25">
      <c r="B24" s="9" t="s">
        <v>5</v>
      </c>
      <c r="C24" s="6">
        <v>1399</v>
      </c>
      <c r="D24" s="25">
        <v>9740</v>
      </c>
    </row>
    <row r="25" spans="2:11" x14ac:dyDescent="0.25">
      <c r="B25" s="9" t="s">
        <v>6</v>
      </c>
      <c r="C25" s="6">
        <v>729</v>
      </c>
      <c r="D25" s="25">
        <v>5671.68</v>
      </c>
    </row>
    <row r="26" spans="2:11" x14ac:dyDescent="0.25">
      <c r="B26" s="9" t="s">
        <v>7</v>
      </c>
      <c r="C26" s="6">
        <v>8470</v>
      </c>
      <c r="D26" s="25">
        <v>13105</v>
      </c>
      <c r="K26" s="7"/>
    </row>
    <row r="27" spans="2:11" x14ac:dyDescent="0.25">
      <c r="B27" s="10" t="s">
        <v>8</v>
      </c>
      <c r="C27" s="8">
        <f>SUM(C23:C26)</f>
        <v>12085</v>
      </c>
      <c r="D27" s="4">
        <f>SUM(D23:D26)</f>
        <v>89364.739999999991</v>
      </c>
    </row>
    <row r="29" spans="2:11" x14ac:dyDescent="0.25">
      <c r="B29" s="28" t="s">
        <v>33</v>
      </c>
      <c r="C29" s="28"/>
      <c r="D29" s="28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0</v>
      </c>
      <c r="D31" s="26">
        <v>0</v>
      </c>
    </row>
    <row r="32" spans="2:11" x14ac:dyDescent="0.25">
      <c r="B32" s="1" t="s">
        <v>5</v>
      </c>
      <c r="C32" s="6">
        <v>123</v>
      </c>
      <c r="D32" s="25">
        <v>24329</v>
      </c>
    </row>
    <row r="33" spans="2:4" x14ac:dyDescent="0.25">
      <c r="B33" s="1" t="s">
        <v>6</v>
      </c>
      <c r="C33" s="6">
        <v>164</v>
      </c>
      <c r="D33" s="26">
        <v>0</v>
      </c>
    </row>
    <row r="34" spans="2:4" x14ac:dyDescent="0.25">
      <c r="B34" s="1" t="s">
        <v>7</v>
      </c>
      <c r="C34" s="6">
        <v>856</v>
      </c>
      <c r="D34" s="25">
        <v>1744</v>
      </c>
    </row>
    <row r="35" spans="2:4" x14ac:dyDescent="0.25">
      <c r="B35" s="3" t="s">
        <v>8</v>
      </c>
      <c r="C35" s="8">
        <f>SUM(C31:C34)</f>
        <v>1143</v>
      </c>
      <c r="D35" s="4">
        <f>SUM(D31:D34)</f>
        <v>26073</v>
      </c>
    </row>
    <row r="37" spans="2:4" x14ac:dyDescent="0.25">
      <c r="B37" s="28" t="s">
        <v>9</v>
      </c>
      <c r="C37" s="28"/>
      <c r="D37" s="28"/>
    </row>
    <row r="38" spans="2:4" x14ac:dyDescent="0.25">
      <c r="B38" s="2" t="s">
        <v>1</v>
      </c>
      <c r="C38" s="2" t="s">
        <v>2</v>
      </c>
      <c r="D38" s="2" t="s">
        <v>3</v>
      </c>
    </row>
    <row r="39" spans="2:4" x14ac:dyDescent="0.25">
      <c r="B39" s="9" t="s">
        <v>4</v>
      </c>
      <c r="C39" s="6">
        <v>1242</v>
      </c>
      <c r="D39" s="25">
        <v>13890.87</v>
      </c>
    </row>
    <row r="40" spans="2:4" x14ac:dyDescent="0.25">
      <c r="B40" s="9" t="s">
        <v>5</v>
      </c>
      <c r="C40" s="6">
        <v>1166</v>
      </c>
      <c r="D40" s="25">
        <v>6067</v>
      </c>
    </row>
    <row r="41" spans="2:4" x14ac:dyDescent="0.25">
      <c r="B41" s="9" t="s">
        <v>6</v>
      </c>
      <c r="C41" s="6">
        <v>2996</v>
      </c>
      <c r="D41" s="25">
        <v>0</v>
      </c>
    </row>
    <row r="42" spans="2:4" x14ac:dyDescent="0.25">
      <c r="B42" s="9" t="s">
        <v>7</v>
      </c>
      <c r="C42" s="6">
        <v>1900</v>
      </c>
      <c r="D42" s="25">
        <v>1451</v>
      </c>
    </row>
    <row r="43" spans="2:4" x14ac:dyDescent="0.25">
      <c r="B43" s="10" t="s">
        <v>8</v>
      </c>
      <c r="C43" s="8">
        <f>SUM(C39:C42)</f>
        <v>7304</v>
      </c>
      <c r="D43" s="4">
        <f>SUM(D39:D42)</f>
        <v>21408.870000000003</v>
      </c>
    </row>
    <row r="45" spans="2:4" x14ac:dyDescent="0.25">
      <c r="B45" s="27" t="s">
        <v>31</v>
      </c>
      <c r="C45" s="27"/>
      <c r="D45" s="27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6">
        <v>68</v>
      </c>
      <c r="D47" s="25">
        <v>6341.16</v>
      </c>
    </row>
    <row r="48" spans="2:4" x14ac:dyDescent="0.25">
      <c r="B48" s="9" t="s">
        <v>5</v>
      </c>
      <c r="C48" s="6">
        <v>136</v>
      </c>
      <c r="D48" s="26">
        <v>0</v>
      </c>
    </row>
    <row r="49" spans="2:4" x14ac:dyDescent="0.25">
      <c r="B49" s="9" t="s">
        <v>6</v>
      </c>
      <c r="C49" s="6">
        <v>15</v>
      </c>
      <c r="D49" s="26">
        <v>0</v>
      </c>
    </row>
    <row r="50" spans="2:4" x14ac:dyDescent="0.25">
      <c r="B50" s="9" t="s">
        <v>7</v>
      </c>
      <c r="C50" s="6">
        <v>10</v>
      </c>
      <c r="D50" s="25">
        <v>477</v>
      </c>
    </row>
    <row r="51" spans="2:4" x14ac:dyDescent="0.25">
      <c r="B51" s="10" t="s">
        <v>8</v>
      </c>
      <c r="C51" s="8">
        <f>SUM(C47:C50)</f>
        <v>229</v>
      </c>
      <c r="D51" s="4">
        <f>SUM(D47:D50)</f>
        <v>6818.16</v>
      </c>
    </row>
    <row r="53" spans="2:4" x14ac:dyDescent="0.25">
      <c r="B53" s="27" t="s">
        <v>11</v>
      </c>
      <c r="C53" s="27"/>
      <c r="D53" s="27"/>
    </row>
    <row r="54" spans="2:4" x14ac:dyDescent="0.25">
      <c r="B54" s="4" t="s">
        <v>1</v>
      </c>
      <c r="C54" s="4" t="s">
        <v>2</v>
      </c>
      <c r="D54" s="4" t="s">
        <v>3</v>
      </c>
    </row>
    <row r="55" spans="2:4" x14ac:dyDescent="0.25">
      <c r="B55" s="9" t="s">
        <v>4</v>
      </c>
      <c r="C55" s="6">
        <v>2702</v>
      </c>
      <c r="D55" s="25">
        <v>5957</v>
      </c>
    </row>
    <row r="56" spans="2:4" x14ac:dyDescent="0.25">
      <c r="B56" s="10" t="s">
        <v>8</v>
      </c>
      <c r="C56" s="8">
        <f>SUM(C55:C55)</f>
        <v>2702</v>
      </c>
      <c r="D56" s="4">
        <f>SUM(D55:D55)</f>
        <v>5957</v>
      </c>
    </row>
    <row r="58" spans="2:4" x14ac:dyDescent="0.25">
      <c r="B58" s="11" t="s">
        <v>13</v>
      </c>
      <c r="C58" s="12">
        <f>SUM(C10+C43+C27+C51+C56+C19+C35)</f>
        <v>108289</v>
      </c>
      <c r="D58" s="12">
        <f>SUM(D10+D43+D27+D51+D56+D19+D35)</f>
        <v>864552.08000000007</v>
      </c>
    </row>
  </sheetData>
  <mergeCells count="7">
    <mergeCell ref="B3:D3"/>
    <mergeCell ref="B37:D37"/>
    <mergeCell ref="B45:D45"/>
    <mergeCell ref="B53:D53"/>
    <mergeCell ref="B29:D29"/>
    <mergeCell ref="B12:D12"/>
    <mergeCell ref="B21:D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J8" sqref="J8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29 MAR'!C6, 'REPORTE DIARIO'!C:C)</f>
        <v>16175</v>
      </c>
      <c r="E6" s="15">
        <f>SUMIF('REPORTE DIARIO'!B:B,'EPR 29 MAR'!C6, 'REPORTE DIARIO'!D:D)</f>
        <v>385796.39999999997</v>
      </c>
      <c r="F6" s="15">
        <f>J6*D6</f>
        <v>462142.85714285716</v>
      </c>
      <c r="G6" s="15">
        <f>+E6-F6</f>
        <v>-76346.457142857194</v>
      </c>
      <c r="H6" s="14">
        <f>ABS(G6/F6)</f>
        <v>0.16520098918083473</v>
      </c>
      <c r="I6" s="15">
        <f>E6/D6</f>
        <v>23.851400309119008</v>
      </c>
      <c r="J6" s="15">
        <f>200/7</f>
        <v>28.571428571428573</v>
      </c>
      <c r="K6" s="15">
        <f>+I6-J6</f>
        <v>-4.7200282623095653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29 MAR'!C7, 'REPORTE DIARIO'!C:C)</f>
        <v>12599</v>
      </c>
      <c r="E7" s="15">
        <f>SUMIF('REPORTE DIARIO'!B:B,'EPR 29 MAR'!C7, 'REPORTE DIARIO'!D:D)</f>
        <v>112744</v>
      </c>
      <c r="F7" s="15">
        <f>J7*D7</f>
        <v>197984.28571428571</v>
      </c>
      <c r="G7" s="15">
        <f>+E7-F7</f>
        <v>-85240.28571428571</v>
      </c>
      <c r="H7" s="14">
        <f>ABS(G7/F7)</f>
        <v>0.43054066340041414</v>
      </c>
      <c r="I7" s="15">
        <f>E7/D7</f>
        <v>8.9486467179934923</v>
      </c>
      <c r="J7" s="15">
        <f>110/7</f>
        <v>15.714285714285714</v>
      </c>
      <c r="K7" s="15">
        <f t="shared" ref="K7:K9" si="0">+I7-J7</f>
        <v>-6.7656389962922212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29 MAR'!C8, 'REPORTE DIARIO'!C:C)</f>
        <v>17486</v>
      </c>
      <c r="E8" s="15">
        <f>SUMIF('REPORTE DIARIO'!B:B,'EPR 29 MAR'!C8, 'REPORTE DIARIO'!D:D)</f>
        <v>181435.68</v>
      </c>
      <c r="F8" s="15">
        <f>J8*D8</f>
        <v>112410</v>
      </c>
      <c r="G8" s="15">
        <f>+E8-F8</f>
        <v>69025.679999999993</v>
      </c>
      <c r="H8" s="14">
        <f>ABS(G8/F8)</f>
        <v>0.61405284227381896</v>
      </c>
      <c r="I8" s="15">
        <f>E8/D8</f>
        <v>10.37605398604598</v>
      </c>
      <c r="J8" s="15">
        <f>45/7</f>
        <v>6.4285714285714288</v>
      </c>
      <c r="K8" s="15">
        <f t="shared" si="0"/>
        <v>3.9474825574745509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29 MAR'!C9, 'REPORTE DIARIO'!C:C)</f>
        <v>62006</v>
      </c>
      <c r="E9" s="15">
        <f>SUMIF('REPORTE DIARIO'!B:B,'EPR 29 MAR'!C9, 'REPORTE DIARIO'!D:D)</f>
        <v>184576</v>
      </c>
      <c r="F9" s="15">
        <f>J9*D9</f>
        <v>132870</v>
      </c>
      <c r="G9" s="15">
        <f>+E9-F9</f>
        <v>51706</v>
      </c>
      <c r="H9" s="14">
        <f>ABS(G9/F9)</f>
        <v>0.38914728682170541</v>
      </c>
      <c r="I9" s="15">
        <f>E9/D9</f>
        <v>2.9767441860465116</v>
      </c>
      <c r="J9" s="15">
        <f>15/7</f>
        <v>2.1428571428571428</v>
      </c>
      <c r="K9" s="15">
        <f t="shared" si="0"/>
        <v>0.83388704318936879</v>
      </c>
    </row>
    <row r="10" spans="2:12" x14ac:dyDescent="0.25">
      <c r="B10" s="15"/>
      <c r="C10" s="18" t="s">
        <v>16</v>
      </c>
      <c r="D10" s="23">
        <f>SUM(D6:D9)</f>
        <v>108266</v>
      </c>
      <c r="E10" s="19">
        <f>SUM(E6:E9)</f>
        <v>864552.08</v>
      </c>
      <c r="F10" s="19">
        <f>SUM(F6:F9)</f>
        <v>905407.14285714284</v>
      </c>
      <c r="G10" s="19">
        <f>+E10-F10</f>
        <v>-40855.062857142882</v>
      </c>
      <c r="H10" s="20">
        <f>ABS(G10/F10)</f>
        <v>4.5123415669351623E-2</v>
      </c>
      <c r="I10" s="19">
        <f>E10/D10</f>
        <v>7.9854439990394024</v>
      </c>
      <c r="J10" s="19">
        <f>F10/D10</f>
        <v>8.3628021988171994</v>
      </c>
      <c r="K10" s="19">
        <f>I10-J10</f>
        <v>-0.37735819977779705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29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2025-03-30T02:13:07Z</dcterms:modified>
</cp:coreProperties>
</file>