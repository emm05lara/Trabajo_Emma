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9 MARZO\NOCHE\"/>
    </mc:Choice>
  </mc:AlternateContent>
  <xr:revisionPtr revIDLastSave="0" documentId="13_ncr:1_{9655A46B-D874-48CC-88F4-2FD185A02E6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<sst xmlns="http://schemas.openxmlformats.org/spreadsheetml/2006/main" count="88" uniqueCount="37">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</sst>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7398</v>
      </c>
      <c r="D5" s="25">
        <v>764278.05999999994</v>
      </c>
    </row>
    <row r="6" spans="2:8" x14ac:dyDescent="0.25">
      <c r="B6" s="1" t="s">
        <v>5</v>
      </c>
      <c r="C6" s="6">
        <v>7979</v>
      </c>
      <c r="D6" s="25">
        <v>477749.32999999996</v>
      </c>
    </row>
    <row r="7" spans="2:8" x14ac:dyDescent="0.25">
      <c r="B7" s="1" t="s">
        <v>6</v>
      </c>
      <c r="C7" s="6">
        <v>10145</v>
      </c>
      <c r="D7" s="25">
        <v>358246.51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29560</v>
      </c>
      <c r="D9" s="25">
        <v>707663.32000000007</v>
      </c>
      <c r="F9" s="7"/>
    </row>
    <row r="10" spans="2:8" x14ac:dyDescent="0.25">
      <c r="B10" s="3" t="s">
        <v>8</v>
      </c>
      <c r="C10" s="8">
        <f>SUM(C5:C9)</f>
        <v>55103</v>
      </c>
      <c r="D10" s="4">
        <f>SUM(D5:D9)</f>
        <v>2307937.2199999997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3278</v>
      </c>
      <c r="D14" s="25">
        <v>401065.16</v>
      </c>
    </row>
    <row r="15" spans="2:8" x14ac:dyDescent="0.25">
      <c r="B15" s="1" t="s">
        <v>5</v>
      </c>
      <c r="C15" s="6">
        <v>1796</v>
      </c>
      <c r="D15" s="25">
        <v>43791.8</v>
      </c>
    </row>
    <row r="16" spans="2:8" x14ac:dyDescent="0.25">
      <c r="B16" s="1" t="s">
        <v>6</v>
      </c>
      <c r="C16" s="6">
        <v>3437</v>
      </c>
      <c r="D16" s="25">
        <v>27977.86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21210</v>
      </c>
      <c r="D18" s="25">
        <v>186703.28999999998</v>
      </c>
    </row>
    <row r="19" spans="2:11" x14ac:dyDescent="0.25">
      <c r="B19" s="3" t="s">
        <v>8</v>
      </c>
      <c r="C19" s="8">
        <f>SUM(C14:C18)</f>
        <v>29723</v>
      </c>
      <c r="D19" s="4">
        <f>SUM(D14:D18)</f>
        <v>659538.10999999987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1487</v>
      </c>
      <c r="D23" s="25">
        <v>267104.13999999996</v>
      </c>
    </row>
    <row r="24" spans="2:11" x14ac:dyDescent="0.25">
      <c r="B24" s="9" t="s">
        <v>5</v>
      </c>
      <c r="C24" s="6">
        <v>1399</v>
      </c>
      <c r="D24" s="25">
        <v>127994.33</v>
      </c>
    </row>
    <row r="25" spans="2:11" x14ac:dyDescent="0.25">
      <c r="B25" s="9" t="s">
        <v>6</v>
      </c>
      <c r="C25" s="6">
        <v>729</v>
      </c>
      <c r="D25" s="25">
        <v>82827.669999999984</v>
      </c>
    </row>
    <row r="26" spans="2:11" x14ac:dyDescent="0.25">
      <c r="B26" s="9" t="s">
        <v>7</v>
      </c>
      <c r="C26" s="6">
        <v>8470</v>
      </c>
      <c r="D26" s="25">
        <v>107072.45999999999</v>
      </c>
    </row>
    <row r="27" spans="2:11" x14ac:dyDescent="0.25">
      <c r="B27" s="10" t="s">
        <v>8</v>
      </c>
      <c r="C27" s="8">
        <f>SUM(C23:C26)</f>
        <v>12085</v>
      </c>
      <c r="D27" s="4">
        <f>SUM(D23:D26)</f>
        <v>584998.6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1242</v>
      </c>
      <c r="D31" s="25">
        <v>276362.46999999997</v>
      </c>
    </row>
    <row r="32" spans="2:11" x14ac:dyDescent="0.25">
      <c r="B32" s="9" t="s">
        <v>5</v>
      </c>
      <c r="C32" s="6">
        <v>1166</v>
      </c>
      <c r="D32" s="25">
        <v>93048.710000000021</v>
      </c>
    </row>
    <row r="33" spans="2:4" x14ac:dyDescent="0.25">
      <c r="B33" s="9" t="s">
        <v>6</v>
      </c>
      <c r="C33" s="6">
        <v>2996</v>
      </c>
      <c r="D33" s="25">
        <v>66191.44</v>
      </c>
    </row>
    <row r="34" spans="2:4" x14ac:dyDescent="0.25">
      <c r="B34" s="9" t="s">
        <v>7</v>
      </c>
      <c r="C34" s="6">
        <v>1900</v>
      </c>
      <c r="D34" s="25">
        <v>72521.39</v>
      </c>
    </row>
    <row r="35" spans="2:4" x14ac:dyDescent="0.25">
      <c r="B35" s="10" t="s">
        <v>8</v>
      </c>
      <c r="C35" s="8">
        <f>SUM(C31:C34)</f>
        <v>7304</v>
      </c>
      <c r="D35" s="4">
        <f>SUM(D31:D34)</f>
        <v>508124.01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2702</v>
      </c>
      <c r="D39" s="25">
        <v>56616</v>
      </c>
    </row>
    <row r="40" spans="2:4" x14ac:dyDescent="0.25">
      <c r="B40" s="10" t="s">
        <v>8</v>
      </c>
      <c r="C40" s="8">
        <f>SUM(C39:C39)</f>
        <v>2702</v>
      </c>
      <c r="D40" s="4">
        <f>SUM(D39:D39)</f>
        <v>56616</v>
      </c>
    </row>
    <row r="42" spans="2:4" x14ac:dyDescent="0.25">
      <c r="B42" s="29" t="s">
        <v>35</v>
      </c>
      <c r="C42" s="29"/>
      <c r="D42" s="29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5">
        <v>250.86</v>
      </c>
    </row>
    <row r="45" spans="2:4" x14ac:dyDescent="0.25">
      <c r="B45" s="1" t="s">
        <v>5</v>
      </c>
      <c r="C45" s="6">
        <v>123</v>
      </c>
      <c r="D45" s="25">
        <v>25329</v>
      </c>
    </row>
    <row r="46" spans="2:4" x14ac:dyDescent="0.25">
      <c r="B46" s="1" t="s">
        <v>6</v>
      </c>
      <c r="C46" s="6">
        <v>164</v>
      </c>
      <c r="D46" s="27">
        <v>0</v>
      </c>
    </row>
    <row r="47" spans="2:4" x14ac:dyDescent="0.25">
      <c r="B47" s="1" t="s">
        <v>7</v>
      </c>
      <c r="C47" s="6">
        <v>856</v>
      </c>
      <c r="D47" s="25">
        <v>3934</v>
      </c>
    </row>
    <row r="48" spans="2:4" x14ac:dyDescent="0.25">
      <c r="B48" s="3" t="s">
        <v>8</v>
      </c>
      <c r="C48" s="8">
        <f>SUM(C44:C47)</f>
        <v>1143</v>
      </c>
      <c r="D48" s="8">
        <f>SUM(D44:D47)</f>
        <v>29513.86</v>
      </c>
    </row>
    <row r="50" spans="2:4" x14ac:dyDescent="0.25">
      <c r="B50" s="30" t="s">
        <v>32</v>
      </c>
      <c r="C50" s="30"/>
      <c r="D50" s="30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16850.32</v>
      </c>
    </row>
    <row r="53" spans="2:4" x14ac:dyDescent="0.25">
      <c r="B53" s="9" t="s">
        <v>5</v>
      </c>
      <c r="C53" s="6">
        <v>136</v>
      </c>
      <c r="D53" s="28">
        <v>0</v>
      </c>
    </row>
    <row r="54" spans="2:4" x14ac:dyDescent="0.25">
      <c r="B54" s="9" t="s">
        <v>6</v>
      </c>
      <c r="C54" s="6">
        <v>15</v>
      </c>
      <c r="D54" s="28">
        <v>0</v>
      </c>
    </row>
    <row r="55" spans="2:4" x14ac:dyDescent="0.25">
      <c r="B55" s="9" t="s">
        <v>7</v>
      </c>
      <c r="C55" s="6">
        <v>10</v>
      </c>
      <c r="D55" s="25">
        <v>477</v>
      </c>
    </row>
    <row r="56" spans="2:4" x14ac:dyDescent="0.25">
      <c r="B56" s="10" t="s">
        <v>8</v>
      </c>
      <c r="C56" s="8">
        <f>SUM(C52:C55)</f>
        <v>229</v>
      </c>
      <c r="D56" s="4">
        <f>SUM(D52:D55)</f>
        <v>17327.32</v>
      </c>
    </row>
    <row r="58" spans="2:4" x14ac:dyDescent="0.25">
      <c r="B58" s="12" t="s">
        <v>13</v>
      </c>
      <c r="C58" s="13">
        <f>SUM(C10+C27+C56+C35+C40+C19+C48)</f>
        <v>108289</v>
      </c>
      <c r="D58" s="13">
        <f>SUM(D10+D27+D56+D35+D40+D19+D48)</f>
        <v>4164055.1199999992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29 MAR'!C6, 'REPORTE DIARIO'!C:C)</f>
        <v>16175</v>
      </c>
      <c r="E6" s="16">
        <f>SUMIF('REPORTE DIARIO'!B:B,'EPR 29 MAR'!C6, 'REPORTE DIARIO'!D:D)</f>
        <v>1782527.01</v>
      </c>
      <c r="F6" s="16">
        <f>J6*D6</f>
        <v>2772857.1428571432</v>
      </c>
      <c r="G6" s="16">
        <f>+E6-F6</f>
        <v>-990330.13285714318</v>
      </c>
      <c r="H6" s="15">
        <f>ABS(G6/F6)</f>
        <v>0.35715151622874813</v>
      </c>
      <c r="I6" s="16">
        <f>E6/D6</f>
        <v>110.2025972179289</v>
      </c>
      <c r="J6" s="16">
        <f>(200/7)*6</f>
        <v>171.42857142857144</v>
      </c>
      <c r="K6" s="16">
        <f>+I6-J6</f>
        <v>-61.225974210642548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29 MAR'!C7, 'REPORTE DIARIO'!C:C)</f>
        <v>12599</v>
      </c>
      <c r="E7" s="16">
        <f>SUMIF('REPORTE DIARIO'!B:B,'EPR 29 MAR'!C7, 'REPORTE DIARIO'!D:D)</f>
        <v>767913.16999999993</v>
      </c>
      <c r="F7" s="16">
        <f>J7*D7</f>
        <v>1187905.7142857141</v>
      </c>
      <c r="G7" s="16">
        <f>+E7-F7</f>
        <v>-419992.54428571416</v>
      </c>
      <c r="H7" s="15">
        <f>ABS(G7/F7)</f>
        <v>0.35355713777187697</v>
      </c>
      <c r="I7" s="16">
        <f>E7/D7</f>
        <v>60.950327010080159</v>
      </c>
      <c r="J7" s="16">
        <f>(110/7)*6</f>
        <v>94.285714285714278</v>
      </c>
      <c r="K7" s="16">
        <f t="shared" ref="K7:K9" si="0">+I7-J7</f>
        <v>-33.335387275634119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29 MAR'!C8, 'REPORTE DIARIO'!C:C)</f>
        <v>17486</v>
      </c>
      <c r="E8" s="16">
        <f>SUMIF('REPORTE DIARIO'!B:B,'EPR 29 MAR'!C8, 'REPORTE DIARIO'!D:D)</f>
        <v>535243.48</v>
      </c>
      <c r="F8" s="16">
        <f>J8*D8</f>
        <v>674460</v>
      </c>
      <c r="G8" s="16">
        <f>+E8-F8</f>
        <v>-139216.52000000002</v>
      </c>
      <c r="H8" s="15">
        <f>ABS(G8/F8)</f>
        <v>0.20641182575690184</v>
      </c>
      <c r="I8" s="16">
        <f>E8/D8</f>
        <v>30.609829577948073</v>
      </c>
      <c r="J8" s="16">
        <f>(45/7)*6</f>
        <v>38.571428571428569</v>
      </c>
      <c r="K8" s="16">
        <f t="shared" si="0"/>
        <v>-7.9615989934804965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29 MAR'!C9, 'REPORTE DIARIO'!C:C)</f>
        <v>62006</v>
      </c>
      <c r="E9" s="16">
        <f>SUMIF('REPORTE DIARIO'!B:B,'EPR 29 MAR'!C9, 'REPORTE DIARIO'!D:D)</f>
        <v>1078371.46</v>
      </c>
      <c r="F9" s="16">
        <f>J9*D9</f>
        <v>797220</v>
      </c>
      <c r="G9" s="16">
        <f>+E9-F9</f>
        <v>281151.45999999996</v>
      </c>
      <c r="H9" s="15">
        <f>ABS(G9/F9)</f>
        <v>0.35266483530267678</v>
      </c>
      <c r="I9" s="16">
        <f>E9/D9</f>
        <v>17.391405025320129</v>
      </c>
      <c r="J9" s="16">
        <f>(15/7)*6</f>
        <v>12.857142857142858</v>
      </c>
      <c r="K9" s="16">
        <f t="shared" si="0"/>
        <v>4.5342621681772712</v>
      </c>
    </row>
    <row r="10" spans="2:12" x14ac:dyDescent="0.25">
      <c r="B10" s="16"/>
      <c r="C10" s="19" t="s">
        <v>17</v>
      </c>
      <c r="D10" s="24">
        <f>SUM(D6:D9)</f>
        <v>108266</v>
      </c>
      <c r="E10" s="20">
        <f>SUM(E6:E9)</f>
        <v>4164055.1199999996</v>
      </c>
      <c r="F10" s="20">
        <f>SUM(F6:F9)</f>
        <v>5432442.8571428573</v>
      </c>
      <c r="G10" s="20">
        <f>+E10-F10</f>
        <v>-1268387.7371428576</v>
      </c>
      <c r="H10" s="21">
        <f>ABS(G10/F10)</f>
        <v>0.23348386177226249</v>
      </c>
      <c r="I10" s="20">
        <f>E10/D10</f>
        <v>38.461337077198749</v>
      </c>
      <c r="J10" s="20">
        <f>F10/D10</f>
        <v>50.176813192903197</v>
      </c>
      <c r="K10" s="20">
        <f>I10-J10</f>
        <v>-11.715476115704448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2025-03-30T02:19:49Z</dcterms:modified>
</cp:coreProperties>
</file>