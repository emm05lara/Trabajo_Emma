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8 MARZO\NOCHE\"/>
    </mc:Choice>
  </mc:AlternateContent>
  <xr:revisionPtr revIDLastSave="0" documentId="13_ncr:1_{04136EDD-BE81-4203-8024-5B90129B25E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8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19" i="1"/>
  <c r="C19" i="1"/>
  <c r="D40" i="1" l="1"/>
  <c r="C40" i="1"/>
  <c r="D35" i="1"/>
  <c r="C35" i="1"/>
  <c r="D27" i="1"/>
  <c r="C27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<sst xmlns="http://schemas.openxmlformats.org/spreadsheetml/2006/main" count="88" uniqueCount="37">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</sst>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3" workbookViewId="0">
      <selection activeCell="B68" sqref="B6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7416</v>
      </c>
      <c r="D5" s="25">
        <v>731827.18999999983</v>
      </c>
    </row>
    <row r="6" spans="2:8" x14ac:dyDescent="0.25">
      <c r="B6" s="1" t="s">
        <v>5</v>
      </c>
      <c r="C6" s="6">
        <v>8003</v>
      </c>
      <c r="D6" s="25">
        <v>422794.18999999994</v>
      </c>
    </row>
    <row r="7" spans="2:8" x14ac:dyDescent="0.25">
      <c r="B7" s="1" t="s">
        <v>6</v>
      </c>
      <c r="C7" s="6">
        <v>10187</v>
      </c>
      <c r="D7" s="25">
        <v>219302.51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29545</v>
      </c>
      <c r="D9" s="25">
        <v>807491.32000000007</v>
      </c>
      <c r="F9" s="7"/>
    </row>
    <row r="10" spans="2:8" x14ac:dyDescent="0.25">
      <c r="B10" s="3" t="s">
        <v>8</v>
      </c>
      <c r="C10" s="8">
        <f>SUM(C5:C9)</f>
        <v>55172</v>
      </c>
      <c r="D10" s="4">
        <f>SUM(D5:D9)</f>
        <v>2181415.21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3315</v>
      </c>
      <c r="D14" s="25">
        <v>338423.85</v>
      </c>
    </row>
    <row r="15" spans="2:8" x14ac:dyDescent="0.25">
      <c r="B15" s="1" t="s">
        <v>5</v>
      </c>
      <c r="C15" s="6">
        <v>1806</v>
      </c>
      <c r="D15" s="25">
        <v>39431.800000000003</v>
      </c>
    </row>
    <row r="16" spans="2:8" x14ac:dyDescent="0.25">
      <c r="B16" s="1" t="s">
        <v>6</v>
      </c>
      <c r="C16" s="6">
        <v>3436</v>
      </c>
      <c r="D16" s="25">
        <v>25702.86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21213</v>
      </c>
      <c r="D18" s="25">
        <v>174844.41999999998</v>
      </c>
    </row>
    <row r="19" spans="2:11" x14ac:dyDescent="0.25">
      <c r="B19" s="3" t="s">
        <v>8</v>
      </c>
      <c r="C19" s="8">
        <f>SUM(C14:C18)</f>
        <v>29772</v>
      </c>
      <c r="D19" s="4">
        <f>SUM(D14:D18)</f>
        <v>578402.92999999993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1484</v>
      </c>
      <c r="D23" s="25">
        <v>215329.26000000004</v>
      </c>
    </row>
    <row r="24" spans="2:11" x14ac:dyDescent="0.25">
      <c r="B24" s="9" t="s">
        <v>5</v>
      </c>
      <c r="C24" s="6">
        <v>1398</v>
      </c>
      <c r="D24" s="25">
        <v>119938.33</v>
      </c>
    </row>
    <row r="25" spans="2:11" x14ac:dyDescent="0.25">
      <c r="B25" s="9" t="s">
        <v>6</v>
      </c>
      <c r="C25" s="6">
        <v>724</v>
      </c>
      <c r="D25" s="25">
        <v>78307.989999999991</v>
      </c>
    </row>
    <row r="26" spans="2:11" x14ac:dyDescent="0.25">
      <c r="B26" s="9" t="s">
        <v>7</v>
      </c>
      <c r="C26" s="6">
        <v>8414</v>
      </c>
      <c r="D26" s="25">
        <v>85528.079999999987</v>
      </c>
    </row>
    <row r="27" spans="2:11" x14ac:dyDescent="0.25">
      <c r="B27" s="10" t="s">
        <v>8</v>
      </c>
      <c r="C27" s="8">
        <f>SUM(C23:C26)</f>
        <v>12020</v>
      </c>
      <c r="D27" s="4">
        <f>SUM(D23:D26)</f>
        <v>499103.66000000003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1237</v>
      </c>
      <c r="D31" s="25">
        <v>307897.99999999994</v>
      </c>
    </row>
    <row r="32" spans="2:11" x14ac:dyDescent="0.25">
      <c r="B32" s="9" t="s">
        <v>5</v>
      </c>
      <c r="C32" s="6">
        <v>1161</v>
      </c>
      <c r="D32" s="25">
        <v>105138.64</v>
      </c>
    </row>
    <row r="33" spans="2:4" x14ac:dyDescent="0.25">
      <c r="B33" s="9" t="s">
        <v>6</v>
      </c>
      <c r="C33" s="6">
        <v>3045</v>
      </c>
      <c r="D33" s="25">
        <v>111542.44</v>
      </c>
    </row>
    <row r="34" spans="2:4" x14ac:dyDescent="0.25">
      <c r="B34" s="9" t="s">
        <v>7</v>
      </c>
      <c r="C34" s="6">
        <v>1901</v>
      </c>
      <c r="D34" s="25">
        <v>72766.39</v>
      </c>
    </row>
    <row r="35" spans="2:4" x14ac:dyDescent="0.25">
      <c r="B35" s="10" t="s">
        <v>8</v>
      </c>
      <c r="C35" s="8">
        <f>SUM(C31:C34)</f>
        <v>7344</v>
      </c>
      <c r="D35" s="4">
        <f>SUM(D31:D34)</f>
        <v>597345.47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3088</v>
      </c>
      <c r="D39" s="25">
        <v>54773</v>
      </c>
    </row>
    <row r="40" spans="2:4" x14ac:dyDescent="0.25">
      <c r="B40" s="10" t="s">
        <v>8</v>
      </c>
      <c r="C40" s="8">
        <f>SUM(C39:C39)</f>
        <v>3088</v>
      </c>
      <c r="D40" s="4">
        <f>SUM(D39:D39)</f>
        <v>54773</v>
      </c>
    </row>
    <row r="42" spans="2:4" x14ac:dyDescent="0.25">
      <c r="B42" s="30" t="s">
        <v>32</v>
      </c>
      <c r="C42" s="30"/>
      <c r="D42" s="30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14043.16</v>
      </c>
    </row>
    <row r="45" spans="2:4" x14ac:dyDescent="0.25">
      <c r="B45" s="9" t="s">
        <v>5</v>
      </c>
      <c r="C45" s="6">
        <v>131</v>
      </c>
      <c r="D45" s="28">
        <v>0</v>
      </c>
    </row>
    <row r="46" spans="2:4" x14ac:dyDescent="0.25">
      <c r="B46" s="9" t="s">
        <v>6</v>
      </c>
      <c r="C46" s="6">
        <v>15</v>
      </c>
      <c r="D46" s="28">
        <v>0</v>
      </c>
    </row>
    <row r="47" spans="2:4" x14ac:dyDescent="0.25">
      <c r="B47" s="9" t="s">
        <v>7</v>
      </c>
      <c r="C47" s="6">
        <v>10</v>
      </c>
      <c r="D47" s="28">
        <v>0</v>
      </c>
    </row>
    <row r="48" spans="2:4" x14ac:dyDescent="0.25">
      <c r="B48" s="10" t="s">
        <v>8</v>
      </c>
      <c r="C48" s="8">
        <f>SUM(C44:C47)</f>
        <v>224</v>
      </c>
      <c r="D48" s="4">
        <f>SUM(D44:D47)</f>
        <v>14043.16</v>
      </c>
    </row>
    <row r="50" spans="2:4" x14ac:dyDescent="0.25">
      <c r="B50" s="29" t="s">
        <v>35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0</v>
      </c>
      <c r="D52" s="25">
        <v>250.86</v>
      </c>
    </row>
    <row r="53" spans="2:4" x14ac:dyDescent="0.25">
      <c r="B53" s="1" t="s">
        <v>5</v>
      </c>
      <c r="C53" s="6">
        <v>123</v>
      </c>
      <c r="D53" s="25">
        <v>1400</v>
      </c>
    </row>
    <row r="54" spans="2:4" x14ac:dyDescent="0.25">
      <c r="B54" s="1" t="s">
        <v>6</v>
      </c>
      <c r="C54" s="6">
        <v>164</v>
      </c>
      <c r="D54" s="27">
        <v>0</v>
      </c>
    </row>
    <row r="55" spans="2:4" x14ac:dyDescent="0.25">
      <c r="B55" s="1" t="s">
        <v>7</v>
      </c>
      <c r="C55" s="6">
        <v>688</v>
      </c>
      <c r="D55" s="25">
        <v>2270</v>
      </c>
    </row>
    <row r="56" spans="2:4" x14ac:dyDescent="0.25">
      <c r="B56" s="3" t="s">
        <v>8</v>
      </c>
      <c r="C56" s="8">
        <f>SUM(C52:C55)</f>
        <v>975</v>
      </c>
      <c r="D56" s="8">
        <f>SUM(D52:D55)</f>
        <v>3920.86</v>
      </c>
    </row>
    <row r="58" spans="2:4" x14ac:dyDescent="0.25">
      <c r="B58" s="12" t="s">
        <v>13</v>
      </c>
      <c r="C58" s="13">
        <f>SUM(C10+C27+C48+C35+C40+C19+C56)</f>
        <v>108595</v>
      </c>
      <c r="D58" s="13">
        <f>SUM(D10+D27+D48+D35+D40+D19+D56)</f>
        <v>3929004.2899999996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28 MAR'!C6, 'REPORTE DIARIO'!C:C)</f>
        <v>16608</v>
      </c>
      <c r="E6" s="16">
        <f>SUMIF('REPORTE DIARIO'!B:B,'EPR 28 MAR'!C6, 'REPORTE DIARIO'!D:D)</f>
        <v>1662545.3199999998</v>
      </c>
      <c r="F6" s="16">
        <f>J6*D6</f>
        <v>2372571.4285714286</v>
      </c>
      <c r="G6" s="16">
        <f>+E6-F6</f>
        <v>-710026.10857142881</v>
      </c>
      <c r="H6" s="15">
        <f>ABS(G6/F6)</f>
        <v>0.29926437620423901</v>
      </c>
      <c r="I6" s="16">
        <f>E6/D6</f>
        <v>100.10508911368015</v>
      </c>
      <c r="J6" s="16">
        <f>(200/7)*5</f>
        <v>142.85714285714286</v>
      </c>
      <c r="K6" s="16">
        <f>+I6-J6</f>
        <v>-42.75205374346271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28 MAR'!C7, 'REPORTE DIARIO'!C:C)</f>
        <v>12622</v>
      </c>
      <c r="E7" s="16">
        <f>SUMIF('REPORTE DIARIO'!B:B,'EPR 28 MAR'!C7, 'REPORTE DIARIO'!D:D)</f>
        <v>688702.96</v>
      </c>
      <c r="F7" s="16">
        <f>J7*D7</f>
        <v>991728.57142857136</v>
      </c>
      <c r="G7" s="16">
        <f>+E7-F7</f>
        <v>-303025.6114285714</v>
      </c>
      <c r="H7" s="15">
        <f>ABS(G7/F7)</f>
        <v>0.3055529710030106</v>
      </c>
      <c r="I7" s="16">
        <f>E7/D7</f>
        <v>54.563695135477737</v>
      </c>
      <c r="J7" s="16">
        <f>(110/7)*5</f>
        <v>78.571428571428569</v>
      </c>
      <c r="K7" s="16">
        <f t="shared" ref="K7:K9" si="0">+I7-J7</f>
        <v>-24.007733435950833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28 MAR'!C8, 'REPORTE DIARIO'!C:C)</f>
        <v>17571</v>
      </c>
      <c r="E8" s="16">
        <f>SUMIF('REPORTE DIARIO'!B:B,'EPR 28 MAR'!C8, 'REPORTE DIARIO'!D:D)</f>
        <v>434855.8</v>
      </c>
      <c r="F8" s="16">
        <f>J8*D8</f>
        <v>564782.14285714296</v>
      </c>
      <c r="G8" s="16">
        <f>+E8-F8</f>
        <v>-129926.34285714297</v>
      </c>
      <c r="H8" s="15">
        <f>ABS(G8/F8)</f>
        <v>0.23004683221722677</v>
      </c>
      <c r="I8" s="16">
        <f>E8/D8</f>
        <v>24.748494678732001</v>
      </c>
      <c r="J8" s="16">
        <f>(45/7)*5</f>
        <v>32.142857142857146</v>
      </c>
      <c r="K8" s="16">
        <f t="shared" si="0"/>
        <v>-7.3943624641251446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28 MAR'!C9, 'REPORTE DIARIO'!C:C)</f>
        <v>61771</v>
      </c>
      <c r="E9" s="16">
        <f>SUMIF('REPORTE DIARIO'!B:B,'EPR 28 MAR'!C9, 'REPORTE DIARIO'!D:D)</f>
        <v>1142900.21</v>
      </c>
      <c r="F9" s="16">
        <f>J9*D9</f>
        <v>661832.14285714284</v>
      </c>
      <c r="G9" s="16">
        <f>+E9-F9</f>
        <v>481068.06714285712</v>
      </c>
      <c r="H9" s="15">
        <f>ABS(G9/F9)</f>
        <v>0.72687322961691836</v>
      </c>
      <c r="I9" s="16">
        <f>E9/D9</f>
        <v>18.502213174466981</v>
      </c>
      <c r="J9" s="16">
        <f>(15/7)*5</f>
        <v>10.714285714285714</v>
      </c>
      <c r="K9" s="16">
        <f t="shared" si="0"/>
        <v>7.7879274601812671</v>
      </c>
    </row>
    <row r="10" spans="2:12" x14ac:dyDescent="0.25">
      <c r="B10" s="16"/>
      <c r="C10" s="19" t="s">
        <v>17</v>
      </c>
      <c r="D10" s="24">
        <f>SUM(D6:D9)</f>
        <v>108572</v>
      </c>
      <c r="E10" s="20">
        <f>SUM(E6:E9)</f>
        <v>3929004.2899999996</v>
      </c>
      <c r="F10" s="20">
        <f>SUM(F6:F9)</f>
        <v>4590914.2857142854</v>
      </c>
      <c r="G10" s="20">
        <f>+E10-F10</f>
        <v>-661909.99571428588</v>
      </c>
      <c r="H10" s="21">
        <f>ABS(G10/F10)</f>
        <v>0.14417825176435448</v>
      </c>
      <c r="I10" s="20">
        <f>E10/D10</f>
        <v>36.188006944700284</v>
      </c>
      <c r="J10" s="20">
        <f>F10/D10</f>
        <v>42.284514292030039</v>
      </c>
      <c r="K10" s="20">
        <f>I10-J10</f>
        <v>-6.0965073473297551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2025-03-29T02:41:00Z</dcterms:modified>
</cp:coreProperties>
</file>