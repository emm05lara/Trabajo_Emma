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6 MARZO\NOCHE\"/>
    </mc:Choice>
  </mc:AlternateContent>
  <xr:revisionPtr revIDLastSave="0" documentId="13_ncr:1_{401592BB-953B-4F04-93C3-D9EEF0A00D45}" xr6:coauthVersionLast="47" xr6:coauthVersionMax="47" xr10:uidLastSave="{00000000-0000-0000-0000-000000000000}"/>
  <bookViews>
    <workbookView xWindow="9660" yWindow="8400" windowWidth="10875" windowHeight="7575" xr2:uid="{4DC6C92A-CD8A-4966-829B-0B6A986E825B}"/>
  </bookViews>
  <sheets>
    <sheet name="REPORTE DIARIO" sheetId="1" r:id="rId1"/>
    <sheet name="DATA" sheetId="4" r:id="rId2"/>
    <sheet name="EPR 2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5" i="1"/>
  <c r="C55" i="1"/>
  <c r="D19" i="1"/>
  <c r="C19" i="1"/>
  <c r="D40" i="1" l="1"/>
  <c r="C40" i="1"/>
  <c r="D35" i="1"/>
  <c r="C35" i="1"/>
  <c r="D27" i="1"/>
  <c r="C27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<sst xmlns="http://schemas.openxmlformats.org/spreadsheetml/2006/main" count="87" uniqueCount="37">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</sst>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abSelected="1" topLeftCell="A10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7441</v>
      </c>
      <c r="D5" s="25">
        <v>257038.99000000002</v>
      </c>
    </row>
    <row r="6" spans="2:8" x14ac:dyDescent="0.25">
      <c r="B6" s="1" t="s">
        <v>5</v>
      </c>
      <c r="C6" s="6">
        <v>8213</v>
      </c>
      <c r="D6" s="25">
        <v>113016.44</v>
      </c>
    </row>
    <row r="7" spans="2:8" x14ac:dyDescent="0.25">
      <c r="B7" s="1" t="s">
        <v>6</v>
      </c>
      <c r="C7" s="6">
        <v>10068</v>
      </c>
      <c r="D7" s="25">
        <v>118910.51000000001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29554</v>
      </c>
      <c r="D9" s="25">
        <v>62319.250000000007</v>
      </c>
      <c r="F9" s="7"/>
    </row>
    <row r="10" spans="2:8" x14ac:dyDescent="0.25">
      <c r="B10" s="3" t="s">
        <v>8</v>
      </c>
      <c r="C10" s="8">
        <f>SUM(C5:C9)</f>
        <v>55297</v>
      </c>
      <c r="D10" s="4">
        <f>SUM(D5:D9)</f>
        <v>551285.19000000006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3353</v>
      </c>
      <c r="D14" s="25">
        <v>110231.34</v>
      </c>
    </row>
    <row r="15" spans="2:8" x14ac:dyDescent="0.25">
      <c r="B15" s="1" t="s">
        <v>5</v>
      </c>
      <c r="C15" s="6">
        <v>1816</v>
      </c>
      <c r="D15" s="25">
        <v>18284</v>
      </c>
    </row>
    <row r="16" spans="2:8" x14ac:dyDescent="0.25">
      <c r="B16" s="1" t="s">
        <v>6</v>
      </c>
      <c r="C16" s="6">
        <v>3338</v>
      </c>
      <c r="D16" s="25">
        <v>9044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21216</v>
      </c>
      <c r="D18" s="25">
        <v>99055.38</v>
      </c>
    </row>
    <row r="19" spans="2:11" x14ac:dyDescent="0.25">
      <c r="B19" s="3" t="s">
        <v>8</v>
      </c>
      <c r="C19" s="8">
        <f>SUM(C14:C18)</f>
        <v>29725</v>
      </c>
      <c r="D19" s="4">
        <f>SUM(D14:D18)</f>
        <v>236614.72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1459</v>
      </c>
      <c r="D23" s="25">
        <v>62534.310000000005</v>
      </c>
    </row>
    <row r="24" spans="2:11" x14ac:dyDescent="0.25">
      <c r="B24" s="9" t="s">
        <v>5</v>
      </c>
      <c r="C24" s="6">
        <v>1427</v>
      </c>
      <c r="D24" s="25">
        <v>83407.510000000009</v>
      </c>
    </row>
    <row r="25" spans="2:11" x14ac:dyDescent="0.25">
      <c r="B25" s="9" t="s">
        <v>6</v>
      </c>
      <c r="C25" s="6">
        <v>293</v>
      </c>
      <c r="D25" s="25">
        <v>4994</v>
      </c>
    </row>
    <row r="26" spans="2:11" x14ac:dyDescent="0.25">
      <c r="B26" s="9" t="s">
        <v>7</v>
      </c>
      <c r="C26" s="6">
        <v>8411</v>
      </c>
      <c r="D26" s="25">
        <v>-9401.49</v>
      </c>
    </row>
    <row r="27" spans="2:11" x14ac:dyDescent="0.25">
      <c r="B27" s="10" t="s">
        <v>8</v>
      </c>
      <c r="C27" s="8">
        <f>SUM(C23:C26)</f>
        <v>11590</v>
      </c>
      <c r="D27" s="4">
        <f>SUM(D23:D26)</f>
        <v>141534.33000000002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1205</v>
      </c>
      <c r="D31" s="25">
        <v>63932.37</v>
      </c>
    </row>
    <row r="32" spans="2:11" x14ac:dyDescent="0.25">
      <c r="B32" s="9" t="s">
        <v>5</v>
      </c>
      <c r="C32" s="6">
        <v>1167</v>
      </c>
      <c r="D32" s="25">
        <v>2798</v>
      </c>
    </row>
    <row r="33" spans="2:4" x14ac:dyDescent="0.25">
      <c r="B33" s="9" t="s">
        <v>6</v>
      </c>
      <c r="C33" s="6">
        <v>3061</v>
      </c>
      <c r="D33" s="25">
        <v>-6087</v>
      </c>
    </row>
    <row r="34" spans="2:4" x14ac:dyDescent="0.25">
      <c r="B34" s="9" t="s">
        <v>7</v>
      </c>
      <c r="C34" s="6">
        <v>1901</v>
      </c>
      <c r="D34" s="25">
        <v>5823</v>
      </c>
    </row>
    <row r="35" spans="2:4" x14ac:dyDescent="0.25">
      <c r="B35" s="10" t="s">
        <v>8</v>
      </c>
      <c r="C35" s="8">
        <f>SUM(C31:C34)</f>
        <v>7334</v>
      </c>
      <c r="D35" s="4">
        <f>SUM(D31:D34)</f>
        <v>66466.37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3067</v>
      </c>
      <c r="D39" s="25">
        <v>48322</v>
      </c>
    </row>
    <row r="40" spans="2:4" x14ac:dyDescent="0.25">
      <c r="B40" s="10" t="s">
        <v>8</v>
      </c>
      <c r="C40" s="8">
        <f>SUM(C39:C39)</f>
        <v>3067</v>
      </c>
      <c r="D40" s="4">
        <f>SUM(D39:D39)</f>
        <v>48322</v>
      </c>
    </row>
    <row r="42" spans="2:4" x14ac:dyDescent="0.25">
      <c r="B42" s="30" t="s">
        <v>32</v>
      </c>
      <c r="C42" s="30"/>
      <c r="D42" s="30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5605.16</v>
      </c>
    </row>
    <row r="45" spans="2:4" x14ac:dyDescent="0.25">
      <c r="B45" s="9" t="s">
        <v>5</v>
      </c>
      <c r="C45" s="6">
        <v>122</v>
      </c>
      <c r="D45" s="28">
        <v>0</v>
      </c>
    </row>
    <row r="46" spans="2:4" x14ac:dyDescent="0.25">
      <c r="B46" s="9" t="s">
        <v>6</v>
      </c>
      <c r="C46" s="6">
        <v>14</v>
      </c>
      <c r="D46" s="28">
        <v>0</v>
      </c>
    </row>
    <row r="47" spans="2:4" x14ac:dyDescent="0.25">
      <c r="B47" s="9" t="s">
        <v>7</v>
      </c>
      <c r="C47" s="6">
        <v>10</v>
      </c>
      <c r="D47" s="28">
        <v>0</v>
      </c>
    </row>
    <row r="48" spans="2:4" x14ac:dyDescent="0.25">
      <c r="B48" s="10" t="s">
        <v>8</v>
      </c>
      <c r="C48" s="8">
        <f>SUM(C44:C47)</f>
        <v>214</v>
      </c>
      <c r="D48" s="4">
        <f>SUM(D44:D47)</f>
        <v>5605.16</v>
      </c>
    </row>
    <row r="50" spans="2:4" x14ac:dyDescent="0.25">
      <c r="B50" s="29" t="s">
        <v>35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123</v>
      </c>
      <c r="D52" s="25">
        <v>600</v>
      </c>
    </row>
    <row r="53" spans="2:4" x14ac:dyDescent="0.25">
      <c r="B53" s="1" t="s">
        <v>6</v>
      </c>
      <c r="C53" s="6">
        <v>164</v>
      </c>
      <c r="D53" s="27">
        <v>0</v>
      </c>
    </row>
    <row r="54" spans="2:4" x14ac:dyDescent="0.25">
      <c r="B54" s="1" t="s">
        <v>7</v>
      </c>
      <c r="C54" s="6">
        <v>586</v>
      </c>
      <c r="D54" s="27">
        <v>0</v>
      </c>
    </row>
    <row r="55" spans="2:4" x14ac:dyDescent="0.25">
      <c r="B55" s="3" t="s">
        <v>8</v>
      </c>
      <c r="C55" s="8">
        <f>SUM(C52:C54)</f>
        <v>873</v>
      </c>
      <c r="D55" s="4">
        <f>SUM(D52:D54)</f>
        <v>600</v>
      </c>
    </row>
    <row r="57" spans="2:4" x14ac:dyDescent="0.25">
      <c r="B57" s="12" t="s">
        <v>13</v>
      </c>
      <c r="C57" s="13">
        <f>SUM(C10+C27+C48+C35+C40+C19+C55)</f>
        <v>108100</v>
      </c>
      <c r="D57" s="13">
        <f>SUM(D10+D27+D48+D35+D40+D19+D55)</f>
        <v>1050427.77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26 MAR'!C6, 'REPORTE DIARIO'!C:C)</f>
        <v>16593</v>
      </c>
      <c r="E6" s="16">
        <f>SUMIF('REPORTE DIARIO'!B:B,'EPR 26 MAR'!C6, 'REPORTE DIARIO'!D:D)</f>
        <v>547664.17000000004</v>
      </c>
      <c r="F6" s="16">
        <f>J6*D6</f>
        <v>1422257.142857143</v>
      </c>
      <c r="G6" s="16">
        <f>+E6-F6</f>
        <v>-874592.97285714292</v>
      </c>
      <c r="H6" s="15">
        <f>ABS(G6/F6)</f>
        <v>0.61493308523674639</v>
      </c>
      <c r="I6" s="16">
        <f>E6/D6</f>
        <v>33.005735551136027</v>
      </c>
      <c r="J6" s="16">
        <f>(200/7)*3</f>
        <v>85.714285714285722</v>
      </c>
      <c r="K6" s="16">
        <f>+I6-J6</f>
        <v>-52.708550163149695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26 MAR'!C7, 'REPORTE DIARIO'!C:C)</f>
        <v>12868</v>
      </c>
      <c r="E7" s="16">
        <f>SUMIF('REPORTE DIARIO'!B:B,'EPR 26 MAR'!C7, 'REPORTE DIARIO'!D:D)</f>
        <v>218105.95</v>
      </c>
      <c r="F7" s="16">
        <f>J7*D7</f>
        <v>606634.28571428568</v>
      </c>
      <c r="G7" s="16">
        <f>+E7-F7</f>
        <v>-388528.33571428567</v>
      </c>
      <c r="H7" s="15">
        <f>ABS(G7/F7)</f>
        <v>0.64046550757811249</v>
      </c>
      <c r="I7" s="16">
        <f>E7/D7</f>
        <v>16.949483214174698</v>
      </c>
      <c r="J7" s="16">
        <f>(110/7)*3</f>
        <v>47.142857142857139</v>
      </c>
      <c r="K7" s="16">
        <f t="shared" ref="K7:K9" si="0">+I7-J7</f>
        <v>-30.193373928682441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26 MAR'!C8, 'REPORTE DIARIO'!C:C)</f>
        <v>16938</v>
      </c>
      <c r="E8" s="16">
        <f>SUMIF('REPORTE DIARIO'!B:B,'EPR 26 MAR'!C8, 'REPORTE DIARIO'!D:D)</f>
        <v>126861.51000000001</v>
      </c>
      <c r="F8" s="16">
        <f>J8*D8</f>
        <v>326661.42857142858</v>
      </c>
      <c r="G8" s="16">
        <f>+E8-F8</f>
        <v>-199799.91857142857</v>
      </c>
      <c r="H8" s="15">
        <f>ABS(G8/F8)</f>
        <v>0.61164221146403219</v>
      </c>
      <c r="I8" s="16">
        <f>E8/D8</f>
        <v>7.4897573503365216</v>
      </c>
      <c r="J8" s="16">
        <f>(45/7)*3</f>
        <v>19.285714285714285</v>
      </c>
      <c r="K8" s="16">
        <f t="shared" si="0"/>
        <v>-11.795956935377763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26 MAR'!C9, 'REPORTE DIARIO'!C:C)</f>
        <v>61678</v>
      </c>
      <c r="E9" s="16">
        <f>SUMIF('REPORTE DIARIO'!B:B,'EPR 26 MAR'!C9, 'REPORTE DIARIO'!D:D)</f>
        <v>157796.14000000001</v>
      </c>
      <c r="F9" s="16">
        <f>J9*D9</f>
        <v>396501.42857142858</v>
      </c>
      <c r="G9" s="16">
        <f>+E9-F9</f>
        <v>-238705.28857142857</v>
      </c>
      <c r="H9" s="15">
        <f>ABS(G9/F9)</f>
        <v>0.60202882353153109</v>
      </c>
      <c r="I9" s="16">
        <f>E9/D9</f>
        <v>2.5583861344401573</v>
      </c>
      <c r="J9" s="16">
        <f>(15/7)*3</f>
        <v>6.4285714285714288</v>
      </c>
      <c r="K9" s="16">
        <f t="shared" si="0"/>
        <v>-3.8701852941312715</v>
      </c>
    </row>
    <row r="10" spans="2:12" x14ac:dyDescent="0.25">
      <c r="B10" s="16"/>
      <c r="C10" s="19" t="s">
        <v>17</v>
      </c>
      <c r="D10" s="24">
        <f>SUM(D6:D9)</f>
        <v>108077</v>
      </c>
      <c r="E10" s="20">
        <f>SUM(E6:E9)</f>
        <v>1050427.77</v>
      </c>
      <c r="F10" s="20">
        <f>SUM(F6:F9)</f>
        <v>2752054.2857142859</v>
      </c>
      <c r="G10" s="20">
        <f>+E10-F10</f>
        <v>-1701626.5157142859</v>
      </c>
      <c r="H10" s="21">
        <f>ABS(G10/F10)</f>
        <v>0.61831139180186434</v>
      </c>
      <c r="I10" s="20">
        <f>E10/D10</f>
        <v>9.7192535877198658</v>
      </c>
      <c r="J10" s="20">
        <f>F10/D10</f>
        <v>25.463829359755415</v>
      </c>
      <c r="K10" s="20">
        <f>I10-J10</f>
        <v>-15.744575772035549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2025-03-27T02:17:57Z</dcterms:modified>
</cp:coreProperties>
</file>