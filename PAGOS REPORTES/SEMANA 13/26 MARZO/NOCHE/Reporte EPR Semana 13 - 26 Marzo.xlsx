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6 MARZO\NOCHE\"/>
    </mc:Choice>
  </mc:AlternateContent>
  <xr:revisionPtr revIDLastSave="0" documentId="13_ncr:1_{A304ED75-99CE-4194-9993-F549B58C7B76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6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5" i="1" l="1"/>
  <c r="C55" i="1"/>
  <c r="D19" i="1" l="1"/>
  <c r="C19" i="1"/>
  <c r="J9" i="3"/>
  <c r="J8" i="3"/>
  <c r="J7" i="3"/>
  <c r="J6" i="3"/>
  <c r="D6" i="3"/>
  <c r="F6" i="3" s="1"/>
  <c r="D40" i="1"/>
  <c r="C40" i="1"/>
  <c r="D48" i="1"/>
  <c r="C48" i="1"/>
  <c r="D27" i="1"/>
  <c r="C27" i="1"/>
  <c r="D35" i="1"/>
  <c r="C35" i="1"/>
  <c r="D10" i="1"/>
  <c r="C10" i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<sst xmlns="http://schemas.openxmlformats.org/spreadsheetml/2006/main" count="86" uniqueCount="36">
  <si>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</si>
  <si>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</si>
  <si>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</si>
  <si>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</si>
  <si>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</si>
  <si>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</si>
  <si>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</si>
  <si>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</si>
  <si>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</si>
  <si>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</si>
  <si>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</si>
  <si>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</si>
  <si>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</si>
  <si>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</si>
  <si>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</si>
  <si>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</si>
  <si>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</si>
  <si>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</si>
  <si>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</si>
  <si>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</si>
  <si>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</si>
  <si>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</si>
  <si>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</si>
  <si>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</si>
  <si>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</si>
  <si>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</si>
  <si>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</si>
  <si>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</si>
  <si>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</si>
  <si>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</si>
  <si>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</si>
  <si>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</si>
  <si>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COBRANZA GENERAL  SAMANTHA 2</t>
  </si>
  <si>
    <t>COBRANZA GENERAL  FEDERICO</t>
  </si>
  <si>
    <t>Samantha, Samantha 2, Sofia, Edith, Olguin, Fernando y Federico</t>
  </si>
  <si>
    <t>COBRANZA 26 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</si>
</sst>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0" xfId="0" applyNumberFormat="1" applyFill="1" applyBorder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opLeftCell="A30" workbookViewId="0">
      <selection activeCell="C48" sqref="C4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7" t="s">
        <v>0</v>
      </c>
      <c r="C3" s="27"/>
      <c r="D3" s="27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7441</v>
      </c>
      <c r="D5" s="25">
        <v>92698.700000000012</v>
      </c>
    </row>
    <row r="6" spans="2:8" x14ac:dyDescent="0.25">
      <c r="B6" s="1" t="s">
        <v>5</v>
      </c>
      <c r="C6" s="6">
        <v>8213</v>
      </c>
      <c r="D6" s="25">
        <v>34330</v>
      </c>
    </row>
    <row r="7" spans="2:8" x14ac:dyDescent="0.25">
      <c r="B7" s="1" t="s">
        <v>6</v>
      </c>
      <c r="C7" s="6">
        <v>10068</v>
      </c>
      <c r="D7" s="25">
        <v>59470</v>
      </c>
    </row>
    <row r="8" spans="2:8" x14ac:dyDescent="0.25">
      <c r="B8" s="5" t="s">
        <v>12</v>
      </c>
      <c r="C8" s="7">
        <v>21</v>
      </c>
      <c r="D8" s="24">
        <v>0</v>
      </c>
    </row>
    <row r="9" spans="2:8" x14ac:dyDescent="0.25">
      <c r="B9" s="1" t="s">
        <v>7</v>
      </c>
      <c r="C9" s="6">
        <v>29554</v>
      </c>
      <c r="D9" s="25">
        <v>60128.54</v>
      </c>
    </row>
    <row r="10" spans="2:8" x14ac:dyDescent="0.25">
      <c r="B10" s="3" t="s">
        <v>8</v>
      </c>
      <c r="C10" s="8">
        <f>SUM(C5:C9)</f>
        <v>55297</v>
      </c>
      <c r="D10" s="4">
        <f>SUM(D5:D9)</f>
        <v>246627.24000000002</v>
      </c>
    </row>
    <row r="12" spans="2:8" x14ac:dyDescent="0.25">
      <c r="B12" s="27" t="s">
        <v>32</v>
      </c>
      <c r="C12" s="27"/>
      <c r="D12" s="27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3353</v>
      </c>
      <c r="D14" s="25">
        <v>42918.720000000001</v>
      </c>
    </row>
    <row r="15" spans="2:8" x14ac:dyDescent="0.25">
      <c r="B15" s="1" t="s">
        <v>5</v>
      </c>
      <c r="C15" s="6">
        <v>1816</v>
      </c>
      <c r="D15" s="25">
        <v>3722</v>
      </c>
    </row>
    <row r="16" spans="2:8" x14ac:dyDescent="0.25">
      <c r="B16" s="1" t="s">
        <v>6</v>
      </c>
      <c r="C16" s="6">
        <v>3338</v>
      </c>
      <c r="D16" s="25">
        <v>3592</v>
      </c>
    </row>
    <row r="17" spans="2:11" x14ac:dyDescent="0.25">
      <c r="B17" s="5" t="s">
        <v>12</v>
      </c>
      <c r="C17" s="7">
        <v>2</v>
      </c>
      <c r="D17" s="24">
        <v>0</v>
      </c>
    </row>
    <row r="18" spans="2:11" x14ac:dyDescent="0.25">
      <c r="B18" s="1" t="s">
        <v>7</v>
      </c>
      <c r="C18" s="6">
        <v>21216</v>
      </c>
      <c r="D18" s="25">
        <v>83381.38</v>
      </c>
    </row>
    <row r="19" spans="2:11" x14ac:dyDescent="0.25">
      <c r="B19" s="3" t="s">
        <v>8</v>
      </c>
      <c r="C19" s="8">
        <f>SUM(C14:C18)</f>
        <v>29725</v>
      </c>
      <c r="D19" s="4">
        <f>SUM(D14:D18)</f>
        <v>133614.1</v>
      </c>
    </row>
    <row r="21" spans="2:11" x14ac:dyDescent="0.25">
      <c r="B21" s="28" t="s">
        <v>10</v>
      </c>
      <c r="C21" s="28"/>
      <c r="D21" s="28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1459</v>
      </c>
      <c r="D23" s="25">
        <v>19373.16</v>
      </c>
    </row>
    <row r="24" spans="2:11" x14ac:dyDescent="0.25">
      <c r="B24" s="9" t="s">
        <v>5</v>
      </c>
      <c r="C24" s="6">
        <v>1427</v>
      </c>
      <c r="D24" s="25">
        <v>43018</v>
      </c>
    </row>
    <row r="25" spans="2:11" x14ac:dyDescent="0.25">
      <c r="B25" s="9" t="s">
        <v>6</v>
      </c>
      <c r="C25" s="6">
        <v>293</v>
      </c>
      <c r="D25" s="25">
        <v>5000</v>
      </c>
    </row>
    <row r="26" spans="2:11" x14ac:dyDescent="0.25">
      <c r="B26" s="9" t="s">
        <v>7</v>
      </c>
      <c r="C26" s="6">
        <v>8411</v>
      </c>
      <c r="D26" s="25">
        <v>2738</v>
      </c>
      <c r="K26" s="7"/>
    </row>
    <row r="27" spans="2:11" x14ac:dyDescent="0.25">
      <c r="B27" s="10" t="s">
        <v>8</v>
      </c>
      <c r="C27" s="8">
        <f>SUM(C23:C26)</f>
        <v>11590</v>
      </c>
      <c r="D27" s="4">
        <f>SUM(D23:D26)</f>
        <v>70129.16</v>
      </c>
    </row>
    <row r="29" spans="2:11" x14ac:dyDescent="0.25">
      <c r="B29" s="27" t="s">
        <v>9</v>
      </c>
      <c r="C29" s="27"/>
      <c r="D29" s="27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1205</v>
      </c>
      <c r="D31" s="25">
        <v>25385.620000000003</v>
      </c>
    </row>
    <row r="32" spans="2:11" x14ac:dyDescent="0.25">
      <c r="B32" s="9" t="s">
        <v>5</v>
      </c>
      <c r="C32" s="6">
        <v>1167</v>
      </c>
      <c r="D32" s="25">
        <v>2682</v>
      </c>
    </row>
    <row r="33" spans="2:4" x14ac:dyDescent="0.25">
      <c r="B33" s="9" t="s">
        <v>6</v>
      </c>
      <c r="C33" s="6">
        <v>3061</v>
      </c>
      <c r="D33" s="25">
        <v>1338</v>
      </c>
    </row>
    <row r="34" spans="2:4" x14ac:dyDescent="0.25">
      <c r="B34" s="9" t="s">
        <v>7</v>
      </c>
      <c r="C34" s="6">
        <v>1901</v>
      </c>
      <c r="D34" s="25">
        <v>5282</v>
      </c>
    </row>
    <row r="35" spans="2:4" x14ac:dyDescent="0.25">
      <c r="B35" s="10" t="s">
        <v>8</v>
      </c>
      <c r="C35" s="8">
        <f>SUM(C31:C34)</f>
        <v>7334</v>
      </c>
      <c r="D35" s="4">
        <f>SUM(D31:D34)</f>
        <v>34687.620000000003</v>
      </c>
    </row>
    <row r="37" spans="2:4" x14ac:dyDescent="0.25">
      <c r="B37" s="28" t="s">
        <v>11</v>
      </c>
      <c r="C37" s="28"/>
      <c r="D37" s="28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3067</v>
      </c>
      <c r="D39" s="25">
        <v>27676</v>
      </c>
    </row>
    <row r="40" spans="2:4" x14ac:dyDescent="0.25">
      <c r="B40" s="10" t="s">
        <v>8</v>
      </c>
      <c r="C40" s="8">
        <f>SUM(C39:C39)</f>
        <v>3067</v>
      </c>
      <c r="D40" s="4">
        <f>SUM(D39:D39)</f>
        <v>27676</v>
      </c>
    </row>
    <row r="42" spans="2:4" x14ac:dyDescent="0.25">
      <c r="B42" s="28" t="s">
        <v>31</v>
      </c>
      <c r="C42" s="28"/>
      <c r="D42" s="28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6">
        <v>0</v>
      </c>
    </row>
    <row r="45" spans="2:4" x14ac:dyDescent="0.25">
      <c r="B45" s="9" t="s">
        <v>5</v>
      </c>
      <c r="C45" s="6">
        <v>122</v>
      </c>
      <c r="D45" s="26">
        <v>0</v>
      </c>
    </row>
    <row r="46" spans="2:4" x14ac:dyDescent="0.25">
      <c r="B46" s="9" t="s">
        <v>6</v>
      </c>
      <c r="C46" s="6">
        <v>14</v>
      </c>
      <c r="D46" s="26">
        <v>0</v>
      </c>
    </row>
    <row r="47" spans="2:4" x14ac:dyDescent="0.25">
      <c r="B47" s="9" t="s">
        <v>7</v>
      </c>
      <c r="C47" s="6">
        <v>10</v>
      </c>
      <c r="D47" s="26">
        <v>0</v>
      </c>
    </row>
    <row r="48" spans="2:4" x14ac:dyDescent="0.25">
      <c r="B48" s="10" t="s">
        <v>8</v>
      </c>
      <c r="C48" s="8">
        <f>SUM(C44:C47)</f>
        <v>214</v>
      </c>
      <c r="D48" s="4">
        <f>SUM(D44:D47)</f>
        <v>0</v>
      </c>
    </row>
    <row r="50" spans="2:4" x14ac:dyDescent="0.25">
      <c r="B50" s="27" t="s">
        <v>33</v>
      </c>
      <c r="C50" s="27"/>
      <c r="D50" s="27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123</v>
      </c>
      <c r="D52" s="26">
        <v>0</v>
      </c>
    </row>
    <row r="53" spans="2:4" x14ac:dyDescent="0.25">
      <c r="B53" s="1" t="s">
        <v>6</v>
      </c>
      <c r="C53" s="6">
        <v>164</v>
      </c>
      <c r="D53" s="26">
        <v>0</v>
      </c>
    </row>
    <row r="54" spans="2:4" x14ac:dyDescent="0.25">
      <c r="B54" s="1" t="s">
        <v>7</v>
      </c>
      <c r="C54" s="6">
        <v>586</v>
      </c>
      <c r="D54" s="26">
        <v>0</v>
      </c>
    </row>
    <row r="55" spans="2:4" x14ac:dyDescent="0.25">
      <c r="B55" s="3" t="s">
        <v>8</v>
      </c>
      <c r="C55" s="8">
        <f>SUM(C52:C54)</f>
        <v>873</v>
      </c>
      <c r="D55" s="4">
        <f>SUM(D52:D54)</f>
        <v>0</v>
      </c>
    </row>
    <row r="57" spans="2:4" x14ac:dyDescent="0.25">
      <c r="B57" s="11" t="s">
        <v>13</v>
      </c>
      <c r="C57" s="12">
        <f>SUM(C10+C35+C27+C48+C40+C19+C55)</f>
        <v>108100</v>
      </c>
      <c r="D57" s="12">
        <f>SUM(D10+D35+D27+D48+D40+D19+D55)</f>
        <v>512734.12</v>
      </c>
    </row>
  </sheetData>
  <mergeCells count="7">
    <mergeCell ref="B50:D50"/>
    <mergeCell ref="B12:D12"/>
    <mergeCell ref="B21:D21"/>
    <mergeCell ref="B3:D3"/>
    <mergeCell ref="B29:D29"/>
    <mergeCell ref="B42:D42"/>
    <mergeCell ref="B37:D3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30" zoomScaleNormal="130" workbookViewId="0">
      <selection activeCell="B2" sqref="B2:K14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5703125" bestFit="1" customWidth="1"/>
    <col min="9" max="9" width="4.2851562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7" t="s">
        <v>20</v>
      </c>
    </row>
    <row r="3" spans="2:12" x14ac:dyDescent="0.25">
      <c r="B3" s="16" t="s">
        <v>35</v>
      </c>
    </row>
    <row r="5" spans="2:12" x14ac:dyDescent="0.25">
      <c r="B5" t="s">
        <v>26</v>
      </c>
      <c r="C5" t="s">
        <v>27</v>
      </c>
      <c r="D5" s="16" t="s">
        <v>14</v>
      </c>
      <c r="E5" s="16" t="s">
        <v>25</v>
      </c>
      <c r="F5" s="16" t="s">
        <v>18</v>
      </c>
      <c r="G5" s="16" t="s">
        <v>19</v>
      </c>
      <c r="H5" s="16" t="s">
        <v>21</v>
      </c>
      <c r="I5" s="16" t="s">
        <v>15</v>
      </c>
      <c r="J5" s="16" t="s">
        <v>17</v>
      </c>
      <c r="K5" s="16" t="s">
        <v>22</v>
      </c>
      <c r="L5" s="14"/>
    </row>
    <row r="6" spans="2:12" x14ac:dyDescent="0.25">
      <c r="B6" s="15" t="s">
        <v>28</v>
      </c>
      <c r="C6" s="1" t="s">
        <v>4</v>
      </c>
      <c r="D6" s="22">
        <f>SUMIF('REPORTE DIARIO'!B:B,'EPR 26 MAR'!C6, 'REPORTE DIARIO'!C:C)</f>
        <v>16593</v>
      </c>
      <c r="E6" s="15">
        <f>SUMIF('REPORTE DIARIO'!B:B,'EPR 26 MAR'!C6, 'REPORTE DIARIO'!D:D)</f>
        <v>208052.2</v>
      </c>
      <c r="F6" s="15">
        <f>J6*D6</f>
        <v>474085.71428571432</v>
      </c>
      <c r="G6" s="15">
        <f>+E6-F6</f>
        <v>-266033.51428571431</v>
      </c>
      <c r="H6" s="14">
        <f>ABS(G6/F6)</f>
        <v>0.56115066594347018</v>
      </c>
      <c r="I6" s="15">
        <f>E6/D6</f>
        <v>12.53855240161514</v>
      </c>
      <c r="J6" s="15">
        <f>200/7</f>
        <v>28.571428571428573</v>
      </c>
      <c r="K6" s="15">
        <f>+I6-J6</f>
        <v>-16.032876169813434</v>
      </c>
      <c r="L6" s="14"/>
    </row>
    <row r="7" spans="2:12" x14ac:dyDescent="0.25">
      <c r="B7" s="15" t="s">
        <v>29</v>
      </c>
      <c r="C7" s="1" t="s">
        <v>5</v>
      </c>
      <c r="D7" s="22">
        <f>SUMIF('REPORTE DIARIO'!B:B,'EPR 26 MAR'!C7, 'REPORTE DIARIO'!C:C)</f>
        <v>12868</v>
      </c>
      <c r="E7" s="15">
        <f>SUMIF('REPORTE DIARIO'!B:B,'EPR 26 MAR'!C7, 'REPORTE DIARIO'!D:D)</f>
        <v>83752</v>
      </c>
      <c r="F7" s="15">
        <f>J7*D7</f>
        <v>202211.42857142855</v>
      </c>
      <c r="G7" s="15">
        <f>+E7-F7</f>
        <v>-118459.42857142855</v>
      </c>
      <c r="H7" s="14">
        <f>ABS(G7/F7)</f>
        <v>0.58581965128436997</v>
      </c>
      <c r="I7" s="15">
        <f>E7/D7</f>
        <v>6.5085483369599002</v>
      </c>
      <c r="J7" s="15">
        <f>110/7</f>
        <v>15.714285714285714</v>
      </c>
      <c r="K7" s="15">
        <f t="shared" ref="K7:K9" si="0">+I7-J7</f>
        <v>-9.2057373773258142</v>
      </c>
      <c r="L7" s="14"/>
    </row>
    <row r="8" spans="2:12" x14ac:dyDescent="0.25">
      <c r="B8" s="15" t="s">
        <v>29</v>
      </c>
      <c r="C8" s="1" t="s">
        <v>6</v>
      </c>
      <c r="D8" s="22">
        <f>SUMIF('REPORTE DIARIO'!B:B,'EPR 26 MAR'!C8, 'REPORTE DIARIO'!C:C)</f>
        <v>16938</v>
      </c>
      <c r="E8" s="15">
        <f>SUMIF('REPORTE DIARIO'!B:B,'EPR 26 MAR'!C8, 'REPORTE DIARIO'!D:D)</f>
        <v>69400</v>
      </c>
      <c r="F8" s="15">
        <f>J8*D8</f>
        <v>108887.14285714286</v>
      </c>
      <c r="G8" s="15">
        <f>+E8-F8</f>
        <v>-39487.142857142855</v>
      </c>
      <c r="H8" s="14">
        <f>ABS(G8/F8)</f>
        <v>0.36264284121173951</v>
      </c>
      <c r="I8" s="15">
        <f>E8/D8</f>
        <v>4.0972960207816742</v>
      </c>
      <c r="J8" s="15">
        <f>45/7</f>
        <v>6.4285714285714288</v>
      </c>
      <c r="K8" s="15">
        <f t="shared" si="0"/>
        <v>-2.3312754077897546</v>
      </c>
      <c r="L8" s="14"/>
    </row>
    <row r="9" spans="2:12" x14ac:dyDescent="0.25">
      <c r="B9" s="15" t="s">
        <v>30</v>
      </c>
      <c r="C9" s="1" t="s">
        <v>7</v>
      </c>
      <c r="D9" s="22">
        <f>SUMIF('REPORTE DIARIO'!B:B,'EPR 26 MAR'!C9, 'REPORTE DIARIO'!C:C)</f>
        <v>61678</v>
      </c>
      <c r="E9" s="15">
        <f>SUMIF('REPORTE DIARIO'!B:B,'EPR 26 MAR'!C9, 'REPORTE DIARIO'!D:D)</f>
        <v>151529.92000000001</v>
      </c>
      <c r="F9" s="15">
        <f>J9*D9</f>
        <v>132167.14285714284</v>
      </c>
      <c r="G9" s="15">
        <f>+E9-F9</f>
        <v>19362.777142857172</v>
      </c>
      <c r="H9" s="14">
        <f>ABS(G9/F9)</f>
        <v>0.1465021995957502</v>
      </c>
      <c r="I9" s="15">
        <f>E9/D9</f>
        <v>2.4567904277051786</v>
      </c>
      <c r="J9" s="15">
        <f>15/7</f>
        <v>2.1428571428571428</v>
      </c>
      <c r="K9" s="15">
        <f t="shared" si="0"/>
        <v>0.31393328484803584</v>
      </c>
    </row>
    <row r="10" spans="2:12" x14ac:dyDescent="0.25">
      <c r="B10" s="15"/>
      <c r="C10" s="18" t="s">
        <v>16</v>
      </c>
      <c r="D10" s="23">
        <f>SUM(D6:D9)</f>
        <v>108077</v>
      </c>
      <c r="E10" s="19">
        <f>SUM(E6:E9)</f>
        <v>512734.12</v>
      </c>
      <c r="F10" s="19">
        <f>SUM(F6:F9)</f>
        <v>917351.42857142852</v>
      </c>
      <c r="G10" s="19">
        <f>+E10-F10</f>
        <v>-404617.30857142853</v>
      </c>
      <c r="H10" s="20">
        <f>ABS(G10/F10)</f>
        <v>0.4410712143344348</v>
      </c>
      <c r="I10" s="19">
        <f>E10/D10</f>
        <v>4.7441557408144197</v>
      </c>
      <c r="J10" s="19">
        <f>F10/D10</f>
        <v>8.4879431199184712</v>
      </c>
      <c r="K10" s="19">
        <f>I10-J10</f>
        <v>-3.7437873791040515</v>
      </c>
    </row>
    <row r="12" spans="2:12" x14ac:dyDescent="0.25">
      <c r="B12" s="21" t="s">
        <v>23</v>
      </c>
      <c r="I12" s="13"/>
    </row>
    <row r="13" spans="2:12" x14ac:dyDescent="0.25">
      <c r="B13" t="s">
        <v>24</v>
      </c>
    </row>
    <row r="14" spans="2:12" x14ac:dyDescent="0.25">
      <c r="B14" t="s">
        <v>34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26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2025-03-27T02:13:56Z</dcterms:modified>
</cp:coreProperties>
</file>