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7 MARZO\MAÑANA\"/>
    </mc:Choice>
  </mc:AlternateContent>
  <xr:revisionPtr revIDLastSave="0" documentId="13_ncr:1_{099DA87A-3F71-406E-BE65-6DF0070286E1}" xr6:coauthVersionLast="47" xr6:coauthVersionMax="47" xr10:uidLastSave="{00000000-0000-0000-0000-000000000000}"/>
  <bookViews>
    <workbookView xWindow="9660" yWindow="8400" windowWidth="10875" windowHeight="7575" xr2:uid="{4DC6C92A-CD8A-4966-829B-0B6A986E825B}"/>
  </bookViews>
  <sheets>
    <sheet name="REPORTE DIARIO" sheetId="1" r:id="rId1"/>
    <sheet name="DATA" sheetId="4" r:id="rId2"/>
    <sheet name="EPR 27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5" i="1"/>
  <c r="C55" i="1"/>
  <c r="D19" i="1"/>
  <c r="C19" i="1"/>
  <c r="D40" i="1" l="1"/>
  <c r="C40" i="1"/>
  <c r="D35" i="1"/>
  <c r="C35" i="1"/>
  <c r="D27" i="1"/>
  <c r="C27" i="1"/>
  <c r="D48" i="1"/>
  <c r="C4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<sst xmlns="http://schemas.openxmlformats.org/spreadsheetml/2006/main" count="87" uniqueCount="37">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</sst>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abSelected="1" topLeftCell="A13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7434</v>
      </c>
      <c r="D5" s="25">
        <v>221704.08000000002</v>
      </c>
    </row>
    <row r="6" spans="2:8" x14ac:dyDescent="0.25">
      <c r="B6" s="1" t="s">
        <v>5</v>
      </c>
      <c r="C6" s="6">
        <v>8029</v>
      </c>
      <c r="D6" s="25">
        <v>110678.46</v>
      </c>
    </row>
    <row r="7" spans="2:8" x14ac:dyDescent="0.25">
      <c r="B7" s="1" t="s">
        <v>6</v>
      </c>
      <c r="C7" s="6">
        <v>10048</v>
      </c>
      <c r="D7" s="25">
        <v>97918.510000000009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29554</v>
      </c>
      <c r="D9" s="25">
        <v>172421.48</v>
      </c>
      <c r="F9" s="7"/>
    </row>
    <row r="10" spans="2:8" x14ac:dyDescent="0.25">
      <c r="B10" s="3" t="s">
        <v>8</v>
      </c>
      <c r="C10" s="8">
        <f>SUM(C5:C9)</f>
        <v>55086</v>
      </c>
      <c r="D10" s="4">
        <f>SUM(D5:D9)</f>
        <v>602722.53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3337</v>
      </c>
      <c r="D14" s="25">
        <v>96952.01999999999</v>
      </c>
    </row>
    <row r="15" spans="2:8" x14ac:dyDescent="0.25">
      <c r="B15" s="1" t="s">
        <v>5</v>
      </c>
      <c r="C15" s="6">
        <v>1783</v>
      </c>
      <c r="D15" s="25">
        <v>17621</v>
      </c>
    </row>
    <row r="16" spans="2:8" x14ac:dyDescent="0.25">
      <c r="B16" s="1" t="s">
        <v>6</v>
      </c>
      <c r="C16" s="6">
        <v>3334</v>
      </c>
      <c r="D16" s="25">
        <v>7711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21215</v>
      </c>
      <c r="D18" s="25">
        <v>68744.19</v>
      </c>
    </row>
    <row r="19" spans="2:11" x14ac:dyDescent="0.25">
      <c r="B19" s="3" t="s">
        <v>8</v>
      </c>
      <c r="C19" s="8">
        <f>SUM(C14:C18)</f>
        <v>29671</v>
      </c>
      <c r="D19" s="4">
        <f>SUM(D14:D18)</f>
        <v>191028.21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1455</v>
      </c>
      <c r="D23" s="25">
        <v>71493.73</v>
      </c>
    </row>
    <row r="24" spans="2:11" x14ac:dyDescent="0.25">
      <c r="B24" s="9" t="s">
        <v>5</v>
      </c>
      <c r="C24" s="6">
        <v>1388</v>
      </c>
      <c r="D24" s="25">
        <v>64437.51</v>
      </c>
    </row>
    <row r="25" spans="2:11" x14ac:dyDescent="0.25">
      <c r="B25" s="9" t="s">
        <v>6</v>
      </c>
      <c r="C25" s="6">
        <v>292</v>
      </c>
      <c r="D25" s="25">
        <v>3571</v>
      </c>
    </row>
    <row r="26" spans="2:11" x14ac:dyDescent="0.25">
      <c r="B26" s="9" t="s">
        <v>7</v>
      </c>
      <c r="C26" s="6">
        <v>8408</v>
      </c>
      <c r="D26" s="25">
        <v>10187.51</v>
      </c>
    </row>
    <row r="27" spans="2:11" x14ac:dyDescent="0.25">
      <c r="B27" s="10" t="s">
        <v>8</v>
      </c>
      <c r="C27" s="8">
        <f>SUM(C23:C26)</f>
        <v>11543</v>
      </c>
      <c r="D27" s="4">
        <f>SUM(D23:D26)</f>
        <v>149689.75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1204</v>
      </c>
      <c r="D31" s="25">
        <v>58197.56</v>
      </c>
    </row>
    <row r="32" spans="2:11" x14ac:dyDescent="0.25">
      <c r="B32" s="9" t="s">
        <v>5</v>
      </c>
      <c r="C32" s="6">
        <v>1155</v>
      </c>
      <c r="D32" s="25">
        <v>8035</v>
      </c>
    </row>
    <row r="33" spans="2:4" x14ac:dyDescent="0.25">
      <c r="B33" s="9" t="s">
        <v>6</v>
      </c>
      <c r="C33" s="6">
        <v>3051</v>
      </c>
      <c r="D33" s="25">
        <v>1433</v>
      </c>
    </row>
    <row r="34" spans="2:4" x14ac:dyDescent="0.25">
      <c r="B34" s="9" t="s">
        <v>7</v>
      </c>
      <c r="C34" s="6">
        <v>1901</v>
      </c>
      <c r="D34" s="25">
        <v>3219</v>
      </c>
    </row>
    <row r="35" spans="2:4" x14ac:dyDescent="0.25">
      <c r="B35" s="10" t="s">
        <v>8</v>
      </c>
      <c r="C35" s="8">
        <f>SUM(C31:C34)</f>
        <v>7311</v>
      </c>
      <c r="D35" s="4">
        <f>SUM(D31:D34)</f>
        <v>70884.56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3066</v>
      </c>
      <c r="D39" s="25">
        <v>34484</v>
      </c>
    </row>
    <row r="40" spans="2:4" x14ac:dyDescent="0.25">
      <c r="B40" s="10" t="s">
        <v>8</v>
      </c>
      <c r="C40" s="8">
        <f>SUM(C39:C39)</f>
        <v>3066</v>
      </c>
      <c r="D40" s="4">
        <f>SUM(D39:D39)</f>
        <v>34484</v>
      </c>
    </row>
    <row r="42" spans="2:4" x14ac:dyDescent="0.25">
      <c r="B42" s="30" t="s">
        <v>32</v>
      </c>
      <c r="C42" s="30"/>
      <c r="D42" s="30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5605.16</v>
      </c>
    </row>
    <row r="45" spans="2:4" x14ac:dyDescent="0.25">
      <c r="B45" s="9" t="s">
        <v>5</v>
      </c>
      <c r="C45" s="6">
        <v>122</v>
      </c>
      <c r="D45" s="28">
        <v>0</v>
      </c>
    </row>
    <row r="46" spans="2:4" x14ac:dyDescent="0.25">
      <c r="B46" s="9" t="s">
        <v>6</v>
      </c>
      <c r="C46" s="6">
        <v>14</v>
      </c>
      <c r="D46" s="28">
        <v>0</v>
      </c>
    </row>
    <row r="47" spans="2:4" x14ac:dyDescent="0.25">
      <c r="B47" s="9" t="s">
        <v>7</v>
      </c>
      <c r="C47" s="6">
        <v>10</v>
      </c>
      <c r="D47" s="28">
        <v>0</v>
      </c>
    </row>
    <row r="48" spans="2:4" x14ac:dyDescent="0.25">
      <c r="B48" s="10" t="s">
        <v>8</v>
      </c>
      <c r="C48" s="8">
        <f>SUM(C44:C47)</f>
        <v>214</v>
      </c>
      <c r="D48" s="4">
        <f>SUM(D44:D47)</f>
        <v>5605.16</v>
      </c>
    </row>
    <row r="50" spans="2:4" x14ac:dyDescent="0.25">
      <c r="B50" s="29" t="s">
        <v>35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122</v>
      </c>
      <c r="D52" s="25">
        <v>600</v>
      </c>
    </row>
    <row r="53" spans="2:4" x14ac:dyDescent="0.25">
      <c r="B53" s="1" t="s">
        <v>6</v>
      </c>
      <c r="C53" s="6">
        <v>164</v>
      </c>
      <c r="D53" s="27">
        <v>0</v>
      </c>
    </row>
    <row r="54" spans="2:4" x14ac:dyDescent="0.25">
      <c r="B54" s="1" t="s">
        <v>7</v>
      </c>
      <c r="C54" s="6">
        <v>569</v>
      </c>
      <c r="D54" s="27">
        <v>0</v>
      </c>
    </row>
    <row r="55" spans="2:4" x14ac:dyDescent="0.25">
      <c r="B55" s="3" t="s">
        <v>8</v>
      </c>
      <c r="C55" s="8">
        <f>SUM(C52:C54)</f>
        <v>855</v>
      </c>
      <c r="D55" s="4">
        <f>SUM(D52:D54)</f>
        <v>600</v>
      </c>
    </row>
    <row r="57" spans="2:4" x14ac:dyDescent="0.25">
      <c r="B57" s="12" t="s">
        <v>13</v>
      </c>
      <c r="C57" s="13">
        <f>SUM(C10+C27+C48+C35+C40+C19+C55)</f>
        <v>107746</v>
      </c>
      <c r="D57" s="13">
        <f>SUM(D10+D27+D48+D35+D40+D19+D55)</f>
        <v>1055014.21</v>
      </c>
    </row>
  </sheetData>
  <mergeCells count="7">
    <mergeCell ref="B12:D12"/>
    <mergeCell ref="B50:D50"/>
    <mergeCell ref="B3:D3"/>
    <mergeCell ref="B42:D42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9" width="8.425781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27 MAR'!C6, 'REPORTE DIARIO'!C:C)</f>
        <v>16564</v>
      </c>
      <c r="E6" s="16">
        <f>SUMIF('REPORTE DIARIO'!B:B,'EPR 27 MAR'!C6, 'REPORTE DIARIO'!D:D)</f>
        <v>488436.54999999993</v>
      </c>
      <c r="F6" s="16">
        <f>J6*D6</f>
        <v>1893028.5714285716</v>
      </c>
      <c r="G6" s="16">
        <f>+E6-F6</f>
        <v>-1404592.0214285715</v>
      </c>
      <c r="H6" s="15">
        <f>ABS(G6/F6)</f>
        <v>0.74198141677734841</v>
      </c>
      <c r="I6" s="16">
        <f>E6/D6</f>
        <v>29.487838082588741</v>
      </c>
      <c r="J6" s="16">
        <f>(200/7)*4</f>
        <v>114.28571428571429</v>
      </c>
      <c r="K6" s="16">
        <f>+I6-J6</f>
        <v>-84.797876203125554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27 MAR'!C7, 'REPORTE DIARIO'!C:C)</f>
        <v>12599</v>
      </c>
      <c r="E7" s="16">
        <f>SUMIF('REPORTE DIARIO'!B:B,'EPR 27 MAR'!C7, 'REPORTE DIARIO'!D:D)</f>
        <v>201371.97</v>
      </c>
      <c r="F7" s="16">
        <f>J7*D7</f>
        <v>791937.14285714284</v>
      </c>
      <c r="G7" s="16">
        <f>+E7-F7</f>
        <v>-590565.17285714287</v>
      </c>
      <c r="H7" s="15">
        <f>ABS(G7/F7)</f>
        <v>0.74572228134989071</v>
      </c>
      <c r="I7" s="16">
        <f>E7/D7</f>
        <v>15.9831708865783</v>
      </c>
      <c r="J7" s="16">
        <f>(110/7)*4</f>
        <v>62.857142857142854</v>
      </c>
      <c r="K7" s="16">
        <f t="shared" ref="K7:K9" si="0">+I7-J7</f>
        <v>-46.873971970564554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27 MAR'!C8, 'REPORTE DIARIO'!C:C)</f>
        <v>16903</v>
      </c>
      <c r="E8" s="16">
        <f>SUMIF('REPORTE DIARIO'!B:B,'EPR 27 MAR'!C8, 'REPORTE DIARIO'!D:D)</f>
        <v>110633.51000000001</v>
      </c>
      <c r="F8" s="16">
        <f>J8*D8</f>
        <v>434648.57142857142</v>
      </c>
      <c r="G8" s="16">
        <f>+E8-F8</f>
        <v>-324015.06142857141</v>
      </c>
      <c r="H8" s="15">
        <f>ABS(G8/F8)</f>
        <v>0.74546445732841637</v>
      </c>
      <c r="I8" s="16">
        <f>E8/D8</f>
        <v>6.5451996686978644</v>
      </c>
      <c r="J8" s="16">
        <f>(45/7)*4</f>
        <v>25.714285714285715</v>
      </c>
      <c r="K8" s="16">
        <f t="shared" si="0"/>
        <v>-19.16908604558785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27 MAR'!C9, 'REPORTE DIARIO'!C:C)</f>
        <v>61657</v>
      </c>
      <c r="E9" s="16">
        <f>SUMIF('REPORTE DIARIO'!B:B,'EPR 27 MAR'!C9, 'REPORTE DIARIO'!D:D)</f>
        <v>254572.18000000002</v>
      </c>
      <c r="F9" s="16">
        <f>J9*D9</f>
        <v>528488.57142857136</v>
      </c>
      <c r="G9" s="16">
        <f>+E9-F9</f>
        <v>-273916.39142857131</v>
      </c>
      <c r="H9" s="15">
        <f>ABS(G9/F9)</f>
        <v>0.51830144725389371</v>
      </c>
      <c r="I9" s="16">
        <f>E9/D9</f>
        <v>4.1288447378237674</v>
      </c>
      <c r="J9" s="16">
        <f>(15/7)*4</f>
        <v>8.5714285714285712</v>
      </c>
      <c r="K9" s="16">
        <f t="shared" si="0"/>
        <v>-4.4425838336048038</v>
      </c>
    </row>
    <row r="10" spans="2:12" x14ac:dyDescent="0.25">
      <c r="B10" s="16"/>
      <c r="C10" s="19" t="s">
        <v>17</v>
      </c>
      <c r="D10" s="24">
        <f>SUM(D6:D9)</f>
        <v>107723</v>
      </c>
      <c r="E10" s="20">
        <f>SUM(E6:E9)</f>
        <v>1055014.21</v>
      </c>
      <c r="F10" s="20">
        <f>SUM(F6:F9)</f>
        <v>3648102.8571428573</v>
      </c>
      <c r="G10" s="20">
        <f>+E10-F10</f>
        <v>-2593088.6471428573</v>
      </c>
      <c r="H10" s="21">
        <f>ABS(G10/F10)</f>
        <v>0.71080469731429885</v>
      </c>
      <c r="I10" s="20">
        <f>E10/D10</f>
        <v>9.7937692971788746</v>
      </c>
      <c r="J10" s="20">
        <f>F10/D10</f>
        <v>33.865589123426354</v>
      </c>
      <c r="K10" s="20">
        <f>I10-J10</f>
        <v>-24.071819826247477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2025-03-27T14:25:23Z</dcterms:modified>
</cp:coreProperties>
</file>