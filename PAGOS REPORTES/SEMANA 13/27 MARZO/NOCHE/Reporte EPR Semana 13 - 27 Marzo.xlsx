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7 MARZO\NOCHE\"/>
    </mc:Choice>
  </mc:AlternateContent>
  <xr:revisionPtr revIDLastSave="0" documentId="13_ncr:1_{B18DA6FD-2110-4BF6-A38B-798329454ADB}" xr6:coauthVersionLast="47" xr6:coauthVersionMax="47" xr10:uidLastSave="{00000000-0000-0000-0000-000000000000}"/>
  <bookViews>
    <workbookView xWindow="12420" yWindow="11160" windowWidth="10875" windowHeight="7575" xr2:uid="{4DC6C92A-CD8A-4966-829B-0B6A986E825B}"/>
  </bookViews>
  <sheets>
    <sheet name="REPORTE DIARIO" sheetId="1" r:id="rId1"/>
    <sheet name="DATA" sheetId="4" r:id="rId2"/>
    <sheet name="EPR 27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35" i="1" l="1"/>
  <c r="C35" i="1"/>
  <c r="J9" i="3"/>
  <c r="J8" i="3"/>
  <c r="J7" i="3"/>
  <c r="J6" i="3"/>
  <c r="D6" i="3"/>
  <c r="F6" i="3" s="1"/>
  <c r="D40" i="1"/>
  <c r="C40" i="1"/>
  <c r="D56" i="1"/>
  <c r="C56" i="1"/>
  <c r="D18" i="1"/>
  <c r="C18" i="1"/>
  <c r="D26" i="1"/>
  <c r="C2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<sst xmlns="http://schemas.openxmlformats.org/spreadsheetml/2006/main" count="87" uniqueCount="36">
  <si>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</si>
  <si>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</si>
  <si>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</si>
  <si>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</si>
  <si>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</si>
  <si>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</si>
  <si>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</si>
  <si>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</si>
  <si>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</si>
  <si>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</si>
  <si>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</si>
  <si>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</si>
  <si>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</si>
  <si>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</si>
  <si>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</si>
  <si>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</si>
  <si>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</si>
  <si>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</si>
  <si>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</si>
  <si>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</si>
  <si>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</si>
  <si>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</si>
  <si>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</si>
  <si>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</si>
  <si>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</si>
  <si>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</si>
  <si>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</si>
  <si>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</si>
  <si>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</si>
  <si>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</si>
  <si>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</si>
  <si>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</si>
  <si>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</si>
  <si>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</si>
  <si>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</si>
  <si>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27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</si>
</sst>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" fontId="3" fillId="3" borderId="0" xfId="1" applyNumberFormat="1" applyFont="1" applyFill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7427</v>
      </c>
      <c r="D5" s="25">
        <v>116811.88</v>
      </c>
    </row>
    <row r="6" spans="2:8" x14ac:dyDescent="0.25">
      <c r="B6" s="1" t="s">
        <v>5</v>
      </c>
      <c r="C6" s="6">
        <v>8039</v>
      </c>
      <c r="D6" s="25">
        <v>118692.04</v>
      </c>
    </row>
    <row r="7" spans="2:8" x14ac:dyDescent="0.25">
      <c r="B7" s="1" t="s">
        <v>6</v>
      </c>
      <c r="C7" s="6">
        <v>10151</v>
      </c>
      <c r="D7" s="25">
        <v>29426</v>
      </c>
    </row>
    <row r="8" spans="2:8" x14ac:dyDescent="0.25">
      <c r="B8" s="5" t="s">
        <v>12</v>
      </c>
      <c r="C8" s="7">
        <v>21</v>
      </c>
      <c r="D8" s="24">
        <v>0</v>
      </c>
    </row>
    <row r="9" spans="2:8" x14ac:dyDescent="0.25">
      <c r="B9" s="1" t="s">
        <v>7</v>
      </c>
      <c r="C9" s="6">
        <v>29546</v>
      </c>
      <c r="D9" s="25">
        <v>35634</v>
      </c>
    </row>
    <row r="10" spans="2:8" x14ac:dyDescent="0.25">
      <c r="B10" s="3" t="s">
        <v>8</v>
      </c>
      <c r="C10" s="8">
        <f>SUM(C5:C9)</f>
        <v>55184</v>
      </c>
      <c r="D10" s="4">
        <f>SUM(D5:D9)</f>
        <v>300563.92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1487</v>
      </c>
      <c r="D14" s="25">
        <v>29289.690000000002</v>
      </c>
    </row>
    <row r="15" spans="2:8" x14ac:dyDescent="0.25">
      <c r="B15" s="9" t="s">
        <v>5</v>
      </c>
      <c r="C15" s="6">
        <v>1395</v>
      </c>
      <c r="D15" s="25">
        <v>3145</v>
      </c>
    </row>
    <row r="16" spans="2:8" x14ac:dyDescent="0.25">
      <c r="B16" s="9" t="s">
        <v>6</v>
      </c>
      <c r="C16" s="6">
        <v>722</v>
      </c>
      <c r="D16" s="25">
        <v>38839</v>
      </c>
    </row>
    <row r="17" spans="2:11" x14ac:dyDescent="0.25">
      <c r="B17" s="9" t="s">
        <v>7</v>
      </c>
      <c r="C17" s="6">
        <v>8420</v>
      </c>
      <c r="D17" s="25">
        <v>10778</v>
      </c>
    </row>
    <row r="18" spans="2:11" x14ac:dyDescent="0.25">
      <c r="B18" s="10" t="s">
        <v>8</v>
      </c>
      <c r="C18" s="8">
        <f>SUM(C14:C17)</f>
        <v>12024</v>
      </c>
      <c r="D18" s="4">
        <f>SUM(D14:D17)</f>
        <v>82051.69</v>
      </c>
    </row>
    <row r="20" spans="2:11" x14ac:dyDescent="0.25">
      <c r="B20" s="27" t="s">
        <v>9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1237</v>
      </c>
      <c r="D22" s="25">
        <v>11511.71</v>
      </c>
    </row>
    <row r="23" spans="2:11" x14ac:dyDescent="0.25">
      <c r="B23" s="9" t="s">
        <v>5</v>
      </c>
      <c r="C23" s="6">
        <v>1159</v>
      </c>
      <c r="D23" s="25">
        <v>1810</v>
      </c>
    </row>
    <row r="24" spans="2:11" x14ac:dyDescent="0.25">
      <c r="B24" s="9" t="s">
        <v>6</v>
      </c>
      <c r="C24" s="6">
        <v>3051</v>
      </c>
      <c r="D24" s="26">
        <v>0</v>
      </c>
    </row>
    <row r="25" spans="2:11" x14ac:dyDescent="0.25">
      <c r="B25" s="9" t="s">
        <v>7</v>
      </c>
      <c r="C25" s="6">
        <v>1901</v>
      </c>
      <c r="D25" s="25">
        <v>29928</v>
      </c>
    </row>
    <row r="26" spans="2:11" x14ac:dyDescent="0.25">
      <c r="B26" s="10" t="s">
        <v>8</v>
      </c>
      <c r="C26" s="8">
        <f>SUM(C22:C25)</f>
        <v>7348</v>
      </c>
      <c r="D26" s="4">
        <f>SUM(D22:D25)</f>
        <v>43249.71</v>
      </c>
      <c r="K26" s="7"/>
    </row>
    <row r="28" spans="2:11" x14ac:dyDescent="0.25">
      <c r="B28" s="27" t="s">
        <v>32</v>
      </c>
      <c r="C28" s="27"/>
      <c r="D28" s="27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1" t="s">
        <v>4</v>
      </c>
      <c r="C30" s="6">
        <v>3337</v>
      </c>
      <c r="D30" s="25">
        <v>10864.080000000002</v>
      </c>
    </row>
    <row r="31" spans="2:11" x14ac:dyDescent="0.25">
      <c r="B31" s="1" t="s">
        <v>5</v>
      </c>
      <c r="C31" s="6">
        <v>1799</v>
      </c>
      <c r="D31" s="25">
        <v>1017</v>
      </c>
    </row>
    <row r="32" spans="2:11" x14ac:dyDescent="0.25">
      <c r="B32" s="1" t="s">
        <v>6</v>
      </c>
      <c r="C32" s="6">
        <v>3419</v>
      </c>
      <c r="D32" s="25">
        <v>2234</v>
      </c>
    </row>
    <row r="33" spans="2:4" x14ac:dyDescent="0.25">
      <c r="B33" s="5" t="s">
        <v>12</v>
      </c>
      <c r="C33" s="7">
        <v>2</v>
      </c>
      <c r="D33" s="24">
        <v>0</v>
      </c>
    </row>
    <row r="34" spans="2:4" x14ac:dyDescent="0.25">
      <c r="B34" s="1" t="s">
        <v>7</v>
      </c>
      <c r="C34" s="6">
        <v>21215</v>
      </c>
      <c r="D34" s="25">
        <v>27531.02</v>
      </c>
    </row>
    <row r="35" spans="2:4" x14ac:dyDescent="0.25">
      <c r="B35" s="3" t="s">
        <v>8</v>
      </c>
      <c r="C35" s="8">
        <f>SUM(C30:C34)</f>
        <v>29772</v>
      </c>
      <c r="D35" s="4">
        <f>SUM(D30:D34)</f>
        <v>41646.100000000006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3080</v>
      </c>
      <c r="D39" s="25">
        <v>2306</v>
      </c>
    </row>
    <row r="40" spans="2:4" x14ac:dyDescent="0.25">
      <c r="B40" s="10" t="s">
        <v>8</v>
      </c>
      <c r="C40" s="8">
        <f>SUM(C39:C39)</f>
        <v>3080</v>
      </c>
      <c r="D40" s="4">
        <f>SUM(D39:D39)</f>
        <v>2306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0</v>
      </c>
      <c r="D44" s="25">
        <v>250.86</v>
      </c>
    </row>
    <row r="45" spans="2:4" x14ac:dyDescent="0.25">
      <c r="B45" s="1" t="s">
        <v>5</v>
      </c>
      <c r="C45" s="6">
        <v>123</v>
      </c>
      <c r="D45" s="26">
        <v>0</v>
      </c>
    </row>
    <row r="46" spans="2:4" x14ac:dyDescent="0.25">
      <c r="B46" s="1" t="s">
        <v>6</v>
      </c>
      <c r="C46" s="6">
        <v>164</v>
      </c>
      <c r="D46" s="26">
        <v>0</v>
      </c>
    </row>
    <row r="47" spans="2:4" x14ac:dyDescent="0.25">
      <c r="B47" s="1" t="s">
        <v>7</v>
      </c>
      <c r="C47" s="6">
        <v>563</v>
      </c>
      <c r="D47" s="25">
        <v>456</v>
      </c>
    </row>
    <row r="48" spans="2:4" x14ac:dyDescent="0.25">
      <c r="B48" s="3" t="s">
        <v>8</v>
      </c>
      <c r="C48" s="8">
        <f>SUM(C44:C47)</f>
        <v>850</v>
      </c>
      <c r="D48" s="29">
        <f>SUM(D44:D47)</f>
        <v>706.86</v>
      </c>
    </row>
    <row r="50" spans="2:4" x14ac:dyDescent="0.25">
      <c r="B50" s="28" t="s">
        <v>31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6">
        <v>0</v>
      </c>
    </row>
    <row r="53" spans="2:4" x14ac:dyDescent="0.25">
      <c r="B53" s="9" t="s">
        <v>5</v>
      </c>
      <c r="C53" s="6">
        <v>126</v>
      </c>
      <c r="D53" s="26">
        <v>0</v>
      </c>
    </row>
    <row r="54" spans="2:4" x14ac:dyDescent="0.25">
      <c r="B54" s="9" t="s">
        <v>6</v>
      </c>
      <c r="C54" s="6">
        <v>15</v>
      </c>
      <c r="D54" s="26">
        <v>0</v>
      </c>
    </row>
    <row r="55" spans="2:4" x14ac:dyDescent="0.25">
      <c r="B55" s="9" t="s">
        <v>7</v>
      </c>
      <c r="C55" s="6">
        <v>10</v>
      </c>
      <c r="D55" s="26">
        <v>0</v>
      </c>
    </row>
    <row r="56" spans="2:4" x14ac:dyDescent="0.25">
      <c r="B56" s="10" t="s">
        <v>8</v>
      </c>
      <c r="C56" s="8">
        <f>SUM(C52:C55)</f>
        <v>219</v>
      </c>
      <c r="D56" s="4">
        <f>SUM(D52:D55)</f>
        <v>0</v>
      </c>
    </row>
    <row r="58" spans="2:4" x14ac:dyDescent="0.25">
      <c r="B58" s="11" t="s">
        <v>13</v>
      </c>
      <c r="C58" s="12">
        <f>SUM(C10+C26+C18+C56+C40+C35+C48)</f>
        <v>108477</v>
      </c>
      <c r="D58" s="12">
        <f>SUM(D10+D26+D18+D56+D40+D35+D48)</f>
        <v>470524.28</v>
      </c>
    </row>
  </sheetData>
  <mergeCells count="7">
    <mergeCell ref="B42:D42"/>
    <mergeCell ref="B28:D28"/>
    <mergeCell ref="B12:D12"/>
    <mergeCell ref="B3:D3"/>
    <mergeCell ref="B20:D20"/>
    <mergeCell ref="B50:D50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4" sqref="B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27 MAR'!C6, 'REPORTE DIARIO'!C:C)</f>
        <v>16636</v>
      </c>
      <c r="E6" s="15">
        <f>SUMIF('REPORTE DIARIO'!B:B,'EPR 27 MAR'!C6, 'REPORTE DIARIO'!D:D)</f>
        <v>171034.21999999997</v>
      </c>
      <c r="F6" s="15">
        <f>J6*D6</f>
        <v>475314.28571428574</v>
      </c>
      <c r="G6" s="15">
        <f>+E6-F6</f>
        <v>-304280.06571428577</v>
      </c>
      <c r="H6" s="14">
        <f>ABS(G6/F6)</f>
        <v>0.640166043520077</v>
      </c>
      <c r="I6" s="15">
        <f>E6/D6</f>
        <v>10.280970185140657</v>
      </c>
      <c r="J6" s="15">
        <f>200/7</f>
        <v>28.571428571428573</v>
      </c>
      <c r="K6" s="15">
        <f>+I6-J6</f>
        <v>-18.290458386287916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27 MAR'!C7, 'REPORTE DIARIO'!C:C)</f>
        <v>12641</v>
      </c>
      <c r="E7" s="15">
        <f>SUMIF('REPORTE DIARIO'!B:B,'EPR 27 MAR'!C7, 'REPORTE DIARIO'!D:D)</f>
        <v>124664.04</v>
      </c>
      <c r="F7" s="15">
        <f>J7*D7</f>
        <v>198644.28571428571</v>
      </c>
      <c r="G7" s="15">
        <f>+E7-F7</f>
        <v>-73980.245714285717</v>
      </c>
      <c r="H7" s="14">
        <f>ABS(G7/F7)</f>
        <v>0.37242574307268556</v>
      </c>
      <c r="I7" s="15">
        <f>E7/D7</f>
        <v>9.8618811802863693</v>
      </c>
      <c r="J7" s="15">
        <f>110/7</f>
        <v>15.714285714285714</v>
      </c>
      <c r="K7" s="15">
        <f t="shared" ref="K7:K9" si="0">+I7-J7</f>
        <v>-5.8524045339993442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27 MAR'!C8, 'REPORTE DIARIO'!C:C)</f>
        <v>17522</v>
      </c>
      <c r="E8" s="15">
        <f>SUMIF('REPORTE DIARIO'!B:B,'EPR 27 MAR'!C8, 'REPORTE DIARIO'!D:D)</f>
        <v>70499</v>
      </c>
      <c r="F8" s="15">
        <f>J8*D8</f>
        <v>112641.42857142858</v>
      </c>
      <c r="G8" s="15">
        <f>+E8-F8</f>
        <v>-42142.42857142858</v>
      </c>
      <c r="H8" s="14">
        <f>ABS(G8/F8)</f>
        <v>0.37412903143984078</v>
      </c>
      <c r="I8" s="15">
        <f>E8/D8</f>
        <v>4.0234562264581673</v>
      </c>
      <c r="J8" s="15">
        <f>45/7</f>
        <v>6.4285714285714288</v>
      </c>
      <c r="K8" s="15">
        <f t="shared" si="0"/>
        <v>-2.4051152021132616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27 MAR'!C9, 'REPORTE DIARIO'!C:C)</f>
        <v>61655</v>
      </c>
      <c r="E9" s="15">
        <f>SUMIF('REPORTE DIARIO'!B:B,'EPR 27 MAR'!C9, 'REPORTE DIARIO'!D:D)</f>
        <v>104327.02</v>
      </c>
      <c r="F9" s="15">
        <f>J9*D9</f>
        <v>132117.85714285713</v>
      </c>
      <c r="G9" s="15">
        <f>+E9-F9</f>
        <v>-27790.837142857126</v>
      </c>
      <c r="H9" s="14">
        <f>ABS(G9/F9)</f>
        <v>0.21034883356310644</v>
      </c>
      <c r="I9" s="15">
        <f>E9/D9</f>
        <v>1.6921096423647717</v>
      </c>
      <c r="J9" s="15">
        <f>15/7</f>
        <v>2.1428571428571428</v>
      </c>
      <c r="K9" s="15">
        <f t="shared" si="0"/>
        <v>-0.45074750049237111</v>
      </c>
    </row>
    <row r="10" spans="2:12" x14ac:dyDescent="0.25">
      <c r="B10" s="15"/>
      <c r="C10" s="18" t="s">
        <v>16</v>
      </c>
      <c r="D10" s="23">
        <f>SUM(D6:D9)</f>
        <v>108454</v>
      </c>
      <c r="E10" s="19">
        <f>SUM(E6:E9)</f>
        <v>470524.27999999997</v>
      </c>
      <c r="F10" s="19">
        <f>SUM(F6:F9)</f>
        <v>918717.85714285716</v>
      </c>
      <c r="G10" s="19">
        <f>+E10-F10</f>
        <v>-448193.57714285719</v>
      </c>
      <c r="H10" s="20">
        <f>ABS(G10/F10)</f>
        <v>0.48784681135588809</v>
      </c>
      <c r="I10" s="19">
        <f>E10/D10</f>
        <v>4.3384686595238531</v>
      </c>
      <c r="J10" s="19">
        <f>F10/D10</f>
        <v>8.4710370953847445</v>
      </c>
      <c r="K10" s="19">
        <f>I10-J10</f>
        <v>-4.1325684358608914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27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2025-03-28T02:17:28Z</dcterms:modified>
</cp:coreProperties>
</file>