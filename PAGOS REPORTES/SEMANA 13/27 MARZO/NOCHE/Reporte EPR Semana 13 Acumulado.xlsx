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3\27 MARZO\NOCHE\"/>
    </mc:Choice>
  </mc:AlternateContent>
  <xr:revisionPtr revIDLastSave="0" documentId="13_ncr:1_{50BC17B7-32A2-468B-9389-F665C41BA2A8}" xr6:coauthVersionLast="47" xr6:coauthVersionMax="47" xr10:uidLastSave="{00000000-0000-0000-0000-000000000000}"/>
  <bookViews>
    <workbookView xWindow="12765" yWindow="11505" windowWidth="10875" windowHeight="7575" activeTab="2" xr2:uid="{4DC6C92A-CD8A-4966-829B-0B6A986E825B}"/>
  </bookViews>
  <sheets>
    <sheet name="REPORTE DIARIO" sheetId="1" r:id="rId1"/>
    <sheet name="DATA" sheetId="4" r:id="rId2"/>
    <sheet name="EPR 26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3" l="1"/>
  <c r="J9" i="3"/>
  <c r="J7" i="3"/>
  <c r="J6" i="3"/>
  <c r="D56" i="1"/>
  <c r="C56" i="1"/>
  <c r="D19" i="1"/>
  <c r="C19" i="1"/>
  <c r="D40" i="1" l="1"/>
  <c r="C40" i="1"/>
  <c r="D35" i="1"/>
  <c r="C35" i="1"/>
  <c r="D27" i="1"/>
  <c r="C27" i="1"/>
  <c r="D48" i="1"/>
  <c r="C4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<sst xmlns="http://schemas.openxmlformats.org/spreadsheetml/2006/main" count="88" uniqueCount="37">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</sst>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0" xfId="0" applyNumberFormat="1" applyFill="1" applyBorder="1"/>
    <xf numFmtId="43" fontId="0" fillId="0" borderId="2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24" workbookViewId="0">
      <selection activeCell="D55" sqref="D5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7427</v>
      </c>
      <c r="D5" s="25">
        <v>333034.01999999996</v>
      </c>
    </row>
    <row r="6" spans="2:8" x14ac:dyDescent="0.25">
      <c r="B6" s="1" t="s">
        <v>5</v>
      </c>
      <c r="C6" s="6">
        <v>8039</v>
      </c>
      <c r="D6" s="25">
        <v>225221.48</v>
      </c>
    </row>
    <row r="7" spans="2:8" x14ac:dyDescent="0.25">
      <c r="B7" s="1" t="s">
        <v>6</v>
      </c>
      <c r="C7" s="6">
        <v>10151</v>
      </c>
      <c r="D7" s="25">
        <v>127078.51000000001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29546</v>
      </c>
      <c r="D9" s="25">
        <v>207237.48</v>
      </c>
      <c r="F9" s="7"/>
    </row>
    <row r="10" spans="2:8" x14ac:dyDescent="0.25">
      <c r="B10" s="3" t="s">
        <v>8</v>
      </c>
      <c r="C10" s="8">
        <f>SUM(C5:C9)</f>
        <v>55184</v>
      </c>
      <c r="D10" s="4">
        <f>SUM(D5:D9)</f>
        <v>892571.49</v>
      </c>
      <c r="E10" s="11" t="s">
        <v>14</v>
      </c>
    </row>
    <row r="12" spans="2:8" x14ac:dyDescent="0.25">
      <c r="B12" s="29" t="s">
        <v>34</v>
      </c>
      <c r="C12" s="29"/>
      <c r="D12" s="29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3337</v>
      </c>
      <c r="D14" s="25">
        <v>106751.05999999998</v>
      </c>
    </row>
    <row r="15" spans="2:8" x14ac:dyDescent="0.25">
      <c r="B15" s="1" t="s">
        <v>5</v>
      </c>
      <c r="C15" s="6">
        <v>1799</v>
      </c>
      <c r="D15" s="25">
        <v>18638</v>
      </c>
    </row>
    <row r="16" spans="2:8" x14ac:dyDescent="0.25">
      <c r="B16" s="1" t="s">
        <v>6</v>
      </c>
      <c r="C16" s="6">
        <v>3419</v>
      </c>
      <c r="D16" s="25">
        <v>9945</v>
      </c>
    </row>
    <row r="17" spans="2:11" x14ac:dyDescent="0.25">
      <c r="B17" s="5" t="s">
        <v>12</v>
      </c>
      <c r="C17" s="7">
        <v>2</v>
      </c>
      <c r="D17" s="28">
        <v>0</v>
      </c>
    </row>
    <row r="18" spans="2:11" x14ac:dyDescent="0.25">
      <c r="B18" s="1" t="s">
        <v>7</v>
      </c>
      <c r="C18" s="6">
        <v>21215</v>
      </c>
      <c r="D18" s="25">
        <v>96149.21</v>
      </c>
    </row>
    <row r="19" spans="2:11" x14ac:dyDescent="0.25">
      <c r="B19" s="3" t="s">
        <v>8</v>
      </c>
      <c r="C19" s="8">
        <f>SUM(C14:C18)</f>
        <v>29772</v>
      </c>
      <c r="D19" s="4">
        <f>SUM(D14:D18)</f>
        <v>231483.27000000002</v>
      </c>
    </row>
    <row r="21" spans="2:11" x14ac:dyDescent="0.25">
      <c r="B21" s="30" t="s">
        <v>10</v>
      </c>
      <c r="C21" s="30"/>
      <c r="D21" s="30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1487</v>
      </c>
      <c r="D23" s="25">
        <v>90229.42</v>
      </c>
    </row>
    <row r="24" spans="2:11" x14ac:dyDescent="0.25">
      <c r="B24" s="9" t="s">
        <v>5</v>
      </c>
      <c r="C24" s="6">
        <v>1395</v>
      </c>
      <c r="D24" s="25">
        <v>67582.510000000009</v>
      </c>
    </row>
    <row r="25" spans="2:11" x14ac:dyDescent="0.25">
      <c r="B25" s="9" t="s">
        <v>6</v>
      </c>
      <c r="C25" s="6">
        <v>722</v>
      </c>
      <c r="D25" s="25">
        <v>42410</v>
      </c>
    </row>
    <row r="26" spans="2:11" x14ac:dyDescent="0.25">
      <c r="B26" s="9" t="s">
        <v>7</v>
      </c>
      <c r="C26" s="6">
        <v>8420</v>
      </c>
      <c r="D26" s="25">
        <v>20965.510000000002</v>
      </c>
    </row>
    <row r="27" spans="2:11" x14ac:dyDescent="0.25">
      <c r="B27" s="10" t="s">
        <v>8</v>
      </c>
      <c r="C27" s="8">
        <f>SUM(C23:C26)</f>
        <v>12024</v>
      </c>
      <c r="D27" s="4">
        <f>SUM(D23:D26)</f>
        <v>221187.44</v>
      </c>
      <c r="K27" s="7"/>
    </row>
    <row r="29" spans="2:11" x14ac:dyDescent="0.25">
      <c r="B29" s="29" t="s">
        <v>9</v>
      </c>
      <c r="C29" s="29"/>
      <c r="D29" s="29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1237</v>
      </c>
      <c r="D31" s="25">
        <v>69109.27</v>
      </c>
    </row>
    <row r="32" spans="2:11" x14ac:dyDescent="0.25">
      <c r="B32" s="9" t="s">
        <v>5</v>
      </c>
      <c r="C32" s="6">
        <v>1159</v>
      </c>
      <c r="D32" s="25">
        <v>9845</v>
      </c>
    </row>
    <row r="33" spans="2:4" x14ac:dyDescent="0.25">
      <c r="B33" s="9" t="s">
        <v>6</v>
      </c>
      <c r="C33" s="6">
        <v>3051</v>
      </c>
      <c r="D33" s="25">
        <v>1433</v>
      </c>
    </row>
    <row r="34" spans="2:4" x14ac:dyDescent="0.25">
      <c r="B34" s="9" t="s">
        <v>7</v>
      </c>
      <c r="C34" s="6">
        <v>1901</v>
      </c>
      <c r="D34" s="25">
        <v>33147</v>
      </c>
    </row>
    <row r="35" spans="2:4" x14ac:dyDescent="0.25">
      <c r="B35" s="10" t="s">
        <v>8</v>
      </c>
      <c r="C35" s="8">
        <f>SUM(C31:C34)</f>
        <v>7348</v>
      </c>
      <c r="D35" s="4">
        <f>SUM(D31:D34)</f>
        <v>113534.27</v>
      </c>
    </row>
    <row r="37" spans="2:4" x14ac:dyDescent="0.25">
      <c r="B37" s="30" t="s">
        <v>11</v>
      </c>
      <c r="C37" s="30"/>
      <c r="D37" s="30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3080</v>
      </c>
      <c r="D39" s="25">
        <v>36790</v>
      </c>
    </row>
    <row r="40" spans="2:4" x14ac:dyDescent="0.25">
      <c r="B40" s="10" t="s">
        <v>8</v>
      </c>
      <c r="C40" s="8">
        <f>SUM(C39:C39)</f>
        <v>3080</v>
      </c>
      <c r="D40" s="4">
        <f>SUM(D39:D39)</f>
        <v>36790</v>
      </c>
    </row>
    <row r="42" spans="2:4" x14ac:dyDescent="0.25">
      <c r="B42" s="30" t="s">
        <v>32</v>
      </c>
      <c r="C42" s="30"/>
      <c r="D42" s="30"/>
    </row>
    <row r="43" spans="2:4" x14ac:dyDescent="0.25">
      <c r="B43" s="4" t="s">
        <v>1</v>
      </c>
      <c r="C43" s="4" t="s">
        <v>2</v>
      </c>
      <c r="D43" s="4" t="s">
        <v>3</v>
      </c>
    </row>
    <row r="44" spans="2:4" x14ac:dyDescent="0.25">
      <c r="B44" s="9" t="s">
        <v>4</v>
      </c>
      <c r="C44" s="6">
        <v>68</v>
      </c>
      <c r="D44" s="25">
        <v>5605.16</v>
      </c>
    </row>
    <row r="45" spans="2:4" x14ac:dyDescent="0.25">
      <c r="B45" s="9" t="s">
        <v>5</v>
      </c>
      <c r="C45" s="6">
        <v>126</v>
      </c>
      <c r="D45" s="28">
        <v>0</v>
      </c>
    </row>
    <row r="46" spans="2:4" x14ac:dyDescent="0.25">
      <c r="B46" s="9" t="s">
        <v>6</v>
      </c>
      <c r="C46" s="6">
        <v>15</v>
      </c>
      <c r="D46" s="28">
        <v>0</v>
      </c>
    </row>
    <row r="47" spans="2:4" x14ac:dyDescent="0.25">
      <c r="B47" s="9" t="s">
        <v>7</v>
      </c>
      <c r="C47" s="6">
        <v>10</v>
      </c>
      <c r="D47" s="28">
        <v>0</v>
      </c>
    </row>
    <row r="48" spans="2:4" x14ac:dyDescent="0.25">
      <c r="B48" s="10" t="s">
        <v>8</v>
      </c>
      <c r="C48" s="8">
        <f>SUM(C44:C47)</f>
        <v>219</v>
      </c>
      <c r="D48" s="4">
        <f>SUM(D44:D47)</f>
        <v>5605.16</v>
      </c>
    </row>
    <row r="50" spans="2:4" x14ac:dyDescent="0.25">
      <c r="B50" s="29" t="s">
        <v>35</v>
      </c>
      <c r="C50" s="29"/>
      <c r="D50" s="29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0</v>
      </c>
      <c r="D52" s="25">
        <v>250.86</v>
      </c>
    </row>
    <row r="53" spans="2:4" x14ac:dyDescent="0.25">
      <c r="B53" s="1" t="s">
        <v>5</v>
      </c>
      <c r="C53" s="6">
        <v>123</v>
      </c>
      <c r="D53" s="25">
        <v>600</v>
      </c>
    </row>
    <row r="54" spans="2:4" x14ac:dyDescent="0.25">
      <c r="B54" s="1" t="s">
        <v>6</v>
      </c>
      <c r="C54" s="6">
        <v>164</v>
      </c>
      <c r="D54" s="27">
        <v>0</v>
      </c>
    </row>
    <row r="55" spans="2:4" x14ac:dyDescent="0.25">
      <c r="B55" s="1" t="s">
        <v>7</v>
      </c>
      <c r="C55" s="6">
        <v>563</v>
      </c>
      <c r="D55" s="25">
        <v>456</v>
      </c>
    </row>
    <row r="56" spans="2:4" x14ac:dyDescent="0.25">
      <c r="B56" s="3" t="s">
        <v>8</v>
      </c>
      <c r="C56" s="8">
        <f>SUM(C52:C55)</f>
        <v>850</v>
      </c>
      <c r="D56" s="8">
        <f>SUM(D52:D55)</f>
        <v>1306.8600000000001</v>
      </c>
    </row>
    <row r="58" spans="2:4" x14ac:dyDescent="0.25">
      <c r="B58" s="12" t="s">
        <v>13</v>
      </c>
      <c r="C58" s="13">
        <f>SUM(C10+C27+C48+C35+C40+C19+C56)</f>
        <v>108477</v>
      </c>
      <c r="D58" s="13">
        <f>SUM(D10+D27+D48+D35+D40+D19+D56)</f>
        <v>1502478.49</v>
      </c>
    </row>
  </sheetData>
  <mergeCells count="7">
    <mergeCell ref="B12:D12"/>
    <mergeCell ref="B50:D50"/>
    <mergeCell ref="B3:D3"/>
    <mergeCell ref="B42:D42"/>
    <mergeCell ref="B21:D21"/>
    <mergeCell ref="B29:D29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B13" sqref="B13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26 MAR'!C6, 'REPORTE DIARIO'!C:C)</f>
        <v>16636</v>
      </c>
      <c r="E6" s="16">
        <f>SUMIF('REPORTE DIARIO'!B:B,'EPR 26 MAR'!C6, 'REPORTE DIARIO'!D:D)</f>
        <v>641769.79</v>
      </c>
      <c r="F6" s="16">
        <f>J6*D6</f>
        <v>1901257.142857143</v>
      </c>
      <c r="G6" s="16">
        <f>+E6-F6</f>
        <v>-1259487.3528571429</v>
      </c>
      <c r="H6" s="15">
        <f>ABS(G6/F6)</f>
        <v>0.66244976782279397</v>
      </c>
      <c r="I6" s="16">
        <f>E6/D6</f>
        <v>38.577169391680698</v>
      </c>
      <c r="J6" s="16">
        <f>(200/7)*4</f>
        <v>114.28571428571429</v>
      </c>
      <c r="K6" s="16">
        <f>+I6-J6</f>
        <v>-75.708544894033594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26 MAR'!C7, 'REPORTE DIARIO'!C:C)</f>
        <v>12641</v>
      </c>
      <c r="E7" s="16">
        <f>SUMIF('REPORTE DIARIO'!B:B,'EPR 26 MAR'!C7, 'REPORTE DIARIO'!D:D)</f>
        <v>321886.99</v>
      </c>
      <c r="F7" s="16">
        <f>J7*D7</f>
        <v>794577.14285714284</v>
      </c>
      <c r="G7" s="16">
        <f>+E7-F7</f>
        <v>-472690.15285714285</v>
      </c>
      <c r="H7" s="15">
        <f>ABS(G7/F7)</f>
        <v>0.59489523088650931</v>
      </c>
      <c r="I7" s="16">
        <f>E7/D7</f>
        <v>25.463728344276561</v>
      </c>
      <c r="J7" s="16">
        <f>(110/7)*4</f>
        <v>62.857142857142854</v>
      </c>
      <c r="K7" s="16">
        <f t="shared" ref="K7:K9" si="0">+I7-J7</f>
        <v>-37.393414512866293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26 MAR'!C8, 'REPORTE DIARIO'!C:C)</f>
        <v>17522</v>
      </c>
      <c r="E8" s="16">
        <f>SUMIF('REPORTE DIARIO'!B:B,'EPR 26 MAR'!C8, 'REPORTE DIARIO'!D:D)</f>
        <v>180866.51</v>
      </c>
      <c r="F8" s="16">
        <f>J8*D8</f>
        <v>450565.71428571432</v>
      </c>
      <c r="G8" s="16">
        <f>+E8-F8</f>
        <v>-269699.20428571431</v>
      </c>
      <c r="H8" s="15">
        <f>ABS(G8/F8)</f>
        <v>0.59857906568250707</v>
      </c>
      <c r="I8" s="16">
        <f>E8/D8</f>
        <v>10.322252596735533</v>
      </c>
      <c r="J8" s="16">
        <f>(45/7)*4</f>
        <v>25.714285714285715</v>
      </c>
      <c r="K8" s="16">
        <f t="shared" si="0"/>
        <v>-15.392033117550183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26 MAR'!C9, 'REPORTE DIARIO'!C:C)</f>
        <v>61655</v>
      </c>
      <c r="E9" s="16">
        <f>SUMIF('REPORTE DIARIO'!B:B,'EPR 26 MAR'!C9, 'REPORTE DIARIO'!D:D)</f>
        <v>357955.2</v>
      </c>
      <c r="F9" s="16">
        <f>J9*D9</f>
        <v>528471.42857142852</v>
      </c>
      <c r="G9" s="16">
        <f>+E9-F9</f>
        <v>-170516.22857142851</v>
      </c>
      <c r="H9" s="15">
        <f>ABS(G9/F9)</f>
        <v>0.32265931392425584</v>
      </c>
      <c r="I9" s="16">
        <f>E9/D9</f>
        <v>5.8057773092206633</v>
      </c>
      <c r="J9" s="16">
        <f>(15/7)*4</f>
        <v>8.5714285714285712</v>
      </c>
      <c r="K9" s="16">
        <f t="shared" si="0"/>
        <v>-2.7656512622079079</v>
      </c>
    </row>
    <row r="10" spans="2:12" x14ac:dyDescent="0.25">
      <c r="B10" s="16"/>
      <c r="C10" s="19" t="s">
        <v>17</v>
      </c>
      <c r="D10" s="24">
        <f>SUM(D6:D9)</f>
        <v>108454</v>
      </c>
      <c r="E10" s="20">
        <f>SUM(E6:E9)</f>
        <v>1502478.49</v>
      </c>
      <c r="F10" s="20">
        <f>SUM(F6:F9)</f>
        <v>3674871.4285714286</v>
      </c>
      <c r="G10" s="20">
        <f>+E10-F10</f>
        <v>-2172392.9385714289</v>
      </c>
      <c r="H10" s="21">
        <f>ABS(G10/F10)</f>
        <v>0.59114801178661258</v>
      </c>
      <c r="I10" s="20">
        <f>E10/D10</f>
        <v>13.853601434709647</v>
      </c>
      <c r="J10" s="20">
        <f>F10/D10</f>
        <v>33.884148381538978</v>
      </c>
      <c r="K10" s="20">
        <f>I10-J10</f>
        <v>-20.030546946829332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2025-03-28T02:22:40Z</dcterms:modified>
</cp:coreProperties>
</file>