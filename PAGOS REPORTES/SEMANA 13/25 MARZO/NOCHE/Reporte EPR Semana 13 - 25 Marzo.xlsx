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25 MARZO\NOCHE\"/>
    </mc:Choice>
  </mc:AlternateContent>
  <xr:revisionPtr revIDLastSave="0" documentId="13_ncr:1_{EC2E95BF-48FC-4B39-BD4A-0E30D7A6AFB7}" xr6:coauthVersionLast="47" xr6:coauthVersionMax="47" xr10:uidLastSave="{00000000-0000-0000-0000-000000000000}"/>
  <bookViews>
    <workbookView xWindow="8625" yWindow="7365" windowWidth="10875" windowHeight="7575" xr2:uid="{4DC6C92A-CD8A-4966-829B-0B6A986E825B}"/>
  </bookViews>
  <sheets>
    <sheet name="REPORTE DIARIO" sheetId="1" r:id="rId1"/>
    <sheet name="DATA" sheetId="4" r:id="rId2"/>
    <sheet name="EPR 25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C55" i="1"/>
  <c r="D19" i="1" l="1"/>
  <c r="C19" i="1"/>
  <c r="J9" i="3"/>
  <c r="J8" i="3"/>
  <c r="J7" i="3"/>
  <c r="J6" i="3"/>
  <c r="D6" i="3"/>
  <c r="F6" i="3" s="1"/>
  <c r="D40" i="1"/>
  <c r="C40" i="1"/>
  <c r="D48" i="1"/>
  <c r="C48" i="1"/>
  <c r="D27" i="1"/>
  <c r="C27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7" i="1" l="1"/>
  <c r="D5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<sst xmlns="http://schemas.openxmlformats.org/spreadsheetml/2006/main" count="86" uniqueCount="36">
  <si>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</si>
  <si>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</si>
  <si>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</si>
  <si>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</si>
  <si>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</si>
  <si>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</si>
  <si>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</si>
  <si>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</si>
  <si>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</si>
  <si>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</si>
  <si>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</si>
  <si>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</si>
  <si>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</si>
  <si>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</si>
  <si>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</si>
  <si>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</si>
  <si>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</si>
  <si>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</si>
  <si>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</si>
  <si>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</si>
  <si>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</si>
  <si>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</si>
  <si>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</si>
  <si>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</si>
  <si>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</si>
  <si>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</si>
  <si>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</si>
  <si>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</si>
  <si>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</si>
  <si>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</si>
  <si>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</si>
  <si>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</si>
  <si>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COBRANZA GENERAL  SAMANTHA 2</t>
  </si>
  <si>
    <t>COBRANZA GENERAL  FEDERICO</t>
  </si>
  <si>
    <t>Samantha, Samantha 2, Sofia, Edith, Olguin, Fernando y Federico</t>
  </si>
  <si>
    <t>COBRANZA 25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</si>
</sst>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 applyFill="1" applyBorder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7"/>
  <sheetViews>
    <sheetView showGridLines="0" tabSelected="1" topLeftCell="A7" workbookViewId="0">
      <selection activeCell="C55" sqref="C5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7518</v>
      </c>
      <c r="D5" s="25">
        <v>25977.200000000001</v>
      </c>
    </row>
    <row r="6" spans="2:8" x14ac:dyDescent="0.25">
      <c r="B6" s="1" t="s">
        <v>5</v>
      </c>
      <c r="C6" s="6">
        <v>8307</v>
      </c>
      <c r="D6" s="25">
        <v>26680.15</v>
      </c>
    </row>
    <row r="7" spans="2:8" x14ac:dyDescent="0.25">
      <c r="B7" s="1" t="s">
        <v>6</v>
      </c>
      <c r="C7" s="6">
        <v>10167</v>
      </c>
      <c r="D7" s="25">
        <v>26627</v>
      </c>
    </row>
    <row r="8" spans="2:8" x14ac:dyDescent="0.25">
      <c r="B8" s="5" t="s">
        <v>12</v>
      </c>
      <c r="C8" s="7">
        <v>21</v>
      </c>
      <c r="D8" s="24">
        <v>0</v>
      </c>
    </row>
    <row r="9" spans="2:8" x14ac:dyDescent="0.25">
      <c r="B9" s="1" t="s">
        <v>7</v>
      </c>
      <c r="C9" s="6">
        <v>50924</v>
      </c>
      <c r="D9" s="25">
        <v>46074</v>
      </c>
    </row>
    <row r="10" spans="2:8" x14ac:dyDescent="0.25">
      <c r="B10" s="3" t="s">
        <v>8</v>
      </c>
      <c r="C10" s="8">
        <f>SUM(C5:C9)</f>
        <v>76937</v>
      </c>
      <c r="D10" s="4">
        <f>SUM(D5:D9)</f>
        <v>125358.35</v>
      </c>
    </row>
    <row r="12" spans="2:8" x14ac:dyDescent="0.25">
      <c r="B12" s="27" t="s">
        <v>32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3407</v>
      </c>
      <c r="D14" s="25">
        <v>36978</v>
      </c>
    </row>
    <row r="15" spans="2:8" x14ac:dyDescent="0.25">
      <c r="B15" s="1" t="s">
        <v>5</v>
      </c>
      <c r="C15" s="6">
        <v>1799</v>
      </c>
      <c r="D15" s="25">
        <v>6033</v>
      </c>
    </row>
    <row r="16" spans="2:8" x14ac:dyDescent="0.25">
      <c r="B16" s="1" t="s">
        <v>6</v>
      </c>
      <c r="C16" s="6">
        <v>3291</v>
      </c>
      <c r="D16" s="25">
        <v>2170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21223</v>
      </c>
      <c r="D18" s="25">
        <v>11364</v>
      </c>
    </row>
    <row r="19" spans="2:11" x14ac:dyDescent="0.25">
      <c r="B19" s="3" t="s">
        <v>8</v>
      </c>
      <c r="C19" s="8">
        <f>SUM(C14:C18)</f>
        <v>29722</v>
      </c>
      <c r="D19" s="4">
        <f>SUM(D14:D18)</f>
        <v>56545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2068</v>
      </c>
      <c r="D23" s="25">
        <v>17276.150000000001</v>
      </c>
    </row>
    <row r="24" spans="2:11" x14ac:dyDescent="0.25">
      <c r="B24" s="9" t="s">
        <v>5</v>
      </c>
      <c r="C24" s="6">
        <v>1758</v>
      </c>
      <c r="D24" s="25">
        <v>5695.5</v>
      </c>
    </row>
    <row r="25" spans="2:11" x14ac:dyDescent="0.25">
      <c r="B25" s="9" t="s">
        <v>6</v>
      </c>
      <c r="C25" s="6">
        <v>288</v>
      </c>
      <c r="D25" s="26">
        <v>0</v>
      </c>
    </row>
    <row r="26" spans="2:11" x14ac:dyDescent="0.25">
      <c r="B26" s="9" t="s">
        <v>7</v>
      </c>
      <c r="C26" s="6">
        <v>8257</v>
      </c>
      <c r="D26" s="25">
        <v>3414</v>
      </c>
      <c r="K26" s="7"/>
    </row>
    <row r="27" spans="2:11" x14ac:dyDescent="0.25">
      <c r="B27" s="10" t="s">
        <v>8</v>
      </c>
      <c r="C27" s="8">
        <f>SUM(C23:C26)</f>
        <v>12371</v>
      </c>
      <c r="D27" s="4">
        <f>SUM(D23:D26)</f>
        <v>26385.65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1672</v>
      </c>
      <c r="D31" s="25">
        <v>37674.06</v>
      </c>
    </row>
    <row r="32" spans="2:11" x14ac:dyDescent="0.25">
      <c r="B32" s="9" t="s">
        <v>5</v>
      </c>
      <c r="C32" s="6">
        <v>901</v>
      </c>
      <c r="D32" s="25">
        <v>1990</v>
      </c>
    </row>
    <row r="33" spans="2:4" x14ac:dyDescent="0.25">
      <c r="B33" s="9" t="s">
        <v>6</v>
      </c>
      <c r="C33" s="6">
        <v>3188</v>
      </c>
      <c r="D33" s="25">
        <v>93</v>
      </c>
    </row>
    <row r="34" spans="2:4" x14ac:dyDescent="0.25">
      <c r="B34" s="9" t="s">
        <v>7</v>
      </c>
      <c r="C34" s="6">
        <v>1901</v>
      </c>
      <c r="D34" s="26">
        <v>0</v>
      </c>
    </row>
    <row r="35" spans="2:4" x14ac:dyDescent="0.25">
      <c r="B35" s="10" t="s">
        <v>8</v>
      </c>
      <c r="C35" s="8">
        <f>SUM(C31:C34)</f>
        <v>7662</v>
      </c>
      <c r="D35" s="4">
        <f>SUM(D31:D34)</f>
        <v>39757.06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3082</v>
      </c>
      <c r="D39" s="25">
        <v>4577</v>
      </c>
    </row>
    <row r="40" spans="2:4" x14ac:dyDescent="0.25">
      <c r="B40" s="10" t="s">
        <v>8</v>
      </c>
      <c r="C40" s="8">
        <f>SUM(C39:C39)</f>
        <v>3082</v>
      </c>
      <c r="D40" s="4">
        <f>SUM(D39:D39)</f>
        <v>4577</v>
      </c>
    </row>
    <row r="42" spans="2:4" x14ac:dyDescent="0.25">
      <c r="B42" s="28" t="s">
        <v>31</v>
      </c>
      <c r="C42" s="28"/>
      <c r="D42" s="28"/>
    </row>
    <row r="43" spans="2:4" x14ac:dyDescent="0.25">
      <c r="B43" s="4" t="s">
        <v>1</v>
      </c>
      <c r="C43" s="4" t="s">
        <v>2</v>
      </c>
      <c r="D43" s="4" t="s">
        <v>3</v>
      </c>
    </row>
    <row r="44" spans="2:4" x14ac:dyDescent="0.25">
      <c r="B44" s="9" t="s">
        <v>4</v>
      </c>
      <c r="C44" s="6">
        <v>68</v>
      </c>
      <c r="D44" s="25">
        <v>435</v>
      </c>
    </row>
    <row r="45" spans="2:4" x14ac:dyDescent="0.25">
      <c r="B45" s="9" t="s">
        <v>5</v>
      </c>
      <c r="C45" s="6">
        <v>94</v>
      </c>
      <c r="D45" s="26">
        <v>0</v>
      </c>
    </row>
    <row r="46" spans="2:4" x14ac:dyDescent="0.25">
      <c r="B46" s="9" t="s">
        <v>6</v>
      </c>
      <c r="C46" s="6">
        <v>14</v>
      </c>
      <c r="D46" s="26">
        <v>0</v>
      </c>
    </row>
    <row r="47" spans="2:4" x14ac:dyDescent="0.25">
      <c r="B47" s="9" t="s">
        <v>7</v>
      </c>
      <c r="C47" s="6">
        <v>10</v>
      </c>
      <c r="D47" s="26">
        <v>0</v>
      </c>
    </row>
    <row r="48" spans="2:4" x14ac:dyDescent="0.25">
      <c r="B48" s="10" t="s">
        <v>8</v>
      </c>
      <c r="C48" s="8">
        <f>SUM(C44:C47)</f>
        <v>186</v>
      </c>
      <c r="D48" s="4">
        <f>SUM(D44:D47)</f>
        <v>435</v>
      </c>
    </row>
    <row r="50" spans="2:4" x14ac:dyDescent="0.25">
      <c r="B50" s="27" t="s">
        <v>33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1" t="s">
        <v>5</v>
      </c>
      <c r="C52" s="6">
        <v>123</v>
      </c>
      <c r="D52" s="26">
        <v>0</v>
      </c>
    </row>
    <row r="53" spans="2:4" x14ac:dyDescent="0.25">
      <c r="B53" s="1" t="s">
        <v>6</v>
      </c>
      <c r="C53" s="6">
        <v>164</v>
      </c>
      <c r="D53" s="26">
        <v>0</v>
      </c>
    </row>
    <row r="54" spans="2:4" x14ac:dyDescent="0.25">
      <c r="B54" s="1" t="s">
        <v>7</v>
      </c>
      <c r="C54" s="6">
        <v>351</v>
      </c>
      <c r="D54" s="26">
        <v>0</v>
      </c>
    </row>
    <row r="55" spans="2:4" x14ac:dyDescent="0.25">
      <c r="B55" s="3" t="s">
        <v>8</v>
      </c>
      <c r="C55" s="8">
        <f>SUM(C52:C54)</f>
        <v>638</v>
      </c>
      <c r="D55" s="4">
        <f>SUM(D52:D54)</f>
        <v>0</v>
      </c>
    </row>
    <row r="57" spans="2:4" x14ac:dyDescent="0.25">
      <c r="B57" s="11" t="s">
        <v>13</v>
      </c>
      <c r="C57" s="12">
        <f>SUM(C10+C35+C27+C48+C40+C19+C55)</f>
        <v>130598</v>
      </c>
      <c r="D57" s="12">
        <f>SUM(D10+D35+D27+D48+D40+D19+D55)</f>
        <v>253058.06</v>
      </c>
    </row>
  </sheetData>
  <mergeCells count="7">
    <mergeCell ref="B50:D50"/>
    <mergeCell ref="B12:D12"/>
    <mergeCell ref="B21:D21"/>
    <mergeCell ref="B3:D3"/>
    <mergeCell ref="B29:D29"/>
    <mergeCell ref="B42:D42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J6" sqref="J6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25 MAR'!C6, 'REPORTE DIARIO'!C:C)</f>
        <v>17815</v>
      </c>
      <c r="E6" s="15">
        <f>SUMIF('REPORTE DIARIO'!B:B,'EPR 25 MAR'!C6, 'REPORTE DIARIO'!D:D)</f>
        <v>122917.41</v>
      </c>
      <c r="F6" s="15">
        <f>J6*D6</f>
        <v>509000</v>
      </c>
      <c r="G6" s="15">
        <f>+E6-F6</f>
        <v>-386082.58999999997</v>
      </c>
      <c r="H6" s="14">
        <f>ABS(G6/F6)</f>
        <v>0.75851196463654214</v>
      </c>
      <c r="I6" s="15">
        <f>E6/D6</f>
        <v>6.8996581532416501</v>
      </c>
      <c r="J6" s="15">
        <f>200/7</f>
        <v>28.571428571428573</v>
      </c>
      <c r="K6" s="15">
        <f>+I6-J6</f>
        <v>-21.671770418186924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25 MAR'!C7, 'REPORTE DIARIO'!C:C)</f>
        <v>12982</v>
      </c>
      <c r="E7" s="15">
        <f>SUMIF('REPORTE DIARIO'!B:B,'EPR 25 MAR'!C7, 'REPORTE DIARIO'!D:D)</f>
        <v>40398.65</v>
      </c>
      <c r="F7" s="15">
        <f>J7*D7</f>
        <v>204002.85714285713</v>
      </c>
      <c r="G7" s="15">
        <f>+E7-F7</f>
        <v>-163604.20714285714</v>
      </c>
      <c r="H7" s="14">
        <f>ABS(G7/F7)</f>
        <v>0.8019701754877383</v>
      </c>
      <c r="I7" s="15">
        <f>E7/D7</f>
        <v>3.1118972423355418</v>
      </c>
      <c r="J7" s="15">
        <f>110/7</f>
        <v>15.714285714285714</v>
      </c>
      <c r="K7" s="15">
        <f t="shared" ref="K7:K9" si="0">+I7-J7</f>
        <v>-12.602388471950171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25 MAR'!C8, 'REPORTE DIARIO'!C:C)</f>
        <v>17112</v>
      </c>
      <c r="E8" s="15">
        <f>SUMIF('REPORTE DIARIO'!B:B,'EPR 25 MAR'!C8, 'REPORTE DIARIO'!D:D)</f>
        <v>28890</v>
      </c>
      <c r="F8" s="15">
        <f>J8*D8</f>
        <v>110005.71428571429</v>
      </c>
      <c r="G8" s="15">
        <f>+E8-F8</f>
        <v>-81115.71428571429</v>
      </c>
      <c r="H8" s="14">
        <f>ABS(G8/F8)</f>
        <v>0.73737727910238426</v>
      </c>
      <c r="I8" s="15">
        <f>E8/D8</f>
        <v>1.6882889200561009</v>
      </c>
      <c r="J8" s="15">
        <f>45/7</f>
        <v>6.4285714285714288</v>
      </c>
      <c r="K8" s="15">
        <f t="shared" si="0"/>
        <v>-4.7402825085153282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25 MAR'!C9, 'REPORTE DIARIO'!C:C)</f>
        <v>82666</v>
      </c>
      <c r="E9" s="15">
        <f>SUMIF('REPORTE DIARIO'!B:B,'EPR 25 MAR'!C9, 'REPORTE DIARIO'!D:D)</f>
        <v>60852</v>
      </c>
      <c r="F9" s="15">
        <f>J9*D9</f>
        <v>177141.42857142858</v>
      </c>
      <c r="G9" s="15">
        <f>+E9-F9</f>
        <v>-116289.42857142858</v>
      </c>
      <c r="H9" s="14">
        <f>ABS(G9/F9)</f>
        <v>0.65647787482157116</v>
      </c>
      <c r="I9" s="15">
        <f>E9/D9</f>
        <v>0.7361188396680618</v>
      </c>
      <c r="J9" s="15">
        <f>15/7</f>
        <v>2.1428571428571428</v>
      </c>
      <c r="K9" s="15">
        <f t="shared" si="0"/>
        <v>-1.406738303189081</v>
      </c>
    </row>
    <row r="10" spans="2:12" x14ac:dyDescent="0.25">
      <c r="B10" s="15"/>
      <c r="C10" s="18" t="s">
        <v>16</v>
      </c>
      <c r="D10" s="23">
        <f>SUM(D6:D9)</f>
        <v>130575</v>
      </c>
      <c r="E10" s="19">
        <f>SUM(E6:E9)</f>
        <v>253058.06</v>
      </c>
      <c r="F10" s="19">
        <f>SUM(F6:F9)</f>
        <v>1000150</v>
      </c>
      <c r="G10" s="19">
        <f>+E10-F10</f>
        <v>-747091.94</v>
      </c>
      <c r="H10" s="20">
        <f>ABS(G10/F10)</f>
        <v>0.7469798930160475</v>
      </c>
      <c r="I10" s="19">
        <f>E10/D10</f>
        <v>1.9380284127895846</v>
      </c>
      <c r="J10" s="19">
        <f>F10/D10</f>
        <v>7.6595826153551601</v>
      </c>
      <c r="K10" s="19">
        <f>I10-J10</f>
        <v>-5.7215542025655752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25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2025-03-26T02:33:54Z</dcterms:modified>
</cp:coreProperties>
</file>