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13\25 MARZO\NOCHE\"/>
    </mc:Choice>
  </mc:AlternateContent>
  <xr:revisionPtr revIDLastSave="0" documentId="13_ncr:1_{F7A4A75E-7E09-4457-BDE1-3F8065B6C4FF}" xr6:coauthVersionLast="47" xr6:coauthVersionMax="47" xr10:uidLastSave="{00000000-0000-0000-0000-000000000000}"/>
  <bookViews>
    <workbookView xWindow="-120" yWindow="-120" windowWidth="51840" windowHeight="21120" activeTab="2" xr2:uid="{4DC6C92A-CD8A-4966-829B-0B6A986E825B}"/>
  </bookViews>
  <sheets>
    <sheet name="REPORTE DIARIO" sheetId="1" r:id="rId1"/>
    <sheet name="DATA" sheetId="4" r:id="rId2"/>
    <sheet name="EPR 25 MA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D55" i="1"/>
  <c r="C55" i="1"/>
  <c r="D19" i="1"/>
  <c r="C19" i="1"/>
  <c r="D40" i="1" l="1"/>
  <c r="C40" i="1"/>
  <c r="D35" i="1"/>
  <c r="C35" i="1"/>
  <c r="D27" i="1"/>
  <c r="C27" i="1"/>
  <c r="D48" i="1"/>
  <c r="C48" i="1"/>
  <c r="D10" i="1"/>
  <c r="C10" i="1"/>
  <c r="D6" i="3"/>
  <c r="F6" i="3" s="1"/>
  <c r="E7" i="3"/>
  <c r="E8" i="3"/>
  <c r="E9" i="3"/>
  <c r="E6" i="3"/>
  <c r="D7" i="3"/>
  <c r="F7" i="3" s="1"/>
  <c r="D8" i="3"/>
  <c r="F8" i="3" s="1"/>
  <c r="D9" i="3"/>
  <c r="F9" i="3" s="1"/>
  <c r="C57" i="1" l="1"/>
  <c r="D57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<sst xmlns="http://schemas.openxmlformats.org/spreadsheetml/2006/main" count="87" uniqueCount="37">
  <si>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</si>
  <si>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</si>
  <si>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</si>
  <si>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</si>
  <si>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</si>
  <si>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</si>
  <si>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</si>
  <si>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</si>
  <si>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</si>
  <si>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</si>
  <si>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</si>
  <si>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</si>
  <si>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</si>
  <si>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</si>
  <si>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</si>
  <si>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</si>
  <si>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</si>
  <si>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</si>
  <si>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</si>
  <si>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</si>
  <si>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</si>
  <si>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</si>
  <si>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</si>
  <si>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</si>
  <si>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</si>
  <si>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</si>
  <si>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</si>
  <si>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</si>
  <si>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</si>
  <si>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Samatha y Zareth</t>
  </si>
  <si>
    <t>Gabriel</t>
  </si>
  <si>
    <t>Fernando</t>
  </si>
  <si>
    <t>COBRANZA GENERAL  OLGUIN</t>
  </si>
  <si>
    <t>Samantha, Samantha 2, Sofia, Edith, Olguin, Fernando y Federico</t>
  </si>
  <si>
    <t>COBRANZA GENERAL  SAMANTHA 2</t>
  </si>
  <si>
    <t>COBRANZA GENERAL  FEDERICO</t>
  </si>
  <si>
    <t>SALDO ACUMULADO SEMANA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</si>
</sst>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2" xfId="0" applyNumberFormat="1" applyBorder="1"/>
    <xf numFmtId="43" fontId="0" fillId="0" borderId="1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7"/>
  <sheetViews>
    <sheetView showGridLines="0" topLeftCell="A6" workbookViewId="0">
      <selection activeCell="D60" sqref="D60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7518</v>
      </c>
      <c r="D5" s="25">
        <v>151162.78999999998</v>
      </c>
    </row>
    <row r="6" spans="2:8" x14ac:dyDescent="0.25">
      <c r="B6" s="1" t="s">
        <v>5</v>
      </c>
      <c r="C6" s="6">
        <v>8307</v>
      </c>
      <c r="D6" s="25">
        <v>72414.59</v>
      </c>
    </row>
    <row r="7" spans="2:8" x14ac:dyDescent="0.25">
      <c r="B7" s="1" t="s">
        <v>6</v>
      </c>
      <c r="C7" s="6">
        <v>10167</v>
      </c>
      <c r="D7" s="25">
        <v>57817.51</v>
      </c>
    </row>
    <row r="8" spans="2:8" x14ac:dyDescent="0.25">
      <c r="B8" s="5" t="s">
        <v>12</v>
      </c>
      <c r="C8" s="7">
        <v>21</v>
      </c>
      <c r="D8" s="26">
        <v>0</v>
      </c>
    </row>
    <row r="9" spans="2:8" x14ac:dyDescent="0.25">
      <c r="B9" s="1" t="s">
        <v>7</v>
      </c>
      <c r="C9" s="6">
        <v>50924</v>
      </c>
      <c r="D9" s="25">
        <v>107265.04000000001</v>
      </c>
      <c r="F9" s="7"/>
    </row>
    <row r="10" spans="2:8" x14ac:dyDescent="0.25">
      <c r="B10" s="3" t="s">
        <v>8</v>
      </c>
      <c r="C10" s="8">
        <f>SUM(C5:C9)</f>
        <v>76937</v>
      </c>
      <c r="D10" s="4">
        <f>SUM(D5:D9)</f>
        <v>388659.92999999993</v>
      </c>
      <c r="E10" s="11" t="s">
        <v>14</v>
      </c>
    </row>
    <row r="12" spans="2:8" x14ac:dyDescent="0.25">
      <c r="B12" s="29" t="s">
        <v>34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3407</v>
      </c>
      <c r="D14" s="25">
        <v>66789.62</v>
      </c>
    </row>
    <row r="15" spans="2:8" x14ac:dyDescent="0.25">
      <c r="B15" s="1" t="s">
        <v>5</v>
      </c>
      <c r="C15" s="6">
        <v>1799</v>
      </c>
      <c r="D15" s="25">
        <v>13267</v>
      </c>
    </row>
    <row r="16" spans="2:8" x14ac:dyDescent="0.25">
      <c r="B16" s="1" t="s">
        <v>6</v>
      </c>
      <c r="C16" s="6">
        <v>3291</v>
      </c>
      <c r="D16" s="25">
        <v>5258</v>
      </c>
    </row>
    <row r="17" spans="2:11" x14ac:dyDescent="0.25">
      <c r="B17" s="5" t="s">
        <v>12</v>
      </c>
      <c r="C17" s="7">
        <v>2</v>
      </c>
      <c r="D17" s="28">
        <v>0</v>
      </c>
    </row>
    <row r="18" spans="2:11" x14ac:dyDescent="0.25">
      <c r="B18" s="1" t="s">
        <v>7</v>
      </c>
      <c r="C18" s="6">
        <v>21223</v>
      </c>
      <c r="D18" s="25">
        <v>23856</v>
      </c>
    </row>
    <row r="19" spans="2:11" x14ac:dyDescent="0.25">
      <c r="B19" s="3" t="s">
        <v>8</v>
      </c>
      <c r="C19" s="8">
        <f>SUM(C14:C18)</f>
        <v>29722</v>
      </c>
      <c r="D19" s="4">
        <f>SUM(D14:D18)</f>
        <v>109170.62</v>
      </c>
    </row>
    <row r="21" spans="2:11" x14ac:dyDescent="0.25">
      <c r="B21" s="30" t="s">
        <v>10</v>
      </c>
      <c r="C21" s="30"/>
      <c r="D21" s="30"/>
    </row>
    <row r="22" spans="2:11" x14ac:dyDescent="0.25">
      <c r="B22" s="4" t="s">
        <v>1</v>
      </c>
      <c r="C22" s="4" t="s">
        <v>2</v>
      </c>
      <c r="D22" s="4" t="s">
        <v>3</v>
      </c>
    </row>
    <row r="23" spans="2:11" x14ac:dyDescent="0.25">
      <c r="B23" s="9" t="s">
        <v>4</v>
      </c>
      <c r="C23" s="6">
        <v>2068</v>
      </c>
      <c r="D23" s="25">
        <v>27131.149999999998</v>
      </c>
    </row>
    <row r="24" spans="2:11" x14ac:dyDescent="0.25">
      <c r="B24" s="9" t="s">
        <v>5</v>
      </c>
      <c r="C24" s="6">
        <v>1758</v>
      </c>
      <c r="D24" s="25">
        <v>20742.510000000002</v>
      </c>
    </row>
    <row r="25" spans="2:11" x14ac:dyDescent="0.25">
      <c r="B25" s="9" t="s">
        <v>6</v>
      </c>
      <c r="C25" s="6">
        <v>288</v>
      </c>
      <c r="D25" s="28">
        <v>0</v>
      </c>
    </row>
    <row r="26" spans="2:11" x14ac:dyDescent="0.25">
      <c r="B26" s="9" t="s">
        <v>7</v>
      </c>
      <c r="C26" s="6">
        <v>8257</v>
      </c>
      <c r="D26" s="25">
        <v>7454.51</v>
      </c>
    </row>
    <row r="27" spans="2:11" x14ac:dyDescent="0.25">
      <c r="B27" s="10" t="s">
        <v>8</v>
      </c>
      <c r="C27" s="8">
        <f>SUM(C23:C26)</f>
        <v>12371</v>
      </c>
      <c r="D27" s="4">
        <f>SUM(D23:D26)</f>
        <v>55328.170000000006</v>
      </c>
      <c r="K27" s="7"/>
    </row>
    <row r="29" spans="2:11" x14ac:dyDescent="0.25">
      <c r="B29" s="29" t="s">
        <v>9</v>
      </c>
      <c r="C29" s="29"/>
      <c r="D29" s="29"/>
    </row>
    <row r="30" spans="2:11" x14ac:dyDescent="0.25">
      <c r="B30" s="2" t="s">
        <v>1</v>
      </c>
      <c r="C30" s="2" t="s">
        <v>2</v>
      </c>
      <c r="D30" s="2" t="s">
        <v>3</v>
      </c>
    </row>
    <row r="31" spans="2:11" x14ac:dyDescent="0.25">
      <c r="B31" s="9" t="s">
        <v>4</v>
      </c>
      <c r="C31" s="6">
        <v>1672</v>
      </c>
      <c r="D31" s="25">
        <v>46814.06</v>
      </c>
    </row>
    <row r="32" spans="2:11" x14ac:dyDescent="0.25">
      <c r="B32" s="9" t="s">
        <v>5</v>
      </c>
      <c r="C32" s="6">
        <v>901</v>
      </c>
      <c r="D32" s="25">
        <v>6561</v>
      </c>
    </row>
    <row r="33" spans="2:4" x14ac:dyDescent="0.25">
      <c r="B33" s="9" t="s">
        <v>6</v>
      </c>
      <c r="C33" s="6">
        <v>3188</v>
      </c>
      <c r="D33" s="25">
        <v>514</v>
      </c>
    </row>
    <row r="34" spans="2:4" x14ac:dyDescent="0.25">
      <c r="B34" s="9" t="s">
        <v>7</v>
      </c>
      <c r="C34" s="6">
        <v>1901</v>
      </c>
      <c r="D34" s="25">
        <v>578</v>
      </c>
    </row>
    <row r="35" spans="2:4" x14ac:dyDescent="0.25">
      <c r="B35" s="10" t="s">
        <v>8</v>
      </c>
      <c r="C35" s="8">
        <f>SUM(C31:C34)</f>
        <v>7662</v>
      </c>
      <c r="D35" s="4">
        <f>SUM(D31:D34)</f>
        <v>54467.06</v>
      </c>
    </row>
    <row r="37" spans="2:4" x14ac:dyDescent="0.25">
      <c r="B37" s="30" t="s">
        <v>11</v>
      </c>
      <c r="C37" s="30"/>
      <c r="D37" s="30"/>
    </row>
    <row r="38" spans="2:4" x14ac:dyDescent="0.25">
      <c r="B38" s="4" t="s">
        <v>1</v>
      </c>
      <c r="C38" s="4" t="s">
        <v>2</v>
      </c>
      <c r="D38" s="4" t="s">
        <v>3</v>
      </c>
    </row>
    <row r="39" spans="2:4" x14ac:dyDescent="0.25">
      <c r="B39" s="9" t="s">
        <v>4</v>
      </c>
      <c r="C39" s="6">
        <v>3082</v>
      </c>
      <c r="D39" s="25">
        <v>19722</v>
      </c>
    </row>
    <row r="40" spans="2:4" x14ac:dyDescent="0.25">
      <c r="B40" s="10" t="s">
        <v>8</v>
      </c>
      <c r="C40" s="8">
        <f>SUM(C39:C39)</f>
        <v>3082</v>
      </c>
      <c r="D40" s="4">
        <f>SUM(D39:D39)</f>
        <v>19722</v>
      </c>
    </row>
    <row r="42" spans="2:4" x14ac:dyDescent="0.25">
      <c r="B42" s="30" t="s">
        <v>32</v>
      </c>
      <c r="C42" s="30"/>
      <c r="D42" s="30"/>
    </row>
    <row r="43" spans="2:4" x14ac:dyDescent="0.25">
      <c r="B43" s="4" t="s">
        <v>1</v>
      </c>
      <c r="C43" s="4" t="s">
        <v>2</v>
      </c>
      <c r="D43" s="4" t="s">
        <v>3</v>
      </c>
    </row>
    <row r="44" spans="2:4" x14ac:dyDescent="0.25">
      <c r="B44" s="9" t="s">
        <v>4</v>
      </c>
      <c r="C44" s="6">
        <v>68</v>
      </c>
      <c r="D44" s="25">
        <v>5605.16</v>
      </c>
    </row>
    <row r="45" spans="2:4" x14ac:dyDescent="0.25">
      <c r="B45" s="9" t="s">
        <v>5</v>
      </c>
      <c r="C45" s="6">
        <v>94</v>
      </c>
      <c r="D45" s="28">
        <v>0</v>
      </c>
    </row>
    <row r="46" spans="2:4" x14ac:dyDescent="0.25">
      <c r="B46" s="9" t="s">
        <v>6</v>
      </c>
      <c r="C46" s="6">
        <v>14</v>
      </c>
      <c r="D46" s="28">
        <v>0</v>
      </c>
    </row>
    <row r="47" spans="2:4" x14ac:dyDescent="0.25">
      <c r="B47" s="9" t="s">
        <v>7</v>
      </c>
      <c r="C47" s="6">
        <v>10</v>
      </c>
      <c r="D47" s="28">
        <v>0</v>
      </c>
    </row>
    <row r="48" spans="2:4" x14ac:dyDescent="0.25">
      <c r="B48" s="10" t="s">
        <v>8</v>
      </c>
      <c r="C48" s="8">
        <f>SUM(C44:C47)</f>
        <v>186</v>
      </c>
      <c r="D48" s="4">
        <f>SUM(D44:D47)</f>
        <v>5605.16</v>
      </c>
    </row>
    <row r="50" spans="2:4" x14ac:dyDescent="0.25">
      <c r="B50" s="29" t="s">
        <v>35</v>
      </c>
      <c r="C50" s="29"/>
      <c r="D50" s="29"/>
    </row>
    <row r="51" spans="2:4" x14ac:dyDescent="0.25">
      <c r="B51" s="2" t="s">
        <v>1</v>
      </c>
      <c r="C51" s="2" t="s">
        <v>2</v>
      </c>
      <c r="D51" s="2" t="s">
        <v>3</v>
      </c>
    </row>
    <row r="52" spans="2:4" x14ac:dyDescent="0.25">
      <c r="B52" s="1" t="s">
        <v>5</v>
      </c>
      <c r="C52" s="6">
        <v>123</v>
      </c>
      <c r="D52" s="25">
        <v>600</v>
      </c>
    </row>
    <row r="53" spans="2:4" x14ac:dyDescent="0.25">
      <c r="B53" s="1" t="s">
        <v>6</v>
      </c>
      <c r="C53" s="6">
        <v>164</v>
      </c>
      <c r="D53" s="27">
        <v>0</v>
      </c>
    </row>
    <row r="54" spans="2:4" x14ac:dyDescent="0.25">
      <c r="B54" s="1" t="s">
        <v>7</v>
      </c>
      <c r="C54" s="6">
        <v>351</v>
      </c>
      <c r="D54" s="27">
        <v>0</v>
      </c>
    </row>
    <row r="55" spans="2:4" x14ac:dyDescent="0.25">
      <c r="B55" s="3" t="s">
        <v>8</v>
      </c>
      <c r="C55" s="8">
        <f>SUM(C52:C54)</f>
        <v>638</v>
      </c>
      <c r="D55" s="4">
        <f>SUM(D52:D54)</f>
        <v>600</v>
      </c>
    </row>
    <row r="57" spans="2:4" x14ac:dyDescent="0.25">
      <c r="B57" s="12" t="s">
        <v>13</v>
      </c>
      <c r="C57" s="13">
        <f>SUM(C10+C27+C48+C35+C40+C19+C55)</f>
        <v>130598</v>
      </c>
      <c r="D57" s="13">
        <f>SUM(D10+D27+D48+D35+D40+D19+D55)</f>
        <v>633552.93999999994</v>
      </c>
    </row>
  </sheetData>
  <mergeCells count="7">
    <mergeCell ref="B12:D12"/>
    <mergeCell ref="B50:D50"/>
    <mergeCell ref="B3:D3"/>
    <mergeCell ref="B42:D42"/>
    <mergeCell ref="B21:D21"/>
    <mergeCell ref="B29:D29"/>
    <mergeCell ref="B37:D3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I6" sqref="I6"/>
    </sheetView>
  </sheetViews>
  <sheetFormatPr baseColWidth="10" defaultRowHeight="15" x14ac:dyDescent="0.25"/>
  <cols>
    <col min="2" max="2" width="18.140625" customWidth="1"/>
    <col min="3" max="3" width="34.4257812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29</v>
      </c>
      <c r="C6" s="1" t="s">
        <v>4</v>
      </c>
      <c r="D6" s="23">
        <f>SUMIF('REPORTE DIARIO'!B:B,'EPR 25 MAR'!C6, 'REPORTE DIARIO'!C:C)</f>
        <v>17815</v>
      </c>
      <c r="E6" s="16">
        <f>SUMIF('REPORTE DIARIO'!B:B,'EPR 25 MAR'!C6, 'REPORTE DIARIO'!D:D)</f>
        <v>317224.77999999997</v>
      </c>
      <c r="F6" s="16">
        <f>J6*D6</f>
        <v>1018000</v>
      </c>
      <c r="G6" s="16">
        <f>+E6-F6</f>
        <v>-700775.22</v>
      </c>
      <c r="H6" s="15">
        <f>ABS(G6/F6)</f>
        <v>0.68838430255402749</v>
      </c>
      <c r="I6" s="16">
        <f>E6/D6</f>
        <v>17.806611282626999</v>
      </c>
      <c r="J6" s="16">
        <f>(200/7)*2</f>
        <v>57.142857142857146</v>
      </c>
      <c r="K6" s="16">
        <f>+I6-J6</f>
        <v>-39.33624586023015</v>
      </c>
      <c r="L6" s="15"/>
    </row>
    <row r="7" spans="2:12" x14ac:dyDescent="0.25">
      <c r="B7" s="16" t="s">
        <v>30</v>
      </c>
      <c r="C7" s="1" t="s">
        <v>5</v>
      </c>
      <c r="D7" s="23">
        <f>SUMIF('REPORTE DIARIO'!B:B,'EPR 25 MAR'!C7, 'REPORTE DIARIO'!C:C)</f>
        <v>12982</v>
      </c>
      <c r="E7" s="16">
        <f>SUMIF('REPORTE DIARIO'!B:B,'EPR 25 MAR'!C7, 'REPORTE DIARIO'!D:D)</f>
        <v>113585.1</v>
      </c>
      <c r="F7" s="16">
        <f>J7*D7</f>
        <v>408005.71428571426</v>
      </c>
      <c r="G7" s="16">
        <f>+E7-F7</f>
        <v>-294420.61428571423</v>
      </c>
      <c r="H7" s="15">
        <f>ABS(G7/F7)</f>
        <v>0.72160904609179133</v>
      </c>
      <c r="I7" s="16">
        <f>E7/D7</f>
        <v>8.7494299799722697</v>
      </c>
      <c r="J7" s="16">
        <f>(110/7)*2</f>
        <v>31.428571428571427</v>
      </c>
      <c r="K7" s="16">
        <f t="shared" ref="K7:K9" si="0">+I7-J7</f>
        <v>-22.679141448599157</v>
      </c>
      <c r="L7" s="15"/>
    </row>
    <row r="8" spans="2:12" x14ac:dyDescent="0.25">
      <c r="B8" s="16" t="s">
        <v>30</v>
      </c>
      <c r="C8" s="1" t="s">
        <v>6</v>
      </c>
      <c r="D8" s="23">
        <f>SUMIF('REPORTE DIARIO'!B:B,'EPR 25 MAR'!C8, 'REPORTE DIARIO'!C:C)</f>
        <v>17112</v>
      </c>
      <c r="E8" s="16">
        <f>SUMIF('REPORTE DIARIO'!B:B,'EPR 25 MAR'!C8, 'REPORTE DIARIO'!D:D)</f>
        <v>63589.51</v>
      </c>
      <c r="F8" s="16">
        <f>J8*D8</f>
        <v>220011.42857142858</v>
      </c>
      <c r="G8" s="16">
        <f>+E8-F8</f>
        <v>-156421.91857142857</v>
      </c>
      <c r="H8" s="15">
        <f>ABS(G8/F8)</f>
        <v>0.71097178717988674</v>
      </c>
      <c r="I8" s="16">
        <f>E8/D8</f>
        <v>3.7160770219728847</v>
      </c>
      <c r="J8" s="16">
        <f>(45/7)*2</f>
        <v>12.857142857142858</v>
      </c>
      <c r="K8" s="16">
        <f t="shared" si="0"/>
        <v>-9.1410658351699734</v>
      </c>
      <c r="L8" s="15"/>
    </row>
    <row r="9" spans="2:12" x14ac:dyDescent="0.25">
      <c r="B9" s="16" t="s">
        <v>31</v>
      </c>
      <c r="C9" s="1" t="s">
        <v>7</v>
      </c>
      <c r="D9" s="23">
        <f>SUMIF('REPORTE DIARIO'!B:B,'EPR 25 MAR'!C9, 'REPORTE DIARIO'!C:C)</f>
        <v>82666</v>
      </c>
      <c r="E9" s="16">
        <f>SUMIF('REPORTE DIARIO'!B:B,'EPR 25 MAR'!C9, 'REPORTE DIARIO'!D:D)</f>
        <v>139153.55000000002</v>
      </c>
      <c r="F9" s="16">
        <f>J9*D9</f>
        <v>354282.85714285716</v>
      </c>
      <c r="G9" s="16">
        <f>+E9-F9</f>
        <v>-215129.30714285714</v>
      </c>
      <c r="H9" s="15">
        <f>ABS(G9/F9)</f>
        <v>0.60722471552189938</v>
      </c>
      <c r="I9" s="16">
        <f>E9/D9</f>
        <v>1.6833226477632885</v>
      </c>
      <c r="J9" s="16">
        <f>(15/7)*2</f>
        <v>4.2857142857142856</v>
      </c>
      <c r="K9" s="16">
        <f t="shared" si="0"/>
        <v>-2.6023916379509968</v>
      </c>
    </row>
    <row r="10" spans="2:12" x14ac:dyDescent="0.25">
      <c r="B10" s="16"/>
      <c r="C10" s="19" t="s">
        <v>17</v>
      </c>
      <c r="D10" s="24">
        <f>SUM(D6:D9)</f>
        <v>130575</v>
      </c>
      <c r="E10" s="20">
        <f>SUM(E6:E9)</f>
        <v>633552.94000000006</v>
      </c>
      <c r="F10" s="20">
        <f>SUM(F6:F9)</f>
        <v>2000300</v>
      </c>
      <c r="G10" s="20">
        <f>+E10-F10</f>
        <v>-1366747.06</v>
      </c>
      <c r="H10" s="21">
        <f>ABS(G10/F10)</f>
        <v>0.68327103934409839</v>
      </c>
      <c r="I10" s="20">
        <f>E10/D10</f>
        <v>4.8520232816389051</v>
      </c>
      <c r="J10" s="20">
        <f>F10/D10</f>
        <v>15.31916523071032</v>
      </c>
      <c r="K10" s="20">
        <f>I10-J10</f>
        <v>-10.467141949071415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25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2025-03-01T19:30:03Z</cp:lastPrinted>
  <dcterms:created xsi:type="dcterms:W3CDTF">2025-01-27T15:11:28Z</dcterms:created>
  <dcterms:modified xsi:type="dcterms:W3CDTF">2025-03-26T02:42:08Z</dcterms:modified>
</cp:coreProperties>
</file>