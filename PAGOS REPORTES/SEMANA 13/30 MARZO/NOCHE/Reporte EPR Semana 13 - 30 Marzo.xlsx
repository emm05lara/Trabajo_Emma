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30 MARZO\NOCHE\"/>
    </mc:Choice>
  </mc:AlternateContent>
  <xr:revisionPtr revIDLastSave="0" documentId="13_ncr:1_{933B8D31-09DA-44AC-8A87-D2C9912BA985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3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56" i="1"/>
  <c r="C56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<sst xmlns="http://schemas.openxmlformats.org/spreadsheetml/2006/main" count="87" uniqueCount="36">
  <si>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</si>
  <si>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</si>
  <si>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</si>
  <si>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</si>
  <si>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</si>
  <si>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</si>
  <si>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</si>
  <si>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</si>
  <si>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</si>
  <si>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</si>
  <si>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</si>
  <si>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</si>
  <si>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</si>
  <si>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</si>
  <si>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</si>
  <si>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</si>
  <si>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</si>
  <si>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</si>
  <si>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</si>
  <si>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</si>
  <si>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</si>
  <si>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</si>
  <si>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</si>
  <si>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</si>
  <si>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</si>
  <si>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</si>
  <si>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</si>
  <si>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</si>
  <si>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</si>
  <si>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</si>
  <si>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</si>
  <si>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</si>
  <si>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</si>
  <si>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</si>
  <si>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</si>
  <si>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30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</si>
</sst>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4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3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7393</v>
      </c>
      <c r="D5" s="25">
        <v>83284</v>
      </c>
    </row>
    <row r="6" spans="2:8" x14ac:dyDescent="0.25">
      <c r="B6" s="1" t="s">
        <v>5</v>
      </c>
      <c r="C6" s="6">
        <v>7932</v>
      </c>
      <c r="D6" s="25">
        <v>61323.86</v>
      </c>
    </row>
    <row r="7" spans="2:8" x14ac:dyDescent="0.25">
      <c r="B7" s="1" t="s">
        <v>6</v>
      </c>
      <c r="C7" s="6">
        <v>10188</v>
      </c>
      <c r="D7" s="25">
        <v>109869</v>
      </c>
    </row>
    <row r="8" spans="2:8" x14ac:dyDescent="0.25">
      <c r="B8" s="5" t="s">
        <v>12</v>
      </c>
      <c r="C8" s="7">
        <v>21</v>
      </c>
      <c r="D8" s="27">
        <v>0</v>
      </c>
    </row>
    <row r="9" spans="2:8" x14ac:dyDescent="0.25">
      <c r="B9" s="1" t="s">
        <v>7</v>
      </c>
      <c r="C9" s="6">
        <v>29562</v>
      </c>
      <c r="D9" s="25">
        <v>62636.51</v>
      </c>
    </row>
    <row r="10" spans="2:8" x14ac:dyDescent="0.25">
      <c r="B10" s="3" t="s">
        <v>8</v>
      </c>
      <c r="C10" s="8">
        <f>SUM(C5:C9)</f>
        <v>55096</v>
      </c>
      <c r="D10" s="4">
        <f>SUM(D5:D9)</f>
        <v>317113.37</v>
      </c>
    </row>
    <row r="12" spans="2:8" x14ac:dyDescent="0.25">
      <c r="B12" s="28" t="s">
        <v>32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3256</v>
      </c>
      <c r="D14" s="25">
        <v>22615.23</v>
      </c>
    </row>
    <row r="15" spans="2:8" x14ac:dyDescent="0.25">
      <c r="B15" s="1" t="s">
        <v>5</v>
      </c>
      <c r="C15" s="6">
        <v>1803</v>
      </c>
      <c r="D15" s="25">
        <v>14130</v>
      </c>
    </row>
    <row r="16" spans="2:8" x14ac:dyDescent="0.25">
      <c r="B16" s="1" t="s">
        <v>6</v>
      </c>
      <c r="C16" s="6">
        <v>3456</v>
      </c>
      <c r="D16" s="25">
        <v>7601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21206</v>
      </c>
      <c r="D18" s="25">
        <v>49154</v>
      </c>
    </row>
    <row r="19" spans="2:11" x14ac:dyDescent="0.25">
      <c r="B19" s="3" t="s">
        <v>8</v>
      </c>
      <c r="C19" s="8">
        <f>SUM(C14:C18)</f>
        <v>29723</v>
      </c>
      <c r="D19" s="4">
        <f>SUM(D14:D18)</f>
        <v>93500.23</v>
      </c>
    </row>
    <row r="21" spans="2:11" x14ac:dyDescent="0.25">
      <c r="B21" s="29" t="s">
        <v>10</v>
      </c>
      <c r="C21" s="29"/>
      <c r="D21" s="29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1491</v>
      </c>
      <c r="D23" s="25">
        <v>25633.8</v>
      </c>
    </row>
    <row r="24" spans="2:11" x14ac:dyDescent="0.25">
      <c r="B24" s="9" t="s">
        <v>5</v>
      </c>
      <c r="C24" s="6">
        <v>1404</v>
      </c>
      <c r="D24" s="25">
        <v>14171</v>
      </c>
    </row>
    <row r="25" spans="2:11" x14ac:dyDescent="0.25">
      <c r="B25" s="9" t="s">
        <v>6</v>
      </c>
      <c r="C25" s="6">
        <v>735</v>
      </c>
      <c r="D25" s="25">
        <v>379</v>
      </c>
    </row>
    <row r="26" spans="2:11" x14ac:dyDescent="0.25">
      <c r="B26" s="9" t="s">
        <v>7</v>
      </c>
      <c r="C26" s="6">
        <v>8472</v>
      </c>
      <c r="D26" s="25">
        <v>5804</v>
      </c>
      <c r="K26" s="7"/>
    </row>
    <row r="27" spans="2:11" x14ac:dyDescent="0.25">
      <c r="B27" s="10" t="s">
        <v>8</v>
      </c>
      <c r="C27" s="8">
        <f>SUM(C23:C26)</f>
        <v>12102</v>
      </c>
      <c r="D27" s="4">
        <f>SUM(D23:D26)</f>
        <v>45987.8</v>
      </c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1247</v>
      </c>
      <c r="D31" s="25">
        <v>27170.14</v>
      </c>
    </row>
    <row r="32" spans="2:11" x14ac:dyDescent="0.25">
      <c r="B32" s="9" t="s">
        <v>5</v>
      </c>
      <c r="C32" s="6">
        <v>1169</v>
      </c>
      <c r="D32" s="25">
        <v>1695.08</v>
      </c>
    </row>
    <row r="33" spans="2:4" x14ac:dyDescent="0.25">
      <c r="B33" s="9" t="s">
        <v>6</v>
      </c>
      <c r="C33" s="6">
        <v>2996</v>
      </c>
      <c r="D33" s="25">
        <v>1992</v>
      </c>
    </row>
    <row r="34" spans="2:4" x14ac:dyDescent="0.25">
      <c r="B34" s="9" t="s">
        <v>7</v>
      </c>
      <c r="C34" s="6">
        <v>1900</v>
      </c>
      <c r="D34" s="25">
        <v>2141</v>
      </c>
    </row>
    <row r="35" spans="2:4" x14ac:dyDescent="0.25">
      <c r="B35" s="10" t="s">
        <v>8</v>
      </c>
      <c r="C35" s="8">
        <f>SUM(C31:C34)</f>
        <v>7312</v>
      </c>
      <c r="D35" s="4">
        <f>SUM(D31:D34)</f>
        <v>32998.22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2746</v>
      </c>
      <c r="D39" s="25">
        <v>8977</v>
      </c>
    </row>
    <row r="40" spans="2:4" x14ac:dyDescent="0.25">
      <c r="B40" s="10" t="s">
        <v>8</v>
      </c>
      <c r="C40" s="8">
        <f>SUM(C39:C39)</f>
        <v>2746</v>
      </c>
      <c r="D40" s="4">
        <f>SUM(D39:D39)</f>
        <v>8977</v>
      </c>
    </row>
    <row r="42" spans="2:4" x14ac:dyDescent="0.25">
      <c r="B42" s="28" t="s">
        <v>33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123</v>
      </c>
      <c r="D45" s="26">
        <v>0</v>
      </c>
    </row>
    <row r="46" spans="2:4" x14ac:dyDescent="0.25">
      <c r="B46" s="1" t="s">
        <v>6</v>
      </c>
      <c r="C46" s="6">
        <v>164</v>
      </c>
      <c r="D46" s="26">
        <v>0</v>
      </c>
    </row>
    <row r="47" spans="2:4" x14ac:dyDescent="0.25">
      <c r="B47" s="1" t="s">
        <v>7</v>
      </c>
      <c r="C47" s="6">
        <v>959</v>
      </c>
      <c r="D47" s="25">
        <v>1443</v>
      </c>
    </row>
    <row r="48" spans="2:4" x14ac:dyDescent="0.25">
      <c r="B48" s="3" t="s">
        <v>8</v>
      </c>
      <c r="C48" s="8">
        <f>SUM(C44:C47)</f>
        <v>1246</v>
      </c>
      <c r="D48" s="4">
        <f>SUM(D44:D47)</f>
        <v>1443</v>
      </c>
    </row>
    <row r="50" spans="2:4" x14ac:dyDescent="0.25">
      <c r="B50" s="29" t="s">
        <v>31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141</v>
      </c>
      <c r="D53" s="26">
        <v>0</v>
      </c>
    </row>
    <row r="54" spans="2:4" x14ac:dyDescent="0.25">
      <c r="B54" s="9" t="s">
        <v>6</v>
      </c>
      <c r="C54" s="6">
        <v>15</v>
      </c>
      <c r="D54" s="26">
        <v>0</v>
      </c>
    </row>
    <row r="55" spans="2:4" x14ac:dyDescent="0.25">
      <c r="B55" s="9" t="s">
        <v>7</v>
      </c>
      <c r="C55" s="6">
        <v>10</v>
      </c>
      <c r="D55" s="26">
        <v>0</v>
      </c>
    </row>
    <row r="56" spans="2:4" x14ac:dyDescent="0.25">
      <c r="B56" s="10" t="s">
        <v>8</v>
      </c>
      <c r="C56" s="8">
        <f>SUM(C52:C55)</f>
        <v>234</v>
      </c>
      <c r="D56" s="4">
        <f>SUM(D52:D55)</f>
        <v>0</v>
      </c>
    </row>
    <row r="58" spans="2:4" x14ac:dyDescent="0.25">
      <c r="B58" s="11" t="s">
        <v>13</v>
      </c>
      <c r="C58" s="12">
        <f>SUM(C10+C35+C27+C56+C40+C19+C48)</f>
        <v>108459</v>
      </c>
      <c r="D58" s="12">
        <f>SUM(D10+D35+D27+D56+D40+D19+D48)</f>
        <v>500019.61999999994</v>
      </c>
    </row>
  </sheetData>
  <mergeCells count="7">
    <mergeCell ref="B3:D3"/>
    <mergeCell ref="B29:D29"/>
    <mergeCell ref="B50:D50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30 MAR'!C6, 'REPORTE DIARIO'!C:C)</f>
        <v>16201</v>
      </c>
      <c r="E6" s="15">
        <f>SUMIF('REPORTE DIARIO'!B:B,'EPR 30 MAR'!C6, 'REPORTE DIARIO'!D:D)</f>
        <v>167680.16999999998</v>
      </c>
      <c r="F6" s="15">
        <f>J6*D6</f>
        <v>462885.71428571432</v>
      </c>
      <c r="G6" s="15">
        <f>+E6-F6</f>
        <v>-295205.54428571434</v>
      </c>
      <c r="H6" s="14">
        <f>ABS(G6/F6)</f>
        <v>0.637750388864885</v>
      </c>
      <c r="I6" s="15">
        <f>E6/D6</f>
        <v>10.349988889574716</v>
      </c>
      <c r="J6" s="15">
        <f>200/7</f>
        <v>28.571428571428573</v>
      </c>
      <c r="K6" s="15">
        <f>+I6-J6</f>
        <v>-18.221439681853859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30 MAR'!C7, 'REPORTE DIARIO'!C:C)</f>
        <v>12572</v>
      </c>
      <c r="E7" s="15">
        <f>SUMIF('REPORTE DIARIO'!B:B,'EPR 30 MAR'!C7, 'REPORTE DIARIO'!D:D)</f>
        <v>91319.94</v>
      </c>
      <c r="F7" s="15">
        <f>J7*D7</f>
        <v>197560</v>
      </c>
      <c r="G7" s="15">
        <f>+E7-F7</f>
        <v>-106240.06</v>
      </c>
      <c r="H7" s="14">
        <f>ABS(G7/F7)</f>
        <v>0.53776098400485928</v>
      </c>
      <c r="I7" s="15">
        <f>E7/D7</f>
        <v>7.2637559656379258</v>
      </c>
      <c r="J7" s="15">
        <f>110/7</f>
        <v>15.714285714285714</v>
      </c>
      <c r="K7" s="15">
        <f t="shared" ref="K7:K9" si="0">+I7-J7</f>
        <v>-8.4505297486477886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30 MAR'!C8, 'REPORTE DIARIO'!C:C)</f>
        <v>17554</v>
      </c>
      <c r="E8" s="15">
        <f>SUMIF('REPORTE DIARIO'!B:B,'EPR 30 MAR'!C8, 'REPORTE DIARIO'!D:D)</f>
        <v>119841</v>
      </c>
      <c r="F8" s="15">
        <f>J8*D8</f>
        <v>112847.14285714286</v>
      </c>
      <c r="G8" s="15">
        <f>+E8-F8</f>
        <v>6993.8571428571449</v>
      </c>
      <c r="H8" s="14">
        <f>ABS(G8/F8)</f>
        <v>6.1976377653716171E-2</v>
      </c>
      <c r="I8" s="15">
        <f>E8/D8</f>
        <v>6.8269909992024607</v>
      </c>
      <c r="J8" s="15">
        <f>45/7</f>
        <v>6.4285714285714288</v>
      </c>
      <c r="K8" s="15">
        <f t="shared" si="0"/>
        <v>0.39841957063103184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30 MAR'!C9, 'REPORTE DIARIO'!C:C)</f>
        <v>62109</v>
      </c>
      <c r="E9" s="15">
        <f>SUMIF('REPORTE DIARIO'!B:B,'EPR 30 MAR'!C9, 'REPORTE DIARIO'!D:D)</f>
        <v>121178.51000000001</v>
      </c>
      <c r="F9" s="15">
        <f>J9*D9</f>
        <v>133090.71428571429</v>
      </c>
      <c r="G9" s="15">
        <f>+E9-F9</f>
        <v>-11912.204285714281</v>
      </c>
      <c r="H9" s="14">
        <f>ABS(G9/F9)</f>
        <v>8.9504398181691286E-2</v>
      </c>
      <c r="I9" s="15">
        <f>E9/D9</f>
        <v>1.951062003896376</v>
      </c>
      <c r="J9" s="15">
        <f>15/7</f>
        <v>2.1428571428571428</v>
      </c>
      <c r="K9" s="15">
        <f t="shared" si="0"/>
        <v>-0.19179513896076683</v>
      </c>
    </row>
    <row r="10" spans="2:12" x14ac:dyDescent="0.25">
      <c r="B10" s="15"/>
      <c r="C10" s="18" t="s">
        <v>16</v>
      </c>
      <c r="D10" s="23">
        <f>SUM(D6:D9)</f>
        <v>108436</v>
      </c>
      <c r="E10" s="19">
        <f>SUM(E6:E9)</f>
        <v>500019.62</v>
      </c>
      <c r="F10" s="19">
        <f>SUM(F6:F9)</f>
        <v>906383.57142857148</v>
      </c>
      <c r="G10" s="19">
        <f>+E10-F10</f>
        <v>-406363.95142857148</v>
      </c>
      <c r="H10" s="20">
        <f>ABS(G10/F10)</f>
        <v>0.44833552177925307</v>
      </c>
      <c r="I10" s="19">
        <f>E10/D10</f>
        <v>4.6111957283558969</v>
      </c>
      <c r="J10" s="19">
        <f>F10/D10</f>
        <v>8.3586961104114081</v>
      </c>
      <c r="K10" s="19">
        <f>I10-J10</f>
        <v>-3.7475003820555113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2025-03-31T02:24:39Z</dcterms:modified>
</cp:coreProperties>
</file>