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30 MARZO\TARDE\"/>
    </mc:Choice>
  </mc:AlternateContent>
  <xr:revisionPtr revIDLastSave="0" documentId="13_ncr:1_{E0B84079-C3F9-4E0B-AD90-BC94B6BC8EFB}" xr6:coauthVersionLast="47" xr6:coauthVersionMax="47" xr10:uidLastSave="{00000000-0000-0000-0000-000000000000}"/>
  <bookViews>
    <workbookView xWindow="2250" yWindow="2250" windowWidth="10875" windowHeight="7575" xr2:uid="{4DC6C92A-CD8A-4966-829B-0B6A986E825B}"/>
  </bookViews>
  <sheets>
    <sheet name="REPORTE DIARIO" sheetId="1" r:id="rId1"/>
    <sheet name="DATA" sheetId="4" r:id="rId2"/>
    <sheet name="EPR 30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40" i="1" l="1"/>
  <c r="C40" i="1"/>
  <c r="D35" i="1"/>
  <c r="C35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<sst xmlns="http://schemas.openxmlformats.org/spreadsheetml/2006/main" count="88" uniqueCount="37">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</sst>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7393</v>
      </c>
      <c r="D5" s="25">
        <v>824787.06</v>
      </c>
    </row>
    <row r="6" spans="2:8" x14ac:dyDescent="0.25">
      <c r="B6" s="1" t="s">
        <v>5</v>
      </c>
      <c r="C6" s="6">
        <v>7932</v>
      </c>
      <c r="D6" s="25">
        <v>527458.32999999996</v>
      </c>
    </row>
    <row r="7" spans="2:8" x14ac:dyDescent="0.25">
      <c r="B7" s="1" t="s">
        <v>6</v>
      </c>
      <c r="C7" s="6">
        <v>10188</v>
      </c>
      <c r="D7" s="25">
        <v>445867.51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29562</v>
      </c>
      <c r="D9" s="25">
        <v>764661.83000000007</v>
      </c>
      <c r="F9" s="7"/>
    </row>
    <row r="10" spans="2:8" x14ac:dyDescent="0.25">
      <c r="B10" s="3" t="s">
        <v>8</v>
      </c>
      <c r="C10" s="8">
        <f>SUM(C5:C9)</f>
        <v>55096</v>
      </c>
      <c r="D10" s="4">
        <f>SUM(D5:D9)</f>
        <v>2562774.7300000004</v>
      </c>
      <c r="E10" s="11" t="s">
        <v>14</v>
      </c>
    </row>
    <row r="12" spans="2:8" x14ac:dyDescent="0.25">
      <c r="B12" s="29" t="s">
        <v>34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3256</v>
      </c>
      <c r="D14" s="25">
        <v>401696.99999999994</v>
      </c>
    </row>
    <row r="15" spans="2:8" x14ac:dyDescent="0.25">
      <c r="B15" s="1" t="s">
        <v>5</v>
      </c>
      <c r="C15" s="6">
        <v>1803</v>
      </c>
      <c r="D15" s="25">
        <v>58486.799999999996</v>
      </c>
    </row>
    <row r="16" spans="2:8" x14ac:dyDescent="0.25">
      <c r="B16" s="1" t="s">
        <v>6</v>
      </c>
      <c r="C16" s="6">
        <v>3456</v>
      </c>
      <c r="D16" s="25">
        <v>34900.86</v>
      </c>
    </row>
    <row r="17" spans="2:11" x14ac:dyDescent="0.25">
      <c r="B17" s="5" t="s">
        <v>12</v>
      </c>
      <c r="C17" s="7">
        <v>2</v>
      </c>
      <c r="D17" s="28">
        <v>0</v>
      </c>
    </row>
    <row r="18" spans="2:11" x14ac:dyDescent="0.25">
      <c r="B18" s="1" t="s">
        <v>7</v>
      </c>
      <c r="C18" s="6">
        <v>21206</v>
      </c>
      <c r="D18" s="25">
        <v>201716.29</v>
      </c>
    </row>
    <row r="19" spans="2:11" x14ac:dyDescent="0.25">
      <c r="B19" s="3" t="s">
        <v>8</v>
      </c>
      <c r="C19" s="8">
        <f>SUM(C14:C18)</f>
        <v>29723</v>
      </c>
      <c r="D19" s="4">
        <f>SUM(D14:D18)</f>
        <v>696800.95</v>
      </c>
    </row>
    <row r="21" spans="2:11" x14ac:dyDescent="0.25">
      <c r="B21" s="30" t="s">
        <v>10</v>
      </c>
      <c r="C21" s="30"/>
      <c r="D21" s="30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1491</v>
      </c>
      <c r="D23" s="25">
        <v>273224.63</v>
      </c>
    </row>
    <row r="24" spans="2:11" x14ac:dyDescent="0.25">
      <c r="B24" s="9" t="s">
        <v>5</v>
      </c>
      <c r="C24" s="6">
        <v>1404</v>
      </c>
      <c r="D24" s="25">
        <v>136913.33000000002</v>
      </c>
    </row>
    <row r="25" spans="2:11" x14ac:dyDescent="0.25">
      <c r="B25" s="9" t="s">
        <v>6</v>
      </c>
      <c r="C25" s="6">
        <v>735</v>
      </c>
      <c r="D25" s="25">
        <v>83982.67</v>
      </c>
    </row>
    <row r="26" spans="2:11" x14ac:dyDescent="0.25">
      <c r="B26" s="9" t="s">
        <v>7</v>
      </c>
      <c r="C26" s="6">
        <v>8472</v>
      </c>
      <c r="D26" s="25">
        <v>110640.45999999998</v>
      </c>
    </row>
    <row r="27" spans="2:11" x14ac:dyDescent="0.25">
      <c r="B27" s="10" t="s">
        <v>8</v>
      </c>
      <c r="C27" s="8">
        <f>SUM(C23:C26)</f>
        <v>12102</v>
      </c>
      <c r="D27" s="4">
        <f>SUM(D23:D26)</f>
        <v>604761.09</v>
      </c>
      <c r="K27" s="7"/>
    </row>
    <row r="29" spans="2:11" x14ac:dyDescent="0.25">
      <c r="B29" s="29" t="s">
        <v>9</v>
      </c>
      <c r="C29" s="29"/>
      <c r="D29" s="29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1247</v>
      </c>
      <c r="D31" s="25">
        <v>289807.52</v>
      </c>
    </row>
    <row r="32" spans="2:11" x14ac:dyDescent="0.25">
      <c r="B32" s="9" t="s">
        <v>5</v>
      </c>
      <c r="C32" s="6">
        <v>1169</v>
      </c>
      <c r="D32" s="25">
        <v>94614.790000000023</v>
      </c>
    </row>
    <row r="33" spans="2:4" x14ac:dyDescent="0.25">
      <c r="B33" s="9" t="s">
        <v>6</v>
      </c>
      <c r="C33" s="6">
        <v>2996</v>
      </c>
      <c r="D33" s="25">
        <v>67356.44</v>
      </c>
    </row>
    <row r="34" spans="2:4" x14ac:dyDescent="0.25">
      <c r="B34" s="9" t="s">
        <v>7</v>
      </c>
      <c r="C34" s="6">
        <v>1900</v>
      </c>
      <c r="D34" s="25">
        <v>73978.39</v>
      </c>
    </row>
    <row r="35" spans="2:4" x14ac:dyDescent="0.25">
      <c r="B35" s="10" t="s">
        <v>8</v>
      </c>
      <c r="C35" s="8">
        <f>SUM(C31:C34)</f>
        <v>7312</v>
      </c>
      <c r="D35" s="4">
        <f>SUM(D31:D34)</f>
        <v>525757.14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2746</v>
      </c>
      <c r="D39" s="25">
        <v>63087</v>
      </c>
    </row>
    <row r="40" spans="2:4" x14ac:dyDescent="0.25">
      <c r="B40" s="10" t="s">
        <v>8</v>
      </c>
      <c r="C40" s="8">
        <f>SUM(C39:C39)</f>
        <v>2746</v>
      </c>
      <c r="D40" s="4">
        <f>SUM(D39:D39)</f>
        <v>63087</v>
      </c>
    </row>
    <row r="42" spans="2:4" x14ac:dyDescent="0.25">
      <c r="B42" s="29" t="s">
        <v>35</v>
      </c>
      <c r="C42" s="29"/>
      <c r="D42" s="29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0</v>
      </c>
      <c r="D44" s="25">
        <v>250.86</v>
      </c>
    </row>
    <row r="45" spans="2:4" x14ac:dyDescent="0.25">
      <c r="B45" s="1" t="s">
        <v>5</v>
      </c>
      <c r="C45" s="6">
        <v>123</v>
      </c>
      <c r="D45" s="25">
        <v>25329</v>
      </c>
    </row>
    <row r="46" spans="2:4" x14ac:dyDescent="0.25">
      <c r="B46" s="1" t="s">
        <v>6</v>
      </c>
      <c r="C46" s="6">
        <v>164</v>
      </c>
      <c r="D46" s="27">
        <v>0</v>
      </c>
    </row>
    <row r="47" spans="2:4" x14ac:dyDescent="0.25">
      <c r="B47" s="1" t="s">
        <v>7</v>
      </c>
      <c r="C47" s="6">
        <v>959</v>
      </c>
      <c r="D47" s="25">
        <v>6321</v>
      </c>
    </row>
    <row r="48" spans="2:4" x14ac:dyDescent="0.25">
      <c r="B48" s="3" t="s">
        <v>8</v>
      </c>
      <c r="C48" s="8">
        <f>SUM(C44:C47)</f>
        <v>1246</v>
      </c>
      <c r="D48" s="4">
        <f>SUM(D44:D47)</f>
        <v>31900.86</v>
      </c>
    </row>
    <row r="50" spans="2:4" x14ac:dyDescent="0.25">
      <c r="B50" s="30" t="s">
        <v>32</v>
      </c>
      <c r="C50" s="30"/>
      <c r="D50" s="30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16850.32</v>
      </c>
    </row>
    <row r="53" spans="2:4" x14ac:dyDescent="0.25">
      <c r="B53" s="9" t="s">
        <v>5</v>
      </c>
      <c r="C53" s="6">
        <v>141</v>
      </c>
      <c r="D53" s="28">
        <v>0</v>
      </c>
    </row>
    <row r="54" spans="2:4" x14ac:dyDescent="0.25">
      <c r="B54" s="9" t="s">
        <v>6</v>
      </c>
      <c r="C54" s="6">
        <v>15</v>
      </c>
      <c r="D54" s="28">
        <v>0</v>
      </c>
    </row>
    <row r="55" spans="2:4" x14ac:dyDescent="0.25">
      <c r="B55" s="9" t="s">
        <v>7</v>
      </c>
      <c r="C55" s="6">
        <v>10</v>
      </c>
      <c r="D55" s="25">
        <v>477</v>
      </c>
    </row>
    <row r="56" spans="2:4" x14ac:dyDescent="0.25">
      <c r="B56" s="10" t="s">
        <v>8</v>
      </c>
      <c r="C56" s="8">
        <f>SUM(C52:C55)</f>
        <v>234</v>
      </c>
      <c r="D56" s="4">
        <f>SUM(D52:D55)</f>
        <v>17327.32</v>
      </c>
    </row>
    <row r="58" spans="2:4" x14ac:dyDescent="0.25">
      <c r="B58" s="12" t="s">
        <v>13</v>
      </c>
      <c r="C58" s="13">
        <f>SUM(C10+C27+C56+C35+C40+C19+C48)</f>
        <v>108459</v>
      </c>
      <c r="D58" s="13">
        <f>SUM(D10+D27+D56+D35+D40+D19+D48)</f>
        <v>4502409.0900000008</v>
      </c>
    </row>
  </sheetData>
  <mergeCells count="7">
    <mergeCell ref="B12:D12"/>
    <mergeCell ref="B42:D42"/>
    <mergeCell ref="B3:D3"/>
    <mergeCell ref="B50:D50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30 MAR'!C6, 'REPORTE DIARIO'!C:C)</f>
        <v>16201</v>
      </c>
      <c r="E6" s="16">
        <f>SUMIF('REPORTE DIARIO'!B:B,'EPR 30 MAR'!C6, 'REPORTE DIARIO'!D:D)</f>
        <v>1869704.3900000001</v>
      </c>
      <c r="F6" s="16">
        <f>J6*D6</f>
        <v>3240200</v>
      </c>
      <c r="G6" s="16">
        <f>+E6-F6</f>
        <v>-1370495.6099999999</v>
      </c>
      <c r="H6" s="15">
        <f>ABS(G6/F6)</f>
        <v>0.42296636318745751</v>
      </c>
      <c r="I6" s="16">
        <f>E6/D6</f>
        <v>115.40672736250849</v>
      </c>
      <c r="J6" s="16">
        <f>(200/7)*7</f>
        <v>200</v>
      </c>
      <c r="K6" s="16">
        <f>+I6-J6</f>
        <v>-84.593272637491509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30 MAR'!C7, 'REPORTE DIARIO'!C:C)</f>
        <v>12572</v>
      </c>
      <c r="E7" s="16">
        <f>SUMIF('REPORTE DIARIO'!B:B,'EPR 30 MAR'!C7, 'REPORTE DIARIO'!D:D)</f>
        <v>842802.25</v>
      </c>
      <c r="F7" s="16">
        <f>J7*D7</f>
        <v>1382920</v>
      </c>
      <c r="G7" s="16">
        <f>+E7-F7</f>
        <v>-540117.75</v>
      </c>
      <c r="H7" s="15">
        <f>ABS(G7/F7)</f>
        <v>0.39056326468631591</v>
      </c>
      <c r="I7" s="16">
        <f>E7/D7</f>
        <v>67.03804088450525</v>
      </c>
      <c r="J7" s="16">
        <f>(110/7)*7</f>
        <v>110</v>
      </c>
      <c r="K7" s="16">
        <f t="shared" ref="K7:K9" si="0">+I7-J7</f>
        <v>-42.96195911549475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30 MAR'!C8, 'REPORTE DIARIO'!C:C)</f>
        <v>17554</v>
      </c>
      <c r="E8" s="16">
        <f>SUMIF('REPORTE DIARIO'!B:B,'EPR 30 MAR'!C8, 'REPORTE DIARIO'!D:D)</f>
        <v>632107.48</v>
      </c>
      <c r="F8" s="16">
        <f>J8*D8</f>
        <v>789930</v>
      </c>
      <c r="G8" s="16">
        <f>+E8-F8</f>
        <v>-157822.52000000002</v>
      </c>
      <c r="H8" s="15">
        <f>ABS(G8/F8)</f>
        <v>0.19979304495335032</v>
      </c>
      <c r="I8" s="16">
        <f>E8/D8</f>
        <v>36.009312977099235</v>
      </c>
      <c r="J8" s="16">
        <f>(45/7)*7</f>
        <v>45</v>
      </c>
      <c r="K8" s="16">
        <f t="shared" si="0"/>
        <v>-8.9906870229007652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30 MAR'!C9, 'REPORTE DIARIO'!C:C)</f>
        <v>62109</v>
      </c>
      <c r="E9" s="16">
        <f>SUMIF('REPORTE DIARIO'!B:B,'EPR 30 MAR'!C9, 'REPORTE DIARIO'!D:D)</f>
        <v>1157794.97</v>
      </c>
      <c r="F9" s="16">
        <f>J9*D9</f>
        <v>931635</v>
      </c>
      <c r="G9" s="16">
        <f>+E9-F9</f>
        <v>226159.96999999997</v>
      </c>
      <c r="H9" s="15">
        <f>ABS(G9/F9)</f>
        <v>0.24275598276148919</v>
      </c>
      <c r="I9" s="16">
        <f>E9/D9</f>
        <v>18.641339741422339</v>
      </c>
      <c r="J9" s="16">
        <f>(15/7)*7</f>
        <v>15</v>
      </c>
      <c r="K9" s="16">
        <f t="shared" si="0"/>
        <v>3.641339741422339</v>
      </c>
    </row>
    <row r="10" spans="2:12" x14ac:dyDescent="0.25">
      <c r="B10" s="16"/>
      <c r="C10" s="19" t="s">
        <v>17</v>
      </c>
      <c r="D10" s="24">
        <f>SUM(D6:D9)</f>
        <v>108436</v>
      </c>
      <c r="E10" s="20">
        <f>SUM(E6:E9)</f>
        <v>4502409.09</v>
      </c>
      <c r="F10" s="20">
        <f>SUM(F6:F9)</f>
        <v>6344685</v>
      </c>
      <c r="G10" s="20">
        <f>+E10-F10</f>
        <v>-1842275.9100000001</v>
      </c>
      <c r="H10" s="21">
        <f>ABS(G10/F10)</f>
        <v>0.29036522853380431</v>
      </c>
      <c r="I10" s="20">
        <f>E10/D10</f>
        <v>41.52134982847025</v>
      </c>
      <c r="J10" s="20">
        <f>F10/D10</f>
        <v>58.510872772879857</v>
      </c>
      <c r="K10" s="20">
        <f>I10-J10</f>
        <v>-16.989522944409607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30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2025-03-30T23:06:55Z</dcterms:modified>
</cp:coreProperties>
</file>