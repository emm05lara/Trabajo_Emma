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MAÑANA\"/>
    </mc:Choice>
  </mc:AlternateContent>
  <xr:revisionPtr revIDLastSave="0" documentId="13_ncr:1_{07268140-995A-48F9-98B6-4E80E4DE8EFD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5" l="1"/>
  <c r="D10" i="1"/>
  <c r="C33" i="5"/>
  <c r="D18" i="1"/>
  <c r="D41" i="5"/>
  <c r="C18" i="1"/>
  <c r="C34" i="1"/>
  <c r="D34" i="1"/>
  <c r="C41" i="5"/>
  <c r="D48" i="5"/>
  <c r="D27" i="5"/>
  <c r="C27" i="5"/>
  <c r="C42" i="1"/>
  <c r="D42" i="1"/>
  <c r="C26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<sst xmlns="http://schemas.openxmlformats.org/spreadsheetml/2006/main" count="139" uniqueCount="37">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</sst>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9" t="s">
        <v>36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7364</v>
      </c>
      <c r="D5" s="28">
        <v>852537.58000000007</v>
      </c>
    </row>
    <row r="6" spans="2:8" x14ac:dyDescent="0.25">
      <c r="B6" s="1" t="s">
        <v>4</v>
      </c>
      <c r="C6" s="6">
        <v>7654</v>
      </c>
      <c r="D6" s="28">
        <v>540836.46</v>
      </c>
    </row>
    <row r="7" spans="2:8" x14ac:dyDescent="0.25">
      <c r="B7" s="1" t="s">
        <v>5</v>
      </c>
      <c r="C7" s="6">
        <v>5852</v>
      </c>
      <c r="D7" s="28">
        <v>182009.21999999997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36006</v>
      </c>
      <c r="D9" s="28">
        <v>458731.06</v>
      </c>
      <c r="E9" s="14"/>
      <c r="F9" s="7"/>
    </row>
    <row r="10" spans="2:8" x14ac:dyDescent="0.25">
      <c r="B10" s="3" t="s">
        <v>7</v>
      </c>
      <c r="C10" s="8">
        <f>SUM(C5:C9)</f>
        <v>57378</v>
      </c>
      <c r="D10" s="4">
        <f>SUM(D5:D9)</f>
        <v>2035114.32</v>
      </c>
      <c r="E10" s="11" t="s">
        <v>12</v>
      </c>
    </row>
    <row r="12" spans="2:8" x14ac:dyDescent="0.25">
      <c r="B12" s="29" t="s">
        <v>33</v>
      </c>
      <c r="C12" s="29"/>
      <c r="D12" s="2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85</v>
      </c>
      <c r="D14" s="28">
        <v>37768.68</v>
      </c>
    </row>
    <row r="15" spans="2:8" x14ac:dyDescent="0.25">
      <c r="B15" s="1" t="s">
        <v>4</v>
      </c>
      <c r="C15" s="6">
        <v>117</v>
      </c>
      <c r="D15" s="28">
        <v>61685.03</v>
      </c>
    </row>
    <row r="16" spans="2:8" x14ac:dyDescent="0.25">
      <c r="B16" s="1" t="s">
        <v>5</v>
      </c>
      <c r="C16" s="6">
        <v>2080</v>
      </c>
      <c r="D16" s="28">
        <v>146644</v>
      </c>
    </row>
    <row r="17" spans="2:4" x14ac:dyDescent="0.25">
      <c r="B17" s="1" t="s">
        <v>6</v>
      </c>
      <c r="C17" s="7">
        <v>14172</v>
      </c>
      <c r="D17" s="28">
        <v>129230</v>
      </c>
    </row>
    <row r="18" spans="2:4" x14ac:dyDescent="0.25">
      <c r="B18" s="3" t="s">
        <v>7</v>
      </c>
      <c r="C18" s="8">
        <f>SUM(C14:C17)</f>
        <v>16454</v>
      </c>
      <c r="D18" s="4">
        <f>SUM(D14:D17)</f>
        <v>375327.70999999996</v>
      </c>
    </row>
    <row r="20" spans="2:4" x14ac:dyDescent="0.25">
      <c r="B20" s="30" t="s">
        <v>8</v>
      </c>
      <c r="C20" s="30"/>
      <c r="D20" s="3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548</v>
      </c>
      <c r="D22" s="28">
        <v>44193.29</v>
      </c>
    </row>
    <row r="23" spans="2:4" x14ac:dyDescent="0.25">
      <c r="B23" s="9" t="s">
        <v>4</v>
      </c>
      <c r="C23" s="6">
        <v>1157</v>
      </c>
      <c r="D23" s="28">
        <v>61438.340000000004</v>
      </c>
    </row>
    <row r="24" spans="2:4" x14ac:dyDescent="0.25">
      <c r="B24" s="9" t="s">
        <v>5</v>
      </c>
      <c r="C24" s="6">
        <v>3699</v>
      </c>
      <c r="D24" s="28">
        <v>119244.85</v>
      </c>
    </row>
    <row r="25" spans="2:4" x14ac:dyDescent="0.25">
      <c r="B25" s="9" t="s">
        <v>6</v>
      </c>
      <c r="C25" s="6">
        <v>4854</v>
      </c>
      <c r="D25" s="28">
        <v>62464.24</v>
      </c>
    </row>
    <row r="26" spans="2:4" x14ac:dyDescent="0.25">
      <c r="B26" s="10" t="s">
        <v>7</v>
      </c>
      <c r="C26" s="8">
        <f>SUM(C22:C25)</f>
        <v>10258</v>
      </c>
      <c r="D26" s="4">
        <f>SUM(D22:D25)</f>
        <v>287340.72000000003</v>
      </c>
    </row>
    <row r="28" spans="2:4" x14ac:dyDescent="0.25">
      <c r="B28" s="30" t="s">
        <v>9</v>
      </c>
      <c r="C28" s="30"/>
      <c r="D28" s="30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4715</v>
      </c>
      <c r="D30" s="28">
        <v>182325.62</v>
      </c>
    </row>
    <row r="31" spans="2:4" x14ac:dyDescent="0.25">
      <c r="B31" s="1" t="s">
        <v>4</v>
      </c>
      <c r="C31" s="6">
        <v>761</v>
      </c>
      <c r="D31" s="28">
        <v>40782</v>
      </c>
    </row>
    <row r="32" spans="2:4" x14ac:dyDescent="0.25">
      <c r="B32" s="1" t="s">
        <v>5</v>
      </c>
      <c r="C32" s="6">
        <v>3576</v>
      </c>
      <c r="D32" s="28">
        <v>24341.379999999997</v>
      </c>
    </row>
    <row r="33" spans="2:4" x14ac:dyDescent="0.25">
      <c r="B33" s="1" t="s">
        <v>6</v>
      </c>
      <c r="C33" s="6">
        <v>1008</v>
      </c>
      <c r="D33" s="28">
        <v>1099</v>
      </c>
    </row>
    <row r="34" spans="2:4" x14ac:dyDescent="0.25">
      <c r="B34" s="10" t="s">
        <v>7</v>
      </c>
      <c r="C34" s="8">
        <f>SUM(C30:C33)</f>
        <v>10060</v>
      </c>
      <c r="D34" s="4">
        <f>SUM(D30:D33)</f>
        <v>248548</v>
      </c>
    </row>
    <row r="36" spans="2:4" x14ac:dyDescent="0.25">
      <c r="B36" s="29" t="s">
        <v>28</v>
      </c>
      <c r="C36" s="29"/>
      <c r="D36" s="2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4965</v>
      </c>
    </row>
    <row r="39" spans="2:4" x14ac:dyDescent="0.25">
      <c r="B39" s="1" t="s">
        <v>4</v>
      </c>
      <c r="C39" s="6">
        <v>10</v>
      </c>
      <c r="D39" s="28">
        <v>2575</v>
      </c>
    </row>
    <row r="40" spans="2:4" x14ac:dyDescent="0.25">
      <c r="B40" s="1" t="s">
        <v>5</v>
      </c>
      <c r="C40" s="6">
        <v>6</v>
      </c>
      <c r="D40" s="28">
        <v>3485</v>
      </c>
    </row>
    <row r="41" spans="2:4" x14ac:dyDescent="0.25">
      <c r="B41" s="1" t="s">
        <v>6</v>
      </c>
      <c r="C41" s="6">
        <v>687</v>
      </c>
      <c r="D41" s="28">
        <v>6654</v>
      </c>
    </row>
    <row r="42" spans="2:4" x14ac:dyDescent="0.25">
      <c r="B42" s="3" t="s">
        <v>7</v>
      </c>
      <c r="C42" s="8">
        <f>SUM(C38:C41)</f>
        <v>716</v>
      </c>
      <c r="D42" s="4">
        <f>SUM(D38:D41)</f>
        <v>17679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94866</v>
      </c>
      <c r="D50" s="13">
        <f>SUMIF(B:B, "Total general", D:D)</f>
        <v>2964009.7500000005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20" zoomScaleNormal="100" workbookViewId="0">
      <selection activeCell="D44" sqref="D4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35</v>
      </c>
      <c r="C1" s="29"/>
      <c r="D1" s="29"/>
    </row>
    <row r="3" spans="2:8" x14ac:dyDescent="0.25">
      <c r="B3" s="29" t="s">
        <v>34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6701</v>
      </c>
      <c r="D5" s="28">
        <v>204588.13999999998</v>
      </c>
      <c r="E5" s="11"/>
    </row>
    <row r="6" spans="2:8" x14ac:dyDescent="0.25">
      <c r="B6" s="1" t="s">
        <v>4</v>
      </c>
      <c r="C6" s="27">
        <v>8620</v>
      </c>
      <c r="D6" s="28">
        <v>116033.33</v>
      </c>
    </row>
    <row r="7" spans="2:8" x14ac:dyDescent="0.25">
      <c r="B7" s="1" t="s">
        <v>5</v>
      </c>
      <c r="C7" s="27">
        <v>8046</v>
      </c>
      <c r="D7" s="28">
        <v>54376</v>
      </c>
    </row>
    <row r="8" spans="2:8" x14ac:dyDescent="0.25">
      <c r="B8" s="5" t="s">
        <v>10</v>
      </c>
      <c r="C8" s="27">
        <v>2737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15383.8</v>
      </c>
      <c r="E9" s="14"/>
      <c r="F9" s="7"/>
    </row>
    <row r="10" spans="2:8" x14ac:dyDescent="0.25">
      <c r="B10" s="3" t="s">
        <v>7</v>
      </c>
      <c r="C10" s="8">
        <f>SUM(C5:C9)</f>
        <v>37346</v>
      </c>
      <c r="D10" s="4">
        <f>SUM(D5:D9)</f>
        <v>390781.26999999996</v>
      </c>
      <c r="E10" s="11" t="s">
        <v>12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4773</v>
      </c>
      <c r="D14" s="28">
        <v>168356.62</v>
      </c>
    </row>
    <row r="15" spans="2:8" x14ac:dyDescent="0.25">
      <c r="B15" s="1" t="s">
        <v>4</v>
      </c>
      <c r="C15" s="26">
        <v>549</v>
      </c>
      <c r="D15" s="28">
        <v>35194</v>
      </c>
    </row>
    <row r="16" spans="2:8" x14ac:dyDescent="0.25">
      <c r="B16" s="1" t="s">
        <v>5</v>
      </c>
      <c r="C16" s="26">
        <v>3485</v>
      </c>
      <c r="D16" s="28">
        <v>21123.38</v>
      </c>
    </row>
    <row r="17" spans="2:4" x14ac:dyDescent="0.25">
      <c r="B17" s="9" t="s">
        <v>6</v>
      </c>
      <c r="C17" s="26">
        <v>27</v>
      </c>
      <c r="D17" s="28">
        <v>1099</v>
      </c>
    </row>
    <row r="18" spans="2:4" x14ac:dyDescent="0.25">
      <c r="B18" s="10" t="s">
        <v>7</v>
      </c>
      <c r="C18" s="8">
        <f>SUM(C14:C17)</f>
        <v>8834</v>
      </c>
      <c r="D18" s="4">
        <f>SUM(D14:D17)</f>
        <v>225773</v>
      </c>
    </row>
    <row r="20" spans="2:4" x14ac:dyDescent="0.25">
      <c r="B20" s="29" t="s">
        <v>36</v>
      </c>
      <c r="C20" s="29"/>
      <c r="D20" s="29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1254</v>
      </c>
      <c r="D22" s="28">
        <v>36456.710000000006</v>
      </c>
    </row>
    <row r="23" spans="2:4" x14ac:dyDescent="0.25">
      <c r="B23" s="1" t="s">
        <v>4</v>
      </c>
      <c r="C23" s="26">
        <v>1034</v>
      </c>
      <c r="D23" s="28">
        <v>4025</v>
      </c>
    </row>
    <row r="24" spans="2:4" x14ac:dyDescent="0.25">
      <c r="B24" s="1" t="s">
        <v>5</v>
      </c>
      <c r="C24" s="26">
        <v>1080</v>
      </c>
      <c r="D24" s="28">
        <v>5668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6983</v>
      </c>
    </row>
    <row r="27" spans="2:4" x14ac:dyDescent="0.25">
      <c r="B27" s="3" t="s">
        <v>7</v>
      </c>
      <c r="C27" s="8">
        <f>SUM(C22:C26)</f>
        <v>3672</v>
      </c>
      <c r="D27" s="4">
        <f>SUM(D22:D26)</f>
        <v>53132.710000000006</v>
      </c>
    </row>
    <row r="29" spans="2:4" x14ac:dyDescent="0.25">
      <c r="B29" s="29" t="s">
        <v>28</v>
      </c>
      <c r="C29" s="29"/>
      <c r="D29" s="29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1764</v>
      </c>
    </row>
    <row r="32" spans="2:4" x14ac:dyDescent="0.25">
      <c r="B32" s="1" t="s">
        <v>6</v>
      </c>
      <c r="C32" s="26">
        <v>64</v>
      </c>
      <c r="D32" s="28">
        <v>557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2321</v>
      </c>
    </row>
    <row r="35" spans="2:4" x14ac:dyDescent="0.25">
      <c r="B35" s="29" t="s">
        <v>33</v>
      </c>
      <c r="C35" s="29"/>
      <c r="D35" s="29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8">
        <v>936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1679</v>
      </c>
    </row>
    <row r="43" spans="2:4" x14ac:dyDescent="0.25">
      <c r="B43" s="30" t="s">
        <v>8</v>
      </c>
      <c r="C43" s="30"/>
      <c r="D43" s="30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744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744</v>
      </c>
    </row>
    <row r="50" spans="2:4" x14ac:dyDescent="0.25">
      <c r="B50" s="12" t="s">
        <v>11</v>
      </c>
      <c r="C50" s="13">
        <f>SUMIF(B:B, "Total general", C:C)</f>
        <v>50430</v>
      </c>
      <c r="D50" s="13">
        <f>SUMIF(B:B, "Total general", D:D)</f>
        <v>674430.98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35</v>
      </c>
      <c r="C1" s="29"/>
      <c r="D1" s="29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12734</v>
      </c>
      <c r="D3" s="14">
        <f>SUMIF('CDC-OLGUIN'!B:B, "Extrajudicial - 0 a 28 semanas de atraso", 'CDC-OLGUIN'!D:D)</f>
        <v>411908.47000000003</v>
      </c>
    </row>
    <row r="4" spans="2:6" x14ac:dyDescent="0.25">
      <c r="B4" s="1" t="s">
        <v>4</v>
      </c>
      <c r="C4" s="6">
        <f>SUMIF('CDC-OLGUIN'!B:B, "Extrajudicial - 29 a 39 semanas de atraso", 'CDC-OLGUIN'!C:C)</f>
        <v>10204</v>
      </c>
      <c r="D4" s="14">
        <f>SUMIF('CDC-OLGUIN'!B:B, "Extrajudicial - 29 a 39 semanas de atraso", 'CDC-OLGUIN'!D:D)</f>
        <v>155252.33000000002</v>
      </c>
    </row>
    <row r="5" spans="2:6" x14ac:dyDescent="0.25">
      <c r="B5" s="1" t="s">
        <v>5</v>
      </c>
      <c r="C5" s="6">
        <f>SUMIF('CDC-OLGUIN'!B:B, "Extrajudicial - 40 a 55 semanas de atraso", 'CDC-OLGUIN'!C:C)</f>
        <v>12612</v>
      </c>
      <c r="D5" s="14">
        <f>SUMIF('CDC-OLGUIN'!B:B, "Extrajudicial - 40 a 55 semanas de atraso", 'CDC-OLGUIN'!D:D)</f>
        <v>81167.38</v>
      </c>
    </row>
    <row r="6" spans="2:6" x14ac:dyDescent="0.25">
      <c r="B6" s="5" t="s">
        <v>10</v>
      </c>
      <c r="C6" s="6">
        <f>SUMIF('CDC-OLGUIN'!B:B, "JUDICIAL", 'CDC-OLGUIN'!C:C)</f>
        <v>2737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25702.799999999999</v>
      </c>
      <c r="E7" s="14"/>
      <c r="F7" s="7"/>
    </row>
    <row r="8" spans="2:6" x14ac:dyDescent="0.25">
      <c r="B8" s="3" t="s">
        <v>7</v>
      </c>
      <c r="C8" s="8">
        <f>SUM(C3:C7)</f>
        <v>50430</v>
      </c>
      <c r="D8" s="4">
        <f>SUM(D3:D7)</f>
        <v>674430.9800000001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12725</v>
      </c>
      <c r="E6" s="16">
        <f>SUMIF('REPORTE DIARIO'!B:B,'EPR 26 JUN'!C6, 'REPORTE DIARIO'!D:D)</f>
        <v>1121790.1700000002</v>
      </c>
      <c r="F6" s="16">
        <f>J6*D6</f>
        <v>799857.14285714284</v>
      </c>
      <c r="G6" s="16">
        <f>+E6-F6</f>
        <v>321933.02714285732</v>
      </c>
      <c r="H6" s="15">
        <f>ABS(G6/F6)</f>
        <v>0.40248815681371697</v>
      </c>
      <c r="I6" s="16">
        <f>E6/D6</f>
        <v>88.156398428290785</v>
      </c>
      <c r="J6" s="16">
        <f>(220/7)*2</f>
        <v>62.857142857142854</v>
      </c>
      <c r="K6" s="16">
        <f>+I6-J6</f>
        <v>25.299255571147931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9699</v>
      </c>
      <c r="E7" s="16">
        <f>SUMIF('REPORTE DIARIO'!B:B,'EPR 26 JUN'!C7, 'REPORTE DIARIO'!D:D)</f>
        <v>707316.83</v>
      </c>
      <c r="F7" s="16">
        <f>J7*D7</f>
        <v>304825.71428571426</v>
      </c>
      <c r="G7" s="16">
        <f>+E7-F7</f>
        <v>402491.1157142857</v>
      </c>
      <c r="H7" s="15">
        <f>ABS(G7/F7)</f>
        <v>1.3203975152077534</v>
      </c>
      <c r="I7" s="16">
        <f>E7/D7</f>
        <v>72.926779049386525</v>
      </c>
      <c r="J7" s="16">
        <f>(110/7)*2</f>
        <v>31.428571428571427</v>
      </c>
      <c r="K7" s="16">
        <f t="shared" ref="K7:K9" si="0">+I7-J7</f>
        <v>41.498207620815094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15213</v>
      </c>
      <c r="E8" s="16">
        <f>SUMIF('REPORTE DIARIO'!B:B,'EPR 26 JUN'!C8, 'REPORTE DIARIO'!D:D)</f>
        <v>475724.44999999995</v>
      </c>
      <c r="F8" s="16">
        <f>J8*D8</f>
        <v>195595.71428571429</v>
      </c>
      <c r="G8" s="16">
        <f>+E8-F8</f>
        <v>280128.73571428563</v>
      </c>
      <c r="H8" s="15">
        <f>ABS(G8/F8)</f>
        <v>1.4321823805663281</v>
      </c>
      <c r="I8" s="16">
        <f>E8/D8</f>
        <v>31.270916321567078</v>
      </c>
      <c r="J8" s="16">
        <f>(45/7)*2</f>
        <v>12.857142857142858</v>
      </c>
      <c r="K8" s="16">
        <f t="shared" si="0"/>
        <v>18.413773464424221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56727</v>
      </c>
      <c r="E9" s="16">
        <f>SUMIF('REPORTE DIARIO'!B:B,'EPR 26 JUN'!C9, 'REPORTE DIARIO'!D:D)</f>
        <v>658178.30000000005</v>
      </c>
      <c r="F9" s="16">
        <f>J9*D9</f>
        <v>243115.71428571429</v>
      </c>
      <c r="G9" s="16">
        <f>+E9-F9</f>
        <v>415062.58571428573</v>
      </c>
      <c r="H9" s="15">
        <f>ABS(G9/F9)</f>
        <v>1.7072635018010236</v>
      </c>
      <c r="I9" s="16">
        <f>E9/D9</f>
        <v>11.602557864861531</v>
      </c>
      <c r="J9" s="16">
        <f>(15/7)*2</f>
        <v>4.2857142857142856</v>
      </c>
      <c r="K9" s="16">
        <f t="shared" si="0"/>
        <v>7.3168435791472453</v>
      </c>
    </row>
    <row r="10" spans="2:12" x14ac:dyDescent="0.25">
      <c r="B10" s="16"/>
      <c r="C10" s="19" t="s">
        <v>15</v>
      </c>
      <c r="D10" s="24">
        <f>SUM(D6:D9)</f>
        <v>94364</v>
      </c>
      <c r="E10" s="20">
        <f>SUM(E6:E9)</f>
        <v>2963009.75</v>
      </c>
      <c r="F10" s="20">
        <f>SUM(F6:F9)</f>
        <v>1543394.2857142857</v>
      </c>
      <c r="G10" s="20">
        <f>+E10-F10</f>
        <v>1419615.4642857143</v>
      </c>
      <c r="H10" s="21">
        <f>ABS(G10/F10)</f>
        <v>0.91980090727672592</v>
      </c>
      <c r="I10" s="20">
        <f>E10/D10</f>
        <v>31.399789644355899</v>
      </c>
      <c r="J10" s="20">
        <f>F10/D10</f>
        <v>16.355753101969878</v>
      </c>
      <c r="K10" s="20">
        <f>I10-J10</f>
        <v>15.044036542386021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2025-11-17T17:59:30Z</cp:lastPrinted>
  <dcterms:created xsi:type="dcterms:W3CDTF">2025-01-27T15:11:28Z</dcterms:created>
  <dcterms:modified xsi:type="dcterms:W3CDTF">2025-11-17T18:02:25Z</dcterms:modified>
</cp:coreProperties>
</file>