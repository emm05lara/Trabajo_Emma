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MAÑANA\"/>
    </mc:Choice>
  </mc:AlternateContent>
  <xr:revisionPtr revIDLastSave="0" documentId="13_ncr:1_{E51EF095-B9C4-4892-9316-305B3F742D9D}" xr6:coauthVersionLast="47" xr6:coauthVersionMax="47" xr10:uidLastSave="{00000000-0000-0000-0000-000000000000}"/>
  <bookViews>
    <workbookView xWindow="-105" yWindow="0" windowWidth="26010" windowHeight="2098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<sst xmlns="http://schemas.openxmlformats.org/spreadsheetml/2006/main" count="113" uniqueCount="18">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</sst>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7314</v>
      </c>
      <c r="D5" s="18">
        <v>660384.98999999987</v>
      </c>
    </row>
    <row r="6" spans="2:8" x14ac:dyDescent="0.25">
      <c r="B6" s="1" t="s">
        <v>4</v>
      </c>
      <c r="C6" s="6">
        <v>7897</v>
      </c>
      <c r="D6" s="18">
        <v>463415.09</v>
      </c>
    </row>
    <row r="7" spans="2:8" x14ac:dyDescent="0.25">
      <c r="B7" s="1" t="s">
        <v>5</v>
      </c>
      <c r="C7" s="6">
        <v>5725</v>
      </c>
      <c r="D7" s="18">
        <v>127141.40999999999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36029</v>
      </c>
      <c r="D9" s="18">
        <v>421017.45000000007</v>
      </c>
      <c r="E9" s="14"/>
      <c r="F9" s="7"/>
    </row>
    <row r="10" spans="2:8" x14ac:dyDescent="0.25">
      <c r="B10" s="3" t="s">
        <v>7</v>
      </c>
      <c r="C10" s="8">
        <f>SUM(C5:C9)</f>
        <v>57465</v>
      </c>
      <c r="D10" s="4">
        <f>SUM(D5:D9)</f>
        <v>1671958.94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534</v>
      </c>
      <c r="D14" s="18">
        <v>27814.37</v>
      </c>
    </row>
    <row r="15" spans="2:8" x14ac:dyDescent="0.25">
      <c r="B15" s="9" t="s">
        <v>4</v>
      </c>
      <c r="C15" s="6">
        <v>997</v>
      </c>
      <c r="D15" s="18">
        <v>48595.45</v>
      </c>
    </row>
    <row r="16" spans="2:8" x14ac:dyDescent="0.25">
      <c r="B16" s="9" t="s">
        <v>5</v>
      </c>
      <c r="C16" s="6">
        <v>3860</v>
      </c>
      <c r="D16" s="18">
        <v>74200.290000000008</v>
      </c>
    </row>
    <row r="17" spans="2:4" x14ac:dyDescent="0.25">
      <c r="B17" s="9" t="s">
        <v>6</v>
      </c>
      <c r="C17" s="6">
        <v>4889</v>
      </c>
      <c r="D17" s="18">
        <v>178122.6</v>
      </c>
    </row>
    <row r="18" spans="2:4" x14ac:dyDescent="0.25">
      <c r="B18" s="10" t="s">
        <v>7</v>
      </c>
      <c r="C18" s="8">
        <f>SUM(C14:C17)</f>
        <v>10280</v>
      </c>
      <c r="D18" s="4">
        <f>SUM(D14:D17)</f>
        <v>328732.70999999996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305</v>
      </c>
      <c r="D22" s="18">
        <v>26364</v>
      </c>
    </row>
    <row r="23" spans="2:4" x14ac:dyDescent="0.25">
      <c r="B23" s="1" t="s">
        <v>4</v>
      </c>
      <c r="C23" s="6">
        <v>93</v>
      </c>
      <c r="D23" s="18">
        <v>32444.46</v>
      </c>
    </row>
    <row r="24" spans="2:4" x14ac:dyDescent="0.25">
      <c r="B24" s="1" t="s">
        <v>5</v>
      </c>
      <c r="C24" s="6">
        <v>2237</v>
      </c>
      <c r="D24" s="18">
        <v>44341</v>
      </c>
    </row>
    <row r="25" spans="2:4" x14ac:dyDescent="0.25">
      <c r="B25" s="1" t="s">
        <v>6</v>
      </c>
      <c r="C25" s="7">
        <v>14172</v>
      </c>
      <c r="D25" s="18">
        <v>122304</v>
      </c>
    </row>
    <row r="26" spans="2:4" x14ac:dyDescent="0.25">
      <c r="B26" s="3" t="s">
        <v>7</v>
      </c>
      <c r="C26" s="8">
        <f>SUM(C22:C25)</f>
        <v>16807</v>
      </c>
      <c r="D26" s="4">
        <f>SUM(D22:D25)</f>
        <v>225453.46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4156</v>
      </c>
      <c r="D30" s="18">
        <v>88500.84</v>
      </c>
    </row>
    <row r="31" spans="2:4" x14ac:dyDescent="0.25">
      <c r="B31" s="1" t="s">
        <v>4</v>
      </c>
      <c r="C31" s="6">
        <v>632</v>
      </c>
      <c r="D31" s="18">
        <v>24155.489999999998</v>
      </c>
    </row>
    <row r="32" spans="2:4" x14ac:dyDescent="0.25">
      <c r="B32" s="1" t="s">
        <v>5</v>
      </c>
      <c r="C32" s="6">
        <v>3549</v>
      </c>
      <c r="D32" s="18">
        <v>35465.199999999997</v>
      </c>
    </row>
    <row r="33" spans="2:4" x14ac:dyDescent="0.25">
      <c r="B33" s="1" t="s">
        <v>6</v>
      </c>
      <c r="C33" s="6">
        <v>1056</v>
      </c>
      <c r="D33" s="18">
        <v>399</v>
      </c>
    </row>
    <row r="34" spans="2:4" x14ac:dyDescent="0.25">
      <c r="B34" s="10" t="s">
        <v>7</v>
      </c>
      <c r="C34" s="8">
        <f>SUM(C30:C33)</f>
        <v>9393</v>
      </c>
      <c r="D34" s="4">
        <f>SUM(D30:D33)</f>
        <v>148520.52999999997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2644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8">
        <v>3485</v>
      </c>
    </row>
    <row r="41" spans="2:4" x14ac:dyDescent="0.25">
      <c r="B41" s="1" t="s">
        <v>6</v>
      </c>
      <c r="C41" s="6">
        <v>687</v>
      </c>
      <c r="D41" s="18">
        <v>7627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13756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94659</v>
      </c>
      <c r="D50" s="13">
        <f>SUMIF(B:B, "Total general", D:D)</f>
        <v>2388421.6399999997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5569</v>
      </c>
      <c r="D5" s="18">
        <v>141634.12</v>
      </c>
      <c r="E5" s="11"/>
    </row>
    <row r="6" spans="2:8" x14ac:dyDescent="0.25">
      <c r="B6" s="1" t="s">
        <v>4</v>
      </c>
      <c r="C6" s="17">
        <v>7124</v>
      </c>
      <c r="D6" s="18">
        <v>117721.97</v>
      </c>
    </row>
    <row r="7" spans="2:8" x14ac:dyDescent="0.25">
      <c r="B7" s="1" t="s">
        <v>5</v>
      </c>
      <c r="C7" s="17">
        <v>7926</v>
      </c>
      <c r="D7" s="18">
        <v>56174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37399.19</v>
      </c>
      <c r="E9" s="14"/>
      <c r="F9" s="7"/>
    </row>
    <row r="10" spans="2:8" x14ac:dyDescent="0.25">
      <c r="B10" s="3" t="s">
        <v>7</v>
      </c>
      <c r="C10" s="8">
        <f>SUM(C5:C9)</f>
        <v>34598</v>
      </c>
      <c r="D10" s="4">
        <f>SUM(D5:D9)</f>
        <v>353329.27999999997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1270</v>
      </c>
      <c r="D14" s="18">
        <v>22236</v>
      </c>
    </row>
    <row r="15" spans="2:8" x14ac:dyDescent="0.25">
      <c r="B15" s="1" t="s">
        <v>4</v>
      </c>
      <c r="C15" s="16">
        <v>1034</v>
      </c>
      <c r="D15" s="18">
        <v>124137.18</v>
      </c>
    </row>
    <row r="16" spans="2:8" x14ac:dyDescent="0.25">
      <c r="B16" s="1" t="s">
        <v>5</v>
      </c>
      <c r="C16" s="16">
        <v>1079</v>
      </c>
      <c r="D16" s="18">
        <v>3777</v>
      </c>
    </row>
    <row r="17" spans="2:4" x14ac:dyDescent="0.25">
      <c r="B17" s="1" t="s">
        <v>6</v>
      </c>
      <c r="C17" s="16">
        <v>304</v>
      </c>
      <c r="D17" s="18">
        <v>7981.04</v>
      </c>
    </row>
    <row r="18" spans="2:4" x14ac:dyDescent="0.25">
      <c r="B18" s="3" t="s">
        <v>7</v>
      </c>
      <c r="C18" s="8">
        <f>SUM(C14:C17)</f>
        <v>3687</v>
      </c>
      <c r="D18" s="4">
        <f>SUM(D14:D17)</f>
        <v>158131.22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4143</v>
      </c>
      <c r="D22" s="18">
        <v>84520.84</v>
      </c>
    </row>
    <row r="23" spans="2:4" x14ac:dyDescent="0.25">
      <c r="B23" s="1" t="s">
        <v>4</v>
      </c>
      <c r="C23" s="16">
        <v>535</v>
      </c>
      <c r="D23" s="18">
        <v>16221.49</v>
      </c>
    </row>
    <row r="24" spans="2:4" x14ac:dyDescent="0.25">
      <c r="B24" s="1" t="s">
        <v>5</v>
      </c>
      <c r="C24" s="16">
        <v>3476</v>
      </c>
      <c r="D24" s="18">
        <v>34631.199999999997</v>
      </c>
    </row>
    <row r="25" spans="2:4" x14ac:dyDescent="0.25">
      <c r="B25" s="9" t="s">
        <v>6</v>
      </c>
      <c r="C25" s="16">
        <v>30</v>
      </c>
      <c r="D25" s="18">
        <v>399</v>
      </c>
    </row>
    <row r="26" spans="2:4" x14ac:dyDescent="0.25">
      <c r="B26" s="10" t="s">
        <v>7</v>
      </c>
      <c r="C26" s="8">
        <f>SUM(C22:C25)</f>
        <v>8184</v>
      </c>
      <c r="D26" s="4">
        <f>SUM(D22:D25)</f>
        <v>135772.53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8">
        <v>1734</v>
      </c>
    </row>
    <row r="33" spans="2:4" x14ac:dyDescent="0.25">
      <c r="B33" s="1" t="s">
        <v>6</v>
      </c>
      <c r="C33" s="16">
        <v>330</v>
      </c>
      <c r="D33" s="18">
        <v>936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3433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9">
        <v>0</v>
      </c>
    </row>
    <row r="39" spans="2:4" x14ac:dyDescent="0.25">
      <c r="B39" s="1" t="s">
        <v>6</v>
      </c>
      <c r="C39" s="16">
        <v>64</v>
      </c>
      <c r="D39" s="18">
        <v>557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557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6</v>
      </c>
      <c r="C45" s="16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47046</v>
      </c>
      <c r="D48" s="13">
        <f>SUMIF(B:B, "Total general", D:D)</f>
        <v>651223.03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10988</v>
      </c>
      <c r="D3" s="14">
        <f>SUMIF(CDC!B:B, "Extrajudicial - 0 a 28 semanas de atraso", CDC!D:D)</f>
        <v>249153.96</v>
      </c>
    </row>
    <row r="4" spans="2:6" x14ac:dyDescent="0.25">
      <c r="B4" s="1" t="s">
        <v>4</v>
      </c>
      <c r="C4" s="6">
        <f>SUMIF(CDC!B:B, "Extrajudicial - 29 a 39 semanas de atraso", CDC!C:C)</f>
        <v>8693</v>
      </c>
      <c r="D4" s="14">
        <f>SUMIF(CDC!B:B, "Extrajudicial - 29 a 39 semanas de atraso", CDC!D:D)</f>
        <v>258080.63999999998</v>
      </c>
    </row>
    <row r="5" spans="2:6" x14ac:dyDescent="0.25">
      <c r="B5" s="1" t="s">
        <v>5</v>
      </c>
      <c r="C5" s="6">
        <f>SUMIF(CDC!B:B, "Extrajudicial - 40 a 55 semanas de atraso", CDC!C:C)</f>
        <v>12482</v>
      </c>
      <c r="D5" s="14">
        <f>SUMIF(CDC!B:B, "Extrajudicial - 40 a 55 semanas de atraso", CDC!D:D)</f>
        <v>96316.2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47272.23</v>
      </c>
      <c r="E7" s="14"/>
      <c r="F7" s="7"/>
    </row>
    <row r="8" spans="2:6" x14ac:dyDescent="0.25">
      <c r="B8" s="3" t="s">
        <v>7</v>
      </c>
      <c r="C8" s="8">
        <f>SUM(C3:C7)</f>
        <v>47046</v>
      </c>
      <c r="D8" s="4">
        <f>SUM(D3:D7)</f>
        <v>651223.02999999991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2025-11-23T16:03:02Z</cp:lastPrinted>
  <dcterms:created xsi:type="dcterms:W3CDTF">2025-01-27T15:11:28Z</dcterms:created>
  <dcterms:modified xsi:type="dcterms:W3CDTF">2025-11-23T16:03:26Z</dcterms:modified>
</cp:coreProperties>
</file>