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7\19 NOV\MAÑANA\"/>
    </mc:Choice>
  </mc:AlternateContent>
  <xr:revisionPtr revIDLastSave="0" documentId="13_ncr:1_{AB62A7AC-6795-4C83-83C9-C4EC4293F4AB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" sheetId="5" r:id="rId2"/>
    <sheet name="COBRANZA CDC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5" l="1"/>
  <c r="D10" i="1"/>
  <c r="C32" i="5"/>
  <c r="D18" i="1"/>
  <c r="D40" i="5"/>
  <c r="C18" i="1"/>
  <c r="C26" i="1"/>
  <c r="D26" i="1"/>
  <c r="C40" i="5"/>
  <c r="D47" i="5"/>
  <c r="D26" i="5"/>
  <c r="C26" i="5"/>
  <c r="C42" i="1"/>
  <c r="D42" i="1"/>
  <c r="C34" i="1"/>
  <c r="D18" i="5"/>
  <c r="C18" i="5"/>
  <c r="D10" i="5"/>
  <c r="D32" i="5"/>
  <c r="D7" i="6"/>
  <c r="D6" i="6"/>
  <c r="D5" i="6"/>
  <c r="D4" i="6"/>
  <c r="D3" i="6"/>
  <c r="C7" i="6"/>
  <c r="C6" i="6"/>
  <c r="C5" i="6"/>
  <c r="C4" i="6"/>
  <c r="C3" i="6"/>
  <c r="C10" i="5"/>
  <c r="C49" i="5" l="1"/>
  <c r="D8" i="6"/>
  <c r="C8" i="6"/>
  <c r="D49" i="5"/>
  <c r="D34" i="1"/>
  <c r="D50" i="1" l="1"/>
  <c r="C10" i="1"/>
  <c r="C50" i="1" l="1"/>
</calcChain>
</file>

<file path=xl/sharedStrings.xml><?xml version="1.0" encoding="utf-8"?>
<sst xmlns="http://schemas.openxmlformats.org/spreadsheetml/2006/main" count="114" uniqueCount="18">
  <si>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</si>
  <si>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</si>
  <si>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</si>
  <si>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</si>
  <si>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</si>
  <si>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</si>
  <si>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</si>
  <si>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</si>
  <si>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</si>
  <si>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</si>
  <si>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</si>
  <si>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</si>
  <si>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</si>
  <si>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COBRANZA GENERAL  FEDERICO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</si>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</sst>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2" xfId="0" applyNumberForma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19" t="s">
        <v>17</v>
      </c>
      <c r="C3" s="19"/>
      <c r="D3" s="1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7412</v>
      </c>
      <c r="D5" s="18">
        <v>70079.75</v>
      </c>
    </row>
    <row r="6" spans="2:8" x14ac:dyDescent="0.25">
      <c r="B6" s="1" t="s">
        <v>4</v>
      </c>
      <c r="C6" s="6">
        <v>8180</v>
      </c>
      <c r="D6" s="18">
        <v>39894.5</v>
      </c>
    </row>
    <row r="7" spans="2:8" x14ac:dyDescent="0.25">
      <c r="B7" s="1" t="s">
        <v>5</v>
      </c>
      <c r="C7" s="6">
        <v>5834</v>
      </c>
      <c r="D7" s="18">
        <v>19420.739999999998</v>
      </c>
    </row>
    <row r="8" spans="2:8" x14ac:dyDescent="0.25">
      <c r="B8" s="5" t="s">
        <v>10</v>
      </c>
      <c r="C8" s="7">
        <v>502</v>
      </c>
      <c r="D8" s="21">
        <v>0</v>
      </c>
    </row>
    <row r="9" spans="2:8" x14ac:dyDescent="0.25">
      <c r="B9" s="1" t="s">
        <v>6</v>
      </c>
      <c r="C9" s="6">
        <v>36007</v>
      </c>
      <c r="D9" s="18">
        <v>68325.489999999991</v>
      </c>
      <c r="E9" s="14"/>
      <c r="F9" s="7"/>
    </row>
    <row r="10" spans="2:8" x14ac:dyDescent="0.25">
      <c r="B10" s="3" t="s">
        <v>7</v>
      </c>
      <c r="C10" s="8">
        <f>SUM(C5:C9)</f>
        <v>57935</v>
      </c>
      <c r="D10" s="4">
        <f>SUM(D5:D9)</f>
        <v>197720.47999999998</v>
      </c>
      <c r="E10" s="11" t="s">
        <v>12</v>
      </c>
    </row>
    <row r="12" spans="2:8" x14ac:dyDescent="0.25">
      <c r="B12" s="19" t="s">
        <v>14</v>
      </c>
      <c r="C12" s="19"/>
      <c r="D12" s="19"/>
    </row>
    <row r="13" spans="2:8" x14ac:dyDescent="0.25">
      <c r="B13" s="2" t="s">
        <v>0</v>
      </c>
      <c r="C13" s="2" t="s">
        <v>1</v>
      </c>
      <c r="D13" s="2" t="s">
        <v>2</v>
      </c>
    </row>
    <row r="14" spans="2:8" x14ac:dyDescent="0.25">
      <c r="B14" s="9" t="s">
        <v>3</v>
      </c>
      <c r="C14">
        <v>85</v>
      </c>
      <c r="D14" s="18">
        <v>2788</v>
      </c>
    </row>
    <row r="15" spans="2:8" x14ac:dyDescent="0.25">
      <c r="B15" s="1" t="s">
        <v>4</v>
      </c>
      <c r="C15" s="6">
        <v>110</v>
      </c>
      <c r="D15" s="18">
        <v>6470</v>
      </c>
    </row>
    <row r="16" spans="2:8" x14ac:dyDescent="0.25">
      <c r="B16" s="1" t="s">
        <v>5</v>
      </c>
      <c r="C16" s="6">
        <v>2241</v>
      </c>
      <c r="D16" s="18">
        <v>5936</v>
      </c>
    </row>
    <row r="17" spans="2:4" x14ac:dyDescent="0.25">
      <c r="B17" s="1" t="s">
        <v>6</v>
      </c>
      <c r="C17" s="7">
        <v>14172</v>
      </c>
      <c r="D17" s="18">
        <v>25376</v>
      </c>
    </row>
    <row r="18" spans="2:4" x14ac:dyDescent="0.25">
      <c r="B18" s="3" t="s">
        <v>7</v>
      </c>
      <c r="C18" s="8">
        <f>SUM(C14:C17)</f>
        <v>16608</v>
      </c>
      <c r="D18" s="4">
        <f>SUM(D14:D17)</f>
        <v>40570</v>
      </c>
    </row>
    <row r="20" spans="2:4" x14ac:dyDescent="0.25">
      <c r="B20" s="20" t="s">
        <v>9</v>
      </c>
      <c r="C20" s="20"/>
      <c r="D20" s="20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4391</v>
      </c>
      <c r="D22" s="18">
        <v>9576</v>
      </c>
    </row>
    <row r="23" spans="2:4" x14ac:dyDescent="0.25">
      <c r="B23" s="1" t="s">
        <v>4</v>
      </c>
      <c r="C23" s="6">
        <v>645</v>
      </c>
      <c r="D23" s="18">
        <v>11107</v>
      </c>
    </row>
    <row r="24" spans="2:4" x14ac:dyDescent="0.25">
      <c r="B24" s="1" t="s">
        <v>5</v>
      </c>
      <c r="C24" s="6">
        <v>3572</v>
      </c>
      <c r="D24" s="18">
        <v>19348.86</v>
      </c>
    </row>
    <row r="25" spans="2:4" x14ac:dyDescent="0.25">
      <c r="B25" s="1" t="s">
        <v>6</v>
      </c>
      <c r="C25" s="6">
        <v>1008</v>
      </c>
      <c r="D25" s="18">
        <v>300</v>
      </c>
    </row>
    <row r="26" spans="2:4" x14ac:dyDescent="0.25">
      <c r="B26" s="10" t="s">
        <v>7</v>
      </c>
      <c r="C26" s="8">
        <f>SUM(C22:C25)</f>
        <v>9616</v>
      </c>
      <c r="D26" s="4">
        <f>SUM(D22:D25)</f>
        <v>40331.86</v>
      </c>
    </row>
    <row r="28" spans="2:4" x14ac:dyDescent="0.25">
      <c r="B28" s="20" t="s">
        <v>8</v>
      </c>
      <c r="C28" s="20"/>
      <c r="D28" s="20"/>
    </row>
    <row r="29" spans="2:4" x14ac:dyDescent="0.25">
      <c r="B29" s="4" t="s">
        <v>0</v>
      </c>
      <c r="C29" s="4" t="s">
        <v>1</v>
      </c>
      <c r="D29" s="4" t="s">
        <v>2</v>
      </c>
    </row>
    <row r="30" spans="2:4" x14ac:dyDescent="0.25">
      <c r="B30" s="9" t="s">
        <v>3</v>
      </c>
      <c r="C30" s="6">
        <v>538</v>
      </c>
      <c r="D30" s="18">
        <v>1712</v>
      </c>
    </row>
    <row r="31" spans="2:4" x14ac:dyDescent="0.25">
      <c r="B31" s="9" t="s">
        <v>4</v>
      </c>
      <c r="C31" s="6">
        <v>1090</v>
      </c>
      <c r="D31" s="18">
        <v>6820</v>
      </c>
    </row>
    <row r="32" spans="2:4" x14ac:dyDescent="0.25">
      <c r="B32" s="9" t="s">
        <v>5</v>
      </c>
      <c r="C32" s="6">
        <v>3860</v>
      </c>
      <c r="D32" s="18">
        <v>9101</v>
      </c>
    </row>
    <row r="33" spans="2:4" x14ac:dyDescent="0.25">
      <c r="B33" s="9" t="s">
        <v>6</v>
      </c>
      <c r="C33" s="6">
        <v>4903</v>
      </c>
      <c r="D33" s="18">
        <v>13950</v>
      </c>
    </row>
    <row r="34" spans="2:4" x14ac:dyDescent="0.25">
      <c r="B34" s="10" t="s">
        <v>7</v>
      </c>
      <c r="C34" s="8">
        <f>SUM(C30:C33)</f>
        <v>10391</v>
      </c>
      <c r="D34" s="4">
        <f>SUM(D30:D33)</f>
        <v>31583</v>
      </c>
    </row>
    <row r="36" spans="2:4" x14ac:dyDescent="0.25">
      <c r="B36" s="19" t="s">
        <v>13</v>
      </c>
      <c r="C36" s="19"/>
      <c r="D36" s="19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18">
        <v>625</v>
      </c>
    </row>
    <row r="39" spans="2:4" x14ac:dyDescent="0.25">
      <c r="B39" s="1" t="s">
        <v>4</v>
      </c>
      <c r="C39" s="6">
        <v>8</v>
      </c>
      <c r="D39" s="21">
        <v>0</v>
      </c>
    </row>
    <row r="40" spans="2:4" x14ac:dyDescent="0.25">
      <c r="B40" s="1" t="s">
        <v>5</v>
      </c>
      <c r="C40" s="6">
        <v>6</v>
      </c>
      <c r="D40" s="21">
        <v>0</v>
      </c>
    </row>
    <row r="41" spans="2:4" x14ac:dyDescent="0.25">
      <c r="B41" s="1" t="s">
        <v>6</v>
      </c>
      <c r="C41" s="6">
        <v>687</v>
      </c>
      <c r="D41" s="18">
        <v>819</v>
      </c>
    </row>
    <row r="42" spans="2:4" x14ac:dyDescent="0.25">
      <c r="B42" s="3" t="s">
        <v>7</v>
      </c>
      <c r="C42" s="8">
        <f>SUM(C38:C41)</f>
        <v>714</v>
      </c>
      <c r="D42" s="4">
        <f>SUM(D38:D41)</f>
        <v>1444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95264</v>
      </c>
      <c r="D50" s="13">
        <f>SUMIF(B:B, "Total general", D:D)</f>
        <v>311649.33999999997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49"/>
  <sheetViews>
    <sheetView showGridLines="0" tabSelected="1" zoomScaleNormal="100" workbookViewId="0">
      <selection activeCell="C9" sqref="C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19" t="s">
        <v>16</v>
      </c>
      <c r="C1" s="19"/>
      <c r="D1" s="19"/>
    </row>
    <row r="3" spans="2:8" x14ac:dyDescent="0.25">
      <c r="B3" s="19" t="s">
        <v>15</v>
      </c>
      <c r="C3" s="19"/>
      <c r="D3" s="19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17">
        <v>6807</v>
      </c>
      <c r="D5" s="18">
        <v>42188</v>
      </c>
      <c r="E5" s="11"/>
    </row>
    <row r="6" spans="2:8" x14ac:dyDescent="0.25">
      <c r="B6" s="1" t="s">
        <v>4</v>
      </c>
      <c r="C6" s="17">
        <v>8650</v>
      </c>
      <c r="D6" s="18">
        <v>54325.18</v>
      </c>
    </row>
    <row r="7" spans="2:8" x14ac:dyDescent="0.25">
      <c r="B7" s="1" t="s">
        <v>5</v>
      </c>
      <c r="C7" s="17">
        <v>8102</v>
      </c>
      <c r="D7" s="18">
        <v>11649</v>
      </c>
    </row>
    <row r="8" spans="2:8" x14ac:dyDescent="0.25">
      <c r="B8" s="5" t="s">
        <v>10</v>
      </c>
      <c r="C8" s="17">
        <v>2737</v>
      </c>
      <c r="D8" s="18">
        <v>400</v>
      </c>
    </row>
    <row r="9" spans="2:8" x14ac:dyDescent="0.25">
      <c r="B9" s="1" t="s">
        <v>6</v>
      </c>
      <c r="C9" s="17">
        <v>11242</v>
      </c>
      <c r="D9" s="18">
        <v>20407.830000000002</v>
      </c>
      <c r="E9" s="14"/>
      <c r="F9" s="7"/>
    </row>
    <row r="10" spans="2:8" x14ac:dyDescent="0.25">
      <c r="B10" s="3" t="s">
        <v>7</v>
      </c>
      <c r="C10" s="8">
        <f>SUM(C5:C9)</f>
        <v>37538</v>
      </c>
      <c r="D10" s="4">
        <f>SUM(D5:D9)</f>
        <v>128970.01</v>
      </c>
      <c r="E10" s="11" t="s">
        <v>12</v>
      </c>
    </row>
    <row r="12" spans="2:8" x14ac:dyDescent="0.25">
      <c r="B12" s="20" t="s">
        <v>9</v>
      </c>
      <c r="C12" s="20"/>
      <c r="D12" s="20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16">
        <v>4407</v>
      </c>
      <c r="D14" s="18">
        <v>9576</v>
      </c>
    </row>
    <row r="15" spans="2:8" x14ac:dyDescent="0.25">
      <c r="B15" s="1" t="s">
        <v>4</v>
      </c>
      <c r="C15" s="16">
        <v>540</v>
      </c>
      <c r="D15" s="18">
        <v>7419</v>
      </c>
    </row>
    <row r="16" spans="2:8" x14ac:dyDescent="0.25">
      <c r="B16" s="1" t="s">
        <v>5</v>
      </c>
      <c r="C16" s="16">
        <v>3483</v>
      </c>
      <c r="D16" s="18">
        <v>19348.86</v>
      </c>
    </row>
    <row r="17" spans="2:4" x14ac:dyDescent="0.25">
      <c r="B17" s="9" t="s">
        <v>6</v>
      </c>
      <c r="C17" s="16">
        <v>27</v>
      </c>
      <c r="D17" s="18">
        <v>300</v>
      </c>
    </row>
    <row r="18" spans="2:4" x14ac:dyDescent="0.25">
      <c r="B18" s="10" t="s">
        <v>7</v>
      </c>
      <c r="C18" s="8">
        <f>SUM(C14:C17)</f>
        <v>8457</v>
      </c>
      <c r="D18" s="4">
        <f>SUM(D14:D17)</f>
        <v>36643.86</v>
      </c>
    </row>
    <row r="20" spans="2:4" x14ac:dyDescent="0.25">
      <c r="B20" s="19" t="s">
        <v>17</v>
      </c>
      <c r="C20" s="19"/>
      <c r="D20" s="19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16">
        <v>1254</v>
      </c>
      <c r="D22" s="18">
        <v>1766</v>
      </c>
    </row>
    <row r="23" spans="2:4" x14ac:dyDescent="0.25">
      <c r="B23" s="1" t="s">
        <v>4</v>
      </c>
      <c r="C23" s="16">
        <v>1032</v>
      </c>
      <c r="D23" s="18">
        <v>210</v>
      </c>
    </row>
    <row r="24" spans="2:4" x14ac:dyDescent="0.25">
      <c r="B24" s="1" t="s">
        <v>5</v>
      </c>
      <c r="C24" s="16">
        <v>1080</v>
      </c>
      <c r="D24" s="18">
        <v>10</v>
      </c>
    </row>
    <row r="25" spans="2:4" x14ac:dyDescent="0.25">
      <c r="B25" s="1" t="s">
        <v>6</v>
      </c>
      <c r="C25" s="16">
        <v>304</v>
      </c>
      <c r="D25" s="18">
        <v>4879</v>
      </c>
    </row>
    <row r="26" spans="2:4" x14ac:dyDescent="0.25">
      <c r="B26" s="3" t="s">
        <v>7</v>
      </c>
      <c r="C26" s="8">
        <f>SUM(C22:C25)</f>
        <v>3670</v>
      </c>
      <c r="D26" s="4">
        <f>SUM(D22:D25)</f>
        <v>6865</v>
      </c>
    </row>
    <row r="28" spans="2:4" x14ac:dyDescent="0.25">
      <c r="B28" s="19" t="s">
        <v>13</v>
      </c>
      <c r="C28" s="19"/>
      <c r="D28" s="19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 s="16">
        <v>2</v>
      </c>
      <c r="D30" s="21">
        <v>0</v>
      </c>
    </row>
    <row r="31" spans="2:4" x14ac:dyDescent="0.25">
      <c r="B31" s="1" t="s">
        <v>6</v>
      </c>
      <c r="C31" s="16">
        <v>64</v>
      </c>
      <c r="D31" s="21">
        <v>0</v>
      </c>
    </row>
    <row r="32" spans="2:4" x14ac:dyDescent="0.25">
      <c r="B32" s="3" t="s">
        <v>7</v>
      </c>
      <c r="C32" s="8">
        <f>SUM(C30:C31)</f>
        <v>66</v>
      </c>
      <c r="D32" s="4">
        <f>SUM(D30:D31)</f>
        <v>0</v>
      </c>
    </row>
    <row r="34" spans="2:4" x14ac:dyDescent="0.25">
      <c r="B34" s="19" t="s">
        <v>14</v>
      </c>
      <c r="C34" s="19"/>
      <c r="D34" s="19"/>
    </row>
    <row r="35" spans="2:4" x14ac:dyDescent="0.25">
      <c r="B35" s="2" t="s">
        <v>0</v>
      </c>
      <c r="C35" s="2" t="s">
        <v>1</v>
      </c>
      <c r="D35" s="2" t="s">
        <v>2</v>
      </c>
    </row>
    <row r="36" spans="2:4" x14ac:dyDescent="0.25">
      <c r="B36" s="9" t="s">
        <v>3</v>
      </c>
      <c r="C36" s="16">
        <v>2</v>
      </c>
      <c r="D36" s="15">
        <v>0</v>
      </c>
    </row>
    <row r="37" spans="2:4" x14ac:dyDescent="0.25">
      <c r="B37" s="1" t="s">
        <v>4</v>
      </c>
      <c r="C37" s="11">
        <v>0</v>
      </c>
      <c r="D37" s="15">
        <v>0</v>
      </c>
    </row>
    <row r="38" spans="2:4" x14ac:dyDescent="0.25">
      <c r="B38" s="1" t="s">
        <v>5</v>
      </c>
      <c r="C38" s="16">
        <v>1</v>
      </c>
      <c r="D38" s="15">
        <v>0</v>
      </c>
    </row>
    <row r="39" spans="2:4" x14ac:dyDescent="0.25">
      <c r="B39" s="1" t="s">
        <v>6</v>
      </c>
      <c r="C39" s="16">
        <v>330</v>
      </c>
      <c r="D39" s="15">
        <v>0</v>
      </c>
    </row>
    <row r="40" spans="2:4" x14ac:dyDescent="0.25">
      <c r="B40" s="3" t="s">
        <v>7</v>
      </c>
      <c r="C40" s="8">
        <f>SUM(C36:C39)</f>
        <v>333</v>
      </c>
      <c r="D40" s="4">
        <f>SUM(D36:D39)</f>
        <v>0</v>
      </c>
    </row>
    <row r="42" spans="2:4" x14ac:dyDescent="0.25">
      <c r="B42" s="20" t="s">
        <v>8</v>
      </c>
      <c r="C42" s="20"/>
      <c r="D42" s="20"/>
    </row>
    <row r="43" spans="2:4" x14ac:dyDescent="0.25">
      <c r="B43" s="4" t="s">
        <v>0</v>
      </c>
      <c r="C43" s="4" t="s">
        <v>1</v>
      </c>
      <c r="D43" s="4" t="s">
        <v>2</v>
      </c>
    </row>
    <row r="44" spans="2:4" x14ac:dyDescent="0.25">
      <c r="B44" s="9" t="s">
        <v>3</v>
      </c>
      <c r="C44" s="16">
        <v>2</v>
      </c>
      <c r="D44" s="15">
        <v>0</v>
      </c>
    </row>
    <row r="45" spans="2:4" x14ac:dyDescent="0.25">
      <c r="B45" s="9" t="s">
        <v>4</v>
      </c>
      <c r="C45" s="16">
        <v>0</v>
      </c>
      <c r="D45" s="15">
        <v>0</v>
      </c>
    </row>
    <row r="46" spans="2:4" x14ac:dyDescent="0.25">
      <c r="B46" s="9" t="s">
        <v>6</v>
      </c>
      <c r="C46" s="16">
        <v>176</v>
      </c>
      <c r="D46" s="15">
        <v>0</v>
      </c>
    </row>
    <row r="47" spans="2:4" x14ac:dyDescent="0.25">
      <c r="B47" s="10" t="s">
        <v>7</v>
      </c>
      <c r="C47" s="8">
        <f>SUM(C44:C46)</f>
        <v>178</v>
      </c>
      <c r="D47" s="4">
        <f>SUM(D44:D46)</f>
        <v>0</v>
      </c>
    </row>
    <row r="49" spans="2:4" x14ac:dyDescent="0.25">
      <c r="B49" s="12" t="s">
        <v>11</v>
      </c>
      <c r="C49" s="13">
        <f>SUMIF(B:B, "Total general", C:C)</f>
        <v>50242</v>
      </c>
      <c r="D49" s="13">
        <f>SUMIF(B:B, "Total general", D:D)</f>
        <v>172478.87</v>
      </c>
    </row>
  </sheetData>
  <mergeCells count="7">
    <mergeCell ref="B42:D42"/>
    <mergeCell ref="B28:D28"/>
    <mergeCell ref="B12:D12"/>
    <mergeCell ref="B34:D34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19" t="s">
        <v>16</v>
      </c>
      <c r="C1" s="19"/>
      <c r="D1" s="19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SUMIF(CDC!B:B, "Extrajudicial - 0 a 28 semanas de atraso", CDC!C:C)</f>
        <v>12474</v>
      </c>
      <c r="D3" s="14">
        <f>SUMIF(CDC!B:B, "Extrajudicial - 0 a 28 semanas de atraso", CDC!D:D)</f>
        <v>53530</v>
      </c>
    </row>
    <row r="4" spans="2:6" x14ac:dyDescent="0.25">
      <c r="B4" s="1" t="s">
        <v>4</v>
      </c>
      <c r="C4" s="6">
        <f>SUMIF(CDC!B:B, "Extrajudicial - 29 a 39 semanas de atraso", CDC!C:C)</f>
        <v>10222</v>
      </c>
      <c r="D4" s="14">
        <f>SUMIF(CDC!B:B, "Extrajudicial - 29 a 39 semanas de atraso", CDC!D:D)</f>
        <v>61954.18</v>
      </c>
    </row>
    <row r="5" spans="2:6" x14ac:dyDescent="0.25">
      <c r="B5" s="1" t="s">
        <v>5</v>
      </c>
      <c r="C5" s="6">
        <f>SUMIF(CDC!B:B, "Extrajudicial - 40 a 55 semanas de atraso", CDC!C:C)</f>
        <v>12666</v>
      </c>
      <c r="D5" s="14">
        <f>SUMIF(CDC!B:B, "Extrajudicial - 40 a 55 semanas de atraso", CDC!D:D)</f>
        <v>31007.86</v>
      </c>
    </row>
    <row r="6" spans="2:6" x14ac:dyDescent="0.25">
      <c r="B6" s="5" t="s">
        <v>10</v>
      </c>
      <c r="C6" s="6">
        <f>SUMIF(CDC!B:B, "JUDICIAL", CDC!C:C)</f>
        <v>2737</v>
      </c>
      <c r="D6" s="14">
        <f>SUMIF(CDC!B:B, "JUDICIAL", CDC!D:D)</f>
        <v>400</v>
      </c>
    </row>
    <row r="7" spans="2:6" x14ac:dyDescent="0.25">
      <c r="B7" s="1" t="s">
        <v>6</v>
      </c>
      <c r="C7" s="6">
        <f>SUMIF(CDC!B:B, "Mas 55 semanas de atraso", CDC!C:C)</f>
        <v>12143</v>
      </c>
      <c r="D7" s="6">
        <f>SUMIF(CDC!B:B, "Mas 55 semanas de atraso", CDC!D:D)</f>
        <v>25586.83</v>
      </c>
      <c r="E7" s="14"/>
      <c r="F7" s="7"/>
    </row>
    <row r="8" spans="2:6" x14ac:dyDescent="0.25">
      <c r="B8" s="3" t="s">
        <v>7</v>
      </c>
      <c r="C8" s="8">
        <f>SUM(C3:C7)</f>
        <v>50242</v>
      </c>
      <c r="D8" s="4">
        <f>SUM(D3:D7)</f>
        <v>172478.87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CDC</vt:lpstr>
      <vt:lpstr>COBRANZA CDC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2025-11-18T14:58:40Z</cp:lastPrinted>
  <dcterms:created xsi:type="dcterms:W3CDTF">2025-01-27T15:11:28Z</dcterms:created>
  <dcterms:modified xsi:type="dcterms:W3CDTF">2025-11-18T15:09:55Z</dcterms:modified>
</cp:coreProperties>
</file>