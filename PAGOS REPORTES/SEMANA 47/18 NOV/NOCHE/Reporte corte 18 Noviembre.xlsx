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19 NOV\NOCHE\"/>
    </mc:Choice>
  </mc:AlternateContent>
  <xr:revisionPtr revIDLastSave="0" documentId="8_{8AB62E2D-26CB-4DF5-A7CA-118E11269FA9}" xr6:coauthVersionLast="47" xr6:coauthVersionMax="47" xr10:uidLastSave="{00000000-0000-0000-0000-000000000000}"/>
  <bookViews>
    <workbookView xWindow="-120" yWindow="-120" windowWidth="51840" windowHeight="21120" activeTab="2" xr2:uid="{FD52849C-A821-4846-9DC1-159BA81BD0B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8" i="3" s="1"/>
  <c r="B2" i="2"/>
  <c r="D11" i="2" s="1"/>
  <c r="B2" i="1"/>
  <c r="D9" i="1" s="1"/>
</calcChain>
</file>

<file path=xl/sharedStrings.xml><?xml version="1.0" encoding="utf-8"?>
<sst xmlns="http://schemas.openxmlformats.org/spreadsheetml/2006/main" count="96" uniqueCount="22">
  <si>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</si>
  <si>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</si>
  <si>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</si>
  <si>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</si>
  <si>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</si>
  <si>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</si>
  <si>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</si>
  <si>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</si>
  <si>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</si>
  <si>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</si>
  <si>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</si>
  <si>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</si>
  <si>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AUTO</t>
  </si>
  <si>
    <t>CONSUMO</t>
  </si>
  <si>
    <t>CREDIMAX</t>
  </si>
  <si>
    <t>ITALIKA</t>
  </si>
  <si>
    <t>REESTRUCTURA</t>
  </si>
  <si>
    <t>TOR</t>
  </si>
  <si>
    <t>OTROS</t>
  </si>
  <si>
    <t>CDC 100</t>
  </si>
  <si>
    <t>Segmento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</si>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</sst>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1B55-58A9-4C73-AD8D-6168A4927D81}">
  <dimension ref="B2:D36"/>
  <sheetViews>
    <sheetView workbookViewId="0">
      <selection activeCell="B2" sqref="B2:D3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18/11/2025  20:01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</v>
      </c>
      <c r="C5" s="3">
        <v>38744.07</v>
      </c>
    </row>
    <row r="6" spans="2:4" x14ac:dyDescent="0.25">
      <c r="B6" s="2" t="s">
        <v>2</v>
      </c>
      <c r="C6" s="3">
        <v>27829.95</v>
      </c>
    </row>
    <row r="7" spans="2:4" x14ac:dyDescent="0.25">
      <c r="B7" s="2" t="s">
        <v>3</v>
      </c>
      <c r="C7" s="3">
        <v>16824</v>
      </c>
    </row>
    <row r="8" spans="2:4" ht="15.75" thickBot="1" x14ac:dyDescent="0.3">
      <c r="B8" s="2" t="s">
        <v>4</v>
      </c>
      <c r="C8" s="3">
        <v>45398</v>
      </c>
      <c r="D8" s="1" t="s">
        <v>11</v>
      </c>
    </row>
    <row r="9" spans="2:4" ht="15.75" thickTop="1" x14ac:dyDescent="0.25">
      <c r="B9" s="4" t="s">
        <v>5</v>
      </c>
      <c r="C9" s="5">
        <v>128796.02</v>
      </c>
      <c r="D9" s="5">
        <f ca="1">SUMIF(B:B, "Total general", C:C)</f>
        <v>170942.63</v>
      </c>
    </row>
    <row r="11" spans="2:4" x14ac:dyDescent="0.25">
      <c r="B11" s="6" t="s">
        <v>8</v>
      </c>
      <c r="C11" s="6"/>
    </row>
    <row r="12" spans="2:4" x14ac:dyDescent="0.25">
      <c r="B12" s="1" t="s">
        <v>20</v>
      </c>
      <c r="C12" s="1" t="s">
        <v>0</v>
      </c>
    </row>
    <row r="13" spans="2:4" x14ac:dyDescent="0.25">
      <c r="B13" s="2" t="s">
        <v>1</v>
      </c>
      <c r="C13" s="3">
        <v>390</v>
      </c>
    </row>
    <row r="14" spans="2:4" x14ac:dyDescent="0.25">
      <c r="B14" s="2" t="s">
        <v>2</v>
      </c>
      <c r="C14" s="3">
        <v>3576</v>
      </c>
    </row>
    <row r="15" spans="2:4" x14ac:dyDescent="0.25">
      <c r="B15" s="2" t="s">
        <v>3</v>
      </c>
      <c r="C15" s="3">
        <v>11257</v>
      </c>
    </row>
    <row r="16" spans="2:4" ht="15.75" thickBot="1" x14ac:dyDescent="0.3">
      <c r="B16" s="2" t="s">
        <v>4</v>
      </c>
      <c r="C16" s="3">
        <v>6125</v>
      </c>
    </row>
    <row r="17" spans="2:3" ht="15.75" thickTop="1" x14ac:dyDescent="0.25">
      <c r="B17" s="4" t="s">
        <v>5</v>
      </c>
      <c r="C17" s="5">
        <v>21348</v>
      </c>
    </row>
    <row r="19" spans="2:3" x14ac:dyDescent="0.25">
      <c r="B19" s="6" t="s">
        <v>7</v>
      </c>
      <c r="C19" s="6"/>
    </row>
    <row r="20" spans="2:3" x14ac:dyDescent="0.25">
      <c r="B20" s="1" t="s">
        <v>20</v>
      </c>
      <c r="C20" s="1" t="s">
        <v>0</v>
      </c>
    </row>
    <row r="21" spans="2:3" x14ac:dyDescent="0.25">
      <c r="B21" s="2" t="s">
        <v>1</v>
      </c>
      <c r="C21" s="3">
        <v>1191</v>
      </c>
    </row>
    <row r="22" spans="2:3" x14ac:dyDescent="0.25">
      <c r="B22" s="2" t="s">
        <v>2</v>
      </c>
      <c r="C22" s="3">
        <v>1903</v>
      </c>
    </row>
    <row r="23" spans="2:3" x14ac:dyDescent="0.25">
      <c r="B23" s="2" t="s">
        <v>3</v>
      </c>
      <c r="C23" s="3">
        <v>4547</v>
      </c>
    </row>
    <row r="24" spans="2:3" ht="15.75" thickBot="1" x14ac:dyDescent="0.3">
      <c r="B24" s="2" t="s">
        <v>4</v>
      </c>
      <c r="C24" s="3">
        <v>6550</v>
      </c>
    </row>
    <row r="25" spans="2:3" ht="15.75" thickTop="1" x14ac:dyDescent="0.25">
      <c r="B25" s="4" t="s">
        <v>5</v>
      </c>
      <c r="C25" s="5">
        <v>14191</v>
      </c>
    </row>
    <row r="27" spans="2:3" x14ac:dyDescent="0.25">
      <c r="B27" s="6" t="s">
        <v>10</v>
      </c>
      <c r="C27" s="6"/>
    </row>
    <row r="28" spans="2:3" x14ac:dyDescent="0.25">
      <c r="B28" s="1" t="s">
        <v>20</v>
      </c>
      <c r="C28" s="1" t="s">
        <v>0</v>
      </c>
    </row>
    <row r="29" spans="2:3" x14ac:dyDescent="0.25">
      <c r="B29" s="2" t="s">
        <v>1</v>
      </c>
      <c r="C29" s="3">
        <v>6308.6100000000006</v>
      </c>
    </row>
    <row r="30" spans="2:3" ht="15.75" thickBot="1" x14ac:dyDescent="0.3">
      <c r="B30" s="2" t="s">
        <v>3</v>
      </c>
      <c r="C30" s="3">
        <v>10</v>
      </c>
    </row>
    <row r="31" spans="2:3" ht="15.75" thickTop="1" x14ac:dyDescent="0.25">
      <c r="B31" s="4" t="s">
        <v>5</v>
      </c>
      <c r="C31" s="5">
        <v>6318.6100000000006</v>
      </c>
    </row>
    <row r="33" spans="2:3" x14ac:dyDescent="0.25">
      <c r="B33" s="6" t="s">
        <v>9</v>
      </c>
      <c r="C33" s="6"/>
    </row>
    <row r="34" spans="2:3" x14ac:dyDescent="0.25">
      <c r="B34" s="1" t="s">
        <v>20</v>
      </c>
      <c r="C34" s="1" t="s">
        <v>0</v>
      </c>
    </row>
    <row r="35" spans="2:3" ht="15.75" thickBot="1" x14ac:dyDescent="0.3">
      <c r="B35" s="2" t="s">
        <v>4</v>
      </c>
      <c r="C35" s="3">
        <v>289</v>
      </c>
    </row>
    <row r="36" spans="2:3" ht="15.75" thickTop="1" x14ac:dyDescent="0.25">
      <c r="B36" s="4" t="s">
        <v>5</v>
      </c>
      <c r="C36" s="5">
        <v>289</v>
      </c>
    </row>
  </sheetData>
  <mergeCells count="6">
    <mergeCell ref="B3:C3"/>
    <mergeCell ref="B19:C19"/>
    <mergeCell ref="B11:C11"/>
    <mergeCell ref="B33:C33"/>
    <mergeCell ref="B27:C27"/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5B40-7740-4AF6-AC84-8A38897FA0A4}">
  <dimension ref="B2:D39"/>
  <sheetViews>
    <sheetView workbookViewId="0">
      <selection activeCell="B2" sqref="B2:D39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18/11/2025  20:01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21</v>
      </c>
      <c r="C4" s="1" t="s">
        <v>0</v>
      </c>
    </row>
    <row r="5" spans="2:4" x14ac:dyDescent="0.25">
      <c r="B5" s="2" t="s">
        <v>12</v>
      </c>
      <c r="C5" s="3">
        <v>1786</v>
      </c>
    </row>
    <row r="6" spans="2:4" x14ac:dyDescent="0.25">
      <c r="B6" s="2" t="s">
        <v>13</v>
      </c>
      <c r="C6" s="3">
        <v>7136.95</v>
      </c>
    </row>
    <row r="7" spans="2:4" x14ac:dyDescent="0.25">
      <c r="B7" s="2" t="s">
        <v>14</v>
      </c>
      <c r="C7" s="3">
        <v>17282</v>
      </c>
    </row>
    <row r="8" spans="2:4" x14ac:dyDescent="0.25">
      <c r="B8" s="2" t="s">
        <v>15</v>
      </c>
      <c r="C8" s="3">
        <v>3327</v>
      </c>
    </row>
    <row r="9" spans="2:4" x14ac:dyDescent="0.25">
      <c r="B9" s="2" t="s">
        <v>16</v>
      </c>
      <c r="C9" s="3">
        <v>7381</v>
      </c>
    </row>
    <row r="10" spans="2:4" ht="15.75" thickBot="1" x14ac:dyDescent="0.3">
      <c r="B10" s="2" t="s">
        <v>17</v>
      </c>
      <c r="C10" s="3">
        <v>91883.07</v>
      </c>
      <c r="D10" s="1" t="s">
        <v>11</v>
      </c>
    </row>
    <row r="11" spans="2:4" ht="15.75" thickTop="1" x14ac:dyDescent="0.25">
      <c r="B11" s="4" t="s">
        <v>5</v>
      </c>
      <c r="C11" s="5">
        <v>128796.02</v>
      </c>
      <c r="D11" s="5">
        <f ca="1">SUMIF(B:B, "Total general", C:C)</f>
        <v>170942.63</v>
      </c>
    </row>
    <row r="13" spans="2:4" x14ac:dyDescent="0.25">
      <c r="B13" s="6" t="s">
        <v>8</v>
      </c>
      <c r="C13" s="6"/>
    </row>
    <row r="14" spans="2:4" x14ac:dyDescent="0.25">
      <c r="B14" s="1" t="s">
        <v>21</v>
      </c>
      <c r="C14" s="1" t="s">
        <v>0</v>
      </c>
    </row>
    <row r="15" spans="2:4" x14ac:dyDescent="0.25">
      <c r="B15" s="2" t="s">
        <v>14</v>
      </c>
      <c r="C15" s="3">
        <v>900</v>
      </c>
    </row>
    <row r="16" spans="2:4" x14ac:dyDescent="0.25">
      <c r="B16" s="2" t="s">
        <v>18</v>
      </c>
      <c r="C16" s="3">
        <v>6452</v>
      </c>
    </row>
    <row r="17" spans="2:3" x14ac:dyDescent="0.25">
      <c r="B17" s="2" t="s">
        <v>16</v>
      </c>
      <c r="C17" s="3">
        <v>500</v>
      </c>
    </row>
    <row r="18" spans="2:3" ht="15.75" thickBot="1" x14ac:dyDescent="0.3">
      <c r="B18" s="2" t="s">
        <v>17</v>
      </c>
      <c r="C18" s="3">
        <v>13496</v>
      </c>
    </row>
    <row r="19" spans="2:3" ht="15.75" thickTop="1" x14ac:dyDescent="0.25">
      <c r="B19" s="4" t="s">
        <v>5</v>
      </c>
      <c r="C19" s="5">
        <v>21348</v>
      </c>
    </row>
    <row r="21" spans="2:3" x14ac:dyDescent="0.25">
      <c r="B21" s="6" t="s">
        <v>7</v>
      </c>
      <c r="C21" s="6"/>
    </row>
    <row r="22" spans="2:3" x14ac:dyDescent="0.25">
      <c r="B22" s="1" t="s">
        <v>21</v>
      </c>
      <c r="C22" s="1" t="s">
        <v>0</v>
      </c>
    </row>
    <row r="23" spans="2:3" x14ac:dyDescent="0.25">
      <c r="B23" s="2" t="s">
        <v>13</v>
      </c>
      <c r="C23" s="3">
        <v>4000</v>
      </c>
    </row>
    <row r="24" spans="2:3" x14ac:dyDescent="0.25">
      <c r="B24" s="2" t="s">
        <v>14</v>
      </c>
      <c r="C24" s="3">
        <v>200</v>
      </c>
    </row>
    <row r="25" spans="2:3" x14ac:dyDescent="0.25">
      <c r="B25" s="2" t="s">
        <v>16</v>
      </c>
      <c r="C25" s="3">
        <v>4946</v>
      </c>
    </row>
    <row r="26" spans="2:3" ht="15.75" thickBot="1" x14ac:dyDescent="0.3">
      <c r="B26" s="2" t="s">
        <v>17</v>
      </c>
      <c r="C26" s="3">
        <v>5045</v>
      </c>
    </row>
    <row r="27" spans="2:3" ht="15.75" thickTop="1" x14ac:dyDescent="0.25">
      <c r="B27" s="4" t="s">
        <v>5</v>
      </c>
      <c r="C27" s="5">
        <v>14191</v>
      </c>
    </row>
    <row r="29" spans="2:3" x14ac:dyDescent="0.25">
      <c r="B29" s="6" t="s">
        <v>10</v>
      </c>
      <c r="C29" s="6"/>
    </row>
    <row r="30" spans="2:3" x14ac:dyDescent="0.25">
      <c r="B30" s="1" t="s">
        <v>21</v>
      </c>
      <c r="C30" s="1" t="s">
        <v>0</v>
      </c>
    </row>
    <row r="31" spans="2:3" x14ac:dyDescent="0.25">
      <c r="B31" s="2" t="s">
        <v>13</v>
      </c>
      <c r="C31" s="3">
        <v>572</v>
      </c>
    </row>
    <row r="32" spans="2:3" x14ac:dyDescent="0.25">
      <c r="B32" s="2" t="s">
        <v>16</v>
      </c>
      <c r="C32" s="3">
        <v>456</v>
      </c>
    </row>
    <row r="33" spans="2:3" ht="15.75" thickBot="1" x14ac:dyDescent="0.3">
      <c r="B33" s="2" t="s">
        <v>17</v>
      </c>
      <c r="C33" s="3">
        <v>5290.6100000000006</v>
      </c>
    </row>
    <row r="34" spans="2:3" ht="15.75" thickTop="1" x14ac:dyDescent="0.25">
      <c r="B34" s="4" t="s">
        <v>5</v>
      </c>
      <c r="C34" s="5">
        <v>6318.6100000000006</v>
      </c>
    </row>
    <row r="36" spans="2:3" x14ac:dyDescent="0.25">
      <c r="B36" s="6" t="s">
        <v>9</v>
      </c>
      <c r="C36" s="6"/>
    </row>
    <row r="37" spans="2:3" x14ac:dyDescent="0.25">
      <c r="B37" s="1" t="s">
        <v>21</v>
      </c>
      <c r="C37" s="1" t="s">
        <v>0</v>
      </c>
    </row>
    <row r="38" spans="2:3" ht="15.75" thickBot="1" x14ac:dyDescent="0.3">
      <c r="B38" s="2" t="s">
        <v>17</v>
      </c>
      <c r="C38" s="3">
        <v>289</v>
      </c>
    </row>
    <row r="39" spans="2:3" ht="15.75" thickTop="1" x14ac:dyDescent="0.25">
      <c r="B39" s="4" t="s">
        <v>5</v>
      </c>
      <c r="C39" s="5">
        <v>289</v>
      </c>
    </row>
  </sheetData>
  <mergeCells count="6">
    <mergeCell ref="B2:C2"/>
    <mergeCell ref="B3:C3"/>
    <mergeCell ref="B13:C13"/>
    <mergeCell ref="B21:C21"/>
    <mergeCell ref="B29:C29"/>
    <mergeCell ref="B36:C3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3CE1-A9DA-450C-8406-871B7A84141E}">
  <dimension ref="B2:D21"/>
  <sheetViews>
    <sheetView tabSelected="1" topLeftCell="A21" workbookViewId="0">
      <selection activeCell="B2" sqref="B2:D21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18/11/2025  20:01 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</v>
      </c>
      <c r="C5" s="3">
        <v>15047.93</v>
      </c>
    </row>
    <row r="6" spans="2:4" x14ac:dyDescent="0.25">
      <c r="B6" s="2" t="s">
        <v>2</v>
      </c>
      <c r="C6" s="3">
        <v>10758</v>
      </c>
    </row>
    <row r="7" spans="2:4" ht="15.75" thickBot="1" x14ac:dyDescent="0.3">
      <c r="B7" s="2" t="s">
        <v>3</v>
      </c>
      <c r="C7" s="3">
        <v>9077</v>
      </c>
      <c r="D7" s="1" t="s">
        <v>11</v>
      </c>
    </row>
    <row r="8" spans="2:4" ht="15.75" thickTop="1" x14ac:dyDescent="0.25">
      <c r="B8" s="4" t="s">
        <v>5</v>
      </c>
      <c r="C8" s="5">
        <v>34882.93</v>
      </c>
      <c r="D8" s="5">
        <f ca="1">SUMIF(B:B, "Total general", C:C)</f>
        <v>43453.54</v>
      </c>
    </row>
    <row r="10" spans="2:4" x14ac:dyDescent="0.25">
      <c r="B10" s="6" t="s">
        <v>10</v>
      </c>
      <c r="C10" s="6"/>
    </row>
    <row r="11" spans="2:4" x14ac:dyDescent="0.25">
      <c r="B11" s="1" t="s">
        <v>20</v>
      </c>
      <c r="C11" s="1" t="s">
        <v>0</v>
      </c>
    </row>
    <row r="12" spans="2:4" x14ac:dyDescent="0.25">
      <c r="B12" s="2" t="s">
        <v>1</v>
      </c>
      <c r="C12" s="3">
        <v>6308.6100000000006</v>
      </c>
    </row>
    <row r="13" spans="2:4" ht="15.75" thickBot="1" x14ac:dyDescent="0.3">
      <c r="B13" s="2" t="s">
        <v>3</v>
      </c>
      <c r="C13" s="3">
        <v>10</v>
      </c>
    </row>
    <row r="14" spans="2:4" ht="15.75" thickTop="1" x14ac:dyDescent="0.25">
      <c r="B14" s="4" t="s">
        <v>5</v>
      </c>
      <c r="C14" s="5">
        <v>6318.6100000000006</v>
      </c>
    </row>
    <row r="16" spans="2:4" x14ac:dyDescent="0.25">
      <c r="B16" s="6" t="s">
        <v>6</v>
      </c>
      <c r="C16" s="6"/>
    </row>
    <row r="17" spans="2:3" x14ac:dyDescent="0.25">
      <c r="B17" s="1" t="s">
        <v>20</v>
      </c>
      <c r="C17" s="1" t="s">
        <v>0</v>
      </c>
    </row>
    <row r="18" spans="2:3" x14ac:dyDescent="0.25">
      <c r="B18" s="2" t="s">
        <v>1</v>
      </c>
      <c r="C18" s="3">
        <v>1378</v>
      </c>
    </row>
    <row r="19" spans="2:3" x14ac:dyDescent="0.25">
      <c r="B19" s="2" t="s">
        <v>3</v>
      </c>
      <c r="C19" s="3">
        <v>221</v>
      </c>
    </row>
    <row r="20" spans="2:3" ht="15.75" thickBot="1" x14ac:dyDescent="0.3">
      <c r="B20" s="2" t="s">
        <v>4</v>
      </c>
      <c r="C20" s="3">
        <v>653</v>
      </c>
    </row>
    <row r="21" spans="2:3" ht="15.75" thickTop="1" x14ac:dyDescent="0.25">
      <c r="B21" s="4" t="s">
        <v>5</v>
      </c>
      <c r="C21" s="5">
        <v>2252</v>
      </c>
    </row>
  </sheetData>
  <mergeCells count="4">
    <mergeCell ref="B2:C2"/>
    <mergeCell ref="B3:C3"/>
    <mergeCell ref="B10:C10"/>
    <mergeCell ref="B16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2025-11-19T02:02:27Z</cp:lastPrinted>
  <dcterms:created xsi:type="dcterms:W3CDTF">2025-11-19T01:56:19Z</dcterms:created>
  <dcterms:modified xsi:type="dcterms:W3CDTF">2025-11-19T02:03:01Z</dcterms:modified>
</cp:coreProperties>
</file>