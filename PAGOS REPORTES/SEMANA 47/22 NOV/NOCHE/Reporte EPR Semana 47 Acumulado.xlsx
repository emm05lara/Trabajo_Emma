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47\22 NOV\NOCHE\"/>
    </mc:Choice>
  </mc:AlternateContent>
  <xr:revisionPtr revIDLastSave="0" documentId="13_ncr:1_{2CAE62AC-AB41-443C-9FD4-4D7E9787210B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6" i="5" l="1"/>
  <c r="D10" i="1"/>
  <c r="C40" i="5"/>
  <c r="D26" i="1"/>
  <c r="D34" i="5"/>
  <c r="C26" i="1"/>
  <c r="C34" i="1"/>
  <c r="D34" i="1"/>
  <c r="C34" i="5"/>
  <c r="D46" i="5"/>
  <c r="D18" i="5"/>
  <c r="C18" i="5"/>
  <c r="C42" i="1"/>
  <c r="D42" i="1"/>
  <c r="C18" i="1"/>
  <c r="D26" i="5"/>
  <c r="C26" i="5"/>
  <c r="D10" i="5"/>
  <c r="D40" i="5"/>
  <c r="D7" i="6"/>
  <c r="D6" i="6"/>
  <c r="D5" i="6"/>
  <c r="D4" i="6"/>
  <c r="D3" i="6"/>
  <c r="C7" i="6"/>
  <c r="C6" i="6"/>
  <c r="C5" i="6"/>
  <c r="C4" i="6"/>
  <c r="C3" i="6"/>
  <c r="C10" i="5"/>
  <c r="C48" i="5" l="1"/>
  <c r="D8" i="6"/>
  <c r="C8" i="6"/>
  <c r="D48" i="5"/>
  <c r="D18" i="1"/>
  <c r="D50" i="1" l="1"/>
  <c r="C10" i="1"/>
  <c r="C50" i="1" l="1"/>
</calcChain>
</file>

<file path=xl/sharedStrings.xml><?xml version="1.0" encoding="utf-8"?>
<sst xmlns="http://schemas.openxmlformats.org/spreadsheetml/2006/main" count="113" uniqueCount="18">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</sst>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50" zoomScaleNormal="100" workbookViewId="0">
      <selection activeCell="B3" sqref="B3:D50"/>
    </sheetView>
  </sheetViews>
  <sheetFormatPr baseColWidth="10" defaultRowHeight="14.4" x14ac:dyDescent="0.3"/>
  <cols>
    <col min="2" max="2" width="36.88671875" customWidth="1"/>
    <col min="4" max="4" width="13.109375" bestFit="1" customWidth="1"/>
    <col min="5" max="5" width="11.88671875" bestFit="1" customWidth="1"/>
    <col min="6" max="6" width="13.109375" bestFit="1" customWidth="1"/>
  </cols>
  <sheetData>
    <row r="3" spans="2:8" x14ac:dyDescent="0.3">
      <c r="B3" s="20" t="s">
        <v>17</v>
      </c>
      <c r="C3" s="20"/>
      <c r="D3" s="20"/>
      <c r="H3" s="8"/>
    </row>
    <row r="4" spans="2:8" x14ac:dyDescent="0.3">
      <c r="B4" s="2" t="s">
        <v>0</v>
      </c>
      <c r="C4" s="2" t="s">
        <v>1</v>
      </c>
      <c r="D4" s="2" t="s">
        <v>2</v>
      </c>
    </row>
    <row r="5" spans="2:8" x14ac:dyDescent="0.3">
      <c r="B5" s="1" t="s">
        <v>3</v>
      </c>
      <c r="C5" s="6">
        <v>7314</v>
      </c>
      <c r="D5" s="18">
        <v>648644.99000000011</v>
      </c>
    </row>
    <row r="6" spans="2:8" x14ac:dyDescent="0.3">
      <c r="B6" s="1" t="s">
        <v>4</v>
      </c>
      <c r="C6" s="6">
        <v>7897</v>
      </c>
      <c r="D6" s="18">
        <v>428344.09</v>
      </c>
    </row>
    <row r="7" spans="2:8" x14ac:dyDescent="0.3">
      <c r="B7" s="1" t="s">
        <v>5</v>
      </c>
      <c r="C7" s="6">
        <v>5725</v>
      </c>
      <c r="D7" s="18">
        <v>118975.41</v>
      </c>
    </row>
    <row r="8" spans="2:8" x14ac:dyDescent="0.3">
      <c r="B8" s="5" t="s">
        <v>10</v>
      </c>
      <c r="C8" s="7">
        <v>500</v>
      </c>
      <c r="D8" s="19">
        <v>0</v>
      </c>
    </row>
    <row r="9" spans="2:8" x14ac:dyDescent="0.3">
      <c r="B9" s="1" t="s">
        <v>6</v>
      </c>
      <c r="C9" s="6">
        <v>36029</v>
      </c>
      <c r="D9" s="18">
        <v>406578.41000000003</v>
      </c>
      <c r="E9" s="14"/>
      <c r="F9" s="7"/>
    </row>
    <row r="10" spans="2:8" x14ac:dyDescent="0.3">
      <c r="B10" s="3" t="s">
        <v>7</v>
      </c>
      <c r="C10" s="8">
        <f>SUM(C5:C9)</f>
        <v>57465</v>
      </c>
      <c r="D10" s="4">
        <f>SUM(D5:D9)</f>
        <v>1602542.9</v>
      </c>
      <c r="E10" s="11" t="s">
        <v>12</v>
      </c>
    </row>
    <row r="12" spans="2:8" x14ac:dyDescent="0.3">
      <c r="B12" s="21" t="s">
        <v>8</v>
      </c>
      <c r="C12" s="21"/>
      <c r="D12" s="21"/>
    </row>
    <row r="13" spans="2:8" x14ac:dyDescent="0.3">
      <c r="B13" s="4" t="s">
        <v>0</v>
      </c>
      <c r="C13" s="4" t="s">
        <v>1</v>
      </c>
      <c r="D13" s="4" t="s">
        <v>2</v>
      </c>
    </row>
    <row r="14" spans="2:8" x14ac:dyDescent="0.3">
      <c r="B14" s="9" t="s">
        <v>3</v>
      </c>
      <c r="C14" s="6">
        <v>534</v>
      </c>
      <c r="D14" s="18">
        <v>28210.37</v>
      </c>
    </row>
    <row r="15" spans="2:8" x14ac:dyDescent="0.3">
      <c r="B15" s="9" t="s">
        <v>4</v>
      </c>
      <c r="C15" s="6">
        <v>997</v>
      </c>
      <c r="D15" s="18">
        <v>48195.45</v>
      </c>
    </row>
    <row r="16" spans="2:8" x14ac:dyDescent="0.3">
      <c r="B16" s="9" t="s">
        <v>5</v>
      </c>
      <c r="C16" s="6">
        <v>3860</v>
      </c>
      <c r="D16" s="18">
        <v>72573.94</v>
      </c>
    </row>
    <row r="17" spans="2:4" x14ac:dyDescent="0.3">
      <c r="B17" s="9" t="s">
        <v>6</v>
      </c>
      <c r="C17" s="6">
        <v>4889</v>
      </c>
      <c r="D17" s="18">
        <v>177170.6</v>
      </c>
    </row>
    <row r="18" spans="2:4" x14ac:dyDescent="0.3">
      <c r="B18" s="10" t="s">
        <v>7</v>
      </c>
      <c r="C18" s="8">
        <f>SUM(C14:C17)</f>
        <v>10280</v>
      </c>
      <c r="D18" s="4">
        <f>SUM(D14:D17)</f>
        <v>326150.36</v>
      </c>
    </row>
    <row r="20" spans="2:4" x14ac:dyDescent="0.3">
      <c r="B20" s="20" t="s">
        <v>14</v>
      </c>
      <c r="C20" s="20"/>
      <c r="D20" s="20"/>
    </row>
    <row r="21" spans="2:4" x14ac:dyDescent="0.3">
      <c r="B21" s="2" t="s">
        <v>0</v>
      </c>
      <c r="C21" s="2" t="s">
        <v>1</v>
      </c>
      <c r="D21" s="2" t="s">
        <v>2</v>
      </c>
    </row>
    <row r="22" spans="2:4" x14ac:dyDescent="0.3">
      <c r="B22" s="9" t="s">
        <v>3</v>
      </c>
      <c r="C22">
        <v>305</v>
      </c>
      <c r="D22" s="18">
        <v>21145</v>
      </c>
    </row>
    <row r="23" spans="2:4" x14ac:dyDescent="0.3">
      <c r="B23" s="1" t="s">
        <v>4</v>
      </c>
      <c r="C23" s="6">
        <v>93</v>
      </c>
      <c r="D23" s="18">
        <v>29492</v>
      </c>
    </row>
    <row r="24" spans="2:4" x14ac:dyDescent="0.3">
      <c r="B24" s="1" t="s">
        <v>5</v>
      </c>
      <c r="C24" s="6">
        <v>2237</v>
      </c>
      <c r="D24" s="18">
        <v>42752</v>
      </c>
    </row>
    <row r="25" spans="2:4" x14ac:dyDescent="0.3">
      <c r="B25" s="1" t="s">
        <v>6</v>
      </c>
      <c r="C25" s="7">
        <v>14172</v>
      </c>
      <c r="D25" s="18">
        <v>120773</v>
      </c>
    </row>
    <row r="26" spans="2:4" x14ac:dyDescent="0.3">
      <c r="B26" s="3" t="s">
        <v>7</v>
      </c>
      <c r="C26" s="8">
        <f>SUM(C22:C25)</f>
        <v>16807</v>
      </c>
      <c r="D26" s="4">
        <f>SUM(D22:D25)</f>
        <v>214162</v>
      </c>
    </row>
    <row r="28" spans="2:4" x14ac:dyDescent="0.3">
      <c r="B28" s="21" t="s">
        <v>9</v>
      </c>
      <c r="C28" s="21"/>
      <c r="D28" s="21"/>
    </row>
    <row r="29" spans="2:4" x14ac:dyDescent="0.3">
      <c r="B29" s="4" t="s">
        <v>0</v>
      </c>
      <c r="C29" s="4" t="s">
        <v>1</v>
      </c>
      <c r="D29" s="4" t="s">
        <v>2</v>
      </c>
    </row>
    <row r="30" spans="2:4" x14ac:dyDescent="0.3">
      <c r="B30" s="9" t="s">
        <v>3</v>
      </c>
      <c r="C30" s="6">
        <v>4156</v>
      </c>
      <c r="D30" s="18">
        <v>85057.840000000011</v>
      </c>
    </row>
    <row r="31" spans="2:4" x14ac:dyDescent="0.3">
      <c r="B31" s="1" t="s">
        <v>4</v>
      </c>
      <c r="C31" s="6">
        <v>632</v>
      </c>
      <c r="D31" s="18">
        <v>23929.489999999998</v>
      </c>
    </row>
    <row r="32" spans="2:4" x14ac:dyDescent="0.3">
      <c r="B32" s="1" t="s">
        <v>5</v>
      </c>
      <c r="C32" s="6">
        <v>3549</v>
      </c>
      <c r="D32" s="18">
        <v>34466.199999999997</v>
      </c>
    </row>
    <row r="33" spans="2:4" x14ac:dyDescent="0.3">
      <c r="B33" s="1" t="s">
        <v>6</v>
      </c>
      <c r="C33" s="6">
        <v>1056</v>
      </c>
      <c r="D33" s="18">
        <v>399</v>
      </c>
    </row>
    <row r="34" spans="2:4" x14ac:dyDescent="0.3">
      <c r="B34" s="10" t="s">
        <v>7</v>
      </c>
      <c r="C34" s="8">
        <f>SUM(C30:C33)</f>
        <v>9393</v>
      </c>
      <c r="D34" s="4">
        <f>SUM(D30:D33)</f>
        <v>143852.53000000003</v>
      </c>
    </row>
    <row r="36" spans="2:4" x14ac:dyDescent="0.3">
      <c r="B36" s="20" t="s">
        <v>13</v>
      </c>
      <c r="C36" s="20"/>
      <c r="D36" s="20"/>
    </row>
    <row r="37" spans="2:4" x14ac:dyDescent="0.3">
      <c r="B37" s="2" t="s">
        <v>0</v>
      </c>
      <c r="C37" s="2" t="s">
        <v>1</v>
      </c>
      <c r="D37" s="2" t="s">
        <v>2</v>
      </c>
    </row>
    <row r="38" spans="2:4" x14ac:dyDescent="0.3">
      <c r="B38" s="9" t="s">
        <v>3</v>
      </c>
      <c r="C38" s="6">
        <v>13</v>
      </c>
      <c r="D38" s="18">
        <v>2644</v>
      </c>
    </row>
    <row r="39" spans="2:4" x14ac:dyDescent="0.3">
      <c r="B39" s="1" t="s">
        <v>4</v>
      </c>
      <c r="C39" s="6">
        <v>8</v>
      </c>
      <c r="D39" s="19">
        <v>0</v>
      </c>
    </row>
    <row r="40" spans="2:4" x14ac:dyDescent="0.3">
      <c r="B40" s="1" t="s">
        <v>5</v>
      </c>
      <c r="C40" s="6">
        <v>6</v>
      </c>
      <c r="D40" s="18">
        <v>3485</v>
      </c>
    </row>
    <row r="41" spans="2:4" x14ac:dyDescent="0.3">
      <c r="B41" s="1" t="s">
        <v>6</v>
      </c>
      <c r="C41" s="6">
        <v>687</v>
      </c>
      <c r="D41" s="18">
        <v>7627</v>
      </c>
    </row>
    <row r="42" spans="2:4" x14ac:dyDescent="0.3">
      <c r="B42" s="3" t="s">
        <v>7</v>
      </c>
      <c r="C42" s="8">
        <f>SUM(C38:C41)</f>
        <v>714</v>
      </c>
      <c r="D42" s="4">
        <f>SUM(D38:D41)</f>
        <v>13756</v>
      </c>
    </row>
    <row r="43" spans="2:4" hidden="1" x14ac:dyDescent="0.3"/>
    <row r="44" spans="2:4" hidden="1" x14ac:dyDescent="0.3"/>
    <row r="45" spans="2:4" hidden="1" x14ac:dyDescent="0.3"/>
    <row r="46" spans="2:4" hidden="1" x14ac:dyDescent="0.3"/>
    <row r="47" spans="2:4" hidden="1" x14ac:dyDescent="0.3"/>
    <row r="48" spans="2:4" hidden="1" x14ac:dyDescent="0.3"/>
    <row r="50" spans="2:4" x14ac:dyDescent="0.3">
      <c r="B50" s="12" t="s">
        <v>11</v>
      </c>
      <c r="C50" s="13">
        <f>SUMIF(B:B, "Total general", C:C)</f>
        <v>94659</v>
      </c>
      <c r="D50" s="13">
        <f>SUMIF(B:B, "Total general", D:D)</f>
        <v>2300463.79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8"/>
  <sheetViews>
    <sheetView showGridLines="0" tabSelected="1" topLeftCell="A24" zoomScaleNormal="100" workbookViewId="0">
      <selection activeCell="B48" sqref="B48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0" t="s">
        <v>16</v>
      </c>
      <c r="C1" s="20"/>
      <c r="D1" s="20"/>
    </row>
    <row r="3" spans="2:8" x14ac:dyDescent="0.3">
      <c r="B3" s="20" t="s">
        <v>15</v>
      </c>
      <c r="C3" s="20"/>
      <c r="D3" s="20"/>
      <c r="H3" s="8"/>
    </row>
    <row r="4" spans="2:8" x14ac:dyDescent="0.3">
      <c r="B4" s="2" t="s">
        <v>0</v>
      </c>
      <c r="C4" s="2" t="s">
        <v>1</v>
      </c>
      <c r="D4" s="2" t="s">
        <v>2</v>
      </c>
    </row>
    <row r="5" spans="2:8" x14ac:dyDescent="0.3">
      <c r="B5" s="1" t="s">
        <v>3</v>
      </c>
      <c r="C5" s="17">
        <v>5569</v>
      </c>
      <c r="D5" s="18">
        <v>138534.12</v>
      </c>
      <c r="E5" s="11"/>
    </row>
    <row r="6" spans="2:8" x14ac:dyDescent="0.3">
      <c r="B6" s="1" t="s">
        <v>4</v>
      </c>
      <c r="C6" s="17">
        <v>7124</v>
      </c>
      <c r="D6" s="18">
        <v>112538.97</v>
      </c>
    </row>
    <row r="7" spans="2:8" x14ac:dyDescent="0.3">
      <c r="B7" s="1" t="s">
        <v>5</v>
      </c>
      <c r="C7" s="17">
        <v>7926</v>
      </c>
      <c r="D7" s="18">
        <v>55525</v>
      </c>
    </row>
    <row r="8" spans="2:8" x14ac:dyDescent="0.3">
      <c r="B8" s="5" t="s">
        <v>10</v>
      </c>
      <c r="C8" s="17">
        <v>2737</v>
      </c>
      <c r="D8" s="18">
        <v>400</v>
      </c>
    </row>
    <row r="9" spans="2:8" x14ac:dyDescent="0.3">
      <c r="B9" s="1" t="s">
        <v>6</v>
      </c>
      <c r="C9" s="17">
        <v>11242</v>
      </c>
      <c r="D9" s="18">
        <v>37749.19</v>
      </c>
      <c r="E9" s="14"/>
      <c r="F9" s="7"/>
    </row>
    <row r="10" spans="2:8" x14ac:dyDescent="0.3">
      <c r="B10" s="3" t="s">
        <v>7</v>
      </c>
      <c r="C10" s="8">
        <f>SUM(C5:C9)</f>
        <v>34598</v>
      </c>
      <c r="D10" s="4">
        <f>SUM(D5:D9)</f>
        <v>344747.27999999997</v>
      </c>
      <c r="E10" s="11" t="s">
        <v>12</v>
      </c>
    </row>
    <row r="12" spans="2:8" x14ac:dyDescent="0.3">
      <c r="B12" s="20" t="s">
        <v>17</v>
      </c>
      <c r="C12" s="20"/>
      <c r="D12" s="20"/>
    </row>
    <row r="13" spans="2:8" x14ac:dyDescent="0.3">
      <c r="B13" s="2" t="s">
        <v>0</v>
      </c>
      <c r="C13" s="2" t="s">
        <v>1</v>
      </c>
      <c r="D13" s="2" t="s">
        <v>2</v>
      </c>
    </row>
    <row r="14" spans="2:8" x14ac:dyDescent="0.3">
      <c r="B14" s="9" t="s">
        <v>3</v>
      </c>
      <c r="C14" s="16">
        <v>1270</v>
      </c>
      <c r="D14" s="18">
        <v>21347</v>
      </c>
    </row>
    <row r="15" spans="2:8" x14ac:dyDescent="0.3">
      <c r="B15" s="1" t="s">
        <v>4</v>
      </c>
      <c r="C15" s="16">
        <v>1034</v>
      </c>
      <c r="D15" s="18">
        <v>124137.18</v>
      </c>
    </row>
    <row r="16" spans="2:8" x14ac:dyDescent="0.3">
      <c r="B16" s="1" t="s">
        <v>5</v>
      </c>
      <c r="C16" s="16">
        <v>1079</v>
      </c>
      <c r="D16" s="18">
        <v>3777</v>
      </c>
    </row>
    <row r="17" spans="2:4" x14ac:dyDescent="0.3">
      <c r="B17" s="1" t="s">
        <v>6</v>
      </c>
      <c r="C17" s="16">
        <v>304</v>
      </c>
      <c r="D17" s="18">
        <v>7981.04</v>
      </c>
    </row>
    <row r="18" spans="2:4" x14ac:dyDescent="0.3">
      <c r="B18" s="3" t="s">
        <v>7</v>
      </c>
      <c r="C18" s="8">
        <f>SUM(C14:C17)</f>
        <v>3687</v>
      </c>
      <c r="D18" s="4">
        <f>SUM(D14:D17)</f>
        <v>157242.22</v>
      </c>
    </row>
    <row r="20" spans="2:4" x14ac:dyDescent="0.3">
      <c r="B20" s="21" t="s">
        <v>9</v>
      </c>
      <c r="C20" s="21"/>
      <c r="D20" s="21"/>
    </row>
    <row r="21" spans="2:4" x14ac:dyDescent="0.3">
      <c r="B21" s="4" t="s">
        <v>0</v>
      </c>
      <c r="C21" s="4" t="s">
        <v>1</v>
      </c>
      <c r="D21" s="4" t="s">
        <v>2</v>
      </c>
    </row>
    <row r="22" spans="2:4" x14ac:dyDescent="0.3">
      <c r="B22" s="9" t="s">
        <v>3</v>
      </c>
      <c r="C22" s="16">
        <v>4143</v>
      </c>
      <c r="D22" s="18">
        <v>81495.840000000011</v>
      </c>
    </row>
    <row r="23" spans="2:4" x14ac:dyDescent="0.3">
      <c r="B23" s="1" t="s">
        <v>4</v>
      </c>
      <c r="C23" s="16">
        <v>535</v>
      </c>
      <c r="D23" s="18">
        <v>15995.49</v>
      </c>
    </row>
    <row r="24" spans="2:4" x14ac:dyDescent="0.3">
      <c r="B24" s="1" t="s">
        <v>5</v>
      </c>
      <c r="C24" s="16">
        <v>3476</v>
      </c>
      <c r="D24" s="18">
        <v>33632.199999999997</v>
      </c>
    </row>
    <row r="25" spans="2:4" x14ac:dyDescent="0.3">
      <c r="B25" s="9" t="s">
        <v>6</v>
      </c>
      <c r="C25" s="16">
        <v>30</v>
      </c>
      <c r="D25" s="18">
        <v>399</v>
      </c>
    </row>
    <row r="26" spans="2:4" x14ac:dyDescent="0.3">
      <c r="B26" s="10" t="s">
        <v>7</v>
      </c>
      <c r="C26" s="8">
        <f>SUM(C22:C25)</f>
        <v>8184</v>
      </c>
      <c r="D26" s="4">
        <f>SUM(D22:D25)</f>
        <v>131522.53000000003</v>
      </c>
    </row>
    <row r="28" spans="2:4" x14ac:dyDescent="0.3">
      <c r="B28" s="20" t="s">
        <v>14</v>
      </c>
      <c r="C28" s="20"/>
      <c r="D28" s="20"/>
    </row>
    <row r="29" spans="2:4" x14ac:dyDescent="0.3">
      <c r="B29" s="2" t="s">
        <v>0</v>
      </c>
      <c r="C29" s="2" t="s">
        <v>1</v>
      </c>
      <c r="D29" s="2" t="s">
        <v>2</v>
      </c>
    </row>
    <row r="30" spans="2:4" x14ac:dyDescent="0.3">
      <c r="B30" s="9" t="s">
        <v>3</v>
      </c>
      <c r="C30" s="16">
        <v>2</v>
      </c>
      <c r="D30" s="18">
        <v>763</v>
      </c>
    </row>
    <row r="31" spans="2:4" x14ac:dyDescent="0.3">
      <c r="B31" s="1" t="s">
        <v>4</v>
      </c>
      <c r="C31" s="11">
        <v>0</v>
      </c>
      <c r="D31" s="15">
        <v>0</v>
      </c>
    </row>
    <row r="32" spans="2:4" x14ac:dyDescent="0.3">
      <c r="B32" s="1" t="s">
        <v>5</v>
      </c>
      <c r="C32" s="16">
        <v>1</v>
      </c>
      <c r="D32" s="18">
        <v>1734</v>
      </c>
    </row>
    <row r="33" spans="2:4" x14ac:dyDescent="0.3">
      <c r="B33" s="1" t="s">
        <v>6</v>
      </c>
      <c r="C33" s="16">
        <v>330</v>
      </c>
      <c r="D33" s="18">
        <v>936</v>
      </c>
    </row>
    <row r="34" spans="2:4" x14ac:dyDescent="0.3">
      <c r="B34" s="3" t="s">
        <v>7</v>
      </c>
      <c r="C34" s="8">
        <f>SUM(C30:C33)</f>
        <v>333</v>
      </c>
      <c r="D34" s="4">
        <f>SUM(D30:D33)</f>
        <v>3433</v>
      </c>
    </row>
    <row r="36" spans="2:4" x14ac:dyDescent="0.3">
      <c r="B36" s="20" t="s">
        <v>13</v>
      </c>
      <c r="C36" s="20"/>
      <c r="D36" s="20"/>
    </row>
    <row r="37" spans="2:4" x14ac:dyDescent="0.3">
      <c r="B37" s="2" t="s">
        <v>0</v>
      </c>
      <c r="C37" s="2" t="s">
        <v>1</v>
      </c>
      <c r="D37" s="2" t="s">
        <v>2</v>
      </c>
    </row>
    <row r="38" spans="2:4" x14ac:dyDescent="0.3">
      <c r="B38" s="9" t="s">
        <v>3</v>
      </c>
      <c r="C38" s="16">
        <v>2</v>
      </c>
      <c r="D38" s="19">
        <v>0</v>
      </c>
    </row>
    <row r="39" spans="2:4" x14ac:dyDescent="0.3">
      <c r="B39" s="1" t="s">
        <v>6</v>
      </c>
      <c r="C39" s="16">
        <v>64</v>
      </c>
      <c r="D39" s="18">
        <v>557</v>
      </c>
    </row>
    <row r="40" spans="2:4" x14ac:dyDescent="0.3">
      <c r="B40" s="3" t="s">
        <v>7</v>
      </c>
      <c r="C40" s="8">
        <f>SUM(C38:C39)</f>
        <v>66</v>
      </c>
      <c r="D40" s="4">
        <f>SUM(D38:D39)</f>
        <v>557</v>
      </c>
    </row>
    <row r="42" spans="2:4" x14ac:dyDescent="0.3">
      <c r="B42" s="21" t="s">
        <v>8</v>
      </c>
      <c r="C42" s="21"/>
      <c r="D42" s="21"/>
    </row>
    <row r="43" spans="2:4" x14ac:dyDescent="0.3">
      <c r="B43" s="4" t="s">
        <v>0</v>
      </c>
      <c r="C43" s="4" t="s">
        <v>1</v>
      </c>
      <c r="D43" s="4" t="s">
        <v>2</v>
      </c>
    </row>
    <row r="44" spans="2:4" x14ac:dyDescent="0.3">
      <c r="B44" s="9" t="s">
        <v>3</v>
      </c>
      <c r="C44" s="16">
        <v>2</v>
      </c>
      <c r="D44" s="15">
        <v>0</v>
      </c>
    </row>
    <row r="45" spans="2:4" x14ac:dyDescent="0.3">
      <c r="B45" s="9" t="s">
        <v>6</v>
      </c>
      <c r="C45" s="16">
        <v>176</v>
      </c>
      <c r="D45" s="15">
        <v>0</v>
      </c>
    </row>
    <row r="46" spans="2:4" x14ac:dyDescent="0.3">
      <c r="B46" s="10" t="s">
        <v>7</v>
      </c>
      <c r="C46" s="8">
        <f>SUM(C44:C45)</f>
        <v>178</v>
      </c>
      <c r="D46" s="4">
        <f>SUM(D44:D45)</f>
        <v>0</v>
      </c>
    </row>
    <row r="48" spans="2:4" x14ac:dyDescent="0.3">
      <c r="B48" s="12" t="s">
        <v>11</v>
      </c>
      <c r="C48" s="13">
        <f>SUMIF(B:B, "Total general", C:C)</f>
        <v>47046</v>
      </c>
      <c r="D48" s="13">
        <f>SUMIF(B:B, "Total general", D:D)</f>
        <v>637502.03</v>
      </c>
    </row>
  </sheetData>
  <mergeCells count="7">
    <mergeCell ref="B42:D42"/>
    <mergeCell ref="B36:D36"/>
    <mergeCell ref="B20:D20"/>
    <mergeCell ref="B28:D28"/>
    <mergeCell ref="B1:D1"/>
    <mergeCell ref="B3:D3"/>
    <mergeCell ref="B12:D12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20" t="s">
        <v>16</v>
      </c>
      <c r="C1" s="20"/>
      <c r="D1" s="20"/>
    </row>
    <row r="2" spans="2:6" x14ac:dyDescent="0.3">
      <c r="B2" s="2" t="s">
        <v>0</v>
      </c>
      <c r="C2" s="2" t="s">
        <v>1</v>
      </c>
      <c r="D2" s="2" t="s">
        <v>2</v>
      </c>
    </row>
    <row r="3" spans="2:6" x14ac:dyDescent="0.3">
      <c r="B3" s="1" t="s">
        <v>3</v>
      </c>
      <c r="C3" s="6">
        <f>SUMIF(CDC!B:B, "Extrajudicial - 0 a 28 semanas de atraso", CDC!C:C)</f>
        <v>10988</v>
      </c>
      <c r="D3" s="14">
        <f>SUMIF(CDC!B:B, "Extrajudicial - 0 a 28 semanas de atraso", CDC!D:D)</f>
        <v>242139.96000000002</v>
      </c>
    </row>
    <row r="4" spans="2:6" x14ac:dyDescent="0.3">
      <c r="B4" s="1" t="s">
        <v>4</v>
      </c>
      <c r="C4" s="6">
        <f>SUMIF(CDC!B:B, "Extrajudicial - 29 a 39 semanas de atraso", CDC!C:C)</f>
        <v>8693</v>
      </c>
      <c r="D4" s="14">
        <f>SUMIF(CDC!B:B, "Extrajudicial - 29 a 39 semanas de atraso", CDC!D:D)</f>
        <v>252671.63999999998</v>
      </c>
    </row>
    <row r="5" spans="2:6" x14ac:dyDescent="0.3">
      <c r="B5" s="1" t="s">
        <v>5</v>
      </c>
      <c r="C5" s="6">
        <f>SUMIF(CDC!B:B, "Extrajudicial - 40 a 55 semanas de atraso", CDC!C:C)</f>
        <v>12482</v>
      </c>
      <c r="D5" s="14">
        <f>SUMIF(CDC!B:B, "Extrajudicial - 40 a 55 semanas de atraso", CDC!D:D)</f>
        <v>94668.2</v>
      </c>
    </row>
    <row r="6" spans="2:6" x14ac:dyDescent="0.3">
      <c r="B6" s="5" t="s">
        <v>10</v>
      </c>
      <c r="C6" s="6">
        <f>SUMIF(CDC!B:B, "JUDICIAL", CDC!C:C)</f>
        <v>2737</v>
      </c>
      <c r="D6" s="14">
        <f>SUMIF(CDC!B:B, "JUDICIAL", CDC!D:D)</f>
        <v>400</v>
      </c>
    </row>
    <row r="7" spans="2:6" x14ac:dyDescent="0.3">
      <c r="B7" s="1" t="s">
        <v>6</v>
      </c>
      <c r="C7" s="6">
        <f>SUMIF(CDC!B:B, "Mas 55 semanas de atraso", CDC!C:C)</f>
        <v>12146</v>
      </c>
      <c r="D7" s="6">
        <f>SUMIF(CDC!B:B, "Mas 55 semanas de atraso", CDC!D:D)</f>
        <v>47622.23</v>
      </c>
      <c r="E7" s="14"/>
      <c r="F7" s="7"/>
    </row>
    <row r="8" spans="2:6" x14ac:dyDescent="0.3">
      <c r="B8" s="3" t="s">
        <v>7</v>
      </c>
      <c r="C8" s="8">
        <f>SUM(C3:C7)</f>
        <v>47046</v>
      </c>
      <c r="D8" s="4">
        <f>SUM(D3:D7)</f>
        <v>637502.02999999991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2025-11-23T02:51:52Z</cp:lastPrinted>
  <dcterms:created xsi:type="dcterms:W3CDTF">2025-01-27T15:11:28Z</dcterms:created>
  <dcterms:modified xsi:type="dcterms:W3CDTF">2025-11-23T02:58:08Z</dcterms:modified>
</cp:coreProperties>
</file>