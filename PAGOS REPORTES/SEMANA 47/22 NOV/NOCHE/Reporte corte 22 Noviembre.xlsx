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7\22 NOV\NOCHE\"/>
    </mc:Choice>
  </mc:AlternateContent>
  <xr:revisionPtr revIDLastSave="0" documentId="8_{183BACF9-A2BB-4049-A15F-B7D676BFD707}" xr6:coauthVersionLast="47" xr6:coauthVersionMax="47" xr10:uidLastSave="{00000000-0000-0000-0000-000000000000}"/>
  <bookViews>
    <workbookView xWindow="-108" yWindow="-108" windowWidth="23256" windowHeight="12456" activeTab="2" xr2:uid="{BC0E3A32-0BCF-48B1-A138-21D0365E06C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D12" i="2" s="1"/>
  <c r="B2" i="3"/>
  <c r="D9" i="3" s="1"/>
  <c r="B2" i="1"/>
  <c r="D9" i="1" s="1"/>
</calcChain>
</file>

<file path=xl/sharedStrings.xml><?xml version="1.0" encoding="utf-8"?>
<sst xmlns="http://schemas.openxmlformats.org/spreadsheetml/2006/main" count="114" uniqueCount="23">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</sst>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C49A-73DC-42F6-B65A-B11BE4ED09EA}">
  <dimension ref="B2:D39"/>
  <sheetViews>
    <sheetView topLeftCell="A39" workbookViewId="0">
      <selection activeCell="B2" sqref="B2:D3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COBRO SOLUTION " &amp; TEXT(TODAY(), " dd/mm/aaaa ") &amp; TEXT(NOW(), " hh:mm ")</f>
        <v xml:space="preserve"> COBRO SOLUTION  22/11/2025  20:40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95879</v>
      </c>
    </row>
    <row r="6" spans="2:4" x14ac:dyDescent="0.3">
      <c r="B6" s="2" t="s">
        <v>2</v>
      </c>
      <c r="C6" s="3">
        <v>64649</v>
      </c>
    </row>
    <row r="7" spans="2:4" x14ac:dyDescent="0.3">
      <c r="B7" s="2" t="s">
        <v>3</v>
      </c>
      <c r="C7" s="3">
        <v>23931</v>
      </c>
    </row>
    <row r="8" spans="2:4" ht="15" thickBot="1" x14ac:dyDescent="0.35">
      <c r="B8" s="2" t="s">
        <v>4</v>
      </c>
      <c r="C8" s="3">
        <v>84832</v>
      </c>
      <c r="D8" s="1" t="s">
        <v>11</v>
      </c>
    </row>
    <row r="9" spans="2:4" ht="15" thickTop="1" x14ac:dyDescent="0.3">
      <c r="B9" s="4" t="s">
        <v>5</v>
      </c>
      <c r="C9" s="5">
        <v>269291</v>
      </c>
      <c r="D9" s="5">
        <f ca="1">SUMIF(B:B, "Total general", C:C)</f>
        <v>379763.44999999995</v>
      </c>
    </row>
    <row r="11" spans="2:4" x14ac:dyDescent="0.3">
      <c r="B11" s="6" t="s">
        <v>8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6945.75</v>
      </c>
    </row>
    <row r="14" spans="2:4" x14ac:dyDescent="0.3">
      <c r="B14" s="2" t="s">
        <v>2</v>
      </c>
      <c r="C14" s="3">
        <v>8001.42</v>
      </c>
    </row>
    <row r="15" spans="2:4" x14ac:dyDescent="0.3">
      <c r="B15" s="2" t="s">
        <v>3</v>
      </c>
      <c r="C15" s="3">
        <v>28613.93</v>
      </c>
    </row>
    <row r="16" spans="2:4" ht="15" thickBot="1" x14ac:dyDescent="0.35">
      <c r="B16" s="2" t="s">
        <v>4</v>
      </c>
      <c r="C16" s="3">
        <v>9580</v>
      </c>
    </row>
    <row r="17" spans="2:3" ht="15" thickTop="1" x14ac:dyDescent="0.3">
      <c r="B17" s="4" t="s">
        <v>5</v>
      </c>
      <c r="C17" s="5">
        <v>53141.1</v>
      </c>
    </row>
    <row r="19" spans="2:3" x14ac:dyDescent="0.3">
      <c r="B19" s="6" t="s">
        <v>7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3400</v>
      </c>
    </row>
    <row r="22" spans="2:3" x14ac:dyDescent="0.3">
      <c r="B22" s="2" t="s">
        <v>2</v>
      </c>
      <c r="C22" s="3">
        <v>9385</v>
      </c>
    </row>
    <row r="23" spans="2:3" x14ac:dyDescent="0.3">
      <c r="B23" s="2" t="s">
        <v>3</v>
      </c>
      <c r="C23" s="3">
        <v>8119</v>
      </c>
    </row>
    <row r="24" spans="2:3" ht="15" thickBot="1" x14ac:dyDescent="0.35">
      <c r="B24" s="2" t="s">
        <v>4</v>
      </c>
      <c r="C24" s="3">
        <v>12151</v>
      </c>
    </row>
    <row r="25" spans="2:3" ht="15" thickTop="1" x14ac:dyDescent="0.3">
      <c r="B25" s="4" t="s">
        <v>5</v>
      </c>
      <c r="C25" s="5">
        <v>33055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14361.35</v>
      </c>
    </row>
    <row r="30" spans="2:3" x14ac:dyDescent="0.3">
      <c r="B30" s="2" t="s">
        <v>2</v>
      </c>
      <c r="C30" s="3">
        <v>2978</v>
      </c>
    </row>
    <row r="31" spans="2:3" ht="15" thickBot="1" x14ac:dyDescent="0.35">
      <c r="B31" s="2" t="s">
        <v>3</v>
      </c>
      <c r="C31" s="3">
        <v>2646</v>
      </c>
    </row>
    <row r="32" spans="2:3" ht="15" thickTop="1" x14ac:dyDescent="0.3">
      <c r="B32" s="4" t="s">
        <v>5</v>
      </c>
      <c r="C32" s="5">
        <v>19985.349999999999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x14ac:dyDescent="0.3">
      <c r="B36" s="2" t="s">
        <v>1</v>
      </c>
      <c r="C36" s="3">
        <v>819</v>
      </c>
    </row>
    <row r="37" spans="2:3" x14ac:dyDescent="0.3">
      <c r="B37" s="2" t="s">
        <v>3</v>
      </c>
      <c r="C37" s="3">
        <v>2515</v>
      </c>
    </row>
    <row r="38" spans="2:3" ht="15" thickBot="1" x14ac:dyDescent="0.35">
      <c r="B38" s="2" t="s">
        <v>4</v>
      </c>
      <c r="C38" s="3">
        <v>957</v>
      </c>
    </row>
    <row r="39" spans="2:3" ht="15" thickTop="1" x14ac:dyDescent="0.3">
      <c r="B39" s="4" t="s">
        <v>5</v>
      </c>
      <c r="C39" s="5">
        <v>4291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40C6-1D6E-41DF-992F-CCC4E4BA9754}">
  <dimension ref="B2:D46"/>
  <sheetViews>
    <sheetView topLeftCell="A41" workbookViewId="0">
      <selection activeCell="B2" sqref="B2:D46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COBRO SOLUTION " &amp; TEXT(TODAY(), " dd/mm/aaaa ") &amp; TEXT(NOW(), " hh:mm ")</f>
        <v xml:space="preserve"> COBRO SOLUTION  22/11/2025  20:40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21</v>
      </c>
      <c r="C4" s="1" t="s">
        <v>0</v>
      </c>
    </row>
    <row r="5" spans="2:4" x14ac:dyDescent="0.3">
      <c r="B5" s="2" t="s">
        <v>13</v>
      </c>
      <c r="C5" s="3">
        <v>12785</v>
      </c>
    </row>
    <row r="6" spans="2:4" x14ac:dyDescent="0.3">
      <c r="B6" s="2" t="s">
        <v>14</v>
      </c>
      <c r="C6" s="3">
        <v>11282</v>
      </c>
    </row>
    <row r="7" spans="2:4" x14ac:dyDescent="0.3">
      <c r="B7" s="2" t="s">
        <v>15</v>
      </c>
      <c r="C7" s="3">
        <v>1160</v>
      </c>
    </row>
    <row r="8" spans="2:4" x14ac:dyDescent="0.3">
      <c r="B8" s="2" t="s">
        <v>16</v>
      </c>
      <c r="C8" s="3">
        <v>200</v>
      </c>
    </row>
    <row r="9" spans="2:4" x14ac:dyDescent="0.3">
      <c r="B9" s="2" t="s">
        <v>17</v>
      </c>
      <c r="C9" s="3">
        <v>51990</v>
      </c>
    </row>
    <row r="10" spans="2:4" x14ac:dyDescent="0.3">
      <c r="B10" s="2" t="s">
        <v>18</v>
      </c>
      <c r="C10" s="3">
        <v>1373</v>
      </c>
    </row>
    <row r="11" spans="2:4" ht="15" thickBot="1" x14ac:dyDescent="0.35">
      <c r="B11" s="2" t="s">
        <v>19</v>
      </c>
      <c r="C11" s="3">
        <v>190501</v>
      </c>
      <c r="D11" s="1" t="s">
        <v>11</v>
      </c>
    </row>
    <row r="12" spans="2:4" ht="15" thickTop="1" x14ac:dyDescent="0.3">
      <c r="B12" s="4" t="s">
        <v>5</v>
      </c>
      <c r="C12" s="5">
        <v>269291</v>
      </c>
      <c r="D12" s="5">
        <f ca="1">SUMIF(B:B, "Total general", C:C)</f>
        <v>379763.44999999995</v>
      </c>
    </row>
    <row r="14" spans="2:4" x14ac:dyDescent="0.3">
      <c r="B14" s="6" t="s">
        <v>8</v>
      </c>
      <c r="C14" s="6"/>
    </row>
    <row r="15" spans="2:4" x14ac:dyDescent="0.3">
      <c r="B15" s="1" t="s">
        <v>21</v>
      </c>
      <c r="C15" s="1" t="s">
        <v>0</v>
      </c>
    </row>
    <row r="16" spans="2:4" x14ac:dyDescent="0.3">
      <c r="B16" s="2" t="s">
        <v>13</v>
      </c>
      <c r="C16" s="3">
        <v>2555</v>
      </c>
    </row>
    <row r="17" spans="2:3" x14ac:dyDescent="0.3">
      <c r="B17" s="2" t="s">
        <v>14</v>
      </c>
      <c r="C17" s="3">
        <v>1000</v>
      </c>
    </row>
    <row r="18" spans="2:3" x14ac:dyDescent="0.3">
      <c r="B18" s="2" t="s">
        <v>17</v>
      </c>
      <c r="C18" s="3">
        <v>2360</v>
      </c>
    </row>
    <row r="19" spans="2:3" ht="15" thickBot="1" x14ac:dyDescent="0.35">
      <c r="B19" s="2" t="s">
        <v>19</v>
      </c>
      <c r="C19" s="3">
        <v>47226.1</v>
      </c>
    </row>
    <row r="20" spans="2:3" ht="15" thickTop="1" x14ac:dyDescent="0.3">
      <c r="B20" s="4" t="s">
        <v>5</v>
      </c>
      <c r="C20" s="5">
        <v>53141.1</v>
      </c>
    </row>
    <row r="22" spans="2:3" x14ac:dyDescent="0.3">
      <c r="B22" s="6" t="s">
        <v>7</v>
      </c>
      <c r="C22" s="6"/>
    </row>
    <row r="23" spans="2:3" x14ac:dyDescent="0.3">
      <c r="B23" s="1" t="s">
        <v>21</v>
      </c>
      <c r="C23" s="1" t="s">
        <v>0</v>
      </c>
    </row>
    <row r="24" spans="2:3" x14ac:dyDescent="0.3">
      <c r="B24" s="2" t="s">
        <v>13</v>
      </c>
      <c r="C24" s="3">
        <v>5380</v>
      </c>
    </row>
    <row r="25" spans="2:3" x14ac:dyDescent="0.3">
      <c r="B25" s="2" t="s">
        <v>14</v>
      </c>
      <c r="C25" s="3">
        <v>7776</v>
      </c>
    </row>
    <row r="26" spans="2:3" x14ac:dyDescent="0.3">
      <c r="B26" s="2" t="s">
        <v>15</v>
      </c>
      <c r="C26" s="3">
        <v>2110</v>
      </c>
    </row>
    <row r="27" spans="2:3" x14ac:dyDescent="0.3">
      <c r="B27" s="2" t="s">
        <v>20</v>
      </c>
      <c r="C27" s="3">
        <v>484</v>
      </c>
    </row>
    <row r="28" spans="2:3" x14ac:dyDescent="0.3">
      <c r="B28" s="2" t="s">
        <v>17</v>
      </c>
      <c r="C28" s="3">
        <v>4975</v>
      </c>
    </row>
    <row r="29" spans="2:3" ht="15" thickBot="1" x14ac:dyDescent="0.35">
      <c r="B29" s="2" t="s">
        <v>19</v>
      </c>
      <c r="C29" s="3">
        <v>12330</v>
      </c>
    </row>
    <row r="30" spans="2:3" ht="15" thickTop="1" x14ac:dyDescent="0.3">
      <c r="B30" s="4" t="s">
        <v>5</v>
      </c>
      <c r="C30" s="5">
        <v>33055</v>
      </c>
    </row>
    <row r="32" spans="2:3" x14ac:dyDescent="0.3">
      <c r="B32" s="6" t="s">
        <v>10</v>
      </c>
      <c r="C32" s="6"/>
    </row>
    <row r="33" spans="2:3" x14ac:dyDescent="0.3">
      <c r="B33" s="1" t="s">
        <v>21</v>
      </c>
      <c r="C33" s="1" t="s">
        <v>0</v>
      </c>
    </row>
    <row r="34" spans="2:3" x14ac:dyDescent="0.3">
      <c r="B34" s="2" t="s">
        <v>13</v>
      </c>
      <c r="C34" s="3">
        <v>3300</v>
      </c>
    </row>
    <row r="35" spans="2:3" x14ac:dyDescent="0.3">
      <c r="B35" s="2" t="s">
        <v>14</v>
      </c>
      <c r="C35" s="3">
        <v>7245</v>
      </c>
    </row>
    <row r="36" spans="2:3" x14ac:dyDescent="0.3">
      <c r="B36" s="2" t="s">
        <v>15</v>
      </c>
      <c r="C36" s="3">
        <v>1186</v>
      </c>
    </row>
    <row r="37" spans="2:3" x14ac:dyDescent="0.3">
      <c r="B37" s="2" t="s">
        <v>17</v>
      </c>
      <c r="C37" s="3">
        <v>1630</v>
      </c>
    </row>
    <row r="38" spans="2:3" x14ac:dyDescent="0.3">
      <c r="B38" s="2" t="s">
        <v>18</v>
      </c>
      <c r="C38" s="3">
        <v>201</v>
      </c>
    </row>
    <row r="39" spans="2:3" ht="15" thickBot="1" x14ac:dyDescent="0.35">
      <c r="B39" s="2" t="s">
        <v>19</v>
      </c>
      <c r="C39" s="3">
        <v>6423.35</v>
      </c>
    </row>
    <row r="40" spans="2:3" ht="15" thickTop="1" x14ac:dyDescent="0.3">
      <c r="B40" s="4" t="s">
        <v>5</v>
      </c>
      <c r="C40" s="5">
        <v>19985.349999999999</v>
      </c>
    </row>
    <row r="42" spans="2:3" x14ac:dyDescent="0.3">
      <c r="B42" s="6" t="s">
        <v>9</v>
      </c>
      <c r="C42" s="6"/>
    </row>
    <row r="43" spans="2:3" x14ac:dyDescent="0.3">
      <c r="B43" s="1" t="s">
        <v>21</v>
      </c>
      <c r="C43" s="1" t="s">
        <v>0</v>
      </c>
    </row>
    <row r="44" spans="2:3" x14ac:dyDescent="0.3">
      <c r="B44" s="2" t="s">
        <v>13</v>
      </c>
      <c r="C44" s="3">
        <v>2195</v>
      </c>
    </row>
    <row r="45" spans="2:3" ht="15" thickBot="1" x14ac:dyDescent="0.35">
      <c r="B45" s="2" t="s">
        <v>19</v>
      </c>
      <c r="C45" s="3">
        <v>2096</v>
      </c>
    </row>
    <row r="46" spans="2:3" ht="15" thickTop="1" x14ac:dyDescent="0.3">
      <c r="B46" s="4" t="s">
        <v>5</v>
      </c>
      <c r="C46" s="5">
        <v>4291</v>
      </c>
    </row>
  </sheetData>
  <mergeCells count="6">
    <mergeCell ref="B2:C2"/>
    <mergeCell ref="B3:C3"/>
    <mergeCell ref="B14:C14"/>
    <mergeCell ref="B22:C22"/>
    <mergeCell ref="B32:C32"/>
    <mergeCell ref="B42:C42"/>
  </mergeCells>
  <pageMargins left="0.7" right="0.7" top="0.75" bottom="0.75" header="0.3" footer="0.3"/>
  <pageSetup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74DA-4708-41FE-9504-C62B5057CF5E}">
  <dimension ref="B2:D29"/>
  <sheetViews>
    <sheetView tabSelected="1" topLeftCell="A29" workbookViewId="0">
      <selection activeCell="B2" sqref="B2:D2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22/11/2025  20:40 </v>
      </c>
      <c r="C2" s="6"/>
    </row>
    <row r="3" spans="2:4" x14ac:dyDescent="0.3">
      <c r="B3" s="6" t="s">
        <v>22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24196</v>
      </c>
    </row>
    <row r="6" spans="2:4" x14ac:dyDescent="0.3">
      <c r="B6" s="2" t="s">
        <v>2</v>
      </c>
      <c r="C6" s="3">
        <v>13389</v>
      </c>
    </row>
    <row r="7" spans="2:4" x14ac:dyDescent="0.3">
      <c r="B7" s="2" t="s">
        <v>3</v>
      </c>
      <c r="C7" s="3">
        <v>6830</v>
      </c>
    </row>
    <row r="8" spans="2:4" ht="15" thickBot="1" x14ac:dyDescent="0.35">
      <c r="B8" s="2" t="s">
        <v>4</v>
      </c>
      <c r="C8" s="3">
        <v>3251</v>
      </c>
      <c r="D8" s="1" t="s">
        <v>11</v>
      </c>
    </row>
    <row r="9" spans="2:4" ht="15" thickTop="1" x14ac:dyDescent="0.3">
      <c r="B9" s="4" t="s">
        <v>5</v>
      </c>
      <c r="C9" s="5">
        <v>47666</v>
      </c>
      <c r="D9" s="5">
        <f ca="1">SUMIF(B:B, "Total general", C:C)</f>
        <v>74987.350000000006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14361.35</v>
      </c>
    </row>
    <row r="14" spans="2:4" x14ac:dyDescent="0.3">
      <c r="B14" s="2" t="s">
        <v>2</v>
      </c>
      <c r="C14" s="3">
        <v>2173</v>
      </c>
    </row>
    <row r="15" spans="2:4" ht="15" thickBot="1" x14ac:dyDescent="0.35">
      <c r="B15" s="2" t="s">
        <v>3</v>
      </c>
      <c r="C15" s="3">
        <v>2646</v>
      </c>
    </row>
    <row r="16" spans="2:4" ht="15" thickTop="1" x14ac:dyDescent="0.3">
      <c r="B16" s="4" t="s">
        <v>5</v>
      </c>
      <c r="C16" s="5">
        <v>19180.349999999999</v>
      </c>
    </row>
    <row r="18" spans="2:3" x14ac:dyDescent="0.3">
      <c r="B18" s="6" t="s">
        <v>6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1</v>
      </c>
      <c r="C20" s="3">
        <v>2536</v>
      </c>
    </row>
    <row r="21" spans="2:3" x14ac:dyDescent="0.3">
      <c r="B21" s="2" t="s">
        <v>2</v>
      </c>
      <c r="C21" s="3">
        <v>1935</v>
      </c>
    </row>
    <row r="22" spans="2:3" ht="15" thickBot="1" x14ac:dyDescent="0.35">
      <c r="B22" s="2" t="s">
        <v>4</v>
      </c>
      <c r="C22" s="3">
        <v>1000</v>
      </c>
    </row>
    <row r="23" spans="2:3" ht="15" thickTop="1" x14ac:dyDescent="0.3">
      <c r="B23" s="4" t="s">
        <v>5</v>
      </c>
      <c r="C23" s="5">
        <v>5471</v>
      </c>
    </row>
    <row r="25" spans="2:3" x14ac:dyDescent="0.3">
      <c r="B25" s="6" t="s">
        <v>7</v>
      </c>
      <c r="C25" s="6"/>
    </row>
    <row r="26" spans="2:3" x14ac:dyDescent="0.3">
      <c r="B26" s="1" t="s">
        <v>12</v>
      </c>
      <c r="C26" s="1" t="s">
        <v>0</v>
      </c>
    </row>
    <row r="27" spans="2:3" x14ac:dyDescent="0.3">
      <c r="B27" s="2" t="s">
        <v>3</v>
      </c>
      <c r="C27" s="3">
        <v>1734</v>
      </c>
    </row>
    <row r="28" spans="2:3" ht="15" thickBot="1" x14ac:dyDescent="0.35">
      <c r="B28" s="2" t="s">
        <v>4</v>
      </c>
      <c r="C28" s="3">
        <v>936</v>
      </c>
    </row>
    <row r="29" spans="2:3" ht="15" thickTop="1" x14ac:dyDescent="0.3">
      <c r="B29" s="4" t="s">
        <v>5</v>
      </c>
      <c r="C29" s="5">
        <v>2670</v>
      </c>
    </row>
  </sheetData>
  <mergeCells count="5">
    <mergeCell ref="B2:C2"/>
    <mergeCell ref="B3:C3"/>
    <mergeCell ref="B25:C25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2025-11-23T02:41:21Z</cp:lastPrinted>
  <dcterms:created xsi:type="dcterms:W3CDTF">2025-11-23T02:33:25Z</dcterms:created>
  <dcterms:modified xsi:type="dcterms:W3CDTF">2025-11-23T02:42:38Z</dcterms:modified>
</cp:coreProperties>
</file>