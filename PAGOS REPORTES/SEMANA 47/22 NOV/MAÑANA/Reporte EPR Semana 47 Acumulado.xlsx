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2 NOV\MAÑANA\"/>
    </mc:Choice>
  </mc:AlternateContent>
  <xr:revisionPtr revIDLastSave="0" documentId="13_ncr:1_{E1E5C6B0-F54D-446B-9763-ADFE5B8F7F51}" xr6:coauthVersionLast="47" xr6:coauthVersionMax="47" xr10:uidLastSave="{00000000-0000-0000-0000-000000000000}"/>
  <bookViews>
    <workbookView xWindow="-105" yWindow="0" windowWidth="26010" windowHeight="20985" activeTab="2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5" l="1"/>
  <c r="D10" i="1"/>
  <c r="C40" i="5"/>
  <c r="D26" i="1"/>
  <c r="D34" i="5"/>
  <c r="C26" i="1"/>
  <c r="C34" i="1"/>
  <c r="D34" i="1"/>
  <c r="C34" i="5"/>
  <c r="D46" i="5"/>
  <c r="D18" i="5"/>
  <c r="C18" i="5"/>
  <c r="C42" i="1"/>
  <c r="D42" i="1"/>
  <c r="C18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18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<sst xmlns="http://schemas.openxmlformats.org/spreadsheetml/2006/main" count="113" uniqueCount="18">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</sst>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7322</v>
      </c>
      <c r="D5" s="18">
        <v>560178.99000000011</v>
      </c>
    </row>
    <row r="6" spans="2:8" x14ac:dyDescent="0.25">
      <c r="B6" s="1" t="s">
        <v>4</v>
      </c>
      <c r="C6" s="6">
        <v>7816</v>
      </c>
      <c r="D6" s="18">
        <v>371046.09</v>
      </c>
    </row>
    <row r="7" spans="2:8" x14ac:dyDescent="0.25">
      <c r="B7" s="1" t="s">
        <v>5</v>
      </c>
      <c r="C7" s="6">
        <v>5807</v>
      </c>
      <c r="D7" s="18">
        <v>95814.41</v>
      </c>
    </row>
    <row r="8" spans="2:8" x14ac:dyDescent="0.25">
      <c r="B8" s="5" t="s">
        <v>10</v>
      </c>
      <c r="C8" s="7">
        <v>500</v>
      </c>
      <c r="D8" s="19">
        <v>0</v>
      </c>
    </row>
    <row r="9" spans="2:8" x14ac:dyDescent="0.25">
      <c r="B9" s="1" t="s">
        <v>6</v>
      </c>
      <c r="C9" s="6">
        <v>35999</v>
      </c>
      <c r="D9" s="18">
        <v>340003.41000000003</v>
      </c>
      <c r="E9" s="14"/>
      <c r="F9" s="7"/>
    </row>
    <row r="10" spans="2:8" x14ac:dyDescent="0.25">
      <c r="B10" s="3" t="s">
        <v>7</v>
      </c>
      <c r="C10" s="8">
        <f>SUM(C5:C9)</f>
        <v>57444</v>
      </c>
      <c r="D10" s="4">
        <f>SUM(D5:D9)</f>
        <v>1367042.9000000001</v>
      </c>
      <c r="E10" s="11" t="s">
        <v>12</v>
      </c>
    </row>
    <row r="12" spans="2:8" x14ac:dyDescent="0.25">
      <c r="B12" s="21" t="s">
        <v>8</v>
      </c>
      <c r="C12" s="21"/>
      <c r="D12" s="2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534</v>
      </c>
      <c r="D14" s="18">
        <v>22096.62</v>
      </c>
    </row>
    <row r="15" spans="2:8" x14ac:dyDescent="0.25">
      <c r="B15" s="9" t="s">
        <v>4</v>
      </c>
      <c r="C15" s="6">
        <v>1001</v>
      </c>
      <c r="D15" s="18">
        <v>44382.45</v>
      </c>
    </row>
    <row r="16" spans="2:8" x14ac:dyDescent="0.25">
      <c r="B16" s="9" t="s">
        <v>5</v>
      </c>
      <c r="C16" s="6">
        <v>3860</v>
      </c>
      <c r="D16" s="18">
        <v>44158.009999999995</v>
      </c>
    </row>
    <row r="17" spans="2:4" x14ac:dyDescent="0.25">
      <c r="B17" s="9" t="s">
        <v>6</v>
      </c>
      <c r="C17" s="6">
        <v>4889</v>
      </c>
      <c r="D17" s="18">
        <v>168979.6</v>
      </c>
    </row>
    <row r="18" spans="2:4" x14ac:dyDescent="0.25">
      <c r="B18" s="10" t="s">
        <v>7</v>
      </c>
      <c r="C18" s="8">
        <f>SUM(C14:C17)</f>
        <v>10284</v>
      </c>
      <c r="D18" s="4">
        <f>SUM(D14:D17)</f>
        <v>279616.68</v>
      </c>
    </row>
    <row r="20" spans="2:4" x14ac:dyDescent="0.25">
      <c r="B20" s="20" t="s">
        <v>14</v>
      </c>
      <c r="C20" s="20"/>
      <c r="D20" s="2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251</v>
      </c>
      <c r="D22" s="18">
        <v>18045</v>
      </c>
    </row>
    <row r="23" spans="2:4" x14ac:dyDescent="0.25">
      <c r="B23" s="1" t="s">
        <v>4</v>
      </c>
      <c r="C23" s="6">
        <v>93</v>
      </c>
      <c r="D23" s="18">
        <v>20107</v>
      </c>
    </row>
    <row r="24" spans="2:4" x14ac:dyDescent="0.25">
      <c r="B24" s="1" t="s">
        <v>5</v>
      </c>
      <c r="C24" s="6">
        <v>2237</v>
      </c>
      <c r="D24" s="18">
        <v>35433</v>
      </c>
    </row>
    <row r="25" spans="2:4" x14ac:dyDescent="0.25">
      <c r="B25" s="1" t="s">
        <v>6</v>
      </c>
      <c r="C25" s="7">
        <v>14172</v>
      </c>
      <c r="D25" s="18">
        <v>108860</v>
      </c>
    </row>
    <row r="26" spans="2:4" x14ac:dyDescent="0.25">
      <c r="B26" s="3" t="s">
        <v>7</v>
      </c>
      <c r="C26" s="8">
        <f>SUM(C22:C25)</f>
        <v>16753</v>
      </c>
      <c r="D26" s="4">
        <f>SUM(D22:D25)</f>
        <v>182445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4225</v>
      </c>
      <c r="D30" s="18">
        <v>74411.490000000005</v>
      </c>
    </row>
    <row r="31" spans="2:4" x14ac:dyDescent="0.25">
      <c r="B31" s="1" t="s">
        <v>4</v>
      </c>
      <c r="C31" s="6">
        <v>634</v>
      </c>
      <c r="D31" s="18">
        <v>21442.489999999998</v>
      </c>
    </row>
    <row r="32" spans="2:4" x14ac:dyDescent="0.25">
      <c r="B32" s="1" t="s">
        <v>5</v>
      </c>
      <c r="C32" s="6">
        <v>3559</v>
      </c>
      <c r="D32" s="18">
        <v>31820.2</v>
      </c>
    </row>
    <row r="33" spans="2:4" x14ac:dyDescent="0.25">
      <c r="B33" s="1" t="s">
        <v>6</v>
      </c>
      <c r="C33" s="6">
        <v>1056</v>
      </c>
      <c r="D33" s="18">
        <v>399</v>
      </c>
    </row>
    <row r="34" spans="2:4" x14ac:dyDescent="0.25">
      <c r="B34" s="10" t="s">
        <v>7</v>
      </c>
      <c r="C34" s="8">
        <f>SUM(C30:C33)</f>
        <v>9474</v>
      </c>
      <c r="D34" s="4">
        <f>SUM(D30:D33)</f>
        <v>128073.18000000001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1825</v>
      </c>
    </row>
    <row r="39" spans="2:4" x14ac:dyDescent="0.25">
      <c r="B39" s="1" t="s">
        <v>4</v>
      </c>
      <c r="C39" s="6">
        <v>8</v>
      </c>
      <c r="D39" s="19">
        <v>0</v>
      </c>
    </row>
    <row r="40" spans="2:4" x14ac:dyDescent="0.25">
      <c r="B40" s="1" t="s">
        <v>5</v>
      </c>
      <c r="C40" s="6">
        <v>6</v>
      </c>
      <c r="D40" s="18">
        <v>1290</v>
      </c>
    </row>
    <row r="41" spans="2:4" x14ac:dyDescent="0.25">
      <c r="B41" s="1" t="s">
        <v>6</v>
      </c>
      <c r="C41" s="6">
        <v>687</v>
      </c>
      <c r="D41" s="18">
        <v>6670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9785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94669</v>
      </c>
      <c r="D50" s="13">
        <f>SUMIF(B:B, "Total general", D:D)</f>
        <v>1966962.76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zoomScaleNormal="100" workbookViewId="0">
      <selection activeCell="B1" sqref="B1:D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5498</v>
      </c>
      <c r="D5" s="18">
        <v>114944.12</v>
      </c>
      <c r="E5" s="11"/>
    </row>
    <row r="6" spans="2:8" x14ac:dyDescent="0.25">
      <c r="B6" s="1" t="s">
        <v>4</v>
      </c>
      <c r="C6" s="17">
        <v>7087</v>
      </c>
      <c r="D6" s="18">
        <v>99449.97</v>
      </c>
    </row>
    <row r="7" spans="2:8" x14ac:dyDescent="0.25">
      <c r="B7" s="1" t="s">
        <v>5</v>
      </c>
      <c r="C7" s="17">
        <v>8095</v>
      </c>
      <c r="D7" s="18">
        <v>48695</v>
      </c>
    </row>
    <row r="8" spans="2:8" x14ac:dyDescent="0.25">
      <c r="B8" s="5" t="s">
        <v>10</v>
      </c>
      <c r="C8" s="17">
        <v>2737</v>
      </c>
      <c r="D8" s="18">
        <v>400</v>
      </c>
    </row>
    <row r="9" spans="2:8" x14ac:dyDescent="0.25">
      <c r="B9" s="1" t="s">
        <v>6</v>
      </c>
      <c r="C9" s="17">
        <v>11242</v>
      </c>
      <c r="D9" s="18">
        <v>34848.19</v>
      </c>
      <c r="E9" s="14"/>
      <c r="F9" s="7"/>
    </row>
    <row r="10" spans="2:8" x14ac:dyDescent="0.25">
      <c r="B10" s="3" t="s">
        <v>7</v>
      </c>
      <c r="C10" s="8">
        <f>SUM(C5:C9)</f>
        <v>34659</v>
      </c>
      <c r="D10" s="4">
        <f>SUM(D5:D9)</f>
        <v>298337.27999999997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6">
        <v>1270</v>
      </c>
      <c r="D14" s="18">
        <v>18811</v>
      </c>
    </row>
    <row r="15" spans="2:8" x14ac:dyDescent="0.25">
      <c r="B15" s="1" t="s">
        <v>4</v>
      </c>
      <c r="C15" s="16">
        <v>1034</v>
      </c>
      <c r="D15" s="18">
        <v>122202.18</v>
      </c>
    </row>
    <row r="16" spans="2:8" x14ac:dyDescent="0.25">
      <c r="B16" s="1" t="s">
        <v>5</v>
      </c>
      <c r="C16" s="16">
        <v>1080</v>
      </c>
      <c r="D16" s="18">
        <v>3777</v>
      </c>
    </row>
    <row r="17" spans="2:4" x14ac:dyDescent="0.25">
      <c r="B17" s="1" t="s">
        <v>6</v>
      </c>
      <c r="C17" s="16">
        <v>304</v>
      </c>
      <c r="D17" s="18">
        <v>6981.04</v>
      </c>
    </row>
    <row r="18" spans="2:4" x14ac:dyDescent="0.25">
      <c r="B18" s="3" t="s">
        <v>7</v>
      </c>
      <c r="C18" s="8">
        <f>SUM(C14:C17)</f>
        <v>3688</v>
      </c>
      <c r="D18" s="4">
        <f>SUM(D14:D17)</f>
        <v>151771.22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6">
        <v>4212</v>
      </c>
      <c r="D22" s="18">
        <v>70849.490000000005</v>
      </c>
    </row>
    <row r="23" spans="2:4" x14ac:dyDescent="0.25">
      <c r="B23" s="1" t="s">
        <v>4</v>
      </c>
      <c r="C23" s="16">
        <v>535</v>
      </c>
      <c r="D23" s="18">
        <v>14313.49</v>
      </c>
    </row>
    <row r="24" spans="2:4" x14ac:dyDescent="0.25">
      <c r="B24" s="1" t="s">
        <v>5</v>
      </c>
      <c r="C24" s="16">
        <v>3478</v>
      </c>
      <c r="D24" s="18">
        <v>30986.2</v>
      </c>
    </row>
    <row r="25" spans="2:4" x14ac:dyDescent="0.25">
      <c r="B25" s="9" t="s">
        <v>6</v>
      </c>
      <c r="C25" s="16">
        <v>30</v>
      </c>
      <c r="D25" s="18">
        <v>399</v>
      </c>
    </row>
    <row r="26" spans="2:4" x14ac:dyDescent="0.25">
      <c r="B26" s="10" t="s">
        <v>7</v>
      </c>
      <c r="C26" s="8">
        <f>SUM(C22:C25)</f>
        <v>8255</v>
      </c>
      <c r="D26" s="4">
        <f>SUM(D22:D25)</f>
        <v>116548.18000000001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8">
        <v>763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16">
        <v>1</v>
      </c>
      <c r="D32" s="15">
        <v>0</v>
      </c>
    </row>
    <row r="33" spans="2:4" x14ac:dyDescent="0.25">
      <c r="B33" s="1" t="s">
        <v>6</v>
      </c>
      <c r="C33" s="16">
        <v>330</v>
      </c>
      <c r="D33" s="15">
        <v>0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763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16">
        <v>2</v>
      </c>
      <c r="D38" s="19">
        <v>0</v>
      </c>
    </row>
    <row r="39" spans="2:4" x14ac:dyDescent="0.25">
      <c r="B39" s="1" t="s">
        <v>6</v>
      </c>
      <c r="C39" s="16">
        <v>64</v>
      </c>
      <c r="D39" s="18">
        <v>557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557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6</v>
      </c>
      <c r="C45" s="16">
        <v>176</v>
      </c>
      <c r="D45" s="15">
        <v>0</v>
      </c>
    </row>
    <row r="46" spans="2:4" x14ac:dyDescent="0.25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25">
      <c r="B48" s="12" t="s">
        <v>11</v>
      </c>
      <c r="C48" s="13">
        <f>SUMIF(B:B, "Total general", C:C)</f>
        <v>47179</v>
      </c>
      <c r="D48" s="13">
        <f>SUMIF(B:B, "Total general", D:D)</f>
        <v>567976.68000000005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tabSelected="1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10986</v>
      </c>
      <c r="D3" s="14">
        <f>SUMIF(CDC!B:B, "Extrajudicial - 0 a 28 semanas de atraso", CDC!D:D)</f>
        <v>205367.61</v>
      </c>
    </row>
    <row r="4" spans="2:6" x14ac:dyDescent="0.25">
      <c r="B4" s="1" t="s">
        <v>4</v>
      </c>
      <c r="C4" s="6">
        <f>SUMIF(CDC!B:B, "Extrajudicial - 29 a 39 semanas de atraso", CDC!C:C)</f>
        <v>8656</v>
      </c>
      <c r="D4" s="14">
        <f>SUMIF(CDC!B:B, "Extrajudicial - 29 a 39 semanas de atraso", CDC!D:D)</f>
        <v>235965.63999999998</v>
      </c>
    </row>
    <row r="5" spans="2:6" x14ac:dyDescent="0.25">
      <c r="B5" s="1" t="s">
        <v>5</v>
      </c>
      <c r="C5" s="6">
        <f>SUMIF(CDC!B:B, "Extrajudicial - 40 a 55 semanas de atraso", CDC!C:C)</f>
        <v>12654</v>
      </c>
      <c r="D5" s="14">
        <f>SUMIF(CDC!B:B, "Extrajudicial - 40 a 55 semanas de atraso", CDC!D:D)</f>
        <v>83458.2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12146</v>
      </c>
      <c r="D7" s="6">
        <f>SUMIF(CDC!B:B, "Mas 55 semanas de atraso", CDC!D:D)</f>
        <v>42785.23</v>
      </c>
      <c r="E7" s="14"/>
      <c r="F7" s="7"/>
    </row>
    <row r="8" spans="2:6" x14ac:dyDescent="0.25">
      <c r="B8" s="3" t="s">
        <v>7</v>
      </c>
      <c r="C8" s="8">
        <f>SUM(C3:C7)</f>
        <v>47179</v>
      </c>
      <c r="D8" s="4">
        <f>SUM(D3:D7)</f>
        <v>567976.67999999993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2025-11-22T16:18:18Z</cp:lastPrinted>
  <dcterms:created xsi:type="dcterms:W3CDTF">2025-01-27T15:11:28Z</dcterms:created>
  <dcterms:modified xsi:type="dcterms:W3CDTF">2025-11-22T16:19:37Z</dcterms:modified>
</cp:coreProperties>
</file>