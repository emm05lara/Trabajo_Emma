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1 NOV\MAÑANA\"/>
    </mc:Choice>
  </mc:AlternateContent>
  <xr:revisionPtr revIDLastSave="0" documentId="13_ncr:1_{4F73CFC2-526F-46FB-935B-59CEF7D5A62F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5" l="1"/>
  <c r="D10" i="1"/>
  <c r="C40" i="5"/>
  <c r="D18" i="1"/>
  <c r="D34" i="5"/>
  <c r="C18" i="1"/>
  <c r="C34" i="1"/>
  <c r="D34" i="1"/>
  <c r="C34" i="5"/>
  <c r="D47" i="5"/>
  <c r="D18" i="5"/>
  <c r="C18" i="5"/>
  <c r="C42" i="1"/>
  <c r="D42" i="1"/>
  <c r="C26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9" i="5" l="1"/>
  <c r="D8" i="6"/>
  <c r="C8" i="6"/>
  <c r="D49" i="5"/>
  <c r="D26" i="1"/>
  <c r="D50" i="1" l="1"/>
  <c r="C10" i="1"/>
  <c r="C50" i="1" l="1"/>
</calcChain>
</file>

<file path=xl/sharedStrings.xml><?xml version="1.0" encoding="utf-8"?>
<sst xmlns="http://schemas.openxmlformats.org/spreadsheetml/2006/main" count="114" uniqueCount="18">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</sst>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7324</v>
      </c>
      <c r="D5" s="18">
        <v>303609.31</v>
      </c>
    </row>
    <row r="6" spans="2:8" x14ac:dyDescent="0.25">
      <c r="B6" s="1" t="s">
        <v>4</v>
      </c>
      <c r="C6" s="6">
        <v>7803</v>
      </c>
      <c r="D6" s="18">
        <v>244629.09</v>
      </c>
    </row>
    <row r="7" spans="2:8" x14ac:dyDescent="0.25">
      <c r="B7" s="1" t="s">
        <v>5</v>
      </c>
      <c r="C7" s="6">
        <v>5810</v>
      </c>
      <c r="D7" s="18">
        <v>72003.249999999985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35999</v>
      </c>
      <c r="D9" s="18">
        <v>250512.38999999998</v>
      </c>
      <c r="E9" s="14"/>
      <c r="F9" s="7"/>
    </row>
    <row r="10" spans="2:8" x14ac:dyDescent="0.25">
      <c r="B10" s="3" t="s">
        <v>7</v>
      </c>
      <c r="C10" s="8">
        <f>SUM(C5:C9)</f>
        <v>57436</v>
      </c>
      <c r="D10" s="4">
        <f>SUM(D5:D9)</f>
        <v>870754.04</v>
      </c>
      <c r="E10" s="11" t="s">
        <v>12</v>
      </c>
    </row>
    <row r="12" spans="2:8" x14ac:dyDescent="0.25">
      <c r="B12" s="20" t="s">
        <v>14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220</v>
      </c>
      <c r="D14" s="18">
        <v>11780</v>
      </c>
    </row>
    <row r="15" spans="2:8" x14ac:dyDescent="0.25">
      <c r="B15" s="1" t="s">
        <v>4</v>
      </c>
      <c r="C15" s="6">
        <v>94</v>
      </c>
      <c r="D15" s="18">
        <v>16876</v>
      </c>
    </row>
    <row r="16" spans="2:8" x14ac:dyDescent="0.25">
      <c r="B16" s="1" t="s">
        <v>5</v>
      </c>
      <c r="C16" s="6">
        <v>2237</v>
      </c>
      <c r="D16" s="18">
        <v>24877</v>
      </c>
    </row>
    <row r="17" spans="2:4" x14ac:dyDescent="0.25">
      <c r="B17" s="1" t="s">
        <v>6</v>
      </c>
      <c r="C17" s="7">
        <v>14172</v>
      </c>
      <c r="D17" s="18">
        <v>77212</v>
      </c>
    </row>
    <row r="18" spans="2:4" x14ac:dyDescent="0.25">
      <c r="B18" s="3" t="s">
        <v>7</v>
      </c>
      <c r="C18" s="8">
        <f>SUM(C14:C17)</f>
        <v>16723</v>
      </c>
      <c r="D18" s="4">
        <f>SUM(D14:D17)</f>
        <v>130745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535</v>
      </c>
      <c r="D22" s="18">
        <v>16655.84</v>
      </c>
    </row>
    <row r="23" spans="2:4" x14ac:dyDescent="0.25">
      <c r="B23" s="9" t="s">
        <v>4</v>
      </c>
      <c r="C23" s="6">
        <v>1008</v>
      </c>
      <c r="D23" s="18">
        <v>26167.41</v>
      </c>
    </row>
    <row r="24" spans="2:4" x14ac:dyDescent="0.25">
      <c r="B24" s="9" t="s">
        <v>5</v>
      </c>
      <c r="C24" s="6">
        <v>3860</v>
      </c>
      <c r="D24" s="18">
        <v>30679.010000000002</v>
      </c>
    </row>
    <row r="25" spans="2:4" x14ac:dyDescent="0.25">
      <c r="B25" s="9" t="s">
        <v>6</v>
      </c>
      <c r="C25" s="6">
        <v>4889</v>
      </c>
      <c r="D25" s="18">
        <v>29848.48</v>
      </c>
    </row>
    <row r="26" spans="2:4" x14ac:dyDescent="0.25">
      <c r="B26" s="10" t="s">
        <v>7</v>
      </c>
      <c r="C26" s="8">
        <f>SUM(C22:C25)</f>
        <v>10292</v>
      </c>
      <c r="D26" s="4">
        <f>SUM(D22:D25)</f>
        <v>103350.74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4256</v>
      </c>
      <c r="D30" s="18">
        <v>55646.490000000005</v>
      </c>
    </row>
    <row r="31" spans="2:4" x14ac:dyDescent="0.25">
      <c r="B31" s="1" t="s">
        <v>4</v>
      </c>
      <c r="C31" s="6">
        <v>634</v>
      </c>
      <c r="D31" s="18">
        <v>13110.49</v>
      </c>
    </row>
    <row r="32" spans="2:4" x14ac:dyDescent="0.25">
      <c r="B32" s="1" t="s">
        <v>5</v>
      </c>
      <c r="C32" s="6">
        <v>3558</v>
      </c>
      <c r="D32" s="18">
        <v>30077.86</v>
      </c>
    </row>
    <row r="33" spans="2:4" x14ac:dyDescent="0.25">
      <c r="B33" s="1" t="s">
        <v>6</v>
      </c>
      <c r="C33" s="6">
        <v>1014</v>
      </c>
      <c r="D33" s="18">
        <v>399</v>
      </c>
    </row>
    <row r="34" spans="2:4" x14ac:dyDescent="0.25">
      <c r="B34" s="10" t="s">
        <v>7</v>
      </c>
      <c r="C34" s="8">
        <f>SUM(C30:C33)</f>
        <v>9462</v>
      </c>
      <c r="D34" s="4">
        <f>SUM(D30:D33)</f>
        <v>99233.840000000011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1825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8">
        <v>970</v>
      </c>
    </row>
    <row r="41" spans="2:4" x14ac:dyDescent="0.25">
      <c r="B41" s="1" t="s">
        <v>6</v>
      </c>
      <c r="C41" s="6">
        <v>687</v>
      </c>
      <c r="D41" s="18">
        <v>3008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5803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94627</v>
      </c>
      <c r="D50" s="13">
        <f>SUMIF(B:B, "Total general", D:D)</f>
        <v>1209886.6200000001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9"/>
  <sheetViews>
    <sheetView showGridLines="0" tabSelected="1" zoomScaleNormal="100" workbookViewId="0">
      <selection activeCell="A16" sqref="A1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6960</v>
      </c>
      <c r="D5" s="18">
        <v>105461.32</v>
      </c>
      <c r="E5" s="11"/>
    </row>
    <row r="6" spans="2:8" x14ac:dyDescent="0.25">
      <c r="B6" s="1" t="s">
        <v>4</v>
      </c>
      <c r="C6" s="17">
        <v>8593</v>
      </c>
      <c r="D6" s="18">
        <v>112403.97</v>
      </c>
    </row>
    <row r="7" spans="2:8" x14ac:dyDescent="0.25">
      <c r="B7" s="1" t="s">
        <v>5</v>
      </c>
      <c r="C7" s="17">
        <v>8086</v>
      </c>
      <c r="D7" s="18">
        <v>36618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21191.190000000002</v>
      </c>
      <c r="E9" s="14"/>
      <c r="F9" s="7"/>
    </row>
    <row r="10" spans="2:8" x14ac:dyDescent="0.25">
      <c r="B10" s="3" t="s">
        <v>7</v>
      </c>
      <c r="C10" s="8">
        <f>SUM(C5:C9)</f>
        <v>37618</v>
      </c>
      <c r="D10" s="4">
        <f>SUM(D5:D9)</f>
        <v>276074.48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1253</v>
      </c>
      <c r="D14" s="18">
        <v>14537</v>
      </c>
    </row>
    <row r="15" spans="2:8" x14ac:dyDescent="0.25">
      <c r="B15" s="1" t="s">
        <v>4</v>
      </c>
      <c r="C15" s="16">
        <v>1030</v>
      </c>
      <c r="D15" s="18">
        <v>122202.18</v>
      </c>
    </row>
    <row r="16" spans="2:8" x14ac:dyDescent="0.25">
      <c r="B16" s="1" t="s">
        <v>5</v>
      </c>
      <c r="C16" s="16">
        <v>1080</v>
      </c>
      <c r="D16" s="18">
        <v>1381</v>
      </c>
    </row>
    <row r="17" spans="2:4" x14ac:dyDescent="0.25">
      <c r="B17" s="1" t="s">
        <v>6</v>
      </c>
      <c r="C17" s="16">
        <v>304</v>
      </c>
      <c r="D17" s="18">
        <v>5532.04</v>
      </c>
    </row>
    <row r="18" spans="2:4" x14ac:dyDescent="0.25">
      <c r="B18" s="3" t="s">
        <v>7</v>
      </c>
      <c r="C18" s="8">
        <f>SUM(C14:C17)</f>
        <v>3667</v>
      </c>
      <c r="D18" s="4">
        <f>SUM(D14:D17)</f>
        <v>143652.22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4244</v>
      </c>
      <c r="D22" s="18">
        <v>52584.490000000005</v>
      </c>
    </row>
    <row r="23" spans="2:4" x14ac:dyDescent="0.25">
      <c r="B23" s="1" t="s">
        <v>4</v>
      </c>
      <c r="C23" s="16">
        <v>536</v>
      </c>
      <c r="D23" s="18">
        <v>8075.49</v>
      </c>
    </row>
    <row r="24" spans="2:4" x14ac:dyDescent="0.25">
      <c r="B24" s="1" t="s">
        <v>5</v>
      </c>
      <c r="C24" s="16">
        <v>3478</v>
      </c>
      <c r="D24" s="18">
        <v>30013.86</v>
      </c>
    </row>
    <row r="25" spans="2:4" x14ac:dyDescent="0.25">
      <c r="B25" s="9" t="s">
        <v>6</v>
      </c>
      <c r="C25" s="16">
        <v>27</v>
      </c>
      <c r="D25" s="18">
        <v>399</v>
      </c>
    </row>
    <row r="26" spans="2:4" x14ac:dyDescent="0.25">
      <c r="B26" s="10" t="s">
        <v>7</v>
      </c>
      <c r="C26" s="8">
        <f>SUM(C22:C25)</f>
        <v>8285</v>
      </c>
      <c r="D26" s="4">
        <f>SUM(D22:D25)</f>
        <v>91072.84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8">
        <v>763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6">
        <v>1</v>
      </c>
      <c r="D32" s="15">
        <v>0</v>
      </c>
    </row>
    <row r="33" spans="2:4" x14ac:dyDescent="0.25">
      <c r="B33" s="1" t="s">
        <v>6</v>
      </c>
      <c r="C33" s="16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763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6">
        <v>2</v>
      </c>
      <c r="D38" s="19">
        <v>0</v>
      </c>
    </row>
    <row r="39" spans="2:4" x14ac:dyDescent="0.25">
      <c r="B39" s="1" t="s">
        <v>6</v>
      </c>
      <c r="C39" s="16">
        <v>64</v>
      </c>
      <c r="D39" s="19">
        <v>0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4</v>
      </c>
      <c r="C45" s="16">
        <v>0</v>
      </c>
      <c r="D45" s="15">
        <v>0</v>
      </c>
    </row>
    <row r="46" spans="2:4" x14ac:dyDescent="0.25">
      <c r="B46" s="9" t="s">
        <v>6</v>
      </c>
      <c r="C46" s="16">
        <v>176</v>
      </c>
      <c r="D46" s="15">
        <v>0</v>
      </c>
    </row>
    <row r="47" spans="2:4" x14ac:dyDescent="0.25">
      <c r="B47" s="10" t="s">
        <v>7</v>
      </c>
      <c r="C47" s="8">
        <f>SUM(C44:C46)</f>
        <v>178</v>
      </c>
      <c r="D47" s="4">
        <f>SUM(D44:D46)</f>
        <v>0</v>
      </c>
    </row>
    <row r="49" spans="2:4" x14ac:dyDescent="0.25">
      <c r="B49" s="12" t="s">
        <v>11</v>
      </c>
      <c r="C49" s="13">
        <f>SUMIF(B:B, "Total general", C:C)</f>
        <v>50147</v>
      </c>
      <c r="D49" s="13">
        <f>SUMIF(B:B, "Total general", D:D)</f>
        <v>511562.53999999992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12463</v>
      </c>
      <c r="D3" s="14">
        <f>SUMIF(CDC!B:B, "Extrajudicial - 0 a 28 semanas de atraso", CDC!D:D)</f>
        <v>173345.81</v>
      </c>
    </row>
    <row r="4" spans="2:6" x14ac:dyDescent="0.25">
      <c r="B4" s="1" t="s">
        <v>4</v>
      </c>
      <c r="C4" s="6">
        <f>SUMIF(CDC!B:B, "Extrajudicial - 29 a 39 semanas de atraso", CDC!C:C)</f>
        <v>10159</v>
      </c>
      <c r="D4" s="14">
        <f>SUMIF(CDC!B:B, "Extrajudicial - 29 a 39 semanas de atraso", CDC!D:D)</f>
        <v>242681.63999999998</v>
      </c>
    </row>
    <row r="5" spans="2:6" x14ac:dyDescent="0.25">
      <c r="B5" s="1" t="s">
        <v>5</v>
      </c>
      <c r="C5" s="6">
        <f>SUMIF(CDC!B:B, "Extrajudicial - 40 a 55 semanas de atraso", CDC!C:C)</f>
        <v>12645</v>
      </c>
      <c r="D5" s="14">
        <f>SUMIF(CDC!B:B, "Extrajudicial - 40 a 55 semanas de atraso", CDC!D:D)</f>
        <v>68012.86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12143</v>
      </c>
      <c r="D7" s="6">
        <f>SUMIF(CDC!B:B, "Mas 55 semanas de atraso", CDC!D:D)</f>
        <v>27122.230000000003</v>
      </c>
      <c r="E7" s="14"/>
      <c r="F7" s="7"/>
    </row>
    <row r="8" spans="2:6" x14ac:dyDescent="0.25">
      <c r="B8" s="3" t="s">
        <v>7</v>
      </c>
      <c r="C8" s="8">
        <f>SUM(C3:C7)</f>
        <v>50147</v>
      </c>
      <c r="D8" s="4">
        <f>SUM(D3:D7)</f>
        <v>511562.53999999992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2025-11-21T15:01:36Z</cp:lastPrinted>
  <dcterms:created xsi:type="dcterms:W3CDTF">2025-01-27T15:11:28Z</dcterms:created>
  <dcterms:modified xsi:type="dcterms:W3CDTF">2025-11-21T15:03:58Z</dcterms:modified>
</cp:coreProperties>
</file>