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21 NOV\NOCHE\"/>
    </mc:Choice>
  </mc:AlternateContent>
  <xr:revisionPtr revIDLastSave="0" documentId="8_{1E30D902-C0A7-4F41-BE8C-3EADE63F7415}" xr6:coauthVersionLast="47" xr6:coauthVersionMax="47" xr10:uidLastSave="{00000000-0000-0000-0000-000000000000}"/>
  <bookViews>
    <workbookView xWindow="-120" yWindow="-120" windowWidth="51840" windowHeight="21120" activeTab="2" xr2:uid="{B786BDED-6AB1-4710-84DE-D337D72E84B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D9" i="1" s="1"/>
  <c r="B2" i="3"/>
  <c r="D9" i="3" s="1"/>
  <c r="B2" i="2"/>
  <c r="D11" i="2" s="1"/>
</calcChain>
</file>

<file path=xl/sharedStrings.xml><?xml version="1.0" encoding="utf-8"?>
<sst xmlns="http://schemas.openxmlformats.org/spreadsheetml/2006/main" count="106" uniqueCount="22">
  <si>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</si>
  <si>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</si>
  <si>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</si>
  <si>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</si>
  <si>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</si>
  <si>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</si>
  <si>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</si>
  <si>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SKIC COBRO SOLUTION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</si>
  <si>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</si>
  <si>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</si>
  <si>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</si>
  <si>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</si>
  <si>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</si>
  <si>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</si>
  <si>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</si>
  <si>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</si>
  <si>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OTROS</t>
  </si>
  <si>
    <t>REESTRUCTURA</t>
  </si>
  <si>
    <t>TAZ</t>
  </si>
  <si>
    <t>TOR</t>
  </si>
  <si>
    <t>ITALIKA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</si>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</sst>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D466-857B-499C-81A2-E3D345757316}">
  <dimension ref="B2:D37"/>
  <sheetViews>
    <sheetView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21/11/2025  19:57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13</v>
      </c>
      <c r="C4" s="1" t="s">
        <v>1</v>
      </c>
    </row>
    <row r="5" spans="2:4" x14ac:dyDescent="0.25">
      <c r="B5" s="2" t="s">
        <v>2</v>
      </c>
      <c r="C5" s="3">
        <v>230313.68000000002</v>
      </c>
    </row>
    <row r="6" spans="2:4" x14ac:dyDescent="0.25">
      <c r="B6" s="2" t="s">
        <v>3</v>
      </c>
      <c r="C6" s="3">
        <v>104911</v>
      </c>
    </row>
    <row r="7" spans="2:4" x14ac:dyDescent="0.25">
      <c r="B7" s="2" t="s">
        <v>4</v>
      </c>
      <c r="C7" s="3">
        <v>17979.16</v>
      </c>
    </row>
    <row r="8" spans="2:4" ht="15.75" thickBot="1" x14ac:dyDescent="0.3">
      <c r="B8" s="2" t="s">
        <v>5</v>
      </c>
      <c r="C8" s="3">
        <v>58886</v>
      </c>
      <c r="D8" s="1" t="s">
        <v>12</v>
      </c>
    </row>
    <row r="9" spans="2:4" ht="15.75" thickTop="1" x14ac:dyDescent="0.25">
      <c r="B9" s="4" t="s">
        <v>6</v>
      </c>
      <c r="C9" s="5">
        <v>412089.84</v>
      </c>
      <c r="D9" s="5">
        <f ca="1">SUMIF(B:B, "Total general", C:C)</f>
        <v>633841.07999999996</v>
      </c>
    </row>
    <row r="11" spans="2:4" x14ac:dyDescent="0.25">
      <c r="B11" s="6" t="s">
        <v>9</v>
      </c>
      <c r="C11" s="6"/>
    </row>
    <row r="12" spans="2:4" x14ac:dyDescent="0.25">
      <c r="B12" s="1" t="s">
        <v>13</v>
      </c>
      <c r="C12" s="1" t="s">
        <v>1</v>
      </c>
    </row>
    <row r="13" spans="2:4" x14ac:dyDescent="0.25">
      <c r="B13" s="2" t="s">
        <v>2</v>
      </c>
      <c r="C13" s="3">
        <v>3766.7799999999997</v>
      </c>
    </row>
    <row r="14" spans="2:4" x14ac:dyDescent="0.25">
      <c r="B14" s="2" t="s">
        <v>3</v>
      </c>
      <c r="C14" s="3">
        <v>11958</v>
      </c>
    </row>
    <row r="15" spans="2:4" x14ac:dyDescent="0.25">
      <c r="B15" s="2" t="s">
        <v>4</v>
      </c>
      <c r="C15" s="3">
        <v>9532</v>
      </c>
    </row>
    <row r="16" spans="2:4" ht="15.75" thickBot="1" x14ac:dyDescent="0.3">
      <c r="B16" s="2" t="s">
        <v>5</v>
      </c>
      <c r="C16" s="3">
        <v>135162.12</v>
      </c>
    </row>
    <row r="17" spans="2:3" ht="15.75" thickTop="1" x14ac:dyDescent="0.25">
      <c r="B17" s="4" t="s">
        <v>6</v>
      </c>
      <c r="C17" s="5">
        <v>160418.9</v>
      </c>
    </row>
    <row r="19" spans="2:3" x14ac:dyDescent="0.25">
      <c r="B19" s="6" t="s">
        <v>8</v>
      </c>
      <c r="C19" s="6"/>
    </row>
    <row r="20" spans="2:3" x14ac:dyDescent="0.25">
      <c r="B20" s="1" t="s">
        <v>13</v>
      </c>
      <c r="C20" s="1" t="s">
        <v>1</v>
      </c>
    </row>
    <row r="21" spans="2:3" x14ac:dyDescent="0.25">
      <c r="B21" s="2" t="s">
        <v>2</v>
      </c>
      <c r="C21" s="3">
        <v>2466</v>
      </c>
    </row>
    <row r="22" spans="2:3" x14ac:dyDescent="0.25">
      <c r="B22" s="2" t="s">
        <v>3</v>
      </c>
      <c r="C22" s="3">
        <v>2867</v>
      </c>
    </row>
    <row r="23" spans="2:3" x14ac:dyDescent="0.25">
      <c r="B23" s="2" t="s">
        <v>4</v>
      </c>
      <c r="C23" s="3">
        <v>7667</v>
      </c>
    </row>
    <row r="24" spans="2:3" ht="15.75" thickBot="1" x14ac:dyDescent="0.3">
      <c r="B24" s="2" t="s">
        <v>5</v>
      </c>
      <c r="C24" s="3">
        <v>27865</v>
      </c>
    </row>
    <row r="25" spans="2:3" ht="15.75" thickTop="1" x14ac:dyDescent="0.25">
      <c r="B25" s="4" t="s">
        <v>6</v>
      </c>
      <c r="C25" s="5">
        <v>40865</v>
      </c>
    </row>
    <row r="27" spans="2:3" x14ac:dyDescent="0.25">
      <c r="B27" s="6" t="s">
        <v>11</v>
      </c>
      <c r="C27" s="6"/>
    </row>
    <row r="28" spans="2:3" x14ac:dyDescent="0.25">
      <c r="B28" s="1" t="s">
        <v>13</v>
      </c>
      <c r="C28" s="1" t="s">
        <v>1</v>
      </c>
    </row>
    <row r="29" spans="2:3" x14ac:dyDescent="0.25">
      <c r="B29" s="2" t="s">
        <v>2</v>
      </c>
      <c r="C29" s="3">
        <v>8873</v>
      </c>
    </row>
    <row r="30" spans="2:3" x14ac:dyDescent="0.25">
      <c r="B30" s="2" t="s">
        <v>3</v>
      </c>
      <c r="C30" s="3">
        <v>6699</v>
      </c>
    </row>
    <row r="31" spans="2:3" ht="15.75" thickBot="1" x14ac:dyDescent="0.3">
      <c r="B31" s="2" t="s">
        <v>4</v>
      </c>
      <c r="C31" s="3">
        <v>1233.3399999999999</v>
      </c>
    </row>
    <row r="32" spans="2:3" ht="15.75" thickTop="1" x14ac:dyDescent="0.25">
      <c r="B32" s="4" t="s">
        <v>6</v>
      </c>
      <c r="C32" s="5">
        <v>16805.34</v>
      </c>
    </row>
    <row r="34" spans="2:3" x14ac:dyDescent="0.25">
      <c r="B34" s="6" t="s">
        <v>10</v>
      </c>
      <c r="C34" s="6"/>
    </row>
    <row r="35" spans="2:3" x14ac:dyDescent="0.25">
      <c r="B35" s="1" t="s">
        <v>13</v>
      </c>
      <c r="C35" s="1" t="s">
        <v>1</v>
      </c>
    </row>
    <row r="36" spans="2:3" ht="15.75" thickBot="1" x14ac:dyDescent="0.3">
      <c r="B36" s="2" t="s">
        <v>5</v>
      </c>
      <c r="C36" s="3">
        <v>3662</v>
      </c>
    </row>
    <row r="37" spans="2:3" ht="15.75" thickTop="1" x14ac:dyDescent="0.25">
      <c r="B37" s="4" t="s">
        <v>6</v>
      </c>
      <c r="C37" s="5">
        <v>3662</v>
      </c>
    </row>
  </sheetData>
  <mergeCells count="6">
    <mergeCell ref="B3:C3"/>
    <mergeCell ref="B19:C19"/>
    <mergeCell ref="B11:C11"/>
    <mergeCell ref="B34:C34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90D5-182E-4106-AA4E-BBAA00C96B8E}">
  <dimension ref="B2:D41"/>
  <sheetViews>
    <sheetView workbookViewId="0">
      <selection activeCell="B2" sqref="B2:D41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21/11/2025  19:57 </v>
      </c>
      <c r="C2" s="6"/>
    </row>
    <row r="3" spans="2:4" x14ac:dyDescent="0.25">
      <c r="B3" s="6" t="s">
        <v>7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14</v>
      </c>
      <c r="C5" s="3">
        <v>39492</v>
      </c>
    </row>
    <row r="6" spans="2:4" x14ac:dyDescent="0.25">
      <c r="B6" s="2" t="s">
        <v>15</v>
      </c>
      <c r="C6" s="3">
        <v>146762</v>
      </c>
    </row>
    <row r="7" spans="2:4" x14ac:dyDescent="0.25">
      <c r="B7" s="2" t="s">
        <v>16</v>
      </c>
      <c r="C7" s="3">
        <v>221</v>
      </c>
    </row>
    <row r="8" spans="2:4" x14ac:dyDescent="0.25">
      <c r="B8" s="2" t="s">
        <v>17</v>
      </c>
      <c r="C8" s="3">
        <v>28622.89</v>
      </c>
    </row>
    <row r="9" spans="2:4" x14ac:dyDescent="0.25">
      <c r="B9" s="2" t="s">
        <v>18</v>
      </c>
      <c r="C9" s="3">
        <v>1050</v>
      </c>
    </row>
    <row r="10" spans="2:4" ht="15.75" thickBot="1" x14ac:dyDescent="0.3">
      <c r="B10" s="2" t="s">
        <v>19</v>
      </c>
      <c r="C10" s="3">
        <v>195941.95</v>
      </c>
      <c r="D10" s="1" t="s">
        <v>12</v>
      </c>
    </row>
    <row r="11" spans="2:4" ht="15.75" thickTop="1" x14ac:dyDescent="0.25">
      <c r="B11" s="4" t="s">
        <v>6</v>
      </c>
      <c r="C11" s="5">
        <v>412089.84</v>
      </c>
      <c r="D11" s="5">
        <f ca="1">SUMIF(B:B, "Total general", C:C)</f>
        <v>633841.07999999996</v>
      </c>
    </row>
    <row r="13" spans="2:4" x14ac:dyDescent="0.25">
      <c r="B13" s="6" t="s">
        <v>9</v>
      </c>
      <c r="C13" s="6"/>
    </row>
    <row r="14" spans="2:4" x14ac:dyDescent="0.25">
      <c r="B14" s="1" t="s">
        <v>0</v>
      </c>
      <c r="C14" s="1" t="s">
        <v>1</v>
      </c>
    </row>
    <row r="15" spans="2:4" x14ac:dyDescent="0.25">
      <c r="B15" s="2" t="s">
        <v>14</v>
      </c>
      <c r="C15" s="3">
        <v>1691.1</v>
      </c>
    </row>
    <row r="16" spans="2:4" x14ac:dyDescent="0.25">
      <c r="B16" s="2" t="s">
        <v>15</v>
      </c>
      <c r="C16" s="3">
        <v>65110</v>
      </c>
    </row>
    <row r="17" spans="2:3" x14ac:dyDescent="0.25">
      <c r="B17" s="2" t="s">
        <v>17</v>
      </c>
      <c r="C17" s="3">
        <v>62393</v>
      </c>
    </row>
    <row r="18" spans="2:3" ht="15.75" thickBot="1" x14ac:dyDescent="0.3">
      <c r="B18" s="2" t="s">
        <v>19</v>
      </c>
      <c r="C18" s="3">
        <v>31224.799999999999</v>
      </c>
    </row>
    <row r="19" spans="2:3" ht="15.75" thickTop="1" x14ac:dyDescent="0.25">
      <c r="B19" s="4" t="s">
        <v>6</v>
      </c>
      <c r="C19" s="5">
        <v>160418.9</v>
      </c>
    </row>
    <row r="21" spans="2:3" x14ac:dyDescent="0.25">
      <c r="B21" s="6" t="s">
        <v>8</v>
      </c>
      <c r="C21" s="6"/>
    </row>
    <row r="22" spans="2:3" x14ac:dyDescent="0.25">
      <c r="B22" s="1" t="s">
        <v>0</v>
      </c>
      <c r="C22" s="1" t="s">
        <v>1</v>
      </c>
    </row>
    <row r="23" spans="2:3" x14ac:dyDescent="0.25">
      <c r="B23" s="2" t="s">
        <v>14</v>
      </c>
      <c r="C23" s="3">
        <v>835</v>
      </c>
    </row>
    <row r="24" spans="2:3" x14ac:dyDescent="0.25">
      <c r="B24" s="2" t="s">
        <v>15</v>
      </c>
      <c r="C24" s="3">
        <v>17148</v>
      </c>
    </row>
    <row r="25" spans="2:3" x14ac:dyDescent="0.25">
      <c r="B25" s="2" t="s">
        <v>17</v>
      </c>
      <c r="C25" s="3">
        <v>5506</v>
      </c>
    </row>
    <row r="26" spans="2:3" ht="15.75" thickBot="1" x14ac:dyDescent="0.3">
      <c r="B26" s="2" t="s">
        <v>19</v>
      </c>
      <c r="C26" s="3">
        <v>17376</v>
      </c>
    </row>
    <row r="27" spans="2:3" ht="15.75" thickTop="1" x14ac:dyDescent="0.25">
      <c r="B27" s="4" t="s">
        <v>6</v>
      </c>
      <c r="C27" s="5">
        <v>40865</v>
      </c>
    </row>
    <row r="29" spans="2:3" x14ac:dyDescent="0.25">
      <c r="B29" s="6" t="s">
        <v>11</v>
      </c>
      <c r="C29" s="6"/>
    </row>
    <row r="30" spans="2:3" x14ac:dyDescent="0.25">
      <c r="B30" s="1" t="s">
        <v>0</v>
      </c>
      <c r="C30" s="1" t="s">
        <v>1</v>
      </c>
    </row>
    <row r="31" spans="2:3" x14ac:dyDescent="0.25">
      <c r="B31" s="2" t="s">
        <v>14</v>
      </c>
      <c r="C31" s="3">
        <v>4067</v>
      </c>
    </row>
    <row r="32" spans="2:3" x14ac:dyDescent="0.25">
      <c r="B32" s="2" t="s">
        <v>15</v>
      </c>
      <c r="C32" s="3">
        <v>2599</v>
      </c>
    </row>
    <row r="33" spans="2:3" x14ac:dyDescent="0.25">
      <c r="B33" s="2" t="s">
        <v>20</v>
      </c>
      <c r="C33" s="3">
        <v>3837</v>
      </c>
    </row>
    <row r="34" spans="2:3" x14ac:dyDescent="0.25">
      <c r="B34" s="2" t="s">
        <v>17</v>
      </c>
      <c r="C34" s="3">
        <v>2551</v>
      </c>
    </row>
    <row r="35" spans="2:3" ht="15.75" thickBot="1" x14ac:dyDescent="0.3">
      <c r="B35" s="2" t="s">
        <v>19</v>
      </c>
      <c r="C35" s="3">
        <v>3751.34</v>
      </c>
    </row>
    <row r="36" spans="2:3" ht="15.75" thickTop="1" x14ac:dyDescent="0.25">
      <c r="B36" s="4" t="s">
        <v>6</v>
      </c>
      <c r="C36" s="5">
        <v>16805.34</v>
      </c>
    </row>
    <row r="38" spans="2:3" x14ac:dyDescent="0.25">
      <c r="B38" s="6" t="s">
        <v>10</v>
      </c>
      <c r="C38" s="6"/>
    </row>
    <row r="39" spans="2:3" x14ac:dyDescent="0.25">
      <c r="B39" s="1" t="s">
        <v>0</v>
      </c>
      <c r="C39" s="1" t="s">
        <v>1</v>
      </c>
    </row>
    <row r="40" spans="2:3" ht="15.75" thickBot="1" x14ac:dyDescent="0.3">
      <c r="B40" s="2" t="s">
        <v>19</v>
      </c>
      <c r="C40" s="3">
        <v>3662</v>
      </c>
    </row>
    <row r="41" spans="2:3" ht="15.75" thickTop="1" x14ac:dyDescent="0.25">
      <c r="B41" s="4" t="s">
        <v>6</v>
      </c>
      <c r="C41" s="5">
        <v>3662</v>
      </c>
    </row>
  </sheetData>
  <mergeCells count="6">
    <mergeCell ref="B2:C2"/>
    <mergeCell ref="B3:C3"/>
    <mergeCell ref="B13:C13"/>
    <mergeCell ref="B21:C21"/>
    <mergeCell ref="B29:C29"/>
    <mergeCell ref="B38:C3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4436E-F719-408D-AA35-C299E4A66B4C}">
  <dimension ref="B2:D28"/>
  <sheetViews>
    <sheetView tabSelected="1" workbookViewId="0">
      <selection activeCell="B2" sqref="B2:D2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21/11/2025  19:57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2</v>
      </c>
      <c r="C5" s="3">
        <v>8885.7999999999993</v>
      </c>
    </row>
    <row r="6" spans="2:4" x14ac:dyDescent="0.25">
      <c r="B6" s="2" t="s">
        <v>3</v>
      </c>
      <c r="C6" s="3">
        <v>12169</v>
      </c>
    </row>
    <row r="7" spans="2:4" x14ac:dyDescent="0.25">
      <c r="B7" s="2" t="s">
        <v>4</v>
      </c>
      <c r="C7" s="3">
        <v>12170</v>
      </c>
    </row>
    <row r="8" spans="2:4" ht="15.75" thickBot="1" x14ac:dyDescent="0.3">
      <c r="B8" s="2" t="s">
        <v>5</v>
      </c>
      <c r="C8" s="3">
        <v>12577</v>
      </c>
      <c r="D8" s="1" t="s">
        <v>12</v>
      </c>
    </row>
    <row r="9" spans="2:4" ht="15.75" thickTop="1" x14ac:dyDescent="0.25">
      <c r="B9" s="4" t="s">
        <v>6</v>
      </c>
      <c r="C9" s="5">
        <v>45801.8</v>
      </c>
      <c r="D9" s="5">
        <f ca="1">SUMIF(B:B, "Total general", C:C)</f>
        <v>67113.14</v>
      </c>
    </row>
    <row r="11" spans="2:4" x14ac:dyDescent="0.25">
      <c r="B11" s="6" t="s">
        <v>11</v>
      </c>
      <c r="C11" s="6"/>
    </row>
    <row r="12" spans="2:4" x14ac:dyDescent="0.25">
      <c r="B12" s="1" t="s">
        <v>0</v>
      </c>
      <c r="C12" s="1" t="s">
        <v>1</v>
      </c>
    </row>
    <row r="13" spans="2:4" x14ac:dyDescent="0.25">
      <c r="B13" s="2" t="s">
        <v>2</v>
      </c>
      <c r="C13" s="3">
        <v>8873</v>
      </c>
    </row>
    <row r="14" spans="2:4" x14ac:dyDescent="0.25">
      <c r="B14" s="2" t="s">
        <v>3</v>
      </c>
      <c r="C14" s="3">
        <v>4605</v>
      </c>
    </row>
    <row r="15" spans="2:4" ht="15.75" thickBot="1" x14ac:dyDescent="0.3">
      <c r="B15" s="2" t="s">
        <v>4</v>
      </c>
      <c r="C15" s="3">
        <v>463.34</v>
      </c>
    </row>
    <row r="16" spans="2:4" ht="15.75" thickTop="1" x14ac:dyDescent="0.25">
      <c r="B16" s="4" t="s">
        <v>6</v>
      </c>
      <c r="C16" s="5">
        <v>13941.34</v>
      </c>
    </row>
    <row r="18" spans="2:3" x14ac:dyDescent="0.25">
      <c r="B18" s="6" t="s">
        <v>7</v>
      </c>
      <c r="C18" s="6"/>
    </row>
    <row r="19" spans="2:3" x14ac:dyDescent="0.25">
      <c r="B19" s="1" t="s">
        <v>0</v>
      </c>
      <c r="C19" s="1" t="s">
        <v>1</v>
      </c>
    </row>
    <row r="20" spans="2:3" x14ac:dyDescent="0.25">
      <c r="B20" s="2" t="s">
        <v>2</v>
      </c>
      <c r="C20" s="3">
        <v>4374</v>
      </c>
    </row>
    <row r="21" spans="2:3" x14ac:dyDescent="0.25">
      <c r="B21" s="2" t="s">
        <v>4</v>
      </c>
      <c r="C21" s="3">
        <v>990</v>
      </c>
    </row>
    <row r="22" spans="2:3" ht="15.75" thickBot="1" x14ac:dyDescent="0.3">
      <c r="B22" s="2" t="s">
        <v>5</v>
      </c>
      <c r="C22" s="3">
        <v>1449</v>
      </c>
    </row>
    <row r="23" spans="2:3" ht="15.75" thickTop="1" x14ac:dyDescent="0.25">
      <c r="B23" s="4" t="s">
        <v>6</v>
      </c>
      <c r="C23" s="5">
        <v>6813</v>
      </c>
    </row>
    <row r="25" spans="2:3" x14ac:dyDescent="0.25">
      <c r="B25" s="6" t="s">
        <v>10</v>
      </c>
      <c r="C25" s="6"/>
    </row>
    <row r="26" spans="2:3" x14ac:dyDescent="0.25">
      <c r="B26" s="1" t="s">
        <v>0</v>
      </c>
      <c r="C26" s="1" t="s">
        <v>1</v>
      </c>
    </row>
    <row r="27" spans="2:3" ht="15.75" thickBot="1" x14ac:dyDescent="0.3">
      <c r="B27" s="2" t="s">
        <v>5</v>
      </c>
      <c r="C27" s="3">
        <v>557</v>
      </c>
    </row>
    <row r="28" spans="2:3" ht="15.75" thickTop="1" x14ac:dyDescent="0.25">
      <c r="B28" s="4" t="s">
        <v>6</v>
      </c>
      <c r="C28" s="5">
        <v>557</v>
      </c>
    </row>
  </sheetData>
  <mergeCells count="5">
    <mergeCell ref="B2:C2"/>
    <mergeCell ref="B3:C3"/>
    <mergeCell ref="B25:C25"/>
    <mergeCell ref="B18:C18"/>
    <mergeCell ref="B11:C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2025-11-22T01:58:56Z</cp:lastPrinted>
  <dcterms:created xsi:type="dcterms:W3CDTF">2025-11-22T01:52:49Z</dcterms:created>
  <dcterms:modified xsi:type="dcterms:W3CDTF">2025-11-22T01:59:10Z</dcterms:modified>
</cp:coreProperties>
</file>