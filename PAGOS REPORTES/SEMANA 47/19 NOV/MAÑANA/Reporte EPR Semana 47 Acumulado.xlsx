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0 NOV\MAÑANA\"/>
    </mc:Choice>
  </mc:AlternateContent>
  <xr:revisionPtr revIDLastSave="0" documentId="13_ncr:1_{2257615F-D6FE-4EE0-B201-B9FAE54E4EDC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32" i="5"/>
  <c r="D18" i="1"/>
  <c r="D40" i="5"/>
  <c r="C18" i="1"/>
  <c r="C34" i="1"/>
  <c r="D34" i="1"/>
  <c r="C40" i="5"/>
  <c r="D47" i="5"/>
  <c r="D26" i="5"/>
  <c r="C26" i="5"/>
  <c r="C42" i="1"/>
  <c r="D42" i="1"/>
  <c r="C26" i="1"/>
  <c r="D18" i="5"/>
  <c r="C18" i="5"/>
  <c r="D10" i="5"/>
  <c r="D32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26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<sst xmlns="http://schemas.openxmlformats.org/spreadsheetml/2006/main" count="114" uniqueCount="18">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</sst>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7412</v>
      </c>
      <c r="D5" s="18">
        <v>141547.15999999997</v>
      </c>
    </row>
    <row r="6" spans="2:8" x14ac:dyDescent="0.25">
      <c r="B6" s="1" t="s">
        <v>4</v>
      </c>
      <c r="C6" s="6">
        <v>8208</v>
      </c>
      <c r="D6" s="18">
        <v>80665.22</v>
      </c>
    </row>
    <row r="7" spans="2:8" x14ac:dyDescent="0.25">
      <c r="B7" s="1" t="s">
        <v>5</v>
      </c>
      <c r="C7" s="6">
        <v>5834</v>
      </c>
      <c r="D7" s="18">
        <v>42173.25</v>
      </c>
    </row>
    <row r="8" spans="2:8" x14ac:dyDescent="0.25">
      <c r="B8" s="5" t="s">
        <v>10</v>
      </c>
      <c r="C8" s="7">
        <v>502</v>
      </c>
      <c r="D8" s="19">
        <v>0</v>
      </c>
    </row>
    <row r="9" spans="2:8" x14ac:dyDescent="0.25">
      <c r="B9" s="1" t="s">
        <v>6</v>
      </c>
      <c r="C9" s="6">
        <v>36007</v>
      </c>
      <c r="D9" s="18">
        <v>134109.81999999998</v>
      </c>
      <c r="E9" s="14"/>
      <c r="F9" s="7"/>
    </row>
    <row r="10" spans="2:8" x14ac:dyDescent="0.25">
      <c r="B10" s="3" t="s">
        <v>7</v>
      </c>
      <c r="C10" s="8">
        <f>SUM(C5:C9)</f>
        <v>57963</v>
      </c>
      <c r="D10" s="4">
        <f>SUM(D5:D9)</f>
        <v>398495.44999999995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145</v>
      </c>
      <c r="D14" s="18">
        <v>4931</v>
      </c>
    </row>
    <row r="15" spans="2:8" x14ac:dyDescent="0.25">
      <c r="B15" s="1" t="s">
        <v>4</v>
      </c>
      <c r="C15" s="6">
        <v>110</v>
      </c>
      <c r="D15" s="18">
        <v>10280</v>
      </c>
    </row>
    <row r="16" spans="2:8" x14ac:dyDescent="0.25">
      <c r="B16" s="1" t="s">
        <v>5</v>
      </c>
      <c r="C16" s="6">
        <v>2241</v>
      </c>
      <c r="D16" s="18">
        <v>13019</v>
      </c>
    </row>
    <row r="17" spans="2:4" x14ac:dyDescent="0.25">
      <c r="B17" s="1" t="s">
        <v>6</v>
      </c>
      <c r="C17" s="7">
        <v>14172</v>
      </c>
      <c r="D17" s="18">
        <v>33484</v>
      </c>
    </row>
    <row r="18" spans="2:4" x14ac:dyDescent="0.25">
      <c r="B18" s="3" t="s">
        <v>7</v>
      </c>
      <c r="C18" s="8">
        <f>SUM(C14:C17)</f>
        <v>16668</v>
      </c>
      <c r="D18" s="4">
        <f>SUM(D14:D17)</f>
        <v>61714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538</v>
      </c>
      <c r="D22" s="18">
        <v>2428</v>
      </c>
    </row>
    <row r="23" spans="2:4" x14ac:dyDescent="0.25">
      <c r="B23" s="9" t="s">
        <v>4</v>
      </c>
      <c r="C23" s="6">
        <v>1090</v>
      </c>
      <c r="D23" s="18">
        <v>10671</v>
      </c>
    </row>
    <row r="24" spans="2:4" x14ac:dyDescent="0.25">
      <c r="B24" s="9" t="s">
        <v>5</v>
      </c>
      <c r="C24" s="6">
        <v>3860</v>
      </c>
      <c r="D24" s="18">
        <v>20358</v>
      </c>
    </row>
    <row r="25" spans="2:4" x14ac:dyDescent="0.25">
      <c r="B25" s="9" t="s">
        <v>6</v>
      </c>
      <c r="C25" s="6">
        <v>4903</v>
      </c>
      <c r="D25" s="18">
        <v>22284</v>
      </c>
    </row>
    <row r="26" spans="2:4" x14ac:dyDescent="0.25">
      <c r="B26" s="10" t="s">
        <v>7</v>
      </c>
      <c r="C26" s="8">
        <f>SUM(C22:C25)</f>
        <v>10391</v>
      </c>
      <c r="D26" s="4">
        <f>SUM(D22:D25)</f>
        <v>55741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4391</v>
      </c>
      <c r="D30" s="18">
        <v>22086</v>
      </c>
    </row>
    <row r="31" spans="2:4" x14ac:dyDescent="0.25">
      <c r="B31" s="1" t="s">
        <v>4</v>
      </c>
      <c r="C31" s="6">
        <v>645</v>
      </c>
      <c r="D31" s="18">
        <v>11107</v>
      </c>
    </row>
    <row r="32" spans="2:4" x14ac:dyDescent="0.25">
      <c r="B32" s="1" t="s">
        <v>5</v>
      </c>
      <c r="C32" s="6">
        <v>3572</v>
      </c>
      <c r="D32" s="18">
        <v>19574.86</v>
      </c>
    </row>
    <row r="33" spans="2:4" x14ac:dyDescent="0.25">
      <c r="B33" s="1" t="s">
        <v>6</v>
      </c>
      <c r="C33" s="6">
        <v>1008</v>
      </c>
      <c r="D33" s="18">
        <v>300</v>
      </c>
    </row>
    <row r="34" spans="2:4" x14ac:dyDescent="0.25">
      <c r="B34" s="10" t="s">
        <v>7</v>
      </c>
      <c r="C34" s="8">
        <f>SUM(C30:C33)</f>
        <v>9616</v>
      </c>
      <c r="D34" s="4">
        <f>SUM(D30:D33)</f>
        <v>53067.86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625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9">
        <v>0</v>
      </c>
    </row>
    <row r="41" spans="2:4" x14ac:dyDescent="0.25">
      <c r="B41" s="1" t="s">
        <v>6</v>
      </c>
      <c r="C41" s="6">
        <v>687</v>
      </c>
      <c r="D41" s="18">
        <v>1108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1733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95352</v>
      </c>
      <c r="D50" s="13">
        <f>SUMIF(B:B, "Total general", D:D)</f>
        <v>570751.30999999994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topLeftCell="A13" zoomScaleNormal="100" workbookViewId="0">
      <selection activeCell="B30" sqref="B3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6889</v>
      </c>
      <c r="D5" s="18">
        <v>77868.209999999992</v>
      </c>
      <c r="E5" s="11"/>
    </row>
    <row r="6" spans="2:8" x14ac:dyDescent="0.25">
      <c r="B6" s="1" t="s">
        <v>4</v>
      </c>
      <c r="C6" s="17">
        <v>8670</v>
      </c>
      <c r="D6" s="18">
        <v>65980.97</v>
      </c>
    </row>
    <row r="7" spans="2:8" x14ac:dyDescent="0.25">
      <c r="B7" s="1" t="s">
        <v>5</v>
      </c>
      <c r="C7" s="17">
        <v>8110</v>
      </c>
      <c r="D7" s="18">
        <v>22144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20542.550000000003</v>
      </c>
      <c r="E9" s="14"/>
      <c r="F9" s="7"/>
    </row>
    <row r="10" spans="2:8" x14ac:dyDescent="0.25">
      <c r="B10" s="3" t="s">
        <v>7</v>
      </c>
      <c r="C10" s="8">
        <f>SUM(C5:C9)</f>
        <v>37648</v>
      </c>
      <c r="D10" s="4">
        <f>SUM(D5:D9)</f>
        <v>186935.72999999998</v>
      </c>
      <c r="E10" s="11" t="s">
        <v>12</v>
      </c>
    </row>
    <row r="12" spans="2:8" x14ac:dyDescent="0.25">
      <c r="B12" s="21" t="s">
        <v>9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16">
        <v>4379</v>
      </c>
      <c r="D14" s="18">
        <v>22086</v>
      </c>
    </row>
    <row r="15" spans="2:8" x14ac:dyDescent="0.25">
      <c r="B15" s="1" t="s">
        <v>4</v>
      </c>
      <c r="C15" s="16">
        <v>540</v>
      </c>
      <c r="D15" s="18">
        <v>7419</v>
      </c>
    </row>
    <row r="16" spans="2:8" x14ac:dyDescent="0.25">
      <c r="B16" s="1" t="s">
        <v>5</v>
      </c>
      <c r="C16" s="16">
        <v>3482</v>
      </c>
      <c r="D16" s="18">
        <v>19574.86</v>
      </c>
    </row>
    <row r="17" spans="2:4" x14ac:dyDescent="0.25">
      <c r="B17" s="9" t="s">
        <v>6</v>
      </c>
      <c r="C17" s="16">
        <v>27</v>
      </c>
      <c r="D17" s="18">
        <v>300</v>
      </c>
    </row>
    <row r="18" spans="2:4" x14ac:dyDescent="0.25">
      <c r="B18" s="10" t="s">
        <v>7</v>
      </c>
      <c r="C18" s="8">
        <f>SUM(C14:C17)</f>
        <v>8428</v>
      </c>
      <c r="D18" s="4">
        <f>SUM(D14:D17)</f>
        <v>49379.86</v>
      </c>
    </row>
    <row r="20" spans="2:4" x14ac:dyDescent="0.25">
      <c r="B20" s="20" t="s">
        <v>17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16">
        <v>1254</v>
      </c>
      <c r="D22" s="18">
        <v>6462</v>
      </c>
    </row>
    <row r="23" spans="2:4" x14ac:dyDescent="0.25">
      <c r="B23" s="1" t="s">
        <v>4</v>
      </c>
      <c r="C23" s="16">
        <v>1032</v>
      </c>
      <c r="D23" s="18">
        <v>5246</v>
      </c>
    </row>
    <row r="24" spans="2:4" x14ac:dyDescent="0.25">
      <c r="B24" s="1" t="s">
        <v>5</v>
      </c>
      <c r="C24" s="16">
        <v>1080</v>
      </c>
      <c r="D24" s="18">
        <v>231</v>
      </c>
    </row>
    <row r="25" spans="2:4" x14ac:dyDescent="0.25">
      <c r="B25" s="1" t="s">
        <v>6</v>
      </c>
      <c r="C25" s="16">
        <v>304</v>
      </c>
      <c r="D25" s="18">
        <v>5532.08</v>
      </c>
    </row>
    <row r="26" spans="2:4" x14ac:dyDescent="0.25">
      <c r="B26" s="3" t="s">
        <v>7</v>
      </c>
      <c r="C26" s="8">
        <f>SUM(C22:C25)</f>
        <v>3670</v>
      </c>
      <c r="D26" s="4">
        <f>SUM(D22:D25)</f>
        <v>17471.080000000002</v>
      </c>
    </row>
    <row r="28" spans="2:4" x14ac:dyDescent="0.25">
      <c r="B28" s="20" t="s">
        <v>13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9">
        <v>0</v>
      </c>
    </row>
    <row r="31" spans="2:4" x14ac:dyDescent="0.25">
      <c r="B31" s="1" t="s">
        <v>6</v>
      </c>
      <c r="C31" s="16">
        <v>64</v>
      </c>
      <c r="D31" s="19">
        <v>0</v>
      </c>
    </row>
    <row r="32" spans="2:4" x14ac:dyDescent="0.25">
      <c r="B32" s="3" t="s">
        <v>7</v>
      </c>
      <c r="C32" s="8">
        <f>SUM(C30:C31)</f>
        <v>66</v>
      </c>
      <c r="D32" s="4">
        <f>SUM(D30:D31)</f>
        <v>0</v>
      </c>
    </row>
    <row r="34" spans="2:4" x14ac:dyDescent="0.25">
      <c r="B34" s="20" t="s">
        <v>14</v>
      </c>
      <c r="C34" s="20"/>
      <c r="D34" s="20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6">
        <v>2</v>
      </c>
      <c r="D36" s="15">
        <v>0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6">
        <v>1</v>
      </c>
      <c r="D38" s="15">
        <v>0</v>
      </c>
    </row>
    <row r="39" spans="2:4" x14ac:dyDescent="0.25">
      <c r="B39" s="1" t="s">
        <v>6</v>
      </c>
      <c r="C39" s="16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50323</v>
      </c>
      <c r="D49" s="13">
        <f>SUMIF(B:B, "Total general", D:D)</f>
        <v>253786.66999999998</v>
      </c>
    </row>
  </sheetData>
  <mergeCells count="7">
    <mergeCell ref="B42:D42"/>
    <mergeCell ref="B28:D28"/>
    <mergeCell ref="B12:D12"/>
    <mergeCell ref="B34:D34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12528</v>
      </c>
      <c r="D3" s="14">
        <f>SUMIF(CDC!B:B, "Extrajudicial - 0 a 28 semanas de atraso", CDC!D:D)</f>
        <v>106416.20999999999</v>
      </c>
    </row>
    <row r="4" spans="2:6" x14ac:dyDescent="0.25">
      <c r="B4" s="1" t="s">
        <v>4</v>
      </c>
      <c r="C4" s="6">
        <f>SUMIF(CDC!B:B, "Extrajudicial - 29 a 39 semanas de atraso", CDC!C:C)</f>
        <v>10242</v>
      </c>
      <c r="D4" s="14">
        <f>SUMIF(CDC!B:B, "Extrajudicial - 29 a 39 semanas de atraso", CDC!D:D)</f>
        <v>78645.97</v>
      </c>
    </row>
    <row r="5" spans="2:6" x14ac:dyDescent="0.25">
      <c r="B5" s="1" t="s">
        <v>5</v>
      </c>
      <c r="C5" s="6">
        <f>SUMIF(CDC!B:B, "Extrajudicial - 40 a 55 semanas de atraso", CDC!C:C)</f>
        <v>12673</v>
      </c>
      <c r="D5" s="14">
        <f>SUMIF(CDC!B:B, "Extrajudicial - 40 a 55 semanas de atraso", CDC!D:D)</f>
        <v>41949.86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26374.630000000005</v>
      </c>
      <c r="E7" s="14"/>
      <c r="F7" s="7"/>
    </row>
    <row r="8" spans="2:6" x14ac:dyDescent="0.25">
      <c r="B8" s="3" t="s">
        <v>7</v>
      </c>
      <c r="C8" s="8">
        <f>SUM(C3:C7)</f>
        <v>50323</v>
      </c>
      <c r="D8" s="4">
        <f>SUM(D3:D7)</f>
        <v>253786.66999999998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2025-11-19T16:42:13Z</cp:lastPrinted>
  <dcterms:created xsi:type="dcterms:W3CDTF">2025-01-27T15:11:28Z</dcterms:created>
  <dcterms:modified xsi:type="dcterms:W3CDTF">2025-11-19T16:44:09Z</dcterms:modified>
</cp:coreProperties>
</file>