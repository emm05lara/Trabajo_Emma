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0 NOV\MAÑANA\"/>
    </mc:Choice>
  </mc:AlternateContent>
  <xr:revisionPtr revIDLastSave="0" documentId="13_ncr:1_{C428D3FD-8355-4327-ABDB-43221E51D74D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32" i="5"/>
  <c r="D34" i="1"/>
  <c r="D40" i="5"/>
  <c r="C34" i="1"/>
  <c r="C18" i="1"/>
  <c r="D18" i="1"/>
  <c r="C40" i="5"/>
  <c r="D47" i="5"/>
  <c r="D18" i="5"/>
  <c r="C18" i="5"/>
  <c r="C42" i="1"/>
  <c r="D42" i="1"/>
  <c r="C26" i="1"/>
  <c r="D26" i="5"/>
  <c r="C26" i="5"/>
  <c r="D10" i="5"/>
  <c r="D32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26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<sst xmlns="http://schemas.openxmlformats.org/spreadsheetml/2006/main" count="114" uniqueCount="18">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</sst>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H50" sqref="H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7329</v>
      </c>
      <c r="D5" s="18">
        <v>241479.31</v>
      </c>
    </row>
    <row r="6" spans="2:8" x14ac:dyDescent="0.25">
      <c r="B6" s="1" t="s">
        <v>4</v>
      </c>
      <c r="C6" s="6">
        <v>7747</v>
      </c>
      <c r="D6" s="18">
        <v>225404.09</v>
      </c>
    </row>
    <row r="7" spans="2:8" x14ac:dyDescent="0.25">
      <c r="B7" s="1" t="s">
        <v>5</v>
      </c>
      <c r="C7" s="6">
        <v>5809</v>
      </c>
      <c r="D7" s="18">
        <v>55862.25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186236.11</v>
      </c>
      <c r="E9" s="14"/>
      <c r="F9" s="7"/>
    </row>
    <row r="10" spans="2:8" x14ac:dyDescent="0.25">
      <c r="B10" s="3" t="s">
        <v>7</v>
      </c>
      <c r="C10" s="8">
        <f>SUM(C5:C9)</f>
        <v>57384</v>
      </c>
      <c r="D10" s="4">
        <f>SUM(D5:D9)</f>
        <v>708981.76000000001</v>
      </c>
      <c r="E10" s="11" t="s">
        <v>12</v>
      </c>
    </row>
    <row r="12" spans="2:8" x14ac:dyDescent="0.25">
      <c r="B12" s="21" t="s">
        <v>9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4306</v>
      </c>
      <c r="D14" s="18">
        <v>53092.490000000005</v>
      </c>
    </row>
    <row r="15" spans="2:8" x14ac:dyDescent="0.25">
      <c r="B15" s="1" t="s">
        <v>4</v>
      </c>
      <c r="C15" s="6">
        <v>634</v>
      </c>
      <c r="D15" s="18">
        <v>12560.49</v>
      </c>
    </row>
    <row r="16" spans="2:8" x14ac:dyDescent="0.25">
      <c r="B16" s="1" t="s">
        <v>5</v>
      </c>
      <c r="C16" s="6">
        <v>3558</v>
      </c>
      <c r="D16" s="18">
        <v>25698.86</v>
      </c>
    </row>
    <row r="17" spans="2:4" x14ac:dyDescent="0.25">
      <c r="B17" s="1" t="s">
        <v>6</v>
      </c>
      <c r="C17" s="6">
        <v>1014</v>
      </c>
      <c r="D17" s="18">
        <v>399</v>
      </c>
    </row>
    <row r="18" spans="2:4" x14ac:dyDescent="0.25">
      <c r="B18" s="10" t="s">
        <v>7</v>
      </c>
      <c r="C18" s="8">
        <f>SUM(C14:C17)</f>
        <v>9512</v>
      </c>
      <c r="D18" s="4">
        <f>SUM(D14:D17)</f>
        <v>91750.840000000011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535</v>
      </c>
      <c r="D22" s="18">
        <v>4770.84</v>
      </c>
    </row>
    <row r="23" spans="2:4" x14ac:dyDescent="0.25">
      <c r="B23" s="9" t="s">
        <v>4</v>
      </c>
      <c r="C23" s="6">
        <v>1022</v>
      </c>
      <c r="D23" s="18">
        <v>25577.41</v>
      </c>
    </row>
    <row r="24" spans="2:4" x14ac:dyDescent="0.25">
      <c r="B24" s="9" t="s">
        <v>5</v>
      </c>
      <c r="C24" s="6">
        <v>3859</v>
      </c>
      <c r="D24" s="18">
        <v>24787.010000000002</v>
      </c>
    </row>
    <row r="25" spans="2:4" x14ac:dyDescent="0.25">
      <c r="B25" s="9" t="s">
        <v>6</v>
      </c>
      <c r="C25" s="6">
        <v>4889</v>
      </c>
      <c r="D25" s="18">
        <v>28203</v>
      </c>
    </row>
    <row r="26" spans="2:4" x14ac:dyDescent="0.25">
      <c r="B26" s="10" t="s">
        <v>7</v>
      </c>
      <c r="C26" s="8">
        <f>SUM(C22:C25)</f>
        <v>10305</v>
      </c>
      <c r="D26" s="4">
        <f>SUM(D22:D25)</f>
        <v>83338.260000000009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>
        <v>185</v>
      </c>
      <c r="D30" s="18">
        <v>9629</v>
      </c>
    </row>
    <row r="31" spans="2:4" x14ac:dyDescent="0.25">
      <c r="B31" s="1" t="s">
        <v>4</v>
      </c>
      <c r="C31" s="6">
        <v>93</v>
      </c>
      <c r="D31" s="18">
        <v>12244</v>
      </c>
    </row>
    <row r="32" spans="2:4" x14ac:dyDescent="0.25">
      <c r="B32" s="1" t="s">
        <v>5</v>
      </c>
      <c r="C32" s="6">
        <v>2237</v>
      </c>
      <c r="D32" s="18">
        <v>20801</v>
      </c>
    </row>
    <row r="33" spans="2:4" x14ac:dyDescent="0.25">
      <c r="B33" s="1" t="s">
        <v>6</v>
      </c>
      <c r="C33" s="7">
        <v>14172</v>
      </c>
      <c r="D33" s="18">
        <v>36286</v>
      </c>
    </row>
    <row r="34" spans="2:4" x14ac:dyDescent="0.25">
      <c r="B34" s="3" t="s">
        <v>7</v>
      </c>
      <c r="C34" s="8">
        <f>SUM(C30:C33)</f>
        <v>16687</v>
      </c>
      <c r="D34" s="4">
        <f>SUM(D30:D33)</f>
        <v>78960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625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9">
        <v>0</v>
      </c>
    </row>
    <row r="41" spans="2:4" x14ac:dyDescent="0.25">
      <c r="B41" s="1" t="s">
        <v>6</v>
      </c>
      <c r="C41" s="6">
        <v>687</v>
      </c>
      <c r="D41" s="18">
        <v>1108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1733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94602</v>
      </c>
      <c r="D50" s="13">
        <f>SUMIF(B:B, "Total general", D:D)</f>
        <v>964763.86</v>
      </c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topLeftCell="A13" zoomScaleNormal="100" workbookViewId="0">
      <selection activeCell="D29" sqref="D2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6918</v>
      </c>
      <c r="D5" s="18">
        <v>97061.32</v>
      </c>
      <c r="E5" s="11"/>
    </row>
    <row r="6" spans="2:8" x14ac:dyDescent="0.25">
      <c r="B6" s="1" t="s">
        <v>4</v>
      </c>
      <c r="C6" s="17">
        <v>8584</v>
      </c>
      <c r="D6" s="18">
        <v>80135.97</v>
      </c>
    </row>
    <row r="7" spans="2:8" x14ac:dyDescent="0.25">
      <c r="B7" s="1" t="s">
        <v>5</v>
      </c>
      <c r="C7" s="17">
        <v>8063</v>
      </c>
      <c r="D7" s="18">
        <v>33986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20542.190000000002</v>
      </c>
      <c r="E9" s="14"/>
      <c r="F9" s="7"/>
    </row>
    <row r="10" spans="2:8" x14ac:dyDescent="0.25">
      <c r="B10" s="3" t="s">
        <v>7</v>
      </c>
      <c r="C10" s="8">
        <f>SUM(C5:C9)</f>
        <v>37544</v>
      </c>
      <c r="D10" s="4">
        <f>SUM(D5:D9)</f>
        <v>232125.48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1254</v>
      </c>
      <c r="D14" s="18">
        <v>8323</v>
      </c>
    </row>
    <row r="15" spans="2:8" x14ac:dyDescent="0.25">
      <c r="B15" s="1" t="s">
        <v>4</v>
      </c>
      <c r="C15" s="16">
        <v>1030</v>
      </c>
      <c r="D15" s="18">
        <v>121002.18</v>
      </c>
    </row>
    <row r="16" spans="2:8" x14ac:dyDescent="0.25">
      <c r="B16" s="1" t="s">
        <v>5</v>
      </c>
      <c r="C16" s="16">
        <v>1080</v>
      </c>
      <c r="D16" s="18">
        <v>1231</v>
      </c>
    </row>
    <row r="17" spans="2:4" x14ac:dyDescent="0.25">
      <c r="B17" s="1" t="s">
        <v>6</v>
      </c>
      <c r="C17" s="16">
        <v>304</v>
      </c>
      <c r="D17" s="18">
        <v>5532.04</v>
      </c>
    </row>
    <row r="18" spans="2:4" x14ac:dyDescent="0.25">
      <c r="B18" s="3" t="s">
        <v>7</v>
      </c>
      <c r="C18" s="8">
        <f>SUM(C14:C17)</f>
        <v>3668</v>
      </c>
      <c r="D18" s="4">
        <f>SUM(D14:D17)</f>
        <v>136088.22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4294</v>
      </c>
      <c r="D22" s="18">
        <v>50030.490000000005</v>
      </c>
    </row>
    <row r="23" spans="2:4" x14ac:dyDescent="0.25">
      <c r="B23" s="1" t="s">
        <v>4</v>
      </c>
      <c r="C23" s="16">
        <v>535</v>
      </c>
      <c r="D23" s="18">
        <v>7525.49</v>
      </c>
    </row>
    <row r="24" spans="2:4" x14ac:dyDescent="0.25">
      <c r="B24" s="1" t="s">
        <v>5</v>
      </c>
      <c r="C24" s="16">
        <v>3478</v>
      </c>
      <c r="D24" s="18">
        <v>25634.86</v>
      </c>
    </row>
    <row r="25" spans="2:4" x14ac:dyDescent="0.25">
      <c r="B25" s="9" t="s">
        <v>6</v>
      </c>
      <c r="C25" s="16">
        <v>27</v>
      </c>
      <c r="D25" s="18">
        <v>399</v>
      </c>
    </row>
    <row r="26" spans="2:4" x14ac:dyDescent="0.25">
      <c r="B26" s="10" t="s">
        <v>7</v>
      </c>
      <c r="C26" s="8">
        <f>SUM(C22:C25)</f>
        <v>8334</v>
      </c>
      <c r="D26" s="4">
        <f>SUM(D22:D25)</f>
        <v>83589.84</v>
      </c>
    </row>
    <row r="28" spans="2:4" x14ac:dyDescent="0.25">
      <c r="B28" s="20" t="s">
        <v>13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9">
        <v>0</v>
      </c>
    </row>
    <row r="31" spans="2:4" x14ac:dyDescent="0.25">
      <c r="B31" s="1" t="s">
        <v>6</v>
      </c>
      <c r="C31" s="16">
        <v>64</v>
      </c>
      <c r="D31" s="19">
        <v>0</v>
      </c>
    </row>
    <row r="32" spans="2:4" x14ac:dyDescent="0.25">
      <c r="B32" s="3" t="s">
        <v>7</v>
      </c>
      <c r="C32" s="8">
        <f>SUM(C30:C31)</f>
        <v>66</v>
      </c>
      <c r="D32" s="4">
        <f>SUM(D30:D31)</f>
        <v>0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6">
        <v>2</v>
      </c>
      <c r="D36" s="15">
        <v>0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6">
        <v>1</v>
      </c>
      <c r="D38" s="15">
        <v>0</v>
      </c>
    </row>
    <row r="39" spans="2:4" x14ac:dyDescent="0.25">
      <c r="B39" s="1" t="s">
        <v>6</v>
      </c>
      <c r="C39" s="16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50123</v>
      </c>
      <c r="D49" s="13">
        <f>SUMIF(B:B, "Total general", D:D)</f>
        <v>451803.54000000004</v>
      </c>
    </row>
  </sheetData>
  <mergeCells count="7">
    <mergeCell ref="B42:D42"/>
    <mergeCell ref="B28:D28"/>
    <mergeCell ref="B20:D20"/>
    <mergeCell ref="B34:D34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12472</v>
      </c>
      <c r="D3" s="14">
        <f>SUMIF(CDC!B:B, "Extrajudicial - 0 a 28 semanas de atraso", CDC!D:D)</f>
        <v>155414.81</v>
      </c>
    </row>
    <row r="4" spans="2:6" x14ac:dyDescent="0.25">
      <c r="B4" s="1" t="s">
        <v>4</v>
      </c>
      <c r="C4" s="6">
        <f>SUMIF(CDC!B:B, "Extrajudicial - 29 a 39 semanas de atraso", CDC!C:C)</f>
        <v>10149</v>
      </c>
      <c r="D4" s="14">
        <f>SUMIF(CDC!B:B, "Extrajudicial - 29 a 39 semanas de atraso", CDC!D:D)</f>
        <v>208663.63999999998</v>
      </c>
    </row>
    <row r="5" spans="2:6" x14ac:dyDescent="0.25">
      <c r="B5" s="1" t="s">
        <v>5</v>
      </c>
      <c r="C5" s="6">
        <f>SUMIF(CDC!B:B, "Extrajudicial - 40 a 55 semanas de atraso", CDC!C:C)</f>
        <v>12622</v>
      </c>
      <c r="D5" s="14">
        <f>SUMIF(CDC!B:B, "Extrajudicial - 40 a 55 semanas de atraso", CDC!D:D)</f>
        <v>60851.86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26473.230000000003</v>
      </c>
      <c r="E7" s="14"/>
      <c r="F7" s="7"/>
    </row>
    <row r="8" spans="2:6" x14ac:dyDescent="0.25">
      <c r="B8" s="3" t="s">
        <v>7</v>
      </c>
      <c r="C8" s="8">
        <f>SUM(C3:C7)</f>
        <v>50123</v>
      </c>
      <c r="D8" s="4">
        <f>SUM(D3:D7)</f>
        <v>451803.53999999992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2025-11-20T17:19:46Z</cp:lastPrinted>
  <dcterms:created xsi:type="dcterms:W3CDTF">2025-01-27T15:11:28Z</dcterms:created>
  <dcterms:modified xsi:type="dcterms:W3CDTF">2025-11-20T17:21:09Z</dcterms:modified>
</cp:coreProperties>
</file>