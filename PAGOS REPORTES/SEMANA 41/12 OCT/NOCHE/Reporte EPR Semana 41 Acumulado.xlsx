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NOCHE\"/>
    </mc:Choice>
  </mc:AlternateContent>
  <xr:revisionPtr revIDLastSave="0" documentId="13_ncr:1_{72A25BED-688C-42F7-B37A-CFD890055F50}" xr6:coauthVersionLast="47" xr6:coauthVersionMax="47" xr10:uidLastSave="{00000000-0000-0000-0000-000000000000}"/>
  <bookViews>
    <workbookView xWindow="9900" yWindow="990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5" l="1"/>
  <c r="C41" i="5"/>
  <c r="D48" i="5"/>
  <c r="C48" i="5"/>
  <c r="D27" i="5"/>
  <c r="C27" i="5"/>
  <c r="C42" i="1"/>
  <c r="D42" i="1"/>
  <c r="D18" i="1"/>
  <c r="C18" i="1"/>
  <c r="C34" i="1"/>
  <c r="D18" i="5"/>
  <c r="C18" i="5"/>
  <c r="D26" i="1"/>
  <c r="C26" i="1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<sst xmlns="http://schemas.openxmlformats.org/spreadsheetml/2006/main" count="139" uniqueCount="37">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</sst>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7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5943</v>
      </c>
      <c r="D5" s="28">
        <v>507431.01000000007</v>
      </c>
    </row>
    <row r="6" spans="2:8" x14ac:dyDescent="0.25">
      <c r="B6" s="1" t="s">
        <v>5</v>
      </c>
      <c r="C6" s="6">
        <v>2713</v>
      </c>
      <c r="D6" s="28">
        <v>291526.62</v>
      </c>
    </row>
    <row r="7" spans="2:8" x14ac:dyDescent="0.25">
      <c r="B7" s="1" t="s">
        <v>6</v>
      </c>
      <c r="C7" s="6">
        <v>8135</v>
      </c>
      <c r="D7" s="28">
        <v>261402.38</v>
      </c>
    </row>
    <row r="8" spans="2:8" x14ac:dyDescent="0.25">
      <c r="B8" s="5" t="s">
        <v>11</v>
      </c>
      <c r="C8" s="7">
        <v>1044</v>
      </c>
      <c r="D8" s="28">
        <v>1000</v>
      </c>
    </row>
    <row r="9" spans="2:8" x14ac:dyDescent="0.25">
      <c r="B9" s="1" t="s">
        <v>7</v>
      </c>
      <c r="C9" s="6">
        <v>37310</v>
      </c>
      <c r="D9" s="28">
        <v>406640.37000000005</v>
      </c>
      <c r="E9" s="14"/>
      <c r="F9" s="7"/>
    </row>
    <row r="10" spans="2:8" x14ac:dyDescent="0.25">
      <c r="B10" s="3" t="s">
        <v>8</v>
      </c>
      <c r="C10" s="8">
        <f>SUM(C5:C9)</f>
        <v>55145</v>
      </c>
      <c r="D10" s="4">
        <f>SUM(D5:D9)</f>
        <v>1468000.3800000004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165</v>
      </c>
      <c r="D14" s="28">
        <v>60469.64</v>
      </c>
    </row>
    <row r="15" spans="2:8" x14ac:dyDescent="0.25">
      <c r="B15" s="1" t="s">
        <v>5</v>
      </c>
      <c r="C15" s="6">
        <v>296</v>
      </c>
      <c r="D15" s="28">
        <v>94686.11</v>
      </c>
    </row>
    <row r="16" spans="2:8" x14ac:dyDescent="0.25">
      <c r="B16" s="1" t="s">
        <v>6</v>
      </c>
      <c r="C16" s="6">
        <v>514</v>
      </c>
      <c r="D16" s="28">
        <v>34740</v>
      </c>
    </row>
    <row r="17" spans="2:4" x14ac:dyDescent="0.25">
      <c r="B17" s="1" t="s">
        <v>7</v>
      </c>
      <c r="C17" s="7">
        <v>16506</v>
      </c>
      <c r="D17" s="28">
        <v>104381.17</v>
      </c>
    </row>
    <row r="18" spans="2:4" x14ac:dyDescent="0.25">
      <c r="B18" s="3" t="s">
        <v>8</v>
      </c>
      <c r="C18" s="8">
        <f>SUM(C14:C17)</f>
        <v>17481</v>
      </c>
      <c r="D18" s="4">
        <f>SUM(D14:D17)</f>
        <v>294276.92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4964</v>
      </c>
      <c r="D22" s="28">
        <v>129939.59999999999</v>
      </c>
    </row>
    <row r="23" spans="2:4" x14ac:dyDescent="0.25">
      <c r="B23" s="1" t="s">
        <v>5</v>
      </c>
      <c r="C23" s="6">
        <v>1244</v>
      </c>
      <c r="D23" s="28">
        <v>55048.35</v>
      </c>
    </row>
    <row r="24" spans="2:4" x14ac:dyDescent="0.25">
      <c r="B24" s="1" t="s">
        <v>6</v>
      </c>
      <c r="C24" s="6">
        <v>3787</v>
      </c>
      <c r="D24" s="28">
        <v>55804.22</v>
      </c>
    </row>
    <row r="25" spans="2:4" x14ac:dyDescent="0.25">
      <c r="B25" s="1" t="s">
        <v>7</v>
      </c>
      <c r="C25" s="6">
        <v>1029</v>
      </c>
      <c r="D25" s="28">
        <v>1799</v>
      </c>
    </row>
    <row r="26" spans="2:4" x14ac:dyDescent="0.25">
      <c r="B26" s="10" t="s">
        <v>8</v>
      </c>
      <c r="C26" s="8">
        <f>SUM(C22:C25)</f>
        <v>11024</v>
      </c>
      <c r="D26" s="4">
        <f>SUM(D22:D25)</f>
        <v>242591.16999999998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352</v>
      </c>
      <c r="D30" s="28">
        <v>72871.060000000012</v>
      </c>
    </row>
    <row r="31" spans="2:4" x14ac:dyDescent="0.25">
      <c r="B31" s="9" t="s">
        <v>5</v>
      </c>
      <c r="C31" s="6">
        <v>1207</v>
      </c>
      <c r="D31" s="28">
        <v>43311</v>
      </c>
    </row>
    <row r="32" spans="2:4" x14ac:dyDescent="0.25">
      <c r="B32" s="9" t="s">
        <v>6</v>
      </c>
      <c r="C32" s="6">
        <v>92</v>
      </c>
      <c r="D32" s="28">
        <v>52721.22</v>
      </c>
    </row>
    <row r="33" spans="2:4" x14ac:dyDescent="0.25">
      <c r="B33" s="9" t="s">
        <v>7</v>
      </c>
      <c r="C33" s="6">
        <v>582</v>
      </c>
      <c r="D33" s="28">
        <v>47975.99</v>
      </c>
    </row>
    <row r="34" spans="2:4" x14ac:dyDescent="0.25">
      <c r="B34" s="10" t="s">
        <v>8</v>
      </c>
      <c r="C34" s="8">
        <f>SUM(C30:C33)</f>
        <v>2233</v>
      </c>
      <c r="D34" s="4">
        <f>SUM(D30:D33)</f>
        <v>216879.27000000002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140</v>
      </c>
      <c r="D38" s="28">
        <v>14062</v>
      </c>
    </row>
    <row r="39" spans="2:4" x14ac:dyDescent="0.25">
      <c r="B39" s="1" t="s">
        <v>5</v>
      </c>
      <c r="C39" s="6">
        <v>39</v>
      </c>
      <c r="D39" s="28">
        <v>12430</v>
      </c>
    </row>
    <row r="40" spans="2:4" x14ac:dyDescent="0.25">
      <c r="B40" s="1" t="s">
        <v>6</v>
      </c>
      <c r="C40" s="6">
        <v>6</v>
      </c>
      <c r="D40" s="28">
        <v>5368</v>
      </c>
    </row>
    <row r="41" spans="2:4" x14ac:dyDescent="0.25">
      <c r="B41" s="1" t="s">
        <v>7</v>
      </c>
      <c r="C41" s="6">
        <v>921</v>
      </c>
      <c r="D41" s="28">
        <v>8533</v>
      </c>
    </row>
    <row r="42" spans="2:4" x14ac:dyDescent="0.25">
      <c r="B42" s="3" t="s">
        <v>8</v>
      </c>
      <c r="C42" s="8">
        <f>SUM(C38:C41)</f>
        <v>1106</v>
      </c>
      <c r="D42" s="4">
        <f>SUM(D38:D41)</f>
        <v>40393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86989</v>
      </c>
      <c r="D50" s="13">
        <f>SUMIF(B:B, "Total general", D:D)</f>
        <v>2262140.7400000002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16" zoomScaleNormal="100" workbookViewId="0">
      <selection activeCell="D31" sqref="D3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/>
      <c r="D5" s="28">
        <v>326848.72000000003</v>
      </c>
      <c r="E5" s="11"/>
    </row>
    <row r="6" spans="2:8" x14ac:dyDescent="0.25">
      <c r="B6" s="1" t="s">
        <v>5</v>
      </c>
      <c r="C6" s="27"/>
      <c r="D6" s="28">
        <v>128166.12999999999</v>
      </c>
    </row>
    <row r="7" spans="2:8" x14ac:dyDescent="0.25">
      <c r="B7" s="1" t="s">
        <v>6</v>
      </c>
      <c r="C7" s="27"/>
      <c r="D7" s="28">
        <v>58106.35</v>
      </c>
    </row>
    <row r="8" spans="2:8" x14ac:dyDescent="0.25">
      <c r="B8" s="5" t="s">
        <v>11</v>
      </c>
      <c r="C8" s="27"/>
      <c r="D8" s="29">
        <v>0</v>
      </c>
    </row>
    <row r="9" spans="2:8" x14ac:dyDescent="0.25">
      <c r="B9" s="1" t="s">
        <v>7</v>
      </c>
      <c r="C9" s="27"/>
      <c r="D9" s="28">
        <v>47401.72</v>
      </c>
      <c r="E9" s="14"/>
      <c r="F9" s="7"/>
    </row>
    <row r="10" spans="2:8" x14ac:dyDescent="0.25">
      <c r="B10" s="3" t="s">
        <v>8</v>
      </c>
      <c r="C10" s="8">
        <f>SUM(C5:C9)</f>
        <v>0</v>
      </c>
      <c r="D10" s="4">
        <f>SUM(D5:D9)</f>
        <v>560522.92000000004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/>
      <c r="D14" s="28">
        <v>125520.59999999999</v>
      </c>
    </row>
    <row r="15" spans="2:8" x14ac:dyDescent="0.25">
      <c r="B15" s="1" t="s">
        <v>5</v>
      </c>
      <c r="C15" s="26"/>
      <c r="D15" s="28">
        <v>45343.35</v>
      </c>
    </row>
    <row r="16" spans="2:8" x14ac:dyDescent="0.25">
      <c r="B16" s="1" t="s">
        <v>6</v>
      </c>
      <c r="C16" s="26"/>
      <c r="D16" s="28">
        <v>55638.22</v>
      </c>
    </row>
    <row r="17" spans="2:4" x14ac:dyDescent="0.25">
      <c r="B17" s="9" t="s">
        <v>7</v>
      </c>
      <c r="C17" s="26"/>
      <c r="D17" s="28">
        <v>1799</v>
      </c>
    </row>
    <row r="18" spans="2:4" x14ac:dyDescent="0.25">
      <c r="B18" s="10" t="s">
        <v>8</v>
      </c>
      <c r="C18" s="8">
        <f>SUM(C14:C17)</f>
        <v>0</v>
      </c>
      <c r="D18" s="4">
        <f>SUM(D14:D17)</f>
        <v>228301.16999999998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D22" s="28">
        <v>1665</v>
      </c>
    </row>
    <row r="23" spans="2:4" x14ac:dyDescent="0.25">
      <c r="B23" s="1" t="s">
        <v>5</v>
      </c>
      <c r="D23" s="28">
        <v>1774</v>
      </c>
    </row>
    <row r="24" spans="2:4" x14ac:dyDescent="0.25">
      <c r="B24" s="1" t="s">
        <v>6</v>
      </c>
      <c r="D24" s="28">
        <v>1621</v>
      </c>
    </row>
    <row r="25" spans="2:4" x14ac:dyDescent="0.25">
      <c r="B25" s="5" t="s">
        <v>11</v>
      </c>
      <c r="C25" s="11"/>
      <c r="D25" s="25">
        <v>0</v>
      </c>
    </row>
    <row r="26" spans="2:4" x14ac:dyDescent="0.25">
      <c r="B26" s="1" t="s">
        <v>7</v>
      </c>
      <c r="D26" s="28">
        <v>6452</v>
      </c>
    </row>
    <row r="27" spans="2:4" x14ac:dyDescent="0.25">
      <c r="B27" s="3" t="s">
        <v>8</v>
      </c>
      <c r="C27" s="8">
        <f>SUM(C22:C26)</f>
        <v>0</v>
      </c>
      <c r="D27" s="4">
        <f>SUM(D22:D26)</f>
        <v>11512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D31" s="28"/>
    </row>
    <row r="32" spans="2:4" x14ac:dyDescent="0.25">
      <c r="B32" s="1" t="s">
        <v>7</v>
      </c>
      <c r="D32" s="28"/>
    </row>
    <row r="33" spans="2:4" x14ac:dyDescent="0.25">
      <c r="B33" s="3" t="s">
        <v>8</v>
      </c>
      <c r="C33" s="8">
        <f>SUM(C31:C32)</f>
        <v>0</v>
      </c>
      <c r="D33" s="4">
        <f>SUM(D31:D32)</f>
        <v>0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D37" s="28"/>
    </row>
    <row r="38" spans="2:4" x14ac:dyDescent="0.25">
      <c r="B38" s="1" t="s">
        <v>5</v>
      </c>
      <c r="C38" s="25"/>
      <c r="D38" s="25"/>
    </row>
    <row r="39" spans="2:4" x14ac:dyDescent="0.25">
      <c r="B39" s="1" t="s">
        <v>6</v>
      </c>
      <c r="D39" s="25"/>
    </row>
    <row r="40" spans="2:4" x14ac:dyDescent="0.25">
      <c r="B40" s="1" t="s">
        <v>7</v>
      </c>
      <c r="D40" s="28"/>
    </row>
    <row r="41" spans="2:4" x14ac:dyDescent="0.25">
      <c r="B41" s="3" t="s">
        <v>8</v>
      </c>
      <c r="C41" s="8">
        <f>SUM(C37:C40)</f>
        <v>0</v>
      </c>
      <c r="D41" s="4">
        <f>SUM(D37:D40)</f>
        <v>0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D45" s="28"/>
    </row>
    <row r="46" spans="2:4" x14ac:dyDescent="0.25">
      <c r="B46" s="9" t="s">
        <v>5</v>
      </c>
      <c r="D46" s="25"/>
    </row>
    <row r="47" spans="2:4" x14ac:dyDescent="0.25">
      <c r="B47" s="9" t="s">
        <v>7</v>
      </c>
      <c r="D47" s="28"/>
    </row>
    <row r="48" spans="2:4" x14ac:dyDescent="0.25">
      <c r="B48" s="10" t="s">
        <v>8</v>
      </c>
      <c r="C48" s="8">
        <f>SUM(C45:C47)</f>
        <v>0</v>
      </c>
      <c r="D48" s="4">
        <f>SUM(D45:D47)</f>
        <v>0</v>
      </c>
    </row>
    <row r="50" spans="2:4" x14ac:dyDescent="0.25">
      <c r="B50" s="12" t="s">
        <v>12</v>
      </c>
      <c r="C50" s="13">
        <f>SUMIF(B:B, "Total general", C:C)</f>
        <v>0</v>
      </c>
      <c r="D50" s="13">
        <f>SUMIF(B:B, "Total general", D:D)</f>
        <v>800336.09000000008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0</v>
      </c>
      <c r="D3" s="14">
        <f>SUMIF('CDC-OLGUIN'!B:B, "Extrajudicial - 0 a 28 semanas de atraso", 'CDC-OLGUIN'!D:D)</f>
        <v>454034.32</v>
      </c>
    </row>
    <row r="4" spans="2:6" x14ac:dyDescent="0.25">
      <c r="B4" s="1" t="s">
        <v>5</v>
      </c>
      <c r="C4" s="6">
        <f>SUMIF('CDC-OLGUIN'!B:B, "Extrajudicial - 29 a 39 semanas de atraso", 'CDC-OLGUIN'!C:C)</f>
        <v>0</v>
      </c>
      <c r="D4" s="14">
        <f>SUMIF('CDC-OLGUIN'!B:B, "Extrajudicial - 29 a 39 semanas de atraso", 'CDC-OLGUIN'!D:D)</f>
        <v>175283.47999999998</v>
      </c>
    </row>
    <row r="5" spans="2:6" x14ac:dyDescent="0.25">
      <c r="B5" s="1" t="s">
        <v>6</v>
      </c>
      <c r="C5" s="6">
        <f>SUMIF('CDC-OLGUIN'!B:B, "Extrajudicial - 40 a 55 semanas de atraso", 'CDC-OLGUIN'!C:C)</f>
        <v>0</v>
      </c>
      <c r="D5" s="14">
        <f>SUMIF('CDC-OLGUIN'!B:B, "Extrajudicial - 40 a 55 semanas de atraso", 'CDC-OLGUIN'!D:D)</f>
        <v>115365.57</v>
      </c>
    </row>
    <row r="6" spans="2:6" x14ac:dyDescent="0.25">
      <c r="B6" s="5" t="s">
        <v>11</v>
      </c>
      <c r="C6" s="6">
        <f>SUMIF('CDC-OLGUIN'!B:B, "JUDICIAL", 'CDC-OLGUIN'!C:C)</f>
        <v>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0</v>
      </c>
      <c r="D7" s="6">
        <f>SUMIF('CDC-OLGUIN'!B:B, "Mas 55 semanas de atraso", 'CDC-OLGUIN'!D:D)</f>
        <v>55652.72</v>
      </c>
      <c r="E7" s="14"/>
      <c r="F7" s="7"/>
    </row>
    <row r="8" spans="2:6" x14ac:dyDescent="0.25">
      <c r="B8" s="3" t="s">
        <v>8</v>
      </c>
      <c r="C8" s="8">
        <f>SUM(C3:C7)</f>
        <v>0</v>
      </c>
      <c r="D8" s="4">
        <f>SUM(D3:D7)</f>
        <v>800336.09000000008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11564</v>
      </c>
      <c r="E6" s="16">
        <f>SUMIF('REPORTE DIARIO'!B:B,'EPR 26 JUN'!C6, 'REPORTE DIARIO'!D:D)</f>
        <v>784773.31</v>
      </c>
      <c r="F6" s="16">
        <f>J6*D6</f>
        <v>726880</v>
      </c>
      <c r="G6" s="16">
        <f>+E6-F6</f>
        <v>57893.310000000056</v>
      </c>
      <c r="H6" s="15">
        <f>ABS(G6/F6)</f>
        <v>7.9646310257539155E-2</v>
      </c>
      <c r="I6" s="16">
        <f>E6/D6</f>
        <v>67.863482359045321</v>
      </c>
      <c r="J6" s="16">
        <f>(220/7)*2</f>
        <v>62.857142857142854</v>
      </c>
      <c r="K6" s="16">
        <f>+I6-J6</f>
        <v>5.0063395019024668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5499</v>
      </c>
      <c r="E7" s="16">
        <f>SUMIF('REPORTE DIARIO'!B:B,'EPR 26 JUN'!C7, 'REPORTE DIARIO'!D:D)</f>
        <v>497002.07999999996</v>
      </c>
      <c r="F7" s="16">
        <f>J7*D7</f>
        <v>172825.71428571429</v>
      </c>
      <c r="G7" s="16">
        <f>+E7-F7</f>
        <v>324176.36571428564</v>
      </c>
      <c r="H7" s="15">
        <f>ABS(G7/F7)</f>
        <v>1.8757415067202297</v>
      </c>
      <c r="I7" s="16">
        <f>E7/D7</f>
        <v>90.380447354064373</v>
      </c>
      <c r="J7" s="16">
        <f>(110/7)*2</f>
        <v>31.428571428571427</v>
      </c>
      <c r="K7" s="16">
        <f t="shared" ref="K7:K9" si="0">+I7-J7</f>
        <v>58.951875925492942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12534</v>
      </c>
      <c r="E8" s="16">
        <f>SUMIF('REPORTE DIARIO'!B:B,'EPR 26 JUN'!C8, 'REPORTE DIARIO'!D:D)</f>
        <v>410035.81999999995</v>
      </c>
      <c r="F8" s="16">
        <f>J8*D8</f>
        <v>161151.42857142858</v>
      </c>
      <c r="G8" s="16">
        <f>+E8-F8</f>
        <v>248884.39142857137</v>
      </c>
      <c r="H8" s="15">
        <f>ABS(G8/F8)</f>
        <v>1.544413187241813</v>
      </c>
      <c r="I8" s="16">
        <f>E8/D8</f>
        <v>32.713883835966165</v>
      </c>
      <c r="J8" s="16">
        <f>(45/7)*2</f>
        <v>12.857142857142858</v>
      </c>
      <c r="K8" s="16">
        <f t="shared" si="0"/>
        <v>19.856740978823307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56348</v>
      </c>
      <c r="E9" s="16">
        <f>SUMIF('REPORTE DIARIO'!B:B,'EPR 26 JUN'!C9, 'REPORTE DIARIO'!D:D)</f>
        <v>569329.53</v>
      </c>
      <c r="F9" s="16">
        <f>J9*D9</f>
        <v>241491.42857142855</v>
      </c>
      <c r="G9" s="16">
        <f>+E9-F9</f>
        <v>327838.10142857151</v>
      </c>
      <c r="H9" s="15">
        <f>ABS(G9/F9)</f>
        <v>1.3575558493646629</v>
      </c>
      <c r="I9" s="16">
        <f>E9/D9</f>
        <v>10.103810782991411</v>
      </c>
      <c r="J9" s="16">
        <f>(15/7)*2</f>
        <v>4.2857142857142856</v>
      </c>
      <c r="K9" s="16">
        <f t="shared" si="0"/>
        <v>5.8180964972771259</v>
      </c>
    </row>
    <row r="10" spans="2:12" x14ac:dyDescent="0.25">
      <c r="B10" s="16"/>
      <c r="C10" s="19" t="s">
        <v>16</v>
      </c>
      <c r="D10" s="24">
        <f>SUM(D6:D9)</f>
        <v>85945</v>
      </c>
      <c r="E10" s="20">
        <f>SUM(E6:E9)</f>
        <v>2261140.7400000002</v>
      </c>
      <c r="F10" s="20">
        <f>SUM(F6:F9)</f>
        <v>1302348.5714285716</v>
      </c>
      <c r="G10" s="20">
        <f>+E10-F10</f>
        <v>958792.16857142863</v>
      </c>
      <c r="H10" s="21">
        <f>ABS(G10/F10)</f>
        <v>0.73620241892668625</v>
      </c>
      <c r="I10" s="20">
        <f>E10/D10</f>
        <v>26.309159811507364</v>
      </c>
      <c r="J10" s="20">
        <f>F10/D10</f>
        <v>15.153279090448212</v>
      </c>
      <c r="K10" s="20">
        <f>I10-J10</f>
        <v>11.155880721059152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2025-10-09T15:18:02Z</cp:lastPrinted>
  <dcterms:created xsi:type="dcterms:W3CDTF">2025-01-27T15:11:28Z</dcterms:created>
  <dcterms:modified xsi:type="dcterms:W3CDTF">2025-10-13T01:35:50Z</dcterms:modified>
</cp:coreProperties>
</file>