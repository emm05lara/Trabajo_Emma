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1 OCT\NOCHE\"/>
    </mc:Choice>
  </mc:AlternateContent>
  <xr:revisionPtr revIDLastSave="0" documentId="13_ncr:1_{236E9784-CC5B-4BB1-B379-D1262C8072D6}" xr6:coauthVersionLast="47" xr6:coauthVersionMax="47" xr10:uidLastSave="{00000000-0000-0000-0000-000000000000}"/>
  <bookViews>
    <workbookView xWindow="6795" yWindow="679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5" l="1"/>
  <c r="C41" i="5"/>
  <c r="D48" i="5"/>
  <c r="C48" i="5"/>
  <c r="D27" i="5"/>
  <c r="C27" i="5"/>
  <c r="C42" i="1"/>
  <c r="D42" i="1"/>
  <c r="D18" i="1"/>
  <c r="C18" i="1"/>
  <c r="C26" i="1"/>
  <c r="D18" i="5"/>
  <c r="C18" i="5"/>
  <c r="D34" i="1"/>
  <c r="C34" i="1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<sst xmlns="http://schemas.openxmlformats.org/spreadsheetml/2006/main" count="139" uniqueCount="37">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</sst>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4" zoomScaleNormal="100" workbookViewId="0">
      <selection activeCell="C42" sqref="C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5773</v>
      </c>
      <c r="D5" s="28">
        <v>426954.7900000001</v>
      </c>
    </row>
    <row r="6" spans="2:8" x14ac:dyDescent="0.25">
      <c r="B6" s="1" t="s">
        <v>5</v>
      </c>
      <c r="C6" s="6">
        <v>2629</v>
      </c>
      <c r="D6" s="28">
        <v>233219.08000000002</v>
      </c>
    </row>
    <row r="7" spans="2:8" x14ac:dyDescent="0.25">
      <c r="B7" s="1" t="s">
        <v>6</v>
      </c>
      <c r="C7" s="6">
        <v>8052</v>
      </c>
      <c r="D7" s="28">
        <v>223919.38</v>
      </c>
    </row>
    <row r="8" spans="2:8" x14ac:dyDescent="0.25">
      <c r="B8" s="5" t="s">
        <v>11</v>
      </c>
      <c r="C8" s="7">
        <v>1044</v>
      </c>
      <c r="D8" s="28">
        <v>1000</v>
      </c>
    </row>
    <row r="9" spans="2:8" x14ac:dyDescent="0.25">
      <c r="B9" s="1" t="s">
        <v>7</v>
      </c>
      <c r="C9" s="6">
        <v>37251</v>
      </c>
      <c r="D9" s="28">
        <v>328728.16000000003</v>
      </c>
      <c r="E9" s="14"/>
      <c r="F9" s="7"/>
    </row>
    <row r="10" spans="2:8" x14ac:dyDescent="0.25">
      <c r="B10" s="3" t="s">
        <v>8</v>
      </c>
      <c r="C10" s="8">
        <f>SUM(C5:C9)</f>
        <v>54749</v>
      </c>
      <c r="D10" s="4">
        <f>SUM(D5:D9)</f>
        <v>1213821.4100000001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165</v>
      </c>
      <c r="D14" s="28">
        <v>50105.22</v>
      </c>
    </row>
    <row r="15" spans="2:8" x14ac:dyDescent="0.25">
      <c r="B15" s="1" t="s">
        <v>5</v>
      </c>
      <c r="C15" s="6">
        <v>296</v>
      </c>
      <c r="D15" s="28">
        <v>84930.11</v>
      </c>
    </row>
    <row r="16" spans="2:8" x14ac:dyDescent="0.25">
      <c r="B16" s="1" t="s">
        <v>6</v>
      </c>
      <c r="C16" s="6">
        <v>514</v>
      </c>
      <c r="D16" s="28">
        <v>28443</v>
      </c>
    </row>
    <row r="17" spans="2:4" x14ac:dyDescent="0.25">
      <c r="B17" s="1" t="s">
        <v>7</v>
      </c>
      <c r="C17" s="7">
        <v>16507</v>
      </c>
      <c r="D17" s="28">
        <v>88446.17</v>
      </c>
    </row>
    <row r="18" spans="2:4" x14ac:dyDescent="0.25">
      <c r="B18" s="3" t="s">
        <v>8</v>
      </c>
      <c r="C18" s="8">
        <f>SUM(C14:C17)</f>
        <v>17482</v>
      </c>
      <c r="D18" s="4">
        <f>SUM(D14:D17)</f>
        <v>251924.5</v>
      </c>
    </row>
    <row r="20" spans="2:4" x14ac:dyDescent="0.25">
      <c r="B20" s="31" t="s">
        <v>9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352</v>
      </c>
      <c r="D22" s="28">
        <v>68817.729999999981</v>
      </c>
    </row>
    <row r="23" spans="2:4" x14ac:dyDescent="0.25">
      <c r="B23" s="9" t="s">
        <v>5</v>
      </c>
      <c r="C23" s="6">
        <v>1209</v>
      </c>
      <c r="D23" s="28">
        <v>43134</v>
      </c>
    </row>
    <row r="24" spans="2:4" x14ac:dyDescent="0.25">
      <c r="B24" s="9" t="s">
        <v>6</v>
      </c>
      <c r="C24" s="6">
        <v>92</v>
      </c>
      <c r="D24" s="28">
        <v>48468.22</v>
      </c>
    </row>
    <row r="25" spans="2:4" x14ac:dyDescent="0.25">
      <c r="B25" s="9" t="s">
        <v>7</v>
      </c>
      <c r="C25" s="6">
        <v>582</v>
      </c>
      <c r="D25" s="28">
        <v>35853.009999999995</v>
      </c>
    </row>
    <row r="26" spans="2:4" x14ac:dyDescent="0.25">
      <c r="B26" s="10" t="s">
        <v>8</v>
      </c>
      <c r="C26" s="8">
        <f>SUM(C22:C25)</f>
        <v>2235</v>
      </c>
      <c r="D26" s="4">
        <f>SUM(D22:D25)</f>
        <v>196272.95999999996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4919</v>
      </c>
      <c r="D30" s="28">
        <v>109244.95999999999</v>
      </c>
    </row>
    <row r="31" spans="2:4" x14ac:dyDescent="0.25">
      <c r="B31" s="1" t="s">
        <v>5</v>
      </c>
      <c r="C31" s="6">
        <v>1174</v>
      </c>
      <c r="D31" s="28">
        <v>49943.350000000006</v>
      </c>
    </row>
    <row r="32" spans="2:4" x14ac:dyDescent="0.25">
      <c r="B32" s="1" t="s">
        <v>6</v>
      </c>
      <c r="C32" s="6">
        <v>3722</v>
      </c>
      <c r="D32" s="28">
        <v>22361</v>
      </c>
    </row>
    <row r="33" spans="2:4" x14ac:dyDescent="0.25">
      <c r="B33" s="1" t="s">
        <v>7</v>
      </c>
      <c r="C33" s="6">
        <v>1029</v>
      </c>
      <c r="D33" s="28">
        <v>1799</v>
      </c>
    </row>
    <row r="34" spans="2:4" x14ac:dyDescent="0.25">
      <c r="B34" s="10" t="s">
        <v>8</v>
      </c>
      <c r="C34" s="8">
        <f>SUM(C30:C33)</f>
        <v>10844</v>
      </c>
      <c r="D34" s="4">
        <f>SUM(D30:D33)</f>
        <v>183348.31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212</v>
      </c>
      <c r="D38" s="28">
        <v>11806</v>
      </c>
    </row>
    <row r="39" spans="2:4" x14ac:dyDescent="0.25">
      <c r="B39" s="1" t="s">
        <v>5</v>
      </c>
      <c r="C39" s="6">
        <v>39</v>
      </c>
      <c r="D39" s="28">
        <v>10340</v>
      </c>
    </row>
    <row r="40" spans="2:4" x14ac:dyDescent="0.25">
      <c r="B40" s="1" t="s">
        <v>6</v>
      </c>
      <c r="C40" s="6">
        <v>6</v>
      </c>
      <c r="D40" s="28">
        <v>5368</v>
      </c>
    </row>
    <row r="41" spans="2:4" x14ac:dyDescent="0.25">
      <c r="B41" s="1" t="s">
        <v>7</v>
      </c>
      <c r="C41" s="6">
        <v>921</v>
      </c>
      <c r="D41" s="28">
        <v>7747</v>
      </c>
    </row>
    <row r="42" spans="2:4" x14ac:dyDescent="0.25">
      <c r="B42" s="3" t="s">
        <v>8</v>
      </c>
      <c r="C42" s="8">
        <f>SUM(C38:C41)</f>
        <v>1178</v>
      </c>
      <c r="D42" s="4">
        <f>SUM(D38:D41)</f>
        <v>35261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86488</v>
      </c>
      <c r="D50" s="13">
        <f>SUMIF(B:B, "Total general", D:D)</f>
        <v>1880628.1800000002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8453</v>
      </c>
      <c r="D5" s="28">
        <v>297228.74</v>
      </c>
      <c r="E5" s="11"/>
    </row>
    <row r="6" spans="2:8" x14ac:dyDescent="0.25">
      <c r="B6" s="1" t="s">
        <v>5</v>
      </c>
      <c r="C6" s="27">
        <v>6601</v>
      </c>
      <c r="D6" s="28">
        <v>109070.39999999999</v>
      </c>
    </row>
    <row r="7" spans="2:8" x14ac:dyDescent="0.25">
      <c r="B7" s="1" t="s">
        <v>6</v>
      </c>
      <c r="C7" s="27">
        <v>4709</v>
      </c>
      <c r="D7" s="28">
        <v>48340.35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2918</v>
      </c>
      <c r="D9" s="28">
        <v>32223</v>
      </c>
      <c r="E9" s="14"/>
      <c r="F9" s="7"/>
    </row>
    <row r="10" spans="2:8" x14ac:dyDescent="0.25">
      <c r="B10" s="3" t="s">
        <v>8</v>
      </c>
      <c r="C10" s="8">
        <f>SUM(C5:C9)</f>
        <v>25420</v>
      </c>
      <c r="D10" s="4">
        <f>SUM(D5:D9)</f>
        <v>486862.49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4808</v>
      </c>
      <c r="D14" s="28">
        <v>105245.95999999999</v>
      </c>
    </row>
    <row r="15" spans="2:8" x14ac:dyDescent="0.25">
      <c r="B15" s="1" t="s">
        <v>5</v>
      </c>
      <c r="C15" s="26">
        <v>630</v>
      </c>
      <c r="D15" s="28">
        <v>40781.35</v>
      </c>
    </row>
    <row r="16" spans="2:8" x14ac:dyDescent="0.25">
      <c r="B16" s="1" t="s">
        <v>6</v>
      </c>
      <c r="C16" s="26">
        <v>3419</v>
      </c>
      <c r="D16" s="28">
        <v>22195</v>
      </c>
    </row>
    <row r="17" spans="2:4" x14ac:dyDescent="0.25">
      <c r="B17" s="9" t="s">
        <v>7</v>
      </c>
      <c r="C17" s="26">
        <v>26</v>
      </c>
      <c r="D17" s="28">
        <v>1799</v>
      </c>
    </row>
    <row r="18" spans="2:4" x14ac:dyDescent="0.25">
      <c r="B18" s="10" t="s">
        <v>8</v>
      </c>
      <c r="C18" s="8">
        <f>SUM(C14:C17)</f>
        <v>8883</v>
      </c>
      <c r="D18" s="4">
        <f>SUM(D14:D17)</f>
        <v>170021.31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28">
        <v>1665</v>
      </c>
    </row>
    <row r="23" spans="2:4" x14ac:dyDescent="0.25">
      <c r="B23" s="1" t="s">
        <v>5</v>
      </c>
      <c r="C23">
        <v>8</v>
      </c>
      <c r="D23" s="28">
        <v>1460</v>
      </c>
    </row>
    <row r="24" spans="2:4" x14ac:dyDescent="0.25">
      <c r="B24" s="1" t="s">
        <v>6</v>
      </c>
      <c r="C24">
        <v>1</v>
      </c>
      <c r="D24" s="25">
        <v>0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302</v>
      </c>
      <c r="D26" s="28">
        <v>6452</v>
      </c>
    </row>
    <row r="27" spans="2:4" x14ac:dyDescent="0.25">
      <c r="B27" s="3" t="s">
        <v>8</v>
      </c>
      <c r="C27" s="8">
        <f>SUM(C22:C26)</f>
        <v>318</v>
      </c>
      <c r="D27" s="4">
        <f>SUM(D22:D26)</f>
        <v>9577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4865</v>
      </c>
    </row>
    <row r="32" spans="2:4" x14ac:dyDescent="0.25">
      <c r="B32" s="1" t="s">
        <v>7</v>
      </c>
      <c r="C32">
        <v>64</v>
      </c>
      <c r="D32" s="28">
        <v>557</v>
      </c>
    </row>
    <row r="33" spans="2:4" x14ac:dyDescent="0.25">
      <c r="B33" s="3" t="s">
        <v>8</v>
      </c>
      <c r="C33" s="8">
        <f>SUM(C31:C32)</f>
        <v>67</v>
      </c>
      <c r="D33" s="4">
        <f>SUM(D31:D32)</f>
        <v>5422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>
        <v>3</v>
      </c>
      <c r="D37" s="28">
        <v>763</v>
      </c>
    </row>
    <row r="38" spans="2:4" x14ac:dyDescent="0.25">
      <c r="B38" s="1" t="s">
        <v>5</v>
      </c>
      <c r="C38" s="25">
        <v>0</v>
      </c>
      <c r="D38" s="25">
        <v>0</v>
      </c>
    </row>
    <row r="39" spans="2:4" x14ac:dyDescent="0.25">
      <c r="B39" s="1" t="s">
        <v>6</v>
      </c>
      <c r="C39">
        <v>2</v>
      </c>
      <c r="D39" s="25">
        <v>0</v>
      </c>
    </row>
    <row r="40" spans="2:4" x14ac:dyDescent="0.25">
      <c r="B40" s="1" t="s">
        <v>7</v>
      </c>
      <c r="C40">
        <v>331</v>
      </c>
      <c r="D40" s="28">
        <v>1556</v>
      </c>
    </row>
    <row r="41" spans="2:4" x14ac:dyDescent="0.25">
      <c r="B41" s="3" t="s">
        <v>8</v>
      </c>
      <c r="C41" s="8">
        <f>SUM(C37:C40)</f>
        <v>336</v>
      </c>
      <c r="D41" s="4">
        <f>SUM(D37:D40)</f>
        <v>2319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>
        <v>2</v>
      </c>
      <c r="D45" s="28">
        <v>256</v>
      </c>
    </row>
    <row r="46" spans="2:4" x14ac:dyDescent="0.25">
      <c r="B46" s="9" t="s">
        <v>5</v>
      </c>
      <c r="C46">
        <v>1</v>
      </c>
      <c r="D46" s="25">
        <v>0</v>
      </c>
    </row>
    <row r="47" spans="2:4" x14ac:dyDescent="0.25">
      <c r="B47" s="9" t="s">
        <v>7</v>
      </c>
      <c r="C47">
        <v>167</v>
      </c>
      <c r="D47" s="28">
        <v>1200</v>
      </c>
    </row>
    <row r="48" spans="2:4" x14ac:dyDescent="0.25">
      <c r="B48" s="10" t="s">
        <v>8</v>
      </c>
      <c r="C48" s="8">
        <f>SUM(C45:C47)</f>
        <v>170</v>
      </c>
      <c r="D48" s="4">
        <f>SUM(D45:D47)</f>
        <v>1456</v>
      </c>
    </row>
    <row r="50" spans="2:4" x14ac:dyDescent="0.25">
      <c r="B50" s="12" t="s">
        <v>12</v>
      </c>
      <c r="C50" s="13">
        <f>SUMIF(B:B, "Total general", C:C)</f>
        <v>35194</v>
      </c>
      <c r="D50" s="13">
        <f>SUMIF(B:B, "Total general", D:D)</f>
        <v>675657.8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13276</v>
      </c>
      <c r="D3" s="14">
        <f>SUMIF('CDC-OLGUIN'!B:B, "Extrajudicial - 0 a 28 semanas de atraso", 'CDC-OLGUIN'!D:D)</f>
        <v>410023.69999999995</v>
      </c>
    </row>
    <row r="4" spans="2:6" x14ac:dyDescent="0.25">
      <c r="B4" s="1" t="s">
        <v>5</v>
      </c>
      <c r="C4" s="6">
        <f>SUMIF('CDC-OLGUIN'!B:B, "Extrajudicial - 29 a 39 semanas de atraso", 'CDC-OLGUIN'!C:C)</f>
        <v>7240</v>
      </c>
      <c r="D4" s="14">
        <f>SUMIF('CDC-OLGUIN'!B:B, "Extrajudicial - 29 a 39 semanas de atraso", 'CDC-OLGUIN'!D:D)</f>
        <v>151311.75</v>
      </c>
    </row>
    <row r="5" spans="2:6" x14ac:dyDescent="0.25">
      <c r="B5" s="1" t="s">
        <v>6</v>
      </c>
      <c r="C5" s="6">
        <f>SUMIF('CDC-OLGUIN'!B:B, "Extrajudicial - 40 a 55 semanas de atraso", 'CDC-OLGUIN'!C:C)</f>
        <v>8131</v>
      </c>
      <c r="D5" s="14">
        <f>SUMIF('CDC-OLGUIN'!B:B, "Extrajudicial - 40 a 55 semanas de atraso", 'CDC-OLGUIN'!D:D)</f>
        <v>70535.350000000006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3808</v>
      </c>
      <c r="D7" s="6">
        <f>SUMIF('CDC-OLGUIN'!B:B, "Mas 55 semanas de atraso", 'CDC-OLGUIN'!D:D)</f>
        <v>43787</v>
      </c>
      <c r="E7" s="14"/>
      <c r="F7" s="7"/>
    </row>
    <row r="8" spans="2:6" x14ac:dyDescent="0.25">
      <c r="B8" s="3" t="s">
        <v>8</v>
      </c>
      <c r="C8" s="8">
        <f>SUM(C3:C7)</f>
        <v>35194</v>
      </c>
      <c r="D8" s="4">
        <f>SUM(D3:D7)</f>
        <v>675657.79999999993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11421</v>
      </c>
      <c r="E6" s="16">
        <f>SUMIF('REPORTE DIARIO'!B:B,'EPR 26 JUN'!C6, 'REPORTE DIARIO'!D:D)</f>
        <v>666928.70000000007</v>
      </c>
      <c r="F6" s="16">
        <f>J6*D6</f>
        <v>717891.42857142852</v>
      </c>
      <c r="G6" s="16">
        <f>+E6-F6</f>
        <v>-50962.728571428452</v>
      </c>
      <c r="H6" s="15">
        <f>ABS(G6/F6)</f>
        <v>7.0989465179772351E-2</v>
      </c>
      <c r="I6" s="16">
        <f>E6/D6</f>
        <v>58.394947902985734</v>
      </c>
      <c r="J6" s="16">
        <f>(220/7)*2</f>
        <v>62.857142857142854</v>
      </c>
      <c r="K6" s="16">
        <f>+I6-J6</f>
        <v>-4.4621949541571198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5347</v>
      </c>
      <c r="E7" s="16">
        <f>SUMIF('REPORTE DIARIO'!B:B,'EPR 26 JUN'!C7, 'REPORTE DIARIO'!D:D)</f>
        <v>421566.54000000004</v>
      </c>
      <c r="F7" s="16">
        <f>J7*D7</f>
        <v>168048.57142857142</v>
      </c>
      <c r="G7" s="16">
        <f>+E7-F7</f>
        <v>253517.96857142862</v>
      </c>
      <c r="H7" s="15">
        <f>ABS(G7/F7)</f>
        <v>1.5085993675297962</v>
      </c>
      <c r="I7" s="16">
        <f>E7/D7</f>
        <v>78.841694408079306</v>
      </c>
      <c r="J7" s="16">
        <f>(110/7)*2</f>
        <v>31.428571428571427</v>
      </c>
      <c r="K7" s="16">
        <f t="shared" ref="K7:K9" si="0">+I7-J7</f>
        <v>47.413122979507875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12386</v>
      </c>
      <c r="E8" s="16">
        <f>SUMIF('REPORTE DIARIO'!B:B,'EPR 26 JUN'!C8, 'REPORTE DIARIO'!D:D)</f>
        <v>328559.59999999998</v>
      </c>
      <c r="F8" s="16">
        <f>J8*D8</f>
        <v>159248.57142857145</v>
      </c>
      <c r="G8" s="16">
        <f>+E8-F8</f>
        <v>169311.02857142853</v>
      </c>
      <c r="H8" s="15">
        <f>ABS(G8/F8)</f>
        <v>1.0631871108958137</v>
      </c>
      <c r="I8" s="16">
        <f>E8/D8</f>
        <v>26.526691425803325</v>
      </c>
      <c r="J8" s="16">
        <f>(45/7)*2</f>
        <v>12.857142857142858</v>
      </c>
      <c r="K8" s="16">
        <f t="shared" si="0"/>
        <v>13.669548568660467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56290</v>
      </c>
      <c r="E9" s="16">
        <f>SUMIF('REPORTE DIARIO'!B:B,'EPR 26 JUN'!C9, 'REPORTE DIARIO'!D:D)</f>
        <v>462573.34</v>
      </c>
      <c r="F9" s="16">
        <f>J9*D9</f>
        <v>241242.85714285713</v>
      </c>
      <c r="G9" s="16">
        <f>+E9-F9</f>
        <v>221330.4828571429</v>
      </c>
      <c r="H9" s="15">
        <f>ABS(G9/F9)</f>
        <v>0.91745921714928669</v>
      </c>
      <c r="I9" s="16">
        <f>E9/D9</f>
        <v>8.2176823592112278</v>
      </c>
      <c r="J9" s="16">
        <f>(15/7)*2</f>
        <v>4.2857142857142856</v>
      </c>
      <c r="K9" s="16">
        <f t="shared" si="0"/>
        <v>3.9319680734969422</v>
      </c>
    </row>
    <row r="10" spans="2:12" x14ac:dyDescent="0.25">
      <c r="B10" s="16"/>
      <c r="C10" s="19" t="s">
        <v>16</v>
      </c>
      <c r="D10" s="24">
        <f>SUM(D6:D9)</f>
        <v>85444</v>
      </c>
      <c r="E10" s="20">
        <f>SUM(E6:E9)</f>
        <v>1879628.1800000004</v>
      </c>
      <c r="F10" s="20">
        <f>SUM(F6:F9)</f>
        <v>1286431.4285714286</v>
      </c>
      <c r="G10" s="20">
        <f>+E10-F10</f>
        <v>593196.75142857176</v>
      </c>
      <c r="H10" s="21">
        <f>ABS(G10/F10)</f>
        <v>0.46111804971005083</v>
      </c>
      <c r="I10" s="20">
        <f>E10/D10</f>
        <v>21.998363606572731</v>
      </c>
      <c r="J10" s="20">
        <f>F10/D10</f>
        <v>15.055842757495302</v>
      </c>
      <c r="K10" s="20">
        <f>I10-J10</f>
        <v>6.9425208490774288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2025-10-09T15:18:02Z</cp:lastPrinted>
  <dcterms:created xsi:type="dcterms:W3CDTF">2025-01-27T15:11:28Z</dcterms:created>
  <dcterms:modified xsi:type="dcterms:W3CDTF">2025-10-12T02:56:28Z</dcterms:modified>
</cp:coreProperties>
</file>