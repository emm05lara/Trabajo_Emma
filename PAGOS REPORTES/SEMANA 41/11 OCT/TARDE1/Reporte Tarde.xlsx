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1 OCT\TARDE1\"/>
    </mc:Choice>
  </mc:AlternateContent>
  <xr:revisionPtr revIDLastSave="0" documentId="8_{4C8424D5-B0AE-4FE7-995B-45F4EA90DCF0}" xr6:coauthVersionLast="47" xr6:coauthVersionMax="47" xr10:uidLastSave="{00000000-0000-0000-0000-000000000000}"/>
  <bookViews>
    <workbookView xWindow="-120" yWindow="-120" windowWidth="51840" windowHeight="21120" xr2:uid="{D978E302-D8C2-4239-BC38-CC31921E414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<sst xmlns="http://schemas.openxmlformats.org/spreadsheetml/2006/main" count="97" uniqueCount="21">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</sst>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3253-D1C0-46D7-ADC7-9CF2403C30A7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11/10/2025  13:05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16186.81</v>
      </c>
    </row>
    <row r="6" spans="2:4" x14ac:dyDescent="0.25">
      <c r="B6" s="2" t="s">
        <v>2</v>
      </c>
      <c r="C6" s="3">
        <v>24649.690000000002</v>
      </c>
    </row>
    <row r="7" spans="2:4" x14ac:dyDescent="0.25">
      <c r="B7" s="2" t="s">
        <v>3</v>
      </c>
      <c r="C7" s="3">
        <v>7516</v>
      </c>
    </row>
    <row r="8" spans="2:4" ht="15.75" thickBot="1" x14ac:dyDescent="0.3">
      <c r="B8" s="2" t="s">
        <v>4</v>
      </c>
      <c r="C8" s="3">
        <v>27178</v>
      </c>
      <c r="D8" s="1" t="s">
        <v>11</v>
      </c>
    </row>
    <row r="9" spans="2:4" ht="15.75" thickTop="1" x14ac:dyDescent="0.25">
      <c r="B9" s="4" t="s">
        <v>5</v>
      </c>
      <c r="C9" s="5">
        <v>75530.5</v>
      </c>
      <c r="D9" s="5">
        <f ca="1">SUMIF(B:B, "Total general", C:C)</f>
        <v>113243.26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1675</v>
      </c>
    </row>
    <row r="14" spans="2:4" x14ac:dyDescent="0.25">
      <c r="B14" s="2" t="s">
        <v>2</v>
      </c>
      <c r="C14" s="3">
        <v>5252</v>
      </c>
    </row>
    <row r="15" spans="2:4" x14ac:dyDescent="0.25">
      <c r="B15" s="2" t="s">
        <v>3</v>
      </c>
      <c r="C15" s="3">
        <v>1280</v>
      </c>
    </row>
    <row r="16" spans="2:4" ht="15.75" thickBot="1" x14ac:dyDescent="0.3">
      <c r="B16" s="2" t="s">
        <v>4</v>
      </c>
      <c r="C16" s="3">
        <v>5349</v>
      </c>
    </row>
    <row r="17" spans="2:3" ht="15.75" thickTop="1" x14ac:dyDescent="0.25">
      <c r="B17" s="4" t="s">
        <v>5</v>
      </c>
      <c r="C17" s="5">
        <v>13556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6757</v>
      </c>
    </row>
    <row r="22" spans="2:3" x14ac:dyDescent="0.25">
      <c r="B22" s="2" t="s">
        <v>2</v>
      </c>
      <c r="C22" s="3">
        <v>3423</v>
      </c>
    </row>
    <row r="23" spans="2:3" ht="15.75" thickBot="1" x14ac:dyDescent="0.3">
      <c r="B23" s="2" t="s">
        <v>3</v>
      </c>
      <c r="C23" s="3">
        <v>2866</v>
      </c>
    </row>
    <row r="24" spans="2:3" ht="15.75" thickTop="1" x14ac:dyDescent="0.25">
      <c r="B24" s="4" t="s">
        <v>5</v>
      </c>
      <c r="C24" s="5">
        <v>13046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2180.7600000000002</v>
      </c>
    </row>
    <row r="29" spans="2:3" x14ac:dyDescent="0.25">
      <c r="B29" s="2" t="s">
        <v>2</v>
      </c>
      <c r="C29" s="3">
        <v>4210</v>
      </c>
    </row>
    <row r="30" spans="2:3" x14ac:dyDescent="0.25">
      <c r="B30" s="2" t="s">
        <v>3</v>
      </c>
      <c r="C30" s="3">
        <v>1498</v>
      </c>
    </row>
    <row r="31" spans="2:3" ht="15.75" thickBot="1" x14ac:dyDescent="0.3">
      <c r="B31" s="2" t="s">
        <v>4</v>
      </c>
      <c r="C31" s="3">
        <v>1946</v>
      </c>
    </row>
    <row r="32" spans="2:3" ht="15.75" thickTop="1" x14ac:dyDescent="0.25">
      <c r="B32" s="4" t="s">
        <v>5</v>
      </c>
      <c r="C32" s="5">
        <v>9834.76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1276</v>
      </c>
    </row>
    <row r="37" spans="2:3" ht="15.75" thickTop="1" x14ac:dyDescent="0.25">
      <c r="B37" s="4" t="s">
        <v>5</v>
      </c>
      <c r="C37" s="5">
        <v>1276</v>
      </c>
    </row>
  </sheetData>
  <mergeCells count="6">
    <mergeCell ref="B3:C3"/>
    <mergeCell ref="B11:C11"/>
    <mergeCell ref="B26:C26"/>
    <mergeCell ref="B34:C34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6879-7CCD-43B2-A9E3-88164852CBA2}">
  <dimension ref="B2:D39"/>
  <sheetViews>
    <sheetView workbookViewId="0">
      <selection activeCell="B11" sqref="B1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11/10/2025  13:05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4823</v>
      </c>
    </row>
    <row r="6" spans="2:4" x14ac:dyDescent="0.25">
      <c r="B6" s="2" t="s">
        <v>14</v>
      </c>
      <c r="C6" s="3">
        <v>3582</v>
      </c>
    </row>
    <row r="7" spans="2:4" x14ac:dyDescent="0.25">
      <c r="B7" s="2" t="s">
        <v>15</v>
      </c>
      <c r="C7" s="3">
        <v>300</v>
      </c>
    </row>
    <row r="8" spans="2:4" x14ac:dyDescent="0.25">
      <c r="B8" s="2" t="s">
        <v>16</v>
      </c>
      <c r="C8" s="3">
        <v>10066</v>
      </c>
    </row>
    <row r="9" spans="2:4" x14ac:dyDescent="0.25">
      <c r="B9" s="2" t="s">
        <v>17</v>
      </c>
      <c r="C9" s="3">
        <v>1373</v>
      </c>
    </row>
    <row r="10" spans="2:4" ht="15.75" thickBot="1" x14ac:dyDescent="0.3">
      <c r="B10" s="2" t="s">
        <v>18</v>
      </c>
      <c r="C10" s="3">
        <v>55386.5</v>
      </c>
      <c r="D10" s="1" t="s">
        <v>11</v>
      </c>
    </row>
    <row r="11" spans="2:4" ht="15.75" thickTop="1" x14ac:dyDescent="0.25">
      <c r="B11" s="4" t="s">
        <v>5</v>
      </c>
      <c r="C11" s="5">
        <v>75530.5</v>
      </c>
      <c r="D11" s="5">
        <f ca="1">SUMIF(B:B, "Total general", C:C)</f>
        <v>113243.26</v>
      </c>
    </row>
    <row r="13" spans="2:4" x14ac:dyDescent="0.25">
      <c r="B13" s="6" t="s">
        <v>7</v>
      </c>
      <c r="C13" s="6"/>
    </row>
    <row r="14" spans="2:4" x14ac:dyDescent="0.25">
      <c r="B14" s="1" t="s">
        <v>19</v>
      </c>
      <c r="C14" s="1" t="s">
        <v>0</v>
      </c>
    </row>
    <row r="15" spans="2:4" x14ac:dyDescent="0.25">
      <c r="B15" s="2" t="s">
        <v>13</v>
      </c>
      <c r="C15" s="3">
        <v>3324</v>
      </c>
    </row>
    <row r="16" spans="2:4" x14ac:dyDescent="0.25">
      <c r="B16" s="2" t="s">
        <v>14</v>
      </c>
      <c r="C16" s="3">
        <v>3208</v>
      </c>
    </row>
    <row r="17" spans="2:3" x14ac:dyDescent="0.25">
      <c r="B17" s="2" t="s">
        <v>15</v>
      </c>
      <c r="C17" s="3">
        <v>400</v>
      </c>
    </row>
    <row r="18" spans="2:3" x14ac:dyDescent="0.25">
      <c r="B18" s="2" t="s">
        <v>16</v>
      </c>
      <c r="C18" s="3">
        <v>2412</v>
      </c>
    </row>
    <row r="19" spans="2:3" ht="15.75" thickBot="1" x14ac:dyDescent="0.3">
      <c r="B19" s="2" t="s">
        <v>18</v>
      </c>
      <c r="C19" s="3">
        <v>4212</v>
      </c>
    </row>
    <row r="20" spans="2:3" ht="15.75" thickTop="1" x14ac:dyDescent="0.25">
      <c r="B20" s="4" t="s">
        <v>5</v>
      </c>
      <c r="C20" s="5">
        <v>13556</v>
      </c>
    </row>
    <row r="22" spans="2:3" x14ac:dyDescent="0.25">
      <c r="B22" s="6" t="s">
        <v>10</v>
      </c>
      <c r="C22" s="6"/>
    </row>
    <row r="23" spans="2:3" x14ac:dyDescent="0.25">
      <c r="B23" s="1" t="s">
        <v>19</v>
      </c>
      <c r="C23" s="1" t="s">
        <v>0</v>
      </c>
    </row>
    <row r="24" spans="2:3" x14ac:dyDescent="0.25">
      <c r="B24" s="2" t="s">
        <v>13</v>
      </c>
      <c r="C24" s="3">
        <v>3220</v>
      </c>
    </row>
    <row r="25" spans="2:3" x14ac:dyDescent="0.25">
      <c r="B25" s="2" t="s">
        <v>14</v>
      </c>
      <c r="C25" s="3">
        <v>1314</v>
      </c>
    </row>
    <row r="26" spans="2:3" x14ac:dyDescent="0.25">
      <c r="B26" s="2" t="s">
        <v>15</v>
      </c>
      <c r="C26" s="3">
        <v>315</v>
      </c>
    </row>
    <row r="27" spans="2:3" x14ac:dyDescent="0.25">
      <c r="B27" s="2" t="s">
        <v>16</v>
      </c>
      <c r="C27" s="3">
        <v>4230</v>
      </c>
    </row>
    <row r="28" spans="2:3" ht="15.75" thickBot="1" x14ac:dyDescent="0.3">
      <c r="B28" s="2" t="s">
        <v>18</v>
      </c>
      <c r="C28" s="3">
        <v>3967</v>
      </c>
    </row>
    <row r="29" spans="2:3" ht="15.75" thickTop="1" x14ac:dyDescent="0.25">
      <c r="B29" s="4" t="s">
        <v>5</v>
      </c>
      <c r="C29" s="5">
        <v>13046</v>
      </c>
    </row>
    <row r="31" spans="2:3" x14ac:dyDescent="0.25">
      <c r="B31" s="6" t="s">
        <v>8</v>
      </c>
      <c r="C31" s="6"/>
    </row>
    <row r="32" spans="2:3" x14ac:dyDescent="0.25">
      <c r="B32" s="1" t="s">
        <v>19</v>
      </c>
      <c r="C32" s="1" t="s">
        <v>0</v>
      </c>
    </row>
    <row r="33" spans="2:3" ht="15.75" thickBot="1" x14ac:dyDescent="0.3">
      <c r="B33" s="2" t="s">
        <v>18</v>
      </c>
      <c r="C33" s="3">
        <v>9834.76</v>
      </c>
    </row>
    <row r="34" spans="2:3" ht="15.75" thickTop="1" x14ac:dyDescent="0.25">
      <c r="B34" s="4" t="s">
        <v>5</v>
      </c>
      <c r="C34" s="5">
        <v>9834.76</v>
      </c>
    </row>
    <row r="36" spans="2:3" x14ac:dyDescent="0.25">
      <c r="B36" s="6" t="s">
        <v>9</v>
      </c>
      <c r="C36" s="6"/>
    </row>
    <row r="37" spans="2:3" x14ac:dyDescent="0.25">
      <c r="B37" s="1" t="s">
        <v>19</v>
      </c>
      <c r="C37" s="1" t="s">
        <v>0</v>
      </c>
    </row>
    <row r="38" spans="2:3" ht="15.75" thickBot="1" x14ac:dyDescent="0.3">
      <c r="B38" s="2" t="s">
        <v>18</v>
      </c>
      <c r="C38" s="3">
        <v>1276</v>
      </c>
    </row>
    <row r="39" spans="2:3" ht="15.75" thickTop="1" x14ac:dyDescent="0.25">
      <c r="B39" s="4" t="s">
        <v>5</v>
      </c>
      <c r="C39" s="5">
        <v>1276</v>
      </c>
    </row>
  </sheetData>
  <mergeCells count="6">
    <mergeCell ref="B2:C2"/>
    <mergeCell ref="B3:C3"/>
    <mergeCell ref="B13:C13"/>
    <mergeCell ref="B22:C22"/>
    <mergeCell ref="B31:C31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ED6F-8B62-4096-9A69-FE0A249C2591}">
  <dimension ref="B2:D21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11/10/2025  13:05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2470</v>
      </c>
    </row>
    <row r="6" spans="2:4" x14ac:dyDescent="0.25">
      <c r="B6" s="2" t="s">
        <v>2</v>
      </c>
      <c r="C6" s="3">
        <v>16288.67</v>
      </c>
    </row>
    <row r="7" spans="2:4" x14ac:dyDescent="0.25">
      <c r="B7" s="2" t="s">
        <v>3</v>
      </c>
      <c r="C7" s="3">
        <v>1227</v>
      </c>
    </row>
    <row r="8" spans="2:4" ht="15.75" thickBot="1" x14ac:dyDescent="0.3">
      <c r="B8" s="2" t="s">
        <v>4</v>
      </c>
      <c r="C8" s="3">
        <v>1400</v>
      </c>
      <c r="D8" s="1" t="s">
        <v>11</v>
      </c>
    </row>
    <row r="9" spans="2:4" ht="15.75" thickTop="1" x14ac:dyDescent="0.25">
      <c r="B9" s="4" t="s">
        <v>5</v>
      </c>
      <c r="C9" s="5">
        <v>21385.67</v>
      </c>
      <c r="D9" s="5">
        <f ca="1">SUMIF(B:B, "Total general", C:C)</f>
        <v>32446.67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4957</v>
      </c>
    </row>
    <row r="14" spans="2:4" x14ac:dyDescent="0.25">
      <c r="B14" s="2" t="s">
        <v>2</v>
      </c>
      <c r="C14" s="3">
        <v>2580</v>
      </c>
    </row>
    <row r="15" spans="2:4" ht="15.75" thickBot="1" x14ac:dyDescent="0.3">
      <c r="B15" s="2" t="s">
        <v>3</v>
      </c>
      <c r="C15" s="3">
        <v>2866</v>
      </c>
    </row>
    <row r="16" spans="2:4" ht="15.75" thickTop="1" x14ac:dyDescent="0.25">
      <c r="B16" s="4" t="s">
        <v>5</v>
      </c>
      <c r="C16" s="5">
        <v>10403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ht="15.75" thickBot="1" x14ac:dyDescent="0.3">
      <c r="B20" s="2" t="s">
        <v>4</v>
      </c>
      <c r="C20" s="3">
        <v>658</v>
      </c>
    </row>
    <row r="21" spans="2:3" ht="15.75" thickTop="1" x14ac:dyDescent="0.25">
      <c r="B21" s="4" t="s">
        <v>5</v>
      </c>
      <c r="C21" s="5">
        <v>658</v>
      </c>
    </row>
  </sheetData>
  <mergeCells count="4">
    <mergeCell ref="B3:C3"/>
    <mergeCell ref="B18:C18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2025-10-11T18:59:23Z</dcterms:created>
  <dcterms:modified xsi:type="dcterms:W3CDTF">2025-10-11T19:05:27Z</dcterms:modified>
</cp:coreProperties>
</file>