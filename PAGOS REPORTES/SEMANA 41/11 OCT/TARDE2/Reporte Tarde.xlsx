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AGOS REPORTES\SEMANA 41\11 OCT\TARDE2\"/>
    </mc:Choice>
  </mc:AlternateContent>
  <xr:revisionPtr revIDLastSave="0" documentId="8_{2DE7FFAE-0CD2-4CA8-8969-C4D38C7A3E84}" xr6:coauthVersionLast="47" xr6:coauthVersionMax="47" xr10:uidLastSave="{00000000-0000-0000-0000-000000000000}"/>
  <bookViews>
    <workbookView xWindow="-108" yWindow="-108" windowWidth="23256" windowHeight="12456" xr2:uid="{D56DFF2A-53A1-44A6-A2F6-07B2E618537D}"/>
  </bookViews>
  <sheets>
    <sheet name="Hoja1" sheetId="1" r:id="rId1"/>
    <sheet name="Hoja2" sheetId="2" r:id="rId2"/>
    <sheet name="Hoj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3" l="1"/>
  <c r="D9" i="3" s="1"/>
  <c r="B2" i="2"/>
  <c r="D11" i="2" s="1"/>
  <c r="B2" i="1"/>
  <c r="D9" i="1" s="1"/>
</calcChain>
</file>

<file path=xl/sharedStrings.xml><?xml version="1.0" encoding="utf-8"?>
<sst xmlns="http://schemas.openxmlformats.org/spreadsheetml/2006/main" count="97" uniqueCount="21">
  <si>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</si>
  <si>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</si>
  <si>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</si>
  <si>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</si>
  <si>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</si>
  <si>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</si>
  <si>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</si>
  <si>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ANDREA</t>
  </si>
  <si>
    <t>EDITH</t>
  </si>
  <si>
    <t>FEDERICO</t>
  </si>
  <si>
    <t>FERNANDO</t>
  </si>
  <si>
    <t>TOTAL COBRADO</t>
  </si>
  <si>
    <t>Segmento</t>
  </si>
  <si>
    <t>CONSUMO</t>
  </si>
  <si>
    <t>CREDIMAX</t>
  </si>
  <si>
    <t>ITALIKA</t>
  </si>
  <si>
    <t>REESTRUCTURA</t>
  </si>
  <si>
    <t>TAZ</t>
  </si>
  <si>
    <t>TOR</t>
  </si>
  <si>
    <t>Producto</t>
  </si>
  <si>
    <t>CDC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</si>
</sst>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FFFF"/>
      <name val="Calibri"/>
      <family val="2"/>
    </font>
    <font>
      <sz val="11"/>
      <color theme="1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31869B"/>
        <bgColor rgb="FF31869B"/>
      </patternFill>
    </fill>
  </fills>
  <borders count="4">
    <border>
      <left/>
      <right/>
      <top/>
      <bottom/>
      <diagonal/>
    </border>
    <border>
      <left/>
      <right/>
      <top/>
      <bottom style="thin">
        <color rgb="FFDAEEF3"/>
      </bottom>
      <diagonal/>
    </border>
    <border>
      <left/>
      <right/>
      <top style="thin">
        <color rgb="FFDAEEF3"/>
      </top>
      <bottom style="thin">
        <color rgb="FFDAEEF3"/>
      </bottom>
      <diagonal/>
    </border>
    <border>
      <left/>
      <right/>
      <top style="double">
        <color rgb="FF31869B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2" fillId="0" borderId="2" xfId="0" applyFont="1" applyBorder="1" applyAlignment="1">
      <alignment horizontal="left"/>
    </xf>
    <xf numFmtId="4" fontId="2" fillId="0" borderId="2" xfId="0" applyNumberFormat="1" applyFont="1" applyBorder="1"/>
    <xf numFmtId="0" fontId="3" fillId="0" borderId="3" xfId="0" applyFont="1" applyBorder="1" applyAlignment="1">
      <alignment horizontal="left"/>
    </xf>
    <xf numFmtId="4" fontId="3" fillId="0" borderId="3" xfId="0" applyNumberFormat="1" applyFont="1" applyBorder="1"/>
    <xf numFmtId="0" fontId="1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8692C-CAFA-4463-B6B1-EECE3DD8E6B3}">
  <dimension ref="B2:D37"/>
  <sheetViews>
    <sheetView tabSelected="1" topLeftCell="A14" workbookViewId="0">
      <selection activeCell="B2" sqref="B2:D37"/>
    </sheetView>
  </sheetViews>
  <sheetFormatPr baseColWidth="10" defaultRowHeight="14.4" x14ac:dyDescent="0.3"/>
  <cols>
    <col min="2" max="2" width="34.44140625" bestFit="1" customWidth="1"/>
    <col min="3" max="3" width="29.6640625" bestFit="1" customWidth="1"/>
    <col min="4" max="4" width="15.109375" bestFit="1" customWidth="1"/>
  </cols>
  <sheetData>
    <row r="2" spans="2:4" x14ac:dyDescent="0.3">
      <c r="B2" s="6" t="str">
        <f ca="1" xml:space="preserve"> " COBRANZA INTERNOS " &amp; TEXT(TODAY(), " dd/mm/aaaa ") &amp; TEXT(NOW(), " hh:mm ")</f>
        <v xml:space="preserve"> COBRANZA INTERNOS  11/10/2025  16:07 </v>
      </c>
      <c r="C2" s="6"/>
    </row>
    <row r="3" spans="2:4" x14ac:dyDescent="0.3">
      <c r="B3" s="6" t="s">
        <v>6</v>
      </c>
      <c r="C3" s="6"/>
    </row>
    <row r="4" spans="2:4" x14ac:dyDescent="0.3">
      <c r="B4" s="1" t="s">
        <v>12</v>
      </c>
      <c r="C4" s="1" t="s">
        <v>0</v>
      </c>
    </row>
    <row r="5" spans="2:4" x14ac:dyDescent="0.3">
      <c r="B5" s="2" t="s">
        <v>1</v>
      </c>
      <c r="C5" s="3">
        <v>35376.119999999995</v>
      </c>
    </row>
    <row r="6" spans="2:4" x14ac:dyDescent="0.3">
      <c r="B6" s="2" t="s">
        <v>2</v>
      </c>
      <c r="C6" s="3">
        <v>39482.69</v>
      </c>
    </row>
    <row r="7" spans="2:4" x14ac:dyDescent="0.3">
      <c r="B7" s="2" t="s">
        <v>3</v>
      </c>
      <c r="C7" s="3">
        <v>13826</v>
      </c>
    </row>
    <row r="8" spans="2:4" ht="15" thickBot="1" x14ac:dyDescent="0.35">
      <c r="B8" s="2" t="s">
        <v>4</v>
      </c>
      <c r="C8" s="3">
        <v>46635</v>
      </c>
      <c r="D8" s="1" t="s">
        <v>11</v>
      </c>
    </row>
    <row r="9" spans="2:4" ht="15" thickTop="1" x14ac:dyDescent="0.3">
      <c r="B9" s="4" t="s">
        <v>5</v>
      </c>
      <c r="C9" s="5">
        <v>135319.81</v>
      </c>
      <c r="D9" s="5">
        <f ca="1">SUMIF(B:B, "Total general", C:C)</f>
        <v>199218.58</v>
      </c>
    </row>
    <row r="11" spans="2:4" x14ac:dyDescent="0.3">
      <c r="B11" s="6" t="s">
        <v>7</v>
      </c>
      <c r="C11" s="6"/>
    </row>
    <row r="12" spans="2:4" x14ac:dyDescent="0.3">
      <c r="B12" s="1" t="s">
        <v>12</v>
      </c>
      <c r="C12" s="1" t="s">
        <v>0</v>
      </c>
    </row>
    <row r="13" spans="2:4" x14ac:dyDescent="0.3">
      <c r="B13" s="2" t="s">
        <v>1</v>
      </c>
      <c r="C13" s="3">
        <v>3735</v>
      </c>
    </row>
    <row r="14" spans="2:4" x14ac:dyDescent="0.3">
      <c r="B14" s="2" t="s">
        <v>2</v>
      </c>
      <c r="C14" s="3">
        <v>9105</v>
      </c>
    </row>
    <row r="15" spans="2:4" x14ac:dyDescent="0.3">
      <c r="B15" s="2" t="s">
        <v>3</v>
      </c>
      <c r="C15" s="3">
        <v>1280</v>
      </c>
    </row>
    <row r="16" spans="2:4" ht="15" thickBot="1" x14ac:dyDescent="0.35">
      <c r="B16" s="2" t="s">
        <v>4</v>
      </c>
      <c r="C16" s="3">
        <v>9915</v>
      </c>
    </row>
    <row r="17" spans="2:3" ht="15" thickTop="1" x14ac:dyDescent="0.3">
      <c r="B17" s="4" t="s">
        <v>5</v>
      </c>
      <c r="C17" s="5">
        <v>24035</v>
      </c>
    </row>
    <row r="19" spans="2:3" x14ac:dyDescent="0.3">
      <c r="B19" s="6" t="s">
        <v>10</v>
      </c>
      <c r="C19" s="6"/>
    </row>
    <row r="20" spans="2:3" x14ac:dyDescent="0.3">
      <c r="B20" s="1" t="s">
        <v>12</v>
      </c>
      <c r="C20" s="1" t="s">
        <v>0</v>
      </c>
    </row>
    <row r="21" spans="2:3" x14ac:dyDescent="0.3">
      <c r="B21" s="2" t="s">
        <v>1</v>
      </c>
      <c r="C21" s="3">
        <v>12354</v>
      </c>
    </row>
    <row r="22" spans="2:3" x14ac:dyDescent="0.3">
      <c r="B22" s="2" t="s">
        <v>2</v>
      </c>
      <c r="C22" s="3">
        <v>5768</v>
      </c>
    </row>
    <row r="23" spans="2:3" ht="15" thickBot="1" x14ac:dyDescent="0.35">
      <c r="B23" s="2" t="s">
        <v>3</v>
      </c>
      <c r="C23" s="3">
        <v>2866</v>
      </c>
    </row>
    <row r="24" spans="2:3" ht="15" thickTop="1" x14ac:dyDescent="0.3">
      <c r="B24" s="4" t="s">
        <v>5</v>
      </c>
      <c r="C24" s="5">
        <v>20988</v>
      </c>
    </row>
    <row r="26" spans="2:3" x14ac:dyDescent="0.3">
      <c r="B26" s="6" t="s">
        <v>8</v>
      </c>
      <c r="C26" s="6"/>
    </row>
    <row r="27" spans="2:3" x14ac:dyDescent="0.3">
      <c r="B27" s="1" t="s">
        <v>12</v>
      </c>
      <c r="C27" s="1" t="s">
        <v>0</v>
      </c>
    </row>
    <row r="28" spans="2:3" x14ac:dyDescent="0.3">
      <c r="B28" s="2" t="s">
        <v>1</v>
      </c>
      <c r="C28" s="3">
        <v>5531.76</v>
      </c>
    </row>
    <row r="29" spans="2:3" x14ac:dyDescent="0.3">
      <c r="B29" s="2" t="s">
        <v>2</v>
      </c>
      <c r="C29" s="3">
        <v>5288</v>
      </c>
    </row>
    <row r="30" spans="2:3" x14ac:dyDescent="0.3">
      <c r="B30" s="2" t="s">
        <v>3</v>
      </c>
      <c r="C30" s="3">
        <v>3231</v>
      </c>
    </row>
    <row r="31" spans="2:3" ht="15" thickBot="1" x14ac:dyDescent="0.35">
      <c r="B31" s="2" t="s">
        <v>4</v>
      </c>
      <c r="C31" s="3">
        <v>3549.01</v>
      </c>
    </row>
    <row r="32" spans="2:3" ht="15" thickTop="1" x14ac:dyDescent="0.3">
      <c r="B32" s="4" t="s">
        <v>5</v>
      </c>
      <c r="C32" s="5">
        <v>17599.77</v>
      </c>
    </row>
    <row r="34" spans="2:3" x14ac:dyDescent="0.3">
      <c r="B34" s="6" t="s">
        <v>9</v>
      </c>
      <c r="C34" s="6"/>
    </row>
    <row r="35" spans="2:3" x14ac:dyDescent="0.3">
      <c r="B35" s="1" t="s">
        <v>12</v>
      </c>
      <c r="C35" s="1" t="s">
        <v>0</v>
      </c>
    </row>
    <row r="36" spans="2:3" ht="15" thickBot="1" x14ac:dyDescent="0.35">
      <c r="B36" s="2" t="s">
        <v>1</v>
      </c>
      <c r="C36" s="3">
        <v>1276</v>
      </c>
    </row>
    <row r="37" spans="2:3" ht="15" thickTop="1" x14ac:dyDescent="0.3">
      <c r="B37" s="4" t="s">
        <v>5</v>
      </c>
      <c r="C37" s="5">
        <v>1276</v>
      </c>
    </row>
  </sheetData>
  <mergeCells count="6">
    <mergeCell ref="B3:C3"/>
    <mergeCell ref="B11:C11"/>
    <mergeCell ref="B26:C26"/>
    <mergeCell ref="B34:C34"/>
    <mergeCell ref="B19:C19"/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043E6-82AE-49F7-A3B9-2911F98D83F1}">
  <dimension ref="B2:D39"/>
  <sheetViews>
    <sheetView workbookViewId="0">
      <selection activeCell="B4" sqref="B4"/>
    </sheetView>
  </sheetViews>
  <sheetFormatPr baseColWidth="10" defaultRowHeight="14.4" x14ac:dyDescent="0.3"/>
  <cols>
    <col min="2" max="2" width="14.109375" bestFit="1" customWidth="1"/>
    <col min="3" max="3" width="29.6640625" bestFit="1" customWidth="1"/>
    <col min="4" max="4" width="15.109375" bestFit="1" customWidth="1"/>
  </cols>
  <sheetData>
    <row r="2" spans="2:4" x14ac:dyDescent="0.3">
      <c r="B2" s="6" t="str">
        <f ca="1" xml:space="preserve"> " COBRANZA INTERNOS " &amp; TEXT(TODAY(), " dd/mm/aaaa ") &amp; TEXT(NOW(), " hh:mm ")</f>
        <v xml:space="preserve"> COBRANZA INTERNOS  11/10/2025  16:07 </v>
      </c>
      <c r="C2" s="6"/>
    </row>
    <row r="3" spans="2:4" x14ac:dyDescent="0.3">
      <c r="B3" s="6" t="s">
        <v>6</v>
      </c>
      <c r="C3" s="6"/>
    </row>
    <row r="4" spans="2:4" x14ac:dyDescent="0.3">
      <c r="B4" s="1" t="s">
        <v>19</v>
      </c>
      <c r="C4" s="1" t="s">
        <v>0</v>
      </c>
    </row>
    <row r="5" spans="2:4" x14ac:dyDescent="0.3">
      <c r="B5" s="2" t="s">
        <v>13</v>
      </c>
      <c r="C5" s="3">
        <v>5123</v>
      </c>
    </row>
    <row r="6" spans="2:4" x14ac:dyDescent="0.3">
      <c r="B6" s="2" t="s">
        <v>14</v>
      </c>
      <c r="C6" s="3">
        <v>4387</v>
      </c>
    </row>
    <row r="7" spans="2:4" x14ac:dyDescent="0.3">
      <c r="B7" s="2" t="s">
        <v>15</v>
      </c>
      <c r="C7" s="3">
        <v>300</v>
      </c>
    </row>
    <row r="8" spans="2:4" x14ac:dyDescent="0.3">
      <c r="B8" s="2" t="s">
        <v>16</v>
      </c>
      <c r="C8" s="3">
        <v>15566</v>
      </c>
    </row>
    <row r="9" spans="2:4" x14ac:dyDescent="0.3">
      <c r="B9" s="2" t="s">
        <v>17</v>
      </c>
      <c r="C9" s="3">
        <v>1373</v>
      </c>
    </row>
    <row r="10" spans="2:4" ht="15" thickBot="1" x14ac:dyDescent="0.35">
      <c r="B10" s="2" t="s">
        <v>18</v>
      </c>
      <c r="C10" s="3">
        <v>108570.81</v>
      </c>
      <c r="D10" s="1" t="s">
        <v>11</v>
      </c>
    </row>
    <row r="11" spans="2:4" ht="15" thickTop="1" x14ac:dyDescent="0.3">
      <c r="B11" s="4" t="s">
        <v>5</v>
      </c>
      <c r="C11" s="5">
        <v>135319.81</v>
      </c>
      <c r="D11" s="5">
        <f ca="1">SUMIF(B:B, "Total general", C:C)</f>
        <v>199218.58</v>
      </c>
    </row>
    <row r="13" spans="2:4" x14ac:dyDescent="0.3">
      <c r="B13" s="6" t="s">
        <v>7</v>
      </c>
      <c r="C13" s="6"/>
    </row>
    <row r="14" spans="2:4" x14ac:dyDescent="0.3">
      <c r="B14" s="1" t="s">
        <v>19</v>
      </c>
      <c r="C14" s="1" t="s">
        <v>0</v>
      </c>
    </row>
    <row r="15" spans="2:4" x14ac:dyDescent="0.3">
      <c r="B15" s="2" t="s">
        <v>13</v>
      </c>
      <c r="C15" s="3">
        <v>4479</v>
      </c>
    </row>
    <row r="16" spans="2:4" x14ac:dyDescent="0.3">
      <c r="B16" s="2" t="s">
        <v>14</v>
      </c>
      <c r="C16" s="3">
        <v>4273</v>
      </c>
    </row>
    <row r="17" spans="2:3" x14ac:dyDescent="0.3">
      <c r="B17" s="2" t="s">
        <v>15</v>
      </c>
      <c r="C17" s="3">
        <v>400</v>
      </c>
    </row>
    <row r="18" spans="2:3" x14ac:dyDescent="0.3">
      <c r="B18" s="2" t="s">
        <v>16</v>
      </c>
      <c r="C18" s="3">
        <v>3912</v>
      </c>
    </row>
    <row r="19" spans="2:3" ht="15" thickBot="1" x14ac:dyDescent="0.35">
      <c r="B19" s="2" t="s">
        <v>18</v>
      </c>
      <c r="C19" s="3">
        <v>10971</v>
      </c>
    </row>
    <row r="20" spans="2:3" ht="15" thickTop="1" x14ac:dyDescent="0.3">
      <c r="B20" s="4" t="s">
        <v>5</v>
      </c>
      <c r="C20" s="5">
        <v>24035</v>
      </c>
    </row>
    <row r="22" spans="2:3" x14ac:dyDescent="0.3">
      <c r="B22" s="6" t="s">
        <v>10</v>
      </c>
      <c r="C22" s="6"/>
    </row>
    <row r="23" spans="2:3" x14ac:dyDescent="0.3">
      <c r="B23" s="1" t="s">
        <v>19</v>
      </c>
      <c r="C23" s="1" t="s">
        <v>0</v>
      </c>
    </row>
    <row r="24" spans="2:3" x14ac:dyDescent="0.3">
      <c r="B24" s="2" t="s">
        <v>13</v>
      </c>
      <c r="C24" s="3">
        <v>3796</v>
      </c>
    </row>
    <row r="25" spans="2:3" x14ac:dyDescent="0.3">
      <c r="B25" s="2" t="s">
        <v>14</v>
      </c>
      <c r="C25" s="3">
        <v>4847</v>
      </c>
    </row>
    <row r="26" spans="2:3" x14ac:dyDescent="0.3">
      <c r="B26" s="2" t="s">
        <v>15</v>
      </c>
      <c r="C26" s="3">
        <v>315</v>
      </c>
    </row>
    <row r="27" spans="2:3" x14ac:dyDescent="0.3">
      <c r="B27" s="2" t="s">
        <v>16</v>
      </c>
      <c r="C27" s="3">
        <v>5757</v>
      </c>
    </row>
    <row r="28" spans="2:3" ht="15" thickBot="1" x14ac:dyDescent="0.35">
      <c r="B28" s="2" t="s">
        <v>18</v>
      </c>
      <c r="C28" s="3">
        <v>6273</v>
      </c>
    </row>
    <row r="29" spans="2:3" ht="15" thickTop="1" x14ac:dyDescent="0.3">
      <c r="B29" s="4" t="s">
        <v>5</v>
      </c>
      <c r="C29" s="5">
        <v>20988</v>
      </c>
    </row>
    <row r="31" spans="2:3" x14ac:dyDescent="0.3">
      <c r="B31" s="6" t="s">
        <v>8</v>
      </c>
      <c r="C31" s="6"/>
    </row>
    <row r="32" spans="2:3" x14ac:dyDescent="0.3">
      <c r="B32" s="1" t="s">
        <v>19</v>
      </c>
      <c r="C32" s="1" t="s">
        <v>0</v>
      </c>
    </row>
    <row r="33" spans="2:3" ht="15" thickBot="1" x14ac:dyDescent="0.35">
      <c r="B33" s="2" t="s">
        <v>18</v>
      </c>
      <c r="C33" s="3">
        <v>17599.77</v>
      </c>
    </row>
    <row r="34" spans="2:3" ht="15" thickTop="1" x14ac:dyDescent="0.3">
      <c r="B34" s="4" t="s">
        <v>5</v>
      </c>
      <c r="C34" s="5">
        <v>17599.77</v>
      </c>
    </row>
    <row r="36" spans="2:3" x14ac:dyDescent="0.3">
      <c r="B36" s="6" t="s">
        <v>9</v>
      </c>
      <c r="C36" s="6"/>
    </row>
    <row r="37" spans="2:3" x14ac:dyDescent="0.3">
      <c r="B37" s="1" t="s">
        <v>19</v>
      </c>
      <c r="C37" s="1" t="s">
        <v>0</v>
      </c>
    </row>
    <row r="38" spans="2:3" ht="15" thickBot="1" x14ac:dyDescent="0.35">
      <c r="B38" s="2" t="s">
        <v>18</v>
      </c>
      <c r="C38" s="3">
        <v>1276</v>
      </c>
    </row>
    <row r="39" spans="2:3" ht="15" thickTop="1" x14ac:dyDescent="0.3">
      <c r="B39" s="4" t="s">
        <v>5</v>
      </c>
      <c r="C39" s="5">
        <v>1276</v>
      </c>
    </row>
  </sheetData>
  <mergeCells count="6">
    <mergeCell ref="B2:C2"/>
    <mergeCell ref="B3:C3"/>
    <mergeCell ref="B13:C13"/>
    <mergeCell ref="B22:C22"/>
    <mergeCell ref="B31:C31"/>
    <mergeCell ref="B36:C3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272F7-BD94-4BF5-8C6B-35266AD1FC55}">
  <dimension ref="B2:D21"/>
  <sheetViews>
    <sheetView workbookViewId="0">
      <selection activeCell="B4" sqref="B4"/>
    </sheetView>
  </sheetViews>
  <sheetFormatPr baseColWidth="10" defaultRowHeight="14.4" x14ac:dyDescent="0.3"/>
  <cols>
    <col min="2" max="2" width="34.44140625" bestFit="1" customWidth="1"/>
    <col min="3" max="3" width="29.6640625" bestFit="1" customWidth="1"/>
    <col min="4" max="4" width="15.109375" bestFit="1" customWidth="1"/>
  </cols>
  <sheetData>
    <row r="2" spans="2:4" x14ac:dyDescent="0.3">
      <c r="B2" s="6" t="str">
        <f ca="1" xml:space="preserve"> " ETIQUETA PROYECTO CDC " &amp; TEXT(TODAY(), " dd/mm/aaaa ") &amp; TEXT(NOW(), " hh:mm ")</f>
        <v xml:space="preserve"> ETIQUETA PROYECTO CDC  11/10/2025  16:07 </v>
      </c>
      <c r="C2" s="6"/>
    </row>
    <row r="3" spans="2:4" x14ac:dyDescent="0.3">
      <c r="B3" s="6" t="s">
        <v>20</v>
      </c>
      <c r="C3" s="6"/>
    </row>
    <row r="4" spans="2:4" x14ac:dyDescent="0.3">
      <c r="B4" s="1" t="s">
        <v>12</v>
      </c>
      <c r="C4" s="1" t="s">
        <v>0</v>
      </c>
    </row>
    <row r="5" spans="2:4" x14ac:dyDescent="0.3">
      <c r="B5" s="2" t="s">
        <v>1</v>
      </c>
      <c r="C5" s="3">
        <v>7486</v>
      </c>
    </row>
    <row r="6" spans="2:4" x14ac:dyDescent="0.3">
      <c r="B6" s="2" t="s">
        <v>2</v>
      </c>
      <c r="C6" s="3">
        <v>20021.669999999998</v>
      </c>
    </row>
    <row r="7" spans="2:4" x14ac:dyDescent="0.3">
      <c r="B7" s="2" t="s">
        <v>3</v>
      </c>
      <c r="C7" s="3">
        <v>1918</v>
      </c>
    </row>
    <row r="8" spans="2:4" ht="15" thickBot="1" x14ac:dyDescent="0.35">
      <c r="B8" s="2" t="s">
        <v>4</v>
      </c>
      <c r="C8" s="3">
        <v>1400</v>
      </c>
      <c r="D8" s="1" t="s">
        <v>11</v>
      </c>
    </row>
    <row r="9" spans="2:4" ht="15" thickTop="1" x14ac:dyDescent="0.3">
      <c r="B9" s="4" t="s">
        <v>5</v>
      </c>
      <c r="C9" s="5">
        <v>30825.67</v>
      </c>
      <c r="D9" s="5">
        <f ca="1">SUMIF(B:B, "Total general", C:C)</f>
        <v>47726.67</v>
      </c>
    </row>
    <row r="11" spans="2:4" x14ac:dyDescent="0.3">
      <c r="B11" s="6" t="s">
        <v>10</v>
      </c>
      <c r="C11" s="6"/>
    </row>
    <row r="12" spans="2:4" x14ac:dyDescent="0.3">
      <c r="B12" s="1" t="s">
        <v>12</v>
      </c>
      <c r="C12" s="1" t="s">
        <v>0</v>
      </c>
    </row>
    <row r="13" spans="2:4" x14ac:dyDescent="0.3">
      <c r="B13" s="2" t="s">
        <v>1</v>
      </c>
      <c r="C13" s="3">
        <v>10554</v>
      </c>
    </row>
    <row r="14" spans="2:4" x14ac:dyDescent="0.3">
      <c r="B14" s="2" t="s">
        <v>2</v>
      </c>
      <c r="C14" s="3">
        <v>2823</v>
      </c>
    </row>
    <row r="15" spans="2:4" ht="15" thickBot="1" x14ac:dyDescent="0.35">
      <c r="B15" s="2" t="s">
        <v>3</v>
      </c>
      <c r="C15" s="3">
        <v>2866</v>
      </c>
    </row>
    <row r="16" spans="2:4" ht="15" thickTop="1" x14ac:dyDescent="0.3">
      <c r="B16" s="4" t="s">
        <v>5</v>
      </c>
      <c r="C16" s="5">
        <v>16243</v>
      </c>
    </row>
    <row r="18" spans="2:3" x14ac:dyDescent="0.3">
      <c r="B18" s="6" t="s">
        <v>7</v>
      </c>
      <c r="C18" s="6"/>
    </row>
    <row r="19" spans="2:3" x14ac:dyDescent="0.3">
      <c r="B19" s="1" t="s">
        <v>12</v>
      </c>
      <c r="C19" s="1" t="s">
        <v>0</v>
      </c>
    </row>
    <row r="20" spans="2:3" ht="15" thickBot="1" x14ac:dyDescent="0.35">
      <c r="B20" s="2" t="s">
        <v>4</v>
      </c>
      <c r="C20" s="3">
        <v>658</v>
      </c>
    </row>
    <row r="21" spans="2:3" ht="15" thickTop="1" x14ac:dyDescent="0.3">
      <c r="B21" s="4" t="s">
        <v>5</v>
      </c>
      <c r="C21" s="5">
        <v>658</v>
      </c>
    </row>
  </sheetData>
  <mergeCells count="4">
    <mergeCell ref="B3:C3"/>
    <mergeCell ref="B18:C18"/>
    <mergeCell ref="B11:C11"/>
    <mergeCell ref="B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Lara Hernández</dc:creator>
  <cp:lastModifiedBy>Emmanuel Lara Hernández</cp:lastModifiedBy>
  <dcterms:created xsi:type="dcterms:W3CDTF">2025-10-11T22:01:35Z</dcterms:created>
  <dcterms:modified xsi:type="dcterms:W3CDTF">2025-10-11T22:08:22Z</dcterms:modified>
</cp:coreProperties>
</file>