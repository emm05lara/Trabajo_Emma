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1\09 OCT\MAÑANA\"/>
    </mc:Choice>
  </mc:AlternateContent>
  <xr:revisionPtr revIDLastSave="0" documentId="13_ncr:1_{C646C43D-EC05-4F07-A76E-8692C87BF926}" xr6:coauthVersionLast="47" xr6:coauthVersionMax="47" xr10:uidLastSave="{00000000-0000-0000-0000-000000000000}"/>
  <bookViews>
    <workbookView xWindow="-96" yWindow="0" windowWidth="11712" windowHeight="12336" firstSheet="1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5" l="1"/>
  <c r="C42" i="5"/>
  <c r="D34" i="5"/>
  <c r="C34" i="5"/>
  <c r="D27" i="5"/>
  <c r="C27" i="5"/>
  <c r="C42" i="1"/>
  <c r="D42" i="1"/>
  <c r="D34" i="1"/>
  <c r="C34" i="1"/>
  <c r="C26" i="1"/>
  <c r="D18" i="5"/>
  <c r="C18" i="5"/>
  <c r="D18" i="1"/>
  <c r="C18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<sst xmlns="http://schemas.openxmlformats.org/spreadsheetml/2006/main" count="139" uniqueCount="37">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</sst>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5420</v>
      </c>
      <c r="D5" s="28">
        <v>138758.39999999999</v>
      </c>
    </row>
    <row r="6" spans="2:8" x14ac:dyDescent="0.3">
      <c r="B6" s="1" t="s">
        <v>5</v>
      </c>
      <c r="C6" s="6">
        <v>1980</v>
      </c>
      <c r="D6" s="28">
        <v>90827.39</v>
      </c>
    </row>
    <row r="7" spans="2:8" x14ac:dyDescent="0.3">
      <c r="B7" s="1" t="s">
        <v>6</v>
      </c>
      <c r="C7" s="6">
        <v>8066</v>
      </c>
      <c r="D7" s="28">
        <v>79608.740000000005</v>
      </c>
    </row>
    <row r="8" spans="2:8" x14ac:dyDescent="0.3">
      <c r="B8" s="5" t="s">
        <v>11</v>
      </c>
      <c r="C8" s="7">
        <v>1047</v>
      </c>
      <c r="D8" s="25">
        <v>0</v>
      </c>
    </row>
    <row r="9" spans="2:8" x14ac:dyDescent="0.3">
      <c r="B9" s="1" t="s">
        <v>7</v>
      </c>
      <c r="C9" s="6">
        <v>37181</v>
      </c>
      <c r="D9" s="28">
        <v>160478.14000000001</v>
      </c>
      <c r="E9" s="14"/>
      <c r="F9" s="7"/>
    </row>
    <row r="10" spans="2:8" x14ac:dyDescent="0.3">
      <c r="B10" s="3" t="s">
        <v>8</v>
      </c>
      <c r="C10" s="8">
        <f>SUM(C5:C9)</f>
        <v>53694</v>
      </c>
      <c r="D10" s="4">
        <f>SUM(D5:D9)</f>
        <v>469672.67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4819</v>
      </c>
      <c r="D14" s="28">
        <v>44723</v>
      </c>
    </row>
    <row r="15" spans="2:8" x14ac:dyDescent="0.3">
      <c r="B15" s="1" t="s">
        <v>5</v>
      </c>
      <c r="C15" s="6">
        <v>1013</v>
      </c>
      <c r="D15" s="28">
        <v>27140.350000000002</v>
      </c>
    </row>
    <row r="16" spans="2:8" x14ac:dyDescent="0.3">
      <c r="B16" s="1" t="s">
        <v>6</v>
      </c>
      <c r="C16" s="6">
        <v>3641</v>
      </c>
      <c r="D16" s="28">
        <v>7966</v>
      </c>
    </row>
    <row r="17" spans="2:4" x14ac:dyDescent="0.3">
      <c r="B17" s="1" t="s">
        <v>7</v>
      </c>
      <c r="C17" s="6">
        <v>1029</v>
      </c>
      <c r="D17" s="28">
        <v>1399</v>
      </c>
    </row>
    <row r="18" spans="2:4" x14ac:dyDescent="0.3">
      <c r="B18" s="10" t="s">
        <v>8</v>
      </c>
      <c r="C18" s="8">
        <f>SUM(C14:C17)</f>
        <v>10502</v>
      </c>
      <c r="D18" s="4">
        <f>SUM(D14:D17)</f>
        <v>81228.350000000006</v>
      </c>
    </row>
    <row r="20" spans="2:4" x14ac:dyDescent="0.3">
      <c r="B20" s="31" t="s">
        <v>9</v>
      </c>
      <c r="C20" s="31"/>
      <c r="D20" s="31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356</v>
      </c>
      <c r="D22" s="28">
        <v>6403</v>
      </c>
    </row>
    <row r="23" spans="2:4" x14ac:dyDescent="0.3">
      <c r="B23" s="9" t="s">
        <v>5</v>
      </c>
      <c r="C23" s="6">
        <v>1207</v>
      </c>
      <c r="D23" s="28">
        <v>12227</v>
      </c>
    </row>
    <row r="24" spans="2:4" x14ac:dyDescent="0.3">
      <c r="B24" s="9" t="s">
        <v>6</v>
      </c>
      <c r="C24" s="6">
        <v>92</v>
      </c>
      <c r="D24" s="28">
        <v>33735.22</v>
      </c>
    </row>
    <row r="25" spans="2:4" x14ac:dyDescent="0.3">
      <c r="B25" s="9" t="s">
        <v>7</v>
      </c>
      <c r="C25" s="6">
        <v>585</v>
      </c>
      <c r="D25" s="28">
        <v>21237</v>
      </c>
    </row>
    <row r="26" spans="2:4" x14ac:dyDescent="0.3">
      <c r="B26" s="10" t="s">
        <v>8</v>
      </c>
      <c r="C26" s="8">
        <f>SUM(C22:C25)</f>
        <v>2240</v>
      </c>
      <c r="D26" s="4">
        <f>SUM(D22:D25)</f>
        <v>73602.22</v>
      </c>
    </row>
    <row r="28" spans="2:4" x14ac:dyDescent="0.3">
      <c r="B28" s="30" t="s">
        <v>34</v>
      </c>
      <c r="C28" s="30"/>
      <c r="D28" s="30"/>
    </row>
    <row r="29" spans="2:4" x14ac:dyDescent="0.3">
      <c r="B29" s="2" t="s">
        <v>1</v>
      </c>
      <c r="C29" s="2" t="s">
        <v>2</v>
      </c>
      <c r="D29" s="2" t="s">
        <v>3</v>
      </c>
    </row>
    <row r="30" spans="2:4" x14ac:dyDescent="0.3">
      <c r="B30" s="9" t="s">
        <v>4</v>
      </c>
      <c r="C30">
        <v>165</v>
      </c>
      <c r="D30" s="28">
        <v>17179</v>
      </c>
    </row>
    <row r="31" spans="2:4" x14ac:dyDescent="0.3">
      <c r="B31" s="1" t="s">
        <v>5</v>
      </c>
      <c r="C31" s="6">
        <v>296</v>
      </c>
      <c r="D31" s="28">
        <v>19020</v>
      </c>
    </row>
    <row r="32" spans="2:4" x14ac:dyDescent="0.3">
      <c r="B32" s="1" t="s">
        <v>6</v>
      </c>
      <c r="C32" s="6">
        <v>518</v>
      </c>
      <c r="D32" s="28">
        <v>8384</v>
      </c>
    </row>
    <row r="33" spans="2:4" x14ac:dyDescent="0.3">
      <c r="B33" s="1" t="s">
        <v>7</v>
      </c>
      <c r="C33" s="7">
        <v>16593</v>
      </c>
      <c r="D33" s="28">
        <v>30953</v>
      </c>
    </row>
    <row r="34" spans="2:4" x14ac:dyDescent="0.3">
      <c r="B34" s="3" t="s">
        <v>8</v>
      </c>
      <c r="C34" s="8">
        <f>SUM(C30:C33)</f>
        <v>17572</v>
      </c>
      <c r="D34" s="4">
        <f>SUM(D30:D33)</f>
        <v>75536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306</v>
      </c>
      <c r="D38" s="28">
        <v>6555</v>
      </c>
    </row>
    <row r="39" spans="2:4" x14ac:dyDescent="0.3">
      <c r="B39" s="1" t="s">
        <v>5</v>
      </c>
      <c r="C39" s="6">
        <v>39</v>
      </c>
      <c r="D39" s="29">
        <v>0</v>
      </c>
    </row>
    <row r="40" spans="2:4" x14ac:dyDescent="0.3">
      <c r="B40" s="1" t="s">
        <v>6</v>
      </c>
      <c r="C40" s="6">
        <v>6</v>
      </c>
      <c r="D40" s="28">
        <v>2199</v>
      </c>
    </row>
    <row r="41" spans="2:4" x14ac:dyDescent="0.3">
      <c r="B41" s="1" t="s">
        <v>7</v>
      </c>
      <c r="C41" s="6">
        <v>923</v>
      </c>
      <c r="D41" s="28">
        <v>5085</v>
      </c>
    </row>
    <row r="42" spans="2:4" x14ac:dyDescent="0.3">
      <c r="B42" s="3" t="s">
        <v>8</v>
      </c>
      <c r="C42" s="8">
        <f>SUM(C38:C41)</f>
        <v>1274</v>
      </c>
      <c r="D42" s="4">
        <f>SUM(D38:D41)</f>
        <v>13839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85282</v>
      </c>
      <c r="D50" s="13">
        <f>SUMIF(B:B, "Total general", D:D)</f>
        <v>713878.24</v>
      </c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0"/>
  <sheetViews>
    <sheetView showGridLines="0" topLeftCell="A37" zoomScaleNormal="100" workbookViewId="0">
      <selection activeCell="B1" sqref="B1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8365</v>
      </c>
      <c r="D5" s="28">
        <v>136968.70000000001</v>
      </c>
      <c r="E5" s="11"/>
    </row>
    <row r="6" spans="2:8" x14ac:dyDescent="0.3">
      <c r="B6" s="1" t="s">
        <v>5</v>
      </c>
      <c r="C6" s="27">
        <v>6654</v>
      </c>
      <c r="D6" s="28">
        <v>45720.76</v>
      </c>
    </row>
    <row r="7" spans="2:8" x14ac:dyDescent="0.3">
      <c r="B7" s="1" t="s">
        <v>6</v>
      </c>
      <c r="C7" s="27">
        <v>4639</v>
      </c>
      <c r="D7" s="28">
        <v>25079</v>
      </c>
    </row>
    <row r="8" spans="2:8" x14ac:dyDescent="0.3">
      <c r="B8" s="5" t="s">
        <v>11</v>
      </c>
      <c r="C8" s="27">
        <v>2739</v>
      </c>
      <c r="D8" s="29">
        <v>0</v>
      </c>
    </row>
    <row r="9" spans="2:8" x14ac:dyDescent="0.3">
      <c r="B9" s="1" t="s">
        <v>7</v>
      </c>
      <c r="C9" s="27">
        <v>2918</v>
      </c>
      <c r="D9" s="28">
        <v>2260</v>
      </c>
      <c r="E9" s="14"/>
      <c r="F9" s="7"/>
    </row>
    <row r="10" spans="2:8" x14ac:dyDescent="0.3">
      <c r="B10" s="3" t="s">
        <v>8</v>
      </c>
      <c r="C10" s="8">
        <f>SUM(C5:C9)</f>
        <v>25315</v>
      </c>
      <c r="D10" s="4">
        <f>SUM(D5:D9)</f>
        <v>210028.46000000002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4779</v>
      </c>
      <c r="D14" s="28">
        <v>44723</v>
      </c>
    </row>
    <row r="15" spans="2:8" x14ac:dyDescent="0.3">
      <c r="B15" s="1" t="s">
        <v>5</v>
      </c>
      <c r="C15" s="26">
        <v>511</v>
      </c>
      <c r="D15" s="28">
        <v>25424.350000000002</v>
      </c>
    </row>
    <row r="16" spans="2:8" x14ac:dyDescent="0.3">
      <c r="B16" s="1" t="s">
        <v>6</v>
      </c>
      <c r="C16" s="26">
        <v>3377</v>
      </c>
      <c r="D16" s="28">
        <v>7966</v>
      </c>
    </row>
    <row r="17" spans="2:4" x14ac:dyDescent="0.3">
      <c r="B17" s="9" t="s">
        <v>7</v>
      </c>
      <c r="C17" s="26">
        <v>26</v>
      </c>
      <c r="D17" s="28">
        <v>1399</v>
      </c>
    </row>
    <row r="18" spans="2:4" x14ac:dyDescent="0.3">
      <c r="B18" s="10" t="s">
        <v>8</v>
      </c>
      <c r="C18" s="8">
        <f>SUM(C14:C17)</f>
        <v>8693</v>
      </c>
      <c r="D18" s="4">
        <f>SUM(D14:D17)</f>
        <v>79512.350000000006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7</v>
      </c>
    </row>
    <row r="23" spans="2:4" x14ac:dyDescent="0.3">
      <c r="B23" s="1" t="s">
        <v>5</v>
      </c>
      <c r="C23">
        <v>6</v>
      </c>
      <c r="D23" s="28">
        <v>1460</v>
      </c>
    </row>
    <row r="24" spans="2:4" x14ac:dyDescent="0.3">
      <c r="B24" s="1" t="s">
        <v>6</v>
      </c>
      <c r="C24">
        <v>1</v>
      </c>
      <c r="D24" s="25">
        <v>0</v>
      </c>
    </row>
    <row r="25" spans="2:4" x14ac:dyDescent="0.3">
      <c r="B25" s="5" t="s">
        <v>11</v>
      </c>
      <c r="C25">
        <v>1</v>
      </c>
      <c r="D25" s="25">
        <v>0</v>
      </c>
    </row>
    <row r="26" spans="2:4" x14ac:dyDescent="0.3">
      <c r="B26" s="1" t="s">
        <v>7</v>
      </c>
      <c r="C26">
        <v>302</v>
      </c>
      <c r="D26" s="28">
        <v>3843</v>
      </c>
    </row>
    <row r="27" spans="2:4" x14ac:dyDescent="0.3">
      <c r="B27" s="3" t="s">
        <v>8</v>
      </c>
      <c r="C27" s="8">
        <f>SUM(C22:C26)</f>
        <v>317</v>
      </c>
      <c r="D27" s="4">
        <f>SUM(D22:D26)</f>
        <v>5303</v>
      </c>
    </row>
    <row r="29" spans="2:4" x14ac:dyDescent="0.3">
      <c r="B29" s="31" t="s">
        <v>9</v>
      </c>
      <c r="C29" s="31"/>
      <c r="D29" s="31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>
        <v>2</v>
      </c>
    </row>
    <row r="32" spans="2:4" x14ac:dyDescent="0.3">
      <c r="B32" s="9" t="s">
        <v>5</v>
      </c>
      <c r="C32">
        <v>1</v>
      </c>
      <c r="D32" s="25">
        <v>0</v>
      </c>
    </row>
    <row r="33" spans="2:4" x14ac:dyDescent="0.3">
      <c r="B33" s="9" t="s">
        <v>7</v>
      </c>
      <c r="C33">
        <v>167</v>
      </c>
      <c r="D33" s="28">
        <v>1200</v>
      </c>
    </row>
    <row r="34" spans="2:4" x14ac:dyDescent="0.3">
      <c r="B34" s="10" t="s">
        <v>8</v>
      </c>
      <c r="C34" s="8">
        <f>SUM(C31:C33)</f>
        <v>170</v>
      </c>
      <c r="D34" s="4">
        <f>SUM(D31:D33)</f>
        <v>1200</v>
      </c>
    </row>
    <row r="36" spans="2:4" x14ac:dyDescent="0.3">
      <c r="B36" s="30" t="s">
        <v>34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>
        <v>3</v>
      </c>
      <c r="D38" s="25">
        <v>0</v>
      </c>
    </row>
    <row r="39" spans="2:4" x14ac:dyDescent="0.3">
      <c r="B39" s="1" t="s">
        <v>5</v>
      </c>
      <c r="C39" s="25">
        <v>0</v>
      </c>
      <c r="D39" s="25">
        <v>0</v>
      </c>
    </row>
    <row r="40" spans="2:4" x14ac:dyDescent="0.3">
      <c r="B40" s="1" t="s">
        <v>6</v>
      </c>
      <c r="C40">
        <v>2</v>
      </c>
      <c r="D40" s="25">
        <v>0</v>
      </c>
    </row>
    <row r="41" spans="2:4" x14ac:dyDescent="0.3">
      <c r="B41" s="1" t="s">
        <v>7</v>
      </c>
      <c r="C41">
        <v>331</v>
      </c>
      <c r="D41" s="28">
        <v>388</v>
      </c>
    </row>
    <row r="42" spans="2:4" x14ac:dyDescent="0.3">
      <c r="B42" s="3" t="s">
        <v>8</v>
      </c>
      <c r="C42" s="8">
        <f>SUM(C38:C41)</f>
        <v>336</v>
      </c>
      <c r="D42" s="4">
        <f>SUM(D38:D41)</f>
        <v>388</v>
      </c>
    </row>
    <row r="44" spans="2:4" x14ac:dyDescent="0.3">
      <c r="B44" s="30" t="s">
        <v>29</v>
      </c>
      <c r="C44" s="30"/>
      <c r="D44" s="30"/>
    </row>
    <row r="45" spans="2:4" x14ac:dyDescent="0.3">
      <c r="B45" s="2" t="s">
        <v>1</v>
      </c>
      <c r="C45" s="2" t="s">
        <v>2</v>
      </c>
      <c r="D45" s="2" t="s">
        <v>3</v>
      </c>
    </row>
    <row r="46" spans="2:4" x14ac:dyDescent="0.3">
      <c r="B46" s="9" t="s">
        <v>4</v>
      </c>
      <c r="C46">
        <v>3</v>
      </c>
      <c r="D46" s="25">
        <v>0</v>
      </c>
    </row>
    <row r="47" spans="2:4" x14ac:dyDescent="0.3">
      <c r="B47" s="1" t="s">
        <v>7</v>
      </c>
      <c r="C47">
        <v>64</v>
      </c>
      <c r="D47" s="25">
        <v>0</v>
      </c>
    </row>
    <row r="48" spans="2:4" x14ac:dyDescent="0.3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3">
      <c r="B50" s="12" t="s">
        <v>12</v>
      </c>
      <c r="C50" s="13">
        <f>SUMIF(B:B, "Total general", C:C)</f>
        <v>34898</v>
      </c>
      <c r="D50" s="13">
        <f>SUMIF(B:B, "Total general", D:D)</f>
        <v>296431.81000000006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tabSelected="1" zoomScaleNormal="100" workbookViewId="0">
      <selection activeCell="E4" sqref="E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13159</v>
      </c>
      <c r="D3" s="14">
        <f>SUMIF('CDC-OLGUIN'!B:B, "Extrajudicial - 0 a 28 semanas de atraso", 'CDC-OLGUIN'!D:D)</f>
        <v>181691.7</v>
      </c>
    </row>
    <row r="4" spans="2:6" x14ac:dyDescent="0.3">
      <c r="B4" s="1" t="s">
        <v>5</v>
      </c>
      <c r="C4" s="6">
        <f>SUMIF('CDC-OLGUIN'!B:B, "Extrajudicial - 29 a 39 semanas de atraso", 'CDC-OLGUIN'!C:C)</f>
        <v>7172</v>
      </c>
      <c r="D4" s="14">
        <f>SUMIF('CDC-OLGUIN'!B:B, "Extrajudicial - 29 a 39 semanas de atraso", 'CDC-OLGUIN'!D:D)</f>
        <v>72605.11</v>
      </c>
    </row>
    <row r="5" spans="2:6" x14ac:dyDescent="0.3">
      <c r="B5" s="1" t="s">
        <v>6</v>
      </c>
      <c r="C5" s="6">
        <f>SUMIF('CDC-OLGUIN'!B:B, "Extrajudicial - 40 a 55 semanas de atraso", 'CDC-OLGUIN'!C:C)</f>
        <v>8019</v>
      </c>
      <c r="D5" s="14">
        <f>SUMIF('CDC-OLGUIN'!B:B, "Extrajudicial - 40 a 55 semanas de atraso", 'CDC-OLGUIN'!D:D)</f>
        <v>33045</v>
      </c>
    </row>
    <row r="6" spans="2:6" x14ac:dyDescent="0.3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3808</v>
      </c>
      <c r="D7" s="6">
        <f>SUMIF('CDC-OLGUIN'!B:B, "Mas 55 semanas de atraso", 'CDC-OLGUIN'!D:D)</f>
        <v>9090</v>
      </c>
      <c r="E7" s="14"/>
      <c r="F7" s="7"/>
    </row>
    <row r="8" spans="2:6" x14ac:dyDescent="0.3">
      <c r="B8" s="3" t="s">
        <v>8</v>
      </c>
      <c r="C8" s="8">
        <f>SUM(C3:C7)</f>
        <v>34898</v>
      </c>
      <c r="D8" s="4">
        <f>SUM(D3:D7)</f>
        <v>296431.81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11066</v>
      </c>
      <c r="E6" s="16">
        <f>SUMIF('REPORTE DIARIO'!B:B,'EPR 26 JUN'!C6, 'REPORTE DIARIO'!D:D)</f>
        <v>213618.4</v>
      </c>
      <c r="F6" s="16">
        <f>J6*D6</f>
        <v>695577.14285714284</v>
      </c>
      <c r="G6" s="16">
        <f>+E6-F6</f>
        <v>-481958.74285714282</v>
      </c>
      <c r="H6" s="15">
        <f>ABS(G6/F6)</f>
        <v>0.69289042603880846</v>
      </c>
      <c r="I6" s="16">
        <f>E6/D6</f>
        <v>19.304030363274897</v>
      </c>
      <c r="J6" s="16">
        <f>(220/7)*2</f>
        <v>62.857142857142854</v>
      </c>
      <c r="K6" s="16">
        <f>+I6-J6</f>
        <v>-43.553112493867957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4535</v>
      </c>
      <c r="E7" s="16">
        <f>SUMIF('REPORTE DIARIO'!B:B,'EPR 26 JUN'!C7, 'REPORTE DIARIO'!D:D)</f>
        <v>149214.74</v>
      </c>
      <c r="F7" s="16">
        <f>J7*D7</f>
        <v>142528.57142857142</v>
      </c>
      <c r="G7" s="16">
        <f>+E7-F7</f>
        <v>6686.1685714285704</v>
      </c>
      <c r="H7" s="15">
        <f>ABS(G7/F7)</f>
        <v>4.6911075473589248E-2</v>
      </c>
      <c r="I7" s="16">
        <f>E7/D7</f>
        <v>32.902919514884232</v>
      </c>
      <c r="J7" s="16">
        <f>(110/7)*2</f>
        <v>31.428571428571427</v>
      </c>
      <c r="K7" s="16">
        <f t="shared" ref="K7:K9" si="0">+I7-J7</f>
        <v>1.4743480863128049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12323</v>
      </c>
      <c r="E8" s="16">
        <f>SUMIF('REPORTE DIARIO'!B:B,'EPR 26 JUN'!C8, 'REPORTE DIARIO'!D:D)</f>
        <v>131892.96000000002</v>
      </c>
      <c r="F8" s="16">
        <f>J8*D8</f>
        <v>158438.57142857145</v>
      </c>
      <c r="G8" s="16">
        <f>+E8-F8</f>
        <v>-26545.611428571428</v>
      </c>
      <c r="H8" s="15">
        <f>ABS(G8/F8)</f>
        <v>0.1675451324082339</v>
      </c>
      <c r="I8" s="16">
        <f>E8/D8</f>
        <v>10.702991154751279</v>
      </c>
      <c r="J8" s="16">
        <f>(45/7)*2</f>
        <v>12.857142857142858</v>
      </c>
      <c r="K8" s="16">
        <f t="shared" si="0"/>
        <v>-2.1541517023915784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56311</v>
      </c>
      <c r="E9" s="16">
        <f>SUMIF('REPORTE DIARIO'!B:B,'EPR 26 JUN'!C9, 'REPORTE DIARIO'!D:D)</f>
        <v>219152.14</v>
      </c>
      <c r="F9" s="16">
        <f>J9*D9</f>
        <v>241332.85714285713</v>
      </c>
      <c r="G9" s="16">
        <f>+E9-F9</f>
        <v>-22180.717142857116</v>
      </c>
      <c r="H9" s="15">
        <f>ABS(G9/F9)</f>
        <v>9.1909230286563212E-2</v>
      </c>
      <c r="I9" s="16">
        <f>E9/D9</f>
        <v>3.8918175844861573</v>
      </c>
      <c r="J9" s="16">
        <f>(15/7)*2</f>
        <v>4.2857142857142856</v>
      </c>
      <c r="K9" s="16">
        <f t="shared" si="0"/>
        <v>-0.39389670122812825</v>
      </c>
    </row>
    <row r="10" spans="2:12" x14ac:dyDescent="0.3">
      <c r="B10" s="16"/>
      <c r="C10" s="19" t="s">
        <v>16</v>
      </c>
      <c r="D10" s="24">
        <f>SUM(D6:D9)</f>
        <v>84235</v>
      </c>
      <c r="E10" s="20">
        <f>SUM(E6:E9)</f>
        <v>713878.24</v>
      </c>
      <c r="F10" s="20">
        <f>SUM(F6:F9)</f>
        <v>1237877.142857143</v>
      </c>
      <c r="G10" s="20">
        <f>+E10-F10</f>
        <v>-523998.90285714297</v>
      </c>
      <c r="H10" s="21">
        <f>ABS(G10/F10)</f>
        <v>0.42330444978384657</v>
      </c>
      <c r="I10" s="20">
        <f>E10/D10</f>
        <v>8.4748410993055145</v>
      </c>
      <c r="J10" s="20">
        <f>F10/D10</f>
        <v>14.695520185874553</v>
      </c>
      <c r="K10" s="20">
        <f>I10-J10</f>
        <v>-6.2206790865690387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2025-10-09T15:18:02Z</cp:lastPrinted>
  <dcterms:created xsi:type="dcterms:W3CDTF">2025-01-27T15:11:28Z</dcterms:created>
  <dcterms:modified xsi:type="dcterms:W3CDTF">2025-10-09T15:18:03Z</dcterms:modified>
</cp:coreProperties>
</file>