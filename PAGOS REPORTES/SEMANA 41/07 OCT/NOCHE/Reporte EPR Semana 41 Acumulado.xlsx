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07 OCT\NOCHE\"/>
    </mc:Choice>
  </mc:AlternateContent>
  <xr:revisionPtr revIDLastSave="0" documentId="13_ncr:1_{A2E0E30E-39B0-46F3-968C-8F67656C3B7A}" xr6:coauthVersionLast="47" xr6:coauthVersionMax="47" xr10:uidLastSave="{00000000-0000-0000-0000-000000000000}"/>
  <bookViews>
    <workbookView xWindow="16665" yWindow="14310" windowWidth="11130" windowHeight="6570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5" l="1"/>
  <c r="D45" i="5"/>
  <c r="C42" i="1"/>
  <c r="D42" i="1"/>
  <c r="D34" i="1"/>
  <c r="C34" i="1"/>
  <c r="C18" i="1"/>
  <c r="D18" i="5"/>
  <c r="C18" i="5"/>
  <c r="D26" i="1"/>
  <c r="C26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C26" i="5"/>
  <c r="C10" i="5"/>
  <c r="J9" i="3"/>
  <c r="J8" i="3"/>
  <c r="J7" i="3"/>
  <c r="J6" i="3"/>
  <c r="C47" i="5" l="1"/>
  <c r="D8" i="6"/>
  <c r="C8" i="6"/>
  <c r="D47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<sst xmlns="http://schemas.openxmlformats.org/spreadsheetml/2006/main" count="136" uniqueCount="37">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</sst>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0"/>
  <sheetViews>
    <sheetView showGridLines="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7010</v>
      </c>
      <c r="D5" s="28">
        <v>107916.78</v>
      </c>
    </row>
    <row r="6" spans="2:8" x14ac:dyDescent="0.25">
      <c r="B6" s="1" t="s">
        <v>5</v>
      </c>
      <c r="C6" s="6">
        <v>2954</v>
      </c>
      <c r="D6" s="28">
        <v>63027.3</v>
      </c>
    </row>
    <row r="7" spans="2:8" x14ac:dyDescent="0.25">
      <c r="B7" s="1" t="s">
        <v>6</v>
      </c>
      <c r="C7" s="6">
        <v>8284</v>
      </c>
      <c r="D7" s="28">
        <v>55247.74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37485</v>
      </c>
      <c r="D9" s="28">
        <v>114304.14</v>
      </c>
      <c r="E9" s="14"/>
      <c r="F9" s="7"/>
    </row>
    <row r="10" spans="2:8" x14ac:dyDescent="0.25">
      <c r="B10" s="3" t="s">
        <v>8</v>
      </c>
      <c r="C10" s="8">
        <f>SUM(C5:C9)</f>
        <v>56791</v>
      </c>
      <c r="D10" s="4">
        <f>SUM(D5:D9)</f>
        <v>340495.96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156</v>
      </c>
      <c r="D14" s="28">
        <v>14117.36</v>
      </c>
    </row>
    <row r="15" spans="2:8" x14ac:dyDescent="0.25">
      <c r="B15" s="9" t="s">
        <v>5</v>
      </c>
      <c r="C15" s="6">
        <v>86</v>
      </c>
      <c r="D15" s="28">
        <v>9992</v>
      </c>
    </row>
    <row r="16" spans="2:8" x14ac:dyDescent="0.25">
      <c r="B16" s="9" t="s">
        <v>6</v>
      </c>
      <c r="C16" s="6">
        <v>94</v>
      </c>
      <c r="D16" s="28">
        <v>27709.200000000001</v>
      </c>
    </row>
    <row r="17" spans="2:4" x14ac:dyDescent="0.25">
      <c r="B17" s="9" t="s">
        <v>7</v>
      </c>
      <c r="C17" s="6">
        <v>326</v>
      </c>
      <c r="D17" s="28">
        <v>16435</v>
      </c>
    </row>
    <row r="18" spans="2:4" x14ac:dyDescent="0.25">
      <c r="B18" s="10" t="s">
        <v>8</v>
      </c>
      <c r="C18" s="8">
        <f>SUM(C14:C17)</f>
        <v>662</v>
      </c>
      <c r="D18" s="4">
        <f>SUM(D14:D17)</f>
        <v>68253.56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4819</v>
      </c>
      <c r="D22" s="28">
        <v>28438</v>
      </c>
    </row>
    <row r="23" spans="2:4" x14ac:dyDescent="0.25">
      <c r="B23" s="1" t="s">
        <v>5</v>
      </c>
      <c r="C23" s="6">
        <v>955</v>
      </c>
      <c r="D23" s="28">
        <v>17959</v>
      </c>
    </row>
    <row r="24" spans="2:4" x14ac:dyDescent="0.25">
      <c r="B24" s="1" t="s">
        <v>6</v>
      </c>
      <c r="C24" s="6">
        <v>3622</v>
      </c>
      <c r="D24" s="28">
        <v>6464</v>
      </c>
    </row>
    <row r="25" spans="2:4" x14ac:dyDescent="0.25">
      <c r="B25" s="1" t="s">
        <v>7</v>
      </c>
      <c r="C25" s="6">
        <v>1029</v>
      </c>
      <c r="D25" s="28">
        <v>1300</v>
      </c>
    </row>
    <row r="26" spans="2:4" x14ac:dyDescent="0.25">
      <c r="B26" s="10" t="s">
        <v>8</v>
      </c>
      <c r="C26" s="8">
        <f>SUM(C22:C25)</f>
        <v>10425</v>
      </c>
      <c r="D26" s="4">
        <f>SUM(D22:D25)</f>
        <v>54161</v>
      </c>
    </row>
    <row r="28" spans="2:4" x14ac:dyDescent="0.25">
      <c r="B28" s="30" t="s">
        <v>34</v>
      </c>
      <c r="C28" s="30"/>
      <c r="D28" s="30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9" t="s">
        <v>4</v>
      </c>
      <c r="C30">
        <v>383</v>
      </c>
      <c r="D30" s="28">
        <v>9659</v>
      </c>
    </row>
    <row r="31" spans="2:4" x14ac:dyDescent="0.25">
      <c r="B31" s="1" t="s">
        <v>5</v>
      </c>
      <c r="C31" s="6">
        <v>1419</v>
      </c>
      <c r="D31" s="28">
        <v>12881</v>
      </c>
    </row>
    <row r="32" spans="2:4" x14ac:dyDescent="0.25">
      <c r="B32" s="1" t="s">
        <v>6</v>
      </c>
      <c r="C32" s="6">
        <v>555</v>
      </c>
      <c r="D32" s="28">
        <v>8178</v>
      </c>
    </row>
    <row r="33" spans="2:4" x14ac:dyDescent="0.25">
      <c r="B33" s="1" t="s">
        <v>7</v>
      </c>
      <c r="C33" s="7">
        <v>16806</v>
      </c>
      <c r="D33" s="28">
        <v>9938</v>
      </c>
    </row>
    <row r="34" spans="2:4" x14ac:dyDescent="0.25">
      <c r="B34" s="3" t="s">
        <v>8</v>
      </c>
      <c r="C34" s="8">
        <f>SUM(C30:C33)</f>
        <v>19163</v>
      </c>
      <c r="D34" s="4">
        <f>SUM(D30:D33)</f>
        <v>40656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503</v>
      </c>
      <c r="D38" s="28">
        <v>1295</v>
      </c>
    </row>
    <row r="39" spans="2:4" x14ac:dyDescent="0.25">
      <c r="B39" s="1" t="s">
        <v>5</v>
      </c>
      <c r="C39" s="6">
        <v>39</v>
      </c>
      <c r="D39" s="29">
        <v>0</v>
      </c>
    </row>
    <row r="40" spans="2:4" x14ac:dyDescent="0.25">
      <c r="B40" s="1" t="s">
        <v>6</v>
      </c>
      <c r="C40" s="6">
        <v>6</v>
      </c>
      <c r="D40" s="28">
        <v>2199</v>
      </c>
    </row>
    <row r="41" spans="2:4" x14ac:dyDescent="0.25">
      <c r="B41" s="1" t="s">
        <v>7</v>
      </c>
      <c r="C41" s="6">
        <v>930</v>
      </c>
      <c r="D41" s="28">
        <v>5085</v>
      </c>
    </row>
    <row r="42" spans="2:4" x14ac:dyDescent="0.25">
      <c r="B42" s="3" t="s">
        <v>8</v>
      </c>
      <c r="C42" s="8">
        <f>SUM(C38:C41)</f>
        <v>1478</v>
      </c>
      <c r="D42" s="4">
        <f>SUM(D38:D41)</f>
        <v>8579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88519</v>
      </c>
      <c r="D50" s="13">
        <f>SUMIF(B:B, "Total general", D:D)</f>
        <v>512145.52</v>
      </c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zoomScaleNormal="100" workbookViewId="0">
      <selection activeCell="C44" sqref="C4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8483</v>
      </c>
      <c r="D5" s="28">
        <v>69509.95</v>
      </c>
      <c r="E5" s="11"/>
    </row>
    <row r="6" spans="2:8" x14ac:dyDescent="0.25">
      <c r="B6" s="1" t="s">
        <v>5</v>
      </c>
      <c r="C6" s="27">
        <v>6731</v>
      </c>
      <c r="D6" s="28">
        <v>23869.760000000002</v>
      </c>
    </row>
    <row r="7" spans="2:8" x14ac:dyDescent="0.25">
      <c r="B7" s="1" t="s">
        <v>6</v>
      </c>
      <c r="C7" s="27">
        <v>4643</v>
      </c>
      <c r="D7" s="28">
        <v>19380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2919</v>
      </c>
      <c r="D9" s="28">
        <v>1557</v>
      </c>
      <c r="E9" s="14"/>
      <c r="F9" s="7"/>
    </row>
    <row r="10" spans="2:8" x14ac:dyDescent="0.25">
      <c r="B10" s="3" t="s">
        <v>8</v>
      </c>
      <c r="C10" s="8">
        <f>SUM(C5:C9)</f>
        <v>25515</v>
      </c>
      <c r="D10" s="4">
        <f>SUM(D5:D9)</f>
        <v>114316.70999999999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3583</v>
      </c>
      <c r="D14" s="28">
        <v>28438</v>
      </c>
    </row>
    <row r="15" spans="2:8" x14ac:dyDescent="0.25">
      <c r="B15" s="1" t="s">
        <v>5</v>
      </c>
      <c r="C15" s="26">
        <v>1481</v>
      </c>
      <c r="D15" s="28">
        <v>17309</v>
      </c>
    </row>
    <row r="16" spans="2:8" x14ac:dyDescent="0.25">
      <c r="B16" s="1" t="s">
        <v>6</v>
      </c>
      <c r="C16" s="26">
        <v>3219</v>
      </c>
      <c r="D16" s="28">
        <v>6464</v>
      </c>
    </row>
    <row r="17" spans="2:4" x14ac:dyDescent="0.25">
      <c r="B17" s="9" t="s">
        <v>7</v>
      </c>
      <c r="C17" s="26">
        <v>26</v>
      </c>
      <c r="D17" s="28">
        <v>1300</v>
      </c>
    </row>
    <row r="18" spans="2:4" x14ac:dyDescent="0.25">
      <c r="B18" s="10" t="s">
        <v>8</v>
      </c>
      <c r="C18" s="8">
        <f>SUM(C14:C17)</f>
        <v>8309</v>
      </c>
      <c r="D18" s="4">
        <f>SUM(D14:D17)</f>
        <v>53511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13</v>
      </c>
      <c r="D22" s="28">
        <v>1460</v>
      </c>
    </row>
    <row r="23" spans="2:4" x14ac:dyDescent="0.25">
      <c r="B23" s="1" t="s">
        <v>6</v>
      </c>
      <c r="C23">
        <v>6</v>
      </c>
      <c r="D23" s="25">
        <v>0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2919</v>
      </c>
    </row>
    <row r="26" spans="2:4" x14ac:dyDescent="0.25">
      <c r="B26" s="3" t="s">
        <v>8</v>
      </c>
      <c r="C26" s="8">
        <f>SUM(C22:C25)</f>
        <v>322</v>
      </c>
      <c r="D26" s="4">
        <f>SUM(D22:D25)</f>
        <v>4379</v>
      </c>
    </row>
    <row r="28" spans="2:4" x14ac:dyDescent="0.25">
      <c r="B28" s="30" t="s">
        <v>34</v>
      </c>
      <c r="C28" s="30"/>
      <c r="D28" s="30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5">
        <v>0</v>
      </c>
    </row>
    <row r="31" spans="2:4" x14ac:dyDescent="0.25">
      <c r="B31" s="1" t="s">
        <v>6</v>
      </c>
      <c r="C31">
        <v>4</v>
      </c>
      <c r="D31" s="25">
        <v>0</v>
      </c>
    </row>
    <row r="32" spans="2:4" x14ac:dyDescent="0.25">
      <c r="B32" s="1" t="s">
        <v>7</v>
      </c>
      <c r="C32">
        <v>331</v>
      </c>
      <c r="D32" s="28">
        <v>388</v>
      </c>
    </row>
    <row r="33" spans="2:4" x14ac:dyDescent="0.25">
      <c r="B33" s="3" t="s">
        <v>8</v>
      </c>
      <c r="C33" s="8">
        <f>SUM(C30:C32)</f>
        <v>338</v>
      </c>
      <c r="D33" s="4">
        <f>SUM(D30:D32)</f>
        <v>388</v>
      </c>
    </row>
    <row r="35" spans="2:4" x14ac:dyDescent="0.25">
      <c r="B35" s="30" t="s">
        <v>29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>
        <v>3</v>
      </c>
      <c r="D37" s="25">
        <v>0</v>
      </c>
    </row>
    <row r="38" spans="2:4" x14ac:dyDescent="0.25">
      <c r="B38" s="1" t="s">
        <v>7</v>
      </c>
      <c r="C38">
        <v>64</v>
      </c>
      <c r="D38" s="25">
        <v>0</v>
      </c>
    </row>
    <row r="39" spans="2:4" x14ac:dyDescent="0.25">
      <c r="B39" s="3" t="s">
        <v>8</v>
      </c>
      <c r="C39" s="8">
        <f>SUM(C37:C38)</f>
        <v>67</v>
      </c>
      <c r="D39" s="4">
        <f>SUM(D37:D38)</f>
        <v>0</v>
      </c>
    </row>
    <row r="41" spans="2:4" x14ac:dyDescent="0.25">
      <c r="B41" s="31" t="s">
        <v>9</v>
      </c>
      <c r="C41" s="31"/>
      <c r="D41" s="31"/>
    </row>
    <row r="42" spans="2:4" x14ac:dyDescent="0.25">
      <c r="B42" s="4" t="s">
        <v>1</v>
      </c>
      <c r="C42" s="4" t="s">
        <v>2</v>
      </c>
      <c r="D42" s="4" t="s">
        <v>3</v>
      </c>
    </row>
    <row r="43" spans="2:4" x14ac:dyDescent="0.25">
      <c r="B43" s="9" t="s">
        <v>5</v>
      </c>
      <c r="C43">
        <v>3</v>
      </c>
      <c r="D43" s="25">
        <v>0</v>
      </c>
    </row>
    <row r="44" spans="2:4" x14ac:dyDescent="0.25">
      <c r="B44" s="9" t="s">
        <v>7</v>
      </c>
      <c r="C44">
        <v>167</v>
      </c>
      <c r="D44" s="25">
        <v>0</v>
      </c>
    </row>
    <row r="45" spans="2:4" x14ac:dyDescent="0.25">
      <c r="B45" s="10" t="s">
        <v>8</v>
      </c>
      <c r="C45" s="8">
        <f>SUM(C43:C44)</f>
        <v>170</v>
      </c>
      <c r="D45" s="4">
        <f>SUM(D43:D44)</f>
        <v>0</v>
      </c>
    </row>
    <row r="47" spans="2:4" x14ac:dyDescent="0.25">
      <c r="B47" s="12" t="s">
        <v>12</v>
      </c>
      <c r="C47" s="13">
        <f>SUMIF(B:B, "Total general", C:C)</f>
        <v>34721</v>
      </c>
      <c r="D47" s="13">
        <f>SUMIF(B:B, "Total general", D:D)</f>
        <v>172594.71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tabSelected="1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12066</v>
      </c>
      <c r="D3" s="14">
        <f>SUMIF('CDC-OLGUIN'!B:B, "Extrajudicial - 0 a 28 semanas de atraso", 'CDC-OLGUIN'!D:D)</f>
        <v>97947.95</v>
      </c>
    </row>
    <row r="4" spans="2:6" x14ac:dyDescent="0.25">
      <c r="B4" s="1" t="s">
        <v>5</v>
      </c>
      <c r="C4" s="6">
        <f>SUMIF('CDC-OLGUIN'!B:B, "Extrajudicial - 29 a 39 semanas de atraso", 'CDC-OLGUIN'!C:C)</f>
        <v>8234</v>
      </c>
      <c r="D4" s="14">
        <f>SUMIF('CDC-OLGUIN'!B:B, "Extrajudicial - 29 a 39 semanas de atraso", 'CDC-OLGUIN'!D:D)</f>
        <v>42638.76</v>
      </c>
    </row>
    <row r="5" spans="2:6" x14ac:dyDescent="0.25">
      <c r="B5" s="1" t="s">
        <v>6</v>
      </c>
      <c r="C5" s="6">
        <f>SUMIF('CDC-OLGUIN'!B:B, "Extrajudicial - 40 a 55 semanas de atraso", 'CDC-OLGUIN'!C:C)</f>
        <v>7872</v>
      </c>
      <c r="D5" s="14">
        <f>SUMIF('CDC-OLGUIN'!B:B, "Extrajudicial - 40 a 55 semanas de atraso", 'CDC-OLGUIN'!D:D)</f>
        <v>25844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3809</v>
      </c>
      <c r="D7" s="6">
        <f>SUMIF('CDC-OLGUIN'!B:B, "Mas 55 semanas de atraso", 'CDC-OLGUIN'!D:D)</f>
        <v>6164</v>
      </c>
      <c r="E7" s="14"/>
      <c r="F7" s="7"/>
    </row>
    <row r="8" spans="2:6" x14ac:dyDescent="0.25">
      <c r="B8" s="3" t="s">
        <v>8</v>
      </c>
      <c r="C8" s="8">
        <f>SUM(C3:C7)</f>
        <v>34721</v>
      </c>
      <c r="D8" s="4">
        <f>SUM(D3:D7)</f>
        <v>172594.71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12871</v>
      </c>
      <c r="E6" s="16">
        <f>SUMIF('REPORTE DIARIO'!B:B,'EPR 26 JUN'!C6, 'REPORTE DIARIO'!D:D)</f>
        <v>161426.14000000001</v>
      </c>
      <c r="F6" s="16">
        <f>J6*D6</f>
        <v>809034.28571428568</v>
      </c>
      <c r="G6" s="16">
        <f>+E6-F6</f>
        <v>-647608.14571428567</v>
      </c>
      <c r="H6" s="15">
        <f>ABS(G6/F6)</f>
        <v>0.80047058221088985</v>
      </c>
      <c r="I6" s="16">
        <f>E6/D6</f>
        <v>12.541849118172637</v>
      </c>
      <c r="J6" s="16">
        <f>(220/7)*2</f>
        <v>62.857142857142854</v>
      </c>
      <c r="K6" s="16">
        <f>+I6-J6</f>
        <v>-50.315293738970219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5453</v>
      </c>
      <c r="E7" s="16">
        <f>SUMIF('REPORTE DIARIO'!B:B,'EPR 26 JUN'!C7, 'REPORTE DIARIO'!D:D)</f>
        <v>103859.3</v>
      </c>
      <c r="F7" s="16">
        <f>J7*D7</f>
        <v>171380</v>
      </c>
      <c r="G7" s="16">
        <f>+E7-F7</f>
        <v>-67520.7</v>
      </c>
      <c r="H7" s="15">
        <f>ABS(G7/F7)</f>
        <v>0.39398237834052979</v>
      </c>
      <c r="I7" s="16">
        <f>E7/D7</f>
        <v>19.046268109297635</v>
      </c>
      <c r="J7" s="16">
        <f>(110/7)*2</f>
        <v>31.428571428571427</v>
      </c>
      <c r="K7" s="16">
        <f t="shared" ref="K7:K9" si="0">+I7-J7</f>
        <v>-12.382303319273792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12561</v>
      </c>
      <c r="E8" s="16">
        <f>SUMIF('REPORTE DIARIO'!B:B,'EPR 26 JUN'!C8, 'REPORTE DIARIO'!D:D)</f>
        <v>99797.94</v>
      </c>
      <c r="F8" s="16">
        <f>J8*D8</f>
        <v>161498.57142857145</v>
      </c>
      <c r="G8" s="16">
        <f>+E8-F8</f>
        <v>-61700.631428571447</v>
      </c>
      <c r="H8" s="15">
        <f>ABS(G8/F8)</f>
        <v>0.38205063291139246</v>
      </c>
      <c r="I8" s="16">
        <f>E8/D8</f>
        <v>7.9450632911392409</v>
      </c>
      <c r="J8" s="16">
        <f>(45/7)*2</f>
        <v>12.857142857142858</v>
      </c>
      <c r="K8" s="16">
        <f t="shared" si="0"/>
        <v>-4.9120795660036167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56576</v>
      </c>
      <c r="E9" s="16">
        <f>SUMIF('REPORTE DIARIO'!B:B,'EPR 26 JUN'!C9, 'REPORTE DIARIO'!D:D)</f>
        <v>147062.14000000001</v>
      </c>
      <c r="F9" s="16">
        <f>J9*D9</f>
        <v>242468.57142857142</v>
      </c>
      <c r="G9" s="16">
        <f>+E9-F9</f>
        <v>-95406.431428571406</v>
      </c>
      <c r="H9" s="15">
        <f>ABS(G9/F9)</f>
        <v>0.39347957909125181</v>
      </c>
      <c r="I9" s="16">
        <f>E9/D9</f>
        <v>2.5993732324660637</v>
      </c>
      <c r="J9" s="16">
        <f>(15/7)*2</f>
        <v>4.2857142857142856</v>
      </c>
      <c r="K9" s="16">
        <f t="shared" si="0"/>
        <v>-1.6863410532482219</v>
      </c>
    </row>
    <row r="10" spans="2:12" x14ac:dyDescent="0.25">
      <c r="B10" s="16"/>
      <c r="C10" s="19" t="s">
        <v>16</v>
      </c>
      <c r="D10" s="24">
        <f>SUM(D6:D9)</f>
        <v>87461</v>
      </c>
      <c r="E10" s="20">
        <f>SUM(E6:E9)</f>
        <v>512145.52</v>
      </c>
      <c r="F10" s="20">
        <f>SUM(F6:F9)</f>
        <v>1384381.4285714284</v>
      </c>
      <c r="G10" s="20">
        <f>+E10-F10</f>
        <v>-872235.90857142839</v>
      </c>
      <c r="H10" s="21">
        <f>ABS(G10/F10)</f>
        <v>0.63005461541874808</v>
      </c>
      <c r="I10" s="20">
        <f>E10/D10</f>
        <v>5.8557016270108964</v>
      </c>
      <c r="J10" s="20">
        <f>F10/D10</f>
        <v>15.828557054817901</v>
      </c>
      <c r="K10" s="20">
        <f>I10-J10</f>
        <v>-9.972855427807005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2025-10-08T02:15:35Z</dcterms:modified>
</cp:coreProperties>
</file>