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6 MAYO\MAÑANA\"/>
    </mc:Choice>
  </mc:AlternateContent>
  <xr:revisionPtr revIDLastSave="0" documentId="13_ncr:1_{86E0A56B-5DAD-4415-897A-156A63CFC3B3}" xr6:coauthVersionLast="47" xr6:coauthVersionMax="47" xr10:uidLastSave="{00000000-0000-0000-0000-000000000000}"/>
  <bookViews>
    <workbookView xWindow="4230" yWindow="4230" windowWidth="10005" windowHeight="5445" xr2:uid="{4DC6C92A-CD8A-4966-829B-0B6A986E825B}"/>
  </bookViews>
  <sheets>
    <sheet name="REPORTE DIARIO" sheetId="1" r:id="rId1"/>
    <sheet name="DATA" sheetId="4" r:id="rId2"/>
    <sheet name="EPR 25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7" i="1"/>
  <c r="C57" i="1"/>
  <c r="D44" i="1"/>
  <c r="C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<sst xmlns="http://schemas.openxmlformats.org/spreadsheetml/2006/main" count="89" uniqueCount="37">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</sst>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0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4077</v>
      </c>
      <c r="D5" s="25">
        <v>545700.2300000001</v>
      </c>
    </row>
    <row r="6" spans="2:8" x14ac:dyDescent="0.25">
      <c r="B6" s="1" t="s">
        <v>5</v>
      </c>
      <c r="C6" s="6">
        <v>4152</v>
      </c>
      <c r="D6" s="25">
        <v>426241.94000000006</v>
      </c>
    </row>
    <row r="7" spans="2:8" x14ac:dyDescent="0.25">
      <c r="B7" s="1" t="s">
        <v>6</v>
      </c>
      <c r="C7" s="6">
        <v>4246</v>
      </c>
      <c r="D7" s="25">
        <v>322874.11000000004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11389</v>
      </c>
      <c r="D9" s="25">
        <v>470828.89</v>
      </c>
      <c r="E9" s="14"/>
      <c r="F9" s="7"/>
    </row>
    <row r="10" spans="2:8" x14ac:dyDescent="0.25">
      <c r="B10" s="3" t="s">
        <v>8</v>
      </c>
      <c r="C10" s="8">
        <f>SUM(C5:C9)</f>
        <v>23875</v>
      </c>
      <c r="D10" s="4">
        <f>SUM(D5:D9)</f>
        <v>1765645.1700000004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2407</v>
      </c>
      <c r="D14" s="25">
        <v>320712.84999999998</v>
      </c>
    </row>
    <row r="15" spans="2:8" x14ac:dyDescent="0.25">
      <c r="B15" s="1" t="s">
        <v>5</v>
      </c>
      <c r="C15" s="6">
        <v>2109</v>
      </c>
      <c r="D15" s="25">
        <v>155511.33000000002</v>
      </c>
    </row>
    <row r="16" spans="2:8" x14ac:dyDescent="0.25">
      <c r="B16" s="1" t="s">
        <v>6</v>
      </c>
      <c r="C16" s="6">
        <v>2109</v>
      </c>
      <c r="D16" s="25">
        <v>192044.58000000002</v>
      </c>
    </row>
    <row r="17" spans="2:4" x14ac:dyDescent="0.25">
      <c r="B17" s="5" t="s">
        <v>12</v>
      </c>
      <c r="C17" s="7">
        <v>2</v>
      </c>
      <c r="D17" s="11">
        <v>0</v>
      </c>
    </row>
    <row r="18" spans="2:4" x14ac:dyDescent="0.25">
      <c r="B18" s="1" t="s">
        <v>7</v>
      </c>
      <c r="C18" s="6">
        <v>20952</v>
      </c>
      <c r="D18" s="25">
        <v>126181.04</v>
      </c>
    </row>
    <row r="19" spans="2:4" x14ac:dyDescent="0.25">
      <c r="B19" s="3" t="s">
        <v>8</v>
      </c>
      <c r="C19" s="8">
        <f>SUM(C14:C18)</f>
        <v>27579</v>
      </c>
      <c r="D19" s="4">
        <f>SUM(D14:D18)</f>
        <v>794449.8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3325</v>
      </c>
      <c r="D23" s="25">
        <v>497368.33999999991</v>
      </c>
    </row>
    <row r="24" spans="2:4" x14ac:dyDescent="0.25">
      <c r="B24" s="9" t="s">
        <v>5</v>
      </c>
      <c r="C24" s="6">
        <v>1476</v>
      </c>
      <c r="D24" s="25">
        <v>104950.26999999999</v>
      </c>
    </row>
    <row r="25" spans="2:4" x14ac:dyDescent="0.25">
      <c r="B25" s="9" t="s">
        <v>6</v>
      </c>
      <c r="C25" s="6">
        <v>2145</v>
      </c>
      <c r="D25" s="25">
        <v>53837.29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17181</v>
      </c>
      <c r="D27" s="25">
        <v>74243.97</v>
      </c>
    </row>
    <row r="28" spans="2:4" x14ac:dyDescent="0.25">
      <c r="B28" s="10" t="s">
        <v>8</v>
      </c>
      <c r="C28" s="8">
        <f>SUM(C23:C27)</f>
        <v>24128</v>
      </c>
      <c r="D28" s="4">
        <f>SUM(D23:D27)</f>
        <v>730438.86999999988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220</v>
      </c>
      <c r="D32" s="25">
        <v>84941.66</v>
      </c>
    </row>
    <row r="33" spans="2:4" x14ac:dyDescent="0.25">
      <c r="B33" s="9" t="s">
        <v>5</v>
      </c>
      <c r="C33" s="6">
        <v>3350</v>
      </c>
      <c r="D33" s="25">
        <v>347486.8</v>
      </c>
    </row>
    <row r="34" spans="2:4" x14ac:dyDescent="0.25">
      <c r="B34" s="9" t="s">
        <v>6</v>
      </c>
      <c r="C34" s="6">
        <v>269</v>
      </c>
      <c r="D34" s="25">
        <v>94655.25</v>
      </c>
    </row>
    <row r="35" spans="2:4" x14ac:dyDescent="0.25">
      <c r="B35" s="9" t="s">
        <v>7</v>
      </c>
      <c r="C35" s="6">
        <v>3972</v>
      </c>
      <c r="D35" s="25">
        <v>51593.15</v>
      </c>
    </row>
    <row r="36" spans="2:4" x14ac:dyDescent="0.25">
      <c r="B36" s="10" t="s">
        <v>8</v>
      </c>
      <c r="C36" s="8">
        <f>SUM(C32:C35)</f>
        <v>7811</v>
      </c>
      <c r="D36" s="4">
        <f>SUM(D32:D35)</f>
        <v>578676.86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598</v>
      </c>
      <c r="D40" s="25">
        <v>20590</v>
      </c>
    </row>
    <row r="41" spans="2:4" x14ac:dyDescent="0.25">
      <c r="B41" s="1" t="s">
        <v>5</v>
      </c>
      <c r="C41" s="6">
        <v>865</v>
      </c>
      <c r="D41" s="25">
        <v>10946</v>
      </c>
    </row>
    <row r="42" spans="2:4" x14ac:dyDescent="0.25">
      <c r="B42" s="1" t="s">
        <v>6</v>
      </c>
      <c r="C42" s="6">
        <v>809</v>
      </c>
      <c r="D42" s="25">
        <v>37399</v>
      </c>
    </row>
    <row r="43" spans="2:4" x14ac:dyDescent="0.25">
      <c r="B43" s="1" t="s">
        <v>7</v>
      </c>
      <c r="C43" s="6">
        <v>2472</v>
      </c>
      <c r="D43" s="25">
        <v>75211</v>
      </c>
    </row>
    <row r="44" spans="2:4" x14ac:dyDescent="0.25">
      <c r="B44" s="3" t="s">
        <v>8</v>
      </c>
      <c r="C44" s="8">
        <f>SUM(C40:C43)</f>
        <v>4744</v>
      </c>
      <c r="D44" s="4">
        <f>SUM(D40:D43)</f>
        <v>144146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2734</v>
      </c>
      <c r="D48" s="25">
        <v>137853</v>
      </c>
    </row>
    <row r="49" spans="2:4" x14ac:dyDescent="0.25">
      <c r="B49" s="10" t="s">
        <v>8</v>
      </c>
      <c r="C49" s="8">
        <f>SUM(C48:C48)</f>
        <v>2734</v>
      </c>
      <c r="D49" s="4">
        <f>SUM(D48:D48)</f>
        <v>137853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922</v>
      </c>
      <c r="D53" s="25">
        <v>105001.86</v>
      </c>
    </row>
    <row r="54" spans="2:4" x14ac:dyDescent="0.25">
      <c r="B54" s="1" t="s">
        <v>5</v>
      </c>
      <c r="C54" s="6">
        <v>982</v>
      </c>
      <c r="D54" s="25">
        <v>16181</v>
      </c>
    </row>
    <row r="55" spans="2:4" x14ac:dyDescent="0.25">
      <c r="B55" s="1" t="s">
        <v>6</v>
      </c>
      <c r="C55" s="6">
        <v>1551</v>
      </c>
      <c r="D55" s="25">
        <v>8532</v>
      </c>
    </row>
    <row r="56" spans="2:4" x14ac:dyDescent="0.25">
      <c r="B56" s="1" t="s">
        <v>7</v>
      </c>
      <c r="C56" s="6">
        <v>1875</v>
      </c>
      <c r="D56" s="25">
        <v>26999</v>
      </c>
    </row>
    <row r="57" spans="2:4" x14ac:dyDescent="0.25">
      <c r="B57" s="3" t="s">
        <v>8</v>
      </c>
      <c r="C57" s="8">
        <f>SUM(C53:C56)</f>
        <v>5330</v>
      </c>
      <c r="D57" s="4">
        <f>SUM(D53:D56)</f>
        <v>156713.85999999999</v>
      </c>
    </row>
    <row r="59" spans="2:4" x14ac:dyDescent="0.25">
      <c r="B59" s="12" t="s">
        <v>13</v>
      </c>
      <c r="C59" s="13">
        <f>SUM(C10+C28+C36+C49+C19+C44+C57)</f>
        <v>96201</v>
      </c>
      <c r="D59" s="13">
        <f>SUM(D10+D28+D36+D49+D19+D44+D57)</f>
        <v>4307923.5600000005</v>
      </c>
    </row>
  </sheetData>
  <mergeCells count="7">
    <mergeCell ref="B46:D46"/>
    <mergeCell ref="B51:D51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25 MAYO'!C6, 'REPORTE DIARIO'!C:C)</f>
        <v>14283</v>
      </c>
      <c r="E6" s="16">
        <f>SUMIF('REPORTE DIARIO'!B:B,'EPR 25 MAYO'!C6, 'REPORTE DIARIO'!D:D)</f>
        <v>1712167.94</v>
      </c>
      <c r="F6" s="16">
        <f>J6*D6</f>
        <v>3142260</v>
      </c>
      <c r="G6" s="16">
        <f>+E6-F6</f>
        <v>-1430092.06</v>
      </c>
      <c r="H6" s="15">
        <f>ABS(G6/F6)</f>
        <v>0.45511576381330637</v>
      </c>
      <c r="I6" s="16">
        <f>E6/D6</f>
        <v>119.87453196107261</v>
      </c>
      <c r="J6" s="16">
        <f>(220/7)*7</f>
        <v>220</v>
      </c>
      <c r="K6" s="16">
        <f>+I6-J6</f>
        <v>-100.12546803892739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25 MAYO'!C7, 'REPORTE DIARIO'!C:C)</f>
        <v>12934</v>
      </c>
      <c r="E7" s="16">
        <f>SUMIF('REPORTE DIARIO'!B:B,'EPR 25 MAYO'!C7, 'REPORTE DIARIO'!D:D)</f>
        <v>1061317.3400000001</v>
      </c>
      <c r="F7" s="16">
        <f>J7*D7</f>
        <v>1422740</v>
      </c>
      <c r="G7" s="16">
        <f>+E7-F7</f>
        <v>-361422.65999999992</v>
      </c>
      <c r="H7" s="15">
        <f>ABS(G7/F7)</f>
        <v>0.25403282398751698</v>
      </c>
      <c r="I7" s="16">
        <f>E7/D7</f>
        <v>82.056389361373135</v>
      </c>
      <c r="J7" s="16">
        <f>(110/7)*7</f>
        <v>110</v>
      </c>
      <c r="K7" s="16">
        <f t="shared" ref="K7:K9" si="0">+I7-J7</f>
        <v>-27.943610638626865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25 MAYO'!C8, 'REPORTE DIARIO'!C:C)</f>
        <v>11129</v>
      </c>
      <c r="E8" s="16">
        <f>SUMIF('REPORTE DIARIO'!B:B,'EPR 25 MAYO'!C8, 'REPORTE DIARIO'!D:D)</f>
        <v>709342.2300000001</v>
      </c>
      <c r="F8" s="16">
        <f>J8*D8</f>
        <v>500805</v>
      </c>
      <c r="G8" s="16">
        <f>+E8-F8</f>
        <v>208537.2300000001</v>
      </c>
      <c r="H8" s="15">
        <f>ABS(G8/F8)</f>
        <v>0.41640404948033688</v>
      </c>
      <c r="I8" s="16">
        <f>E8/D8</f>
        <v>63.738182226615159</v>
      </c>
      <c r="J8" s="16">
        <f>(45/7)*7</f>
        <v>45</v>
      </c>
      <c r="K8" s="16">
        <f t="shared" si="0"/>
        <v>18.738182226615159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25 MAYO'!C9, 'REPORTE DIARIO'!C:C)</f>
        <v>57841</v>
      </c>
      <c r="E9" s="16">
        <f>SUMIF('REPORTE DIARIO'!B:B,'EPR 25 MAYO'!C9, 'REPORTE DIARIO'!D:D)</f>
        <v>825057.05</v>
      </c>
      <c r="F9" s="16">
        <f>J9*D9</f>
        <v>867615</v>
      </c>
      <c r="G9" s="16">
        <f>+E9-F9</f>
        <v>-42557.949999999953</v>
      </c>
      <c r="H9" s="15">
        <f>ABS(G9/F9)</f>
        <v>4.9051653094978713E-2</v>
      </c>
      <c r="I9" s="16">
        <f>E9/D9</f>
        <v>14.26422520357532</v>
      </c>
      <c r="J9" s="16">
        <f>(15/7)*7</f>
        <v>15</v>
      </c>
      <c r="K9" s="16">
        <f t="shared" si="0"/>
        <v>-0.73577479642468013</v>
      </c>
    </row>
    <row r="10" spans="2:12" x14ac:dyDescent="0.25">
      <c r="B10" s="16"/>
      <c r="C10" s="19" t="s">
        <v>17</v>
      </c>
      <c r="D10" s="24">
        <f>SUM(D6:D9)</f>
        <v>96187</v>
      </c>
      <c r="E10" s="20">
        <f>SUM(E6:E9)</f>
        <v>4307884.5600000005</v>
      </c>
      <c r="F10" s="20">
        <f>SUM(F6:F9)</f>
        <v>5933420</v>
      </c>
      <c r="G10" s="20">
        <f>+E10-F10</f>
        <v>-1625535.4399999995</v>
      </c>
      <c r="H10" s="21">
        <f>ABS(G10/F10)</f>
        <v>0.27396264548944782</v>
      </c>
      <c r="I10" s="20">
        <f>E10/D10</f>
        <v>44.786557019139806</v>
      </c>
      <c r="J10" s="20">
        <f>F10/D10</f>
        <v>61.686298564255047</v>
      </c>
      <c r="K10" s="20">
        <f>I10-J10</f>
        <v>-16.899741545115241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2025-05-26T15:44:27Z</dcterms:modified>
</cp:coreProperties>
</file>