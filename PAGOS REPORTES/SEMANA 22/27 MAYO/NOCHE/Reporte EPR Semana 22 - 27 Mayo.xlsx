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7 MAYO\NOCHE\"/>
    </mc:Choice>
  </mc:AlternateContent>
  <xr:revisionPtr revIDLastSave="0" documentId="13_ncr:1_{E37800E1-D1B7-452D-85FC-B8A98D3942CB}" xr6:coauthVersionLast="47" xr6:coauthVersionMax="47" xr10:uidLastSave="{00000000-0000-0000-0000-000000000000}"/>
  <bookViews>
    <workbookView xWindow="6990" yWindow="6990" windowWidth="10005" windowHeight="5445" xr2:uid="{4DC6C92A-CD8A-4966-829B-0B6A986E825B}"/>
  </bookViews>
  <sheets>
    <sheet name="REPORTE DIARIO" sheetId="1" r:id="rId1"/>
    <sheet name="DATA" sheetId="4" r:id="rId2"/>
    <sheet name="EPR 2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J6" i="3"/>
  <c r="D57" i="1"/>
  <c r="D49" i="1"/>
  <c r="C49" i="1"/>
  <c r="C57" i="1"/>
  <c r="D28" i="1" l="1"/>
  <c r="C28" i="1"/>
  <c r="J9" i="3"/>
  <c r="J8" i="3"/>
  <c r="J7" i="3"/>
  <c r="D6" i="3"/>
  <c r="F6" i="3" s="1"/>
  <c r="D41" i="1"/>
  <c r="C41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<sst xmlns="http://schemas.openxmlformats.org/spreadsheetml/2006/main" count="88" uniqueCount="36">
  <si>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</si>
  <si>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</si>
  <si>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</si>
  <si>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</si>
  <si>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</si>
  <si>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</si>
  <si>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</si>
  <si>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</si>
  <si>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</si>
  <si>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</si>
  <si>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</si>
  <si>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</si>
  <si>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</si>
  <si>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</si>
  <si>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</si>
  <si>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</si>
  <si>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</si>
  <si>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</si>
  <si>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</si>
  <si>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</si>
  <si>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</si>
  <si>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</si>
  <si>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</si>
  <si>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</si>
  <si>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</si>
  <si>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</si>
  <si>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</si>
  <si>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</si>
  <si>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</si>
  <si>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</si>
  <si>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</si>
  <si>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</si>
  <si>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</si>
  <si>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</si>
  <si>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</si>
  <si>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27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</si>
</sst>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22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4045</v>
      </c>
      <c r="D5" s="25">
        <v>47451.240000000005</v>
      </c>
    </row>
    <row r="6" spans="2:8" x14ac:dyDescent="0.25">
      <c r="B6" s="1" t="s">
        <v>5</v>
      </c>
      <c r="C6" s="6">
        <v>3876</v>
      </c>
      <c r="D6" s="25">
        <v>36122.520000000004</v>
      </c>
    </row>
    <row r="7" spans="2:8" x14ac:dyDescent="0.25">
      <c r="B7" s="1" t="s">
        <v>6</v>
      </c>
      <c r="C7" s="6">
        <v>4333</v>
      </c>
      <c r="D7" s="25">
        <v>49177.100000000006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11409</v>
      </c>
      <c r="D9" s="25">
        <v>31260.780000000006</v>
      </c>
    </row>
    <row r="10" spans="2:8" x14ac:dyDescent="0.25">
      <c r="B10" s="3" t="s">
        <v>8</v>
      </c>
      <c r="C10" s="8">
        <f>SUM(C5:C9)</f>
        <v>23674</v>
      </c>
      <c r="D10" s="4">
        <f>SUM(D5:D9)</f>
        <v>164011.64000000001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3311</v>
      </c>
      <c r="D14" s="25">
        <v>57101.359999999986</v>
      </c>
    </row>
    <row r="15" spans="2:8" x14ac:dyDescent="0.25">
      <c r="B15" s="9" t="s">
        <v>5</v>
      </c>
      <c r="C15" s="6">
        <v>1468</v>
      </c>
      <c r="D15" s="25">
        <v>2658</v>
      </c>
    </row>
    <row r="16" spans="2:8" x14ac:dyDescent="0.25">
      <c r="B16" s="9" t="s">
        <v>6</v>
      </c>
      <c r="C16" s="6">
        <v>2145</v>
      </c>
      <c r="D16" s="25">
        <v>3318.6400000000003</v>
      </c>
    </row>
    <row r="17" spans="2:11" x14ac:dyDescent="0.25">
      <c r="B17" s="5" t="s">
        <v>12</v>
      </c>
      <c r="C17" s="7">
        <v>1</v>
      </c>
      <c r="D17" s="26">
        <v>0</v>
      </c>
    </row>
    <row r="18" spans="2:11" x14ac:dyDescent="0.25">
      <c r="B18" s="9" t="s">
        <v>7</v>
      </c>
      <c r="C18" s="6">
        <v>17180</v>
      </c>
      <c r="D18" s="25">
        <v>99976.85</v>
      </c>
    </row>
    <row r="19" spans="2:11" x14ac:dyDescent="0.25">
      <c r="B19" s="10" t="s">
        <v>8</v>
      </c>
      <c r="C19" s="8">
        <f>SUM(C14:C18)</f>
        <v>24105</v>
      </c>
      <c r="D19" s="4">
        <f>SUM(D14:D18)</f>
        <v>163054.84999999998</v>
      </c>
    </row>
    <row r="21" spans="2:11" x14ac:dyDescent="0.25">
      <c r="B21" s="27" t="s">
        <v>29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1" t="s">
        <v>4</v>
      </c>
      <c r="C23" s="6">
        <v>2453</v>
      </c>
      <c r="D23" s="25">
        <v>18376.939999999999</v>
      </c>
    </row>
    <row r="24" spans="2:11" x14ac:dyDescent="0.25">
      <c r="B24" s="1" t="s">
        <v>5</v>
      </c>
      <c r="C24" s="6">
        <v>2100</v>
      </c>
      <c r="D24" s="25">
        <v>6485</v>
      </c>
    </row>
    <row r="25" spans="2:11" x14ac:dyDescent="0.25">
      <c r="B25" s="1" t="s">
        <v>6</v>
      </c>
      <c r="C25" s="6">
        <v>2076</v>
      </c>
      <c r="D25" s="25">
        <v>1565</v>
      </c>
    </row>
    <row r="26" spans="2:11" x14ac:dyDescent="0.25">
      <c r="B26" s="5" t="s">
        <v>12</v>
      </c>
      <c r="C26" s="7">
        <v>2</v>
      </c>
      <c r="D26" s="24">
        <v>0</v>
      </c>
      <c r="K26" s="7"/>
    </row>
    <row r="27" spans="2:11" x14ac:dyDescent="0.25">
      <c r="B27" s="1" t="s">
        <v>7</v>
      </c>
      <c r="C27" s="6">
        <v>20987</v>
      </c>
      <c r="D27" s="25">
        <v>14041.9</v>
      </c>
    </row>
    <row r="28" spans="2:11" x14ac:dyDescent="0.25">
      <c r="B28" s="3" t="s">
        <v>8</v>
      </c>
      <c r="C28" s="8">
        <f>SUM(C23:C27)</f>
        <v>27618</v>
      </c>
      <c r="D28" s="4">
        <f>SUM(D23:D27)</f>
        <v>40468.839999999997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217</v>
      </c>
      <c r="D32" s="25">
        <v>5582.380000000001</v>
      </c>
    </row>
    <row r="33" spans="2:4" x14ac:dyDescent="0.25">
      <c r="B33" s="9" t="s">
        <v>5</v>
      </c>
      <c r="C33" s="6">
        <v>3348</v>
      </c>
      <c r="D33" s="25">
        <v>31012.48</v>
      </c>
    </row>
    <row r="34" spans="2:4" x14ac:dyDescent="0.25">
      <c r="B34" s="9" t="s">
        <v>6</v>
      </c>
      <c r="C34" s="6">
        <v>267</v>
      </c>
      <c r="D34" s="25">
        <v>2000</v>
      </c>
    </row>
    <row r="35" spans="2:4" x14ac:dyDescent="0.25">
      <c r="B35" s="9" t="s">
        <v>7</v>
      </c>
      <c r="C35" s="6">
        <v>3972</v>
      </c>
      <c r="D35" s="25">
        <v>1000</v>
      </c>
    </row>
    <row r="36" spans="2:4" x14ac:dyDescent="0.25">
      <c r="B36" s="10" t="s">
        <v>8</v>
      </c>
      <c r="C36" s="8">
        <f>SUM(C32:C35)</f>
        <v>7804</v>
      </c>
      <c r="D36" s="4">
        <f>SUM(D32:D35)</f>
        <v>39594.86</v>
      </c>
    </row>
    <row r="38" spans="2:4" x14ac:dyDescent="0.25">
      <c r="B38" s="28" t="s">
        <v>11</v>
      </c>
      <c r="C38" s="28"/>
      <c r="D38" s="28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2888</v>
      </c>
      <c r="D40" s="25">
        <v>21259</v>
      </c>
    </row>
    <row r="41" spans="2:4" x14ac:dyDescent="0.25">
      <c r="B41" s="10" t="s">
        <v>8</v>
      </c>
      <c r="C41" s="8">
        <f>SUM(C40:C40)</f>
        <v>2888</v>
      </c>
      <c r="D41" s="4">
        <f>SUM(D40:D40)</f>
        <v>21259</v>
      </c>
    </row>
    <row r="43" spans="2:4" x14ac:dyDescent="0.25">
      <c r="B43" s="27" t="s">
        <v>31</v>
      </c>
      <c r="C43" s="27"/>
      <c r="D43" s="27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989</v>
      </c>
      <c r="D45" s="25">
        <v>11393</v>
      </c>
    </row>
    <row r="46" spans="2:4" x14ac:dyDescent="0.25">
      <c r="B46" s="1" t="s">
        <v>5</v>
      </c>
      <c r="C46" s="6">
        <v>1035</v>
      </c>
      <c r="D46" s="25">
        <v>4151</v>
      </c>
    </row>
    <row r="47" spans="2:4" x14ac:dyDescent="0.25">
      <c r="B47" s="1" t="s">
        <v>6</v>
      </c>
      <c r="C47" s="6">
        <v>1720</v>
      </c>
      <c r="D47" s="25">
        <v>1231</v>
      </c>
    </row>
    <row r="48" spans="2:4" x14ac:dyDescent="0.25">
      <c r="B48" s="1" t="s">
        <v>7</v>
      </c>
      <c r="C48" s="6">
        <v>1935</v>
      </c>
      <c r="D48" s="25">
        <v>3922</v>
      </c>
    </row>
    <row r="49" spans="2:4" x14ac:dyDescent="0.25">
      <c r="B49" s="3" t="s">
        <v>8</v>
      </c>
      <c r="C49" s="8">
        <f>SUM(C45:C48)</f>
        <v>5679</v>
      </c>
      <c r="D49" s="4">
        <f>SUM(D45:D48)</f>
        <v>20697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611</v>
      </c>
      <c r="D53" s="25">
        <v>6363</v>
      </c>
    </row>
    <row r="54" spans="2:4" x14ac:dyDescent="0.25">
      <c r="B54" s="1" t="s">
        <v>5</v>
      </c>
      <c r="C54" s="6">
        <v>871</v>
      </c>
      <c r="D54" s="25">
        <v>2134</v>
      </c>
    </row>
    <row r="55" spans="2:4" x14ac:dyDescent="0.25">
      <c r="B55" s="1" t="s">
        <v>6</v>
      </c>
      <c r="C55" s="6">
        <v>822</v>
      </c>
      <c r="D55" s="25">
        <v>2530</v>
      </c>
    </row>
    <row r="56" spans="2:4" x14ac:dyDescent="0.25">
      <c r="B56" s="1" t="s">
        <v>7</v>
      </c>
      <c r="C56" s="6">
        <v>2481</v>
      </c>
      <c r="D56" s="25">
        <v>1217</v>
      </c>
    </row>
    <row r="57" spans="2:4" x14ac:dyDescent="0.25">
      <c r="B57" s="3" t="s">
        <v>8</v>
      </c>
      <c r="C57" s="8">
        <f>SUM(C53:C56)</f>
        <v>4785</v>
      </c>
      <c r="D57" s="4">
        <f>SUM(D53:D56)</f>
        <v>12244</v>
      </c>
    </row>
    <row r="59" spans="2:4" x14ac:dyDescent="0.25">
      <c r="B59" s="11" t="s">
        <v>13</v>
      </c>
      <c r="C59" s="12">
        <f>SUM(C10+C36+C19+C41+C28+C57+C49)</f>
        <v>96553</v>
      </c>
      <c r="D59" s="12">
        <f>SUM(D10+D36+D19+D41+D28+D57+D49)</f>
        <v>461330.18999999994</v>
      </c>
    </row>
  </sheetData>
  <mergeCells count="7">
    <mergeCell ref="B3:D3"/>
    <mergeCell ref="B30:D30"/>
    <mergeCell ref="B38:D38"/>
    <mergeCell ref="B51:D51"/>
    <mergeCell ref="B21:D21"/>
    <mergeCell ref="B12:D12"/>
    <mergeCell ref="B43:D43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6" sqref="B6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27 MAYO'!C6, 'REPORTE DIARIO'!C:C)</f>
        <v>14514</v>
      </c>
      <c r="E6" s="15">
        <f>SUMIF('REPORTE DIARIO'!B:B,'EPR 27 MAYO'!C6, 'REPORTE DIARIO'!D:D)</f>
        <v>167526.91999999998</v>
      </c>
      <c r="F6" s="15">
        <f>J6*D6</f>
        <v>456154.28571428568</v>
      </c>
      <c r="G6" s="15">
        <f>+E6-F6</f>
        <v>-288627.3657142857</v>
      </c>
      <c r="H6" s="14">
        <f>ABS(G6/F6)</f>
        <v>0.63274066418630293</v>
      </c>
      <c r="I6" s="15">
        <f>E6/D6</f>
        <v>11.54243626843048</v>
      </c>
      <c r="J6" s="15">
        <f>220/7</f>
        <v>31.428571428571427</v>
      </c>
      <c r="K6" s="15">
        <f>+I6-J6</f>
        <v>-19.886135160140945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27 MAYO'!C7, 'REPORTE DIARIO'!C:C)</f>
        <v>12698</v>
      </c>
      <c r="E7" s="15">
        <f>SUMIF('REPORTE DIARIO'!B:B,'EPR 27 MAYO'!C7, 'REPORTE DIARIO'!D:D)</f>
        <v>82563</v>
      </c>
      <c r="F7" s="15">
        <f>J7*D7</f>
        <v>199540</v>
      </c>
      <c r="G7" s="15">
        <f>+E7-F7</f>
        <v>-116977</v>
      </c>
      <c r="H7" s="14">
        <f>ABS(G7/F7)</f>
        <v>0.58623333667435096</v>
      </c>
      <c r="I7" s="15">
        <f>E7/D7</f>
        <v>6.5020475665459125</v>
      </c>
      <c r="J7" s="15">
        <f>110/7</f>
        <v>15.714285714285714</v>
      </c>
      <c r="K7" s="15">
        <f t="shared" ref="K7:K9" si="0">+I7-J7</f>
        <v>-9.2122381477398001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27 MAYO'!C8, 'REPORTE DIARIO'!C:C)</f>
        <v>11363</v>
      </c>
      <c r="E8" s="15">
        <f>SUMIF('REPORTE DIARIO'!B:B,'EPR 27 MAYO'!C8, 'REPORTE DIARIO'!D:D)</f>
        <v>59821.740000000005</v>
      </c>
      <c r="F8" s="15">
        <f>J8*D8</f>
        <v>73047.857142857145</v>
      </c>
      <c r="G8" s="15">
        <f>+E8-F8</f>
        <v>-13226.11714285714</v>
      </c>
      <c r="H8" s="14">
        <f>ABS(G8/F8)</f>
        <v>0.18106098741529522</v>
      </c>
      <c r="I8" s="15">
        <f>E8/D8</f>
        <v>5.2646079380445308</v>
      </c>
      <c r="J8" s="15">
        <f>45/7</f>
        <v>6.4285714285714288</v>
      </c>
      <c r="K8" s="15">
        <f t="shared" si="0"/>
        <v>-1.1639634905268981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27 MAYO'!C9, 'REPORTE DIARIO'!C:C)</f>
        <v>57964</v>
      </c>
      <c r="E9" s="15">
        <f>SUMIF('REPORTE DIARIO'!B:B,'EPR 27 MAYO'!C9, 'REPORTE DIARIO'!D:D)</f>
        <v>151418.53</v>
      </c>
      <c r="F9" s="15">
        <f>J9*D9</f>
        <v>124208.57142857142</v>
      </c>
      <c r="G9" s="15">
        <f>+E9-F9</f>
        <v>27209.958571428579</v>
      </c>
      <c r="H9" s="14">
        <f>ABS(G9/F9)</f>
        <v>0.21906667356750173</v>
      </c>
      <c r="I9" s="15">
        <f>E9/D9</f>
        <v>2.6122857290732178</v>
      </c>
      <c r="J9" s="15">
        <f>15/7</f>
        <v>2.1428571428571428</v>
      </c>
      <c r="K9" s="15">
        <f t="shared" si="0"/>
        <v>0.46942858621607497</v>
      </c>
    </row>
    <row r="10" spans="2:12" x14ac:dyDescent="0.25">
      <c r="B10" s="15"/>
      <c r="C10" s="18" t="s">
        <v>16</v>
      </c>
      <c r="D10" s="23">
        <f>SUM(D6:D9)</f>
        <v>96539</v>
      </c>
      <c r="E10" s="19">
        <f>SUM(E6:E9)</f>
        <v>461330.18999999994</v>
      </c>
      <c r="F10" s="19">
        <f>SUM(F6:F9)</f>
        <v>852950.71428571432</v>
      </c>
      <c r="G10" s="19">
        <f>+E10-F10</f>
        <v>-391620.52428571437</v>
      </c>
      <c r="H10" s="20">
        <f>ABS(G10/F10)</f>
        <v>0.45913617015218605</v>
      </c>
      <c r="I10" s="19">
        <f>E10/D10</f>
        <v>4.7786924455401438</v>
      </c>
      <c r="J10" s="19">
        <f>F10/D10</f>
        <v>8.8352967638541351</v>
      </c>
      <c r="K10" s="19">
        <f>I10-J10</f>
        <v>-4.0566043183139913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2025-05-28T03:54:07Z</dcterms:modified>
</cp:coreProperties>
</file>