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7 MAYO\NOCHE\"/>
    </mc:Choice>
  </mc:AlternateContent>
  <xr:revisionPtr revIDLastSave="0" documentId="13_ncr:1_{BF28C16A-81F5-4F1D-82D5-80F3989326B0}" xr6:coauthVersionLast="47" xr6:coauthVersionMax="47" xr10:uidLastSave="{00000000-0000-0000-0000-000000000000}"/>
  <bookViews>
    <workbookView xWindow="7335" yWindow="7335" windowWidth="10005" windowHeight="5445" xr2:uid="{4DC6C92A-CD8A-4966-829B-0B6A986E825B}"/>
  </bookViews>
  <sheets>
    <sheet name="REPORTE DIARIO" sheetId="1" r:id="rId1"/>
    <sheet name="DATA" sheetId="4" r:id="rId2"/>
    <sheet name="EPR 2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<sst xmlns="http://schemas.openxmlformats.org/spreadsheetml/2006/main" count="89" uniqueCount="37">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</sst>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4045</v>
      </c>
      <c r="D5" s="25">
        <v>150147.13999999998</v>
      </c>
    </row>
    <row r="6" spans="2:8" x14ac:dyDescent="0.25">
      <c r="B6" s="1" t="s">
        <v>5</v>
      </c>
      <c r="C6" s="6">
        <v>3876</v>
      </c>
      <c r="D6" s="25">
        <v>87876.39</v>
      </c>
    </row>
    <row r="7" spans="2:8" x14ac:dyDescent="0.25">
      <c r="B7" s="1" t="s">
        <v>6</v>
      </c>
      <c r="C7" s="6">
        <v>4333</v>
      </c>
      <c r="D7" s="25">
        <v>96578.98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11409</v>
      </c>
      <c r="D9" s="25">
        <v>116486.76999999999</v>
      </c>
      <c r="E9" s="14"/>
      <c r="F9" s="7"/>
    </row>
    <row r="10" spans="2:8" x14ac:dyDescent="0.25">
      <c r="B10" s="3" t="s">
        <v>8</v>
      </c>
      <c r="C10" s="8">
        <f>SUM(C5:C9)</f>
        <v>23674</v>
      </c>
      <c r="D10" s="4">
        <f>SUM(D5:D9)</f>
        <v>451089.27999999991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3311</v>
      </c>
      <c r="D14" s="25">
        <v>133914.13</v>
      </c>
    </row>
    <row r="15" spans="2:8" x14ac:dyDescent="0.25">
      <c r="B15" s="9" t="s">
        <v>5</v>
      </c>
      <c r="C15" s="6">
        <v>1468</v>
      </c>
      <c r="D15" s="25">
        <v>40800.370000000003</v>
      </c>
    </row>
    <row r="16" spans="2:8" x14ac:dyDescent="0.25">
      <c r="B16" s="9" t="s">
        <v>6</v>
      </c>
      <c r="C16" s="6">
        <v>2145</v>
      </c>
      <c r="D16" s="25">
        <v>20243.64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17180</v>
      </c>
      <c r="D18" s="25">
        <v>127858.85000000002</v>
      </c>
    </row>
    <row r="19" spans="2:4" x14ac:dyDescent="0.25">
      <c r="B19" s="10" t="s">
        <v>8</v>
      </c>
      <c r="C19" s="8">
        <f>SUM(C14:C18)</f>
        <v>24105</v>
      </c>
      <c r="D19" s="4">
        <f>SUM(D14:D18)</f>
        <v>322816.99000000005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2453</v>
      </c>
      <c r="D23" s="25">
        <v>56575.130000000005</v>
      </c>
    </row>
    <row r="24" spans="2:4" x14ac:dyDescent="0.25">
      <c r="B24" s="1" t="s">
        <v>5</v>
      </c>
      <c r="C24" s="6">
        <v>2100</v>
      </c>
      <c r="D24" s="25">
        <v>85592</v>
      </c>
    </row>
    <row r="25" spans="2:4" x14ac:dyDescent="0.25">
      <c r="B25" s="1" t="s">
        <v>6</v>
      </c>
      <c r="C25" s="6">
        <v>2076</v>
      </c>
      <c r="D25" s="25">
        <v>18284.310000000001</v>
      </c>
    </row>
    <row r="26" spans="2:4" x14ac:dyDescent="0.25">
      <c r="B26" s="5" t="s">
        <v>12</v>
      </c>
      <c r="C26" s="7">
        <v>2</v>
      </c>
      <c r="D26" s="11">
        <v>0</v>
      </c>
    </row>
    <row r="27" spans="2:4" x14ac:dyDescent="0.25">
      <c r="B27" s="1" t="s">
        <v>7</v>
      </c>
      <c r="C27" s="6">
        <v>20987</v>
      </c>
      <c r="D27" s="25">
        <v>31349.4</v>
      </c>
    </row>
    <row r="28" spans="2:4" x14ac:dyDescent="0.25">
      <c r="B28" s="3" t="s">
        <v>8</v>
      </c>
      <c r="C28" s="8">
        <f>SUM(C23:C27)</f>
        <v>27618</v>
      </c>
      <c r="D28" s="4">
        <f>SUM(D23:D27)</f>
        <v>191800.84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217</v>
      </c>
      <c r="D32" s="25">
        <v>22629.75</v>
      </c>
    </row>
    <row r="33" spans="2:4" x14ac:dyDescent="0.25">
      <c r="B33" s="9" t="s">
        <v>5</v>
      </c>
      <c r="C33" s="6">
        <v>3348</v>
      </c>
      <c r="D33" s="25">
        <v>93933.829999999973</v>
      </c>
    </row>
    <row r="34" spans="2:4" x14ac:dyDescent="0.25">
      <c r="B34" s="9" t="s">
        <v>6</v>
      </c>
      <c r="C34" s="6">
        <v>267</v>
      </c>
      <c r="D34" s="25">
        <v>2724</v>
      </c>
    </row>
    <row r="35" spans="2:4" x14ac:dyDescent="0.25">
      <c r="B35" s="9" t="s">
        <v>7</v>
      </c>
      <c r="C35" s="6">
        <v>3972</v>
      </c>
      <c r="D35" s="25">
        <v>3550</v>
      </c>
    </row>
    <row r="36" spans="2:4" x14ac:dyDescent="0.25">
      <c r="B36" s="10" t="s">
        <v>8</v>
      </c>
      <c r="C36" s="8">
        <f>SUM(C32:C35)</f>
        <v>7804</v>
      </c>
      <c r="D36" s="4">
        <f>SUM(D32:D35)</f>
        <v>122837.57999999997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989</v>
      </c>
      <c r="D40" s="25">
        <v>61807</v>
      </c>
    </row>
    <row r="41" spans="2:4" x14ac:dyDescent="0.25">
      <c r="B41" s="1" t="s">
        <v>5</v>
      </c>
      <c r="C41" s="6">
        <v>1035</v>
      </c>
      <c r="D41" s="25">
        <v>5729</v>
      </c>
    </row>
    <row r="42" spans="2:4" x14ac:dyDescent="0.25">
      <c r="B42" s="1" t="s">
        <v>6</v>
      </c>
      <c r="C42" s="6">
        <v>1720</v>
      </c>
      <c r="D42" s="25">
        <v>1231</v>
      </c>
    </row>
    <row r="43" spans="2:4" x14ac:dyDescent="0.25">
      <c r="B43" s="1" t="s">
        <v>7</v>
      </c>
      <c r="C43" s="6">
        <v>1935</v>
      </c>
      <c r="D43" s="25">
        <v>4529</v>
      </c>
    </row>
    <row r="44" spans="2:4" x14ac:dyDescent="0.25">
      <c r="B44" s="3" t="s">
        <v>8</v>
      </c>
      <c r="C44" s="8">
        <f>SUM(C40:C43)</f>
        <v>5679</v>
      </c>
      <c r="D44" s="4">
        <f>SUM(D40:D43)</f>
        <v>73296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2888</v>
      </c>
      <c r="D48" s="25">
        <v>40915</v>
      </c>
    </row>
    <row r="49" spans="2:4" x14ac:dyDescent="0.25">
      <c r="B49" s="10" t="s">
        <v>8</v>
      </c>
      <c r="C49" s="8">
        <f>SUM(C48:C48)</f>
        <v>2888</v>
      </c>
      <c r="D49" s="4">
        <f>SUM(D48:D48)</f>
        <v>40915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611</v>
      </c>
      <c r="D53" s="25">
        <v>10798</v>
      </c>
    </row>
    <row r="54" spans="2:4" x14ac:dyDescent="0.25">
      <c r="B54" s="1" t="s">
        <v>5</v>
      </c>
      <c r="C54" s="6">
        <v>871</v>
      </c>
      <c r="D54" s="25">
        <v>2334</v>
      </c>
    </row>
    <row r="55" spans="2:4" x14ac:dyDescent="0.25">
      <c r="B55" s="1" t="s">
        <v>6</v>
      </c>
      <c r="C55" s="6">
        <v>822</v>
      </c>
      <c r="D55" s="25">
        <v>2530</v>
      </c>
    </row>
    <row r="56" spans="2:4" x14ac:dyDescent="0.25">
      <c r="B56" s="1" t="s">
        <v>7</v>
      </c>
      <c r="C56" s="6">
        <v>2481</v>
      </c>
      <c r="D56" s="25">
        <v>2417</v>
      </c>
    </row>
    <row r="57" spans="2:4" x14ac:dyDescent="0.25">
      <c r="B57" s="3" t="s">
        <v>8</v>
      </c>
      <c r="C57" s="8">
        <f>SUM(C53:C56)</f>
        <v>4785</v>
      </c>
      <c r="D57" s="4">
        <f>SUM(D53:D56)</f>
        <v>18079</v>
      </c>
    </row>
    <row r="59" spans="2:4" x14ac:dyDescent="0.25">
      <c r="B59" s="12" t="s">
        <v>13</v>
      </c>
      <c r="C59" s="13">
        <f>SUM(C10+C19+C36+C49+C28+C57+C44)</f>
        <v>96553</v>
      </c>
      <c r="D59" s="13">
        <f>SUM(D10+D19+D36+D49+D28+D57+D44)</f>
        <v>1220834.69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7" sqref="J7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27 MAYO'!C6, 'REPORTE DIARIO'!C:C)</f>
        <v>14514</v>
      </c>
      <c r="E6" s="16">
        <f>SUMIF('REPORTE DIARIO'!B:B,'EPR 27 MAYO'!C6, 'REPORTE DIARIO'!D:D)</f>
        <v>476786.15</v>
      </c>
      <c r="F6" s="16">
        <f>J6*D6</f>
        <v>912308.57142857136</v>
      </c>
      <c r="G6" s="16">
        <f>+E6-F6</f>
        <v>-435522.42142857134</v>
      </c>
      <c r="H6" s="15">
        <f>ABS(G6/F6)</f>
        <v>0.47738499348591323</v>
      </c>
      <c r="I6" s="16">
        <f>E6/D6</f>
        <v>32.850086123742592</v>
      </c>
      <c r="J6" s="16">
        <f>(220/7)*2</f>
        <v>62.857142857142854</v>
      </c>
      <c r="K6" s="16">
        <f>+I6-J6</f>
        <v>-30.007056733400262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27 MAYO'!C7, 'REPORTE DIARIO'!C:C)</f>
        <v>12698</v>
      </c>
      <c r="E7" s="16">
        <f>SUMIF('REPORTE DIARIO'!B:B,'EPR 27 MAYO'!C7, 'REPORTE DIARIO'!D:D)</f>
        <v>316265.58999999997</v>
      </c>
      <c r="F7" s="16">
        <f>J7*D7</f>
        <v>399080</v>
      </c>
      <c r="G7" s="16">
        <f>+E7-F7</f>
        <v>-82814.410000000033</v>
      </c>
      <c r="H7" s="15">
        <f>ABS(G7/F7)</f>
        <v>0.20751330560288672</v>
      </c>
      <c r="I7" s="16">
        <f>E7/D7</f>
        <v>24.906724681052133</v>
      </c>
      <c r="J7" s="16">
        <f>(110/7)*2</f>
        <v>31.428571428571427</v>
      </c>
      <c r="K7" s="16">
        <f t="shared" ref="K7:K9" si="0">+I7-J7</f>
        <v>-6.5218467475192945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27 MAYO'!C8, 'REPORTE DIARIO'!C:C)</f>
        <v>11363</v>
      </c>
      <c r="E8" s="16">
        <f>SUMIF('REPORTE DIARIO'!B:B,'EPR 27 MAYO'!C8, 'REPORTE DIARIO'!D:D)</f>
        <v>141591.93</v>
      </c>
      <c r="F8" s="16">
        <f>J8*D8</f>
        <v>146095.71428571429</v>
      </c>
      <c r="G8" s="16">
        <f>+E8-F8</f>
        <v>-4503.7842857142969</v>
      </c>
      <c r="H8" s="15">
        <f>ABS(G8/F8)</f>
        <v>3.0827627680483517E-2</v>
      </c>
      <c r="I8" s="16">
        <f>E8/D8</f>
        <v>12.46078764410807</v>
      </c>
      <c r="J8" s="16">
        <f>(45/7)*2</f>
        <v>12.857142857142858</v>
      </c>
      <c r="K8" s="16">
        <f t="shared" si="0"/>
        <v>-0.39635521303478782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27 MAYO'!C9, 'REPORTE DIARIO'!C:C)</f>
        <v>57964</v>
      </c>
      <c r="E9" s="16">
        <f>SUMIF('REPORTE DIARIO'!B:B,'EPR 27 MAYO'!C9, 'REPORTE DIARIO'!D:D)</f>
        <v>286191.02</v>
      </c>
      <c r="F9" s="16">
        <f>J9*D9</f>
        <v>248417.14285714284</v>
      </c>
      <c r="G9" s="16">
        <f>+E9-F9</f>
        <v>37773.877142857178</v>
      </c>
      <c r="H9" s="15">
        <f>ABS(G9/F9)</f>
        <v>0.15205825454880056</v>
      </c>
      <c r="I9" s="16">
        <f>E9/D9</f>
        <v>4.9373925194948596</v>
      </c>
      <c r="J9" s="16">
        <f>(15/7)*2</f>
        <v>4.2857142857142856</v>
      </c>
      <c r="K9" s="16">
        <f t="shared" si="0"/>
        <v>0.65167823378057399</v>
      </c>
    </row>
    <row r="10" spans="2:12" x14ac:dyDescent="0.25">
      <c r="B10" s="16"/>
      <c r="C10" s="19" t="s">
        <v>17</v>
      </c>
      <c r="D10" s="24">
        <f>SUM(D6:D9)</f>
        <v>96539</v>
      </c>
      <c r="E10" s="20">
        <f>SUM(E6:E9)</f>
        <v>1220834.69</v>
      </c>
      <c r="F10" s="20">
        <f>SUM(F6:F9)</f>
        <v>1705901.4285714286</v>
      </c>
      <c r="G10" s="20">
        <f>+E10-F10</f>
        <v>-485066.73857142869</v>
      </c>
      <c r="H10" s="21">
        <f>ABS(G10/F10)</f>
        <v>0.28434628780259458</v>
      </c>
      <c r="I10" s="20">
        <f>E10/D10</f>
        <v>12.646025854835869</v>
      </c>
      <c r="J10" s="20">
        <f>F10/D10</f>
        <v>17.67059352770827</v>
      </c>
      <c r="K10" s="20">
        <f>I10-J10</f>
        <v>-5.0245676728724007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2025-05-28T03:58:34Z</dcterms:modified>
</cp:coreProperties>
</file>