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8 MAYO\NOCHE\"/>
    </mc:Choice>
  </mc:AlternateContent>
  <xr:revisionPtr revIDLastSave="0" documentId="13_ncr:1_{FC36148E-AB7B-414A-8692-9CA5A3A6CB0F}" xr6:coauthVersionLast="47" xr6:coauthVersionMax="47" xr10:uidLastSave="{00000000-0000-0000-0000-000000000000}"/>
  <bookViews>
    <workbookView xWindow="10095" yWindow="10095" windowWidth="10005" windowHeight="5445" xr2:uid="{4DC6C92A-CD8A-4966-829B-0B6A986E825B}"/>
  </bookViews>
  <sheets>
    <sheet name="REPORTE DIARIO" sheetId="1" r:id="rId1"/>
    <sheet name="DATA" sheetId="4" r:id="rId2"/>
    <sheet name="EPR 2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2" i="1"/>
  <c r="D36" i="1"/>
  <c r="C36" i="1"/>
  <c r="C52" i="1"/>
  <c r="D19" i="1" l="1"/>
  <c r="C19" i="1"/>
  <c r="J9" i="3"/>
  <c r="J8" i="3"/>
  <c r="J7" i="3"/>
  <c r="D6" i="3"/>
  <c r="F6" i="3" s="1"/>
  <c r="D57" i="1"/>
  <c r="C57" i="1"/>
  <c r="D44" i="1"/>
  <c r="C4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<sst xmlns="http://schemas.openxmlformats.org/spreadsheetml/2006/main" count="88" uniqueCount="36">
  <si>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</si>
  <si>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</si>
  <si>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</si>
  <si>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</si>
  <si>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</si>
  <si>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</si>
  <si>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</si>
  <si>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</si>
  <si>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</si>
  <si>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</si>
  <si>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</si>
  <si>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</si>
  <si>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</si>
  <si>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</si>
  <si>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</si>
  <si>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</si>
  <si>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</si>
  <si>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</si>
  <si>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</si>
  <si>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</si>
  <si>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</si>
  <si>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</si>
  <si>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</si>
  <si>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</si>
  <si>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</si>
  <si>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</si>
  <si>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</si>
  <si>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</si>
  <si>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</si>
  <si>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</si>
  <si>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</si>
  <si>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</si>
  <si>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</si>
  <si>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</si>
  <si>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</si>
  <si>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28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</si>
</sst>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22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2537</v>
      </c>
      <c r="D5" s="25">
        <v>92733.51</v>
      </c>
    </row>
    <row r="6" spans="2:8" x14ac:dyDescent="0.25">
      <c r="B6" s="1" t="s">
        <v>5</v>
      </c>
      <c r="C6" s="6">
        <v>3262</v>
      </c>
      <c r="D6" s="25">
        <v>27558.16</v>
      </c>
    </row>
    <row r="7" spans="2:8" x14ac:dyDescent="0.25">
      <c r="B7" s="1" t="s">
        <v>6</v>
      </c>
      <c r="C7" s="6">
        <v>4794</v>
      </c>
      <c r="D7" s="25">
        <v>15673.6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11271</v>
      </c>
      <c r="D9" s="25">
        <v>32559.16</v>
      </c>
    </row>
    <row r="10" spans="2:8" x14ac:dyDescent="0.25">
      <c r="B10" s="3" t="s">
        <v>8</v>
      </c>
      <c r="C10" s="8">
        <f>SUM(C5:C9)</f>
        <v>21875</v>
      </c>
      <c r="D10" s="4">
        <f>SUM(D5:D9)</f>
        <v>168524.43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2621</v>
      </c>
      <c r="D14" s="25">
        <v>37097.269999999997</v>
      </c>
    </row>
    <row r="15" spans="2:8" x14ac:dyDescent="0.25">
      <c r="B15" s="1" t="s">
        <v>5</v>
      </c>
      <c r="C15" s="6">
        <v>2194</v>
      </c>
      <c r="D15" s="25">
        <v>2019</v>
      </c>
    </row>
    <row r="16" spans="2:8" x14ac:dyDescent="0.25">
      <c r="B16" s="1" t="s">
        <v>6</v>
      </c>
      <c r="C16" s="6">
        <v>2619</v>
      </c>
      <c r="D16" s="25">
        <v>4425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17713</v>
      </c>
      <c r="D18" s="25">
        <v>35502</v>
      </c>
    </row>
    <row r="19" spans="2:11" x14ac:dyDescent="0.25">
      <c r="B19" s="3" t="s">
        <v>8</v>
      </c>
      <c r="C19" s="8">
        <f>SUM(C14:C18)</f>
        <v>25149</v>
      </c>
      <c r="D19" s="4">
        <f>SUM(D14:D18)</f>
        <v>79043.26999999999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3214</v>
      </c>
      <c r="D23" s="25">
        <v>23248.69</v>
      </c>
    </row>
    <row r="24" spans="2:11" x14ac:dyDescent="0.25">
      <c r="B24" s="9" t="s">
        <v>5</v>
      </c>
      <c r="C24" s="6">
        <v>1171</v>
      </c>
      <c r="D24" s="25">
        <v>1723</v>
      </c>
    </row>
    <row r="25" spans="2:11" x14ac:dyDescent="0.25">
      <c r="B25" s="9" t="s">
        <v>6</v>
      </c>
      <c r="C25" s="6">
        <v>2152</v>
      </c>
      <c r="D25" s="25">
        <v>3446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17178</v>
      </c>
      <c r="D27" s="25">
        <v>13236.220000000001</v>
      </c>
    </row>
    <row r="28" spans="2:11" x14ac:dyDescent="0.25">
      <c r="B28" s="10" t="s">
        <v>8</v>
      </c>
      <c r="C28" s="8">
        <f>SUM(C23:C27)</f>
        <v>23716</v>
      </c>
      <c r="D28" s="4">
        <f>SUM(D23:D27)</f>
        <v>41653.910000000003</v>
      </c>
    </row>
    <row r="30" spans="2:11" x14ac:dyDescent="0.25">
      <c r="B30" s="27" t="s">
        <v>31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1885</v>
      </c>
      <c r="D32" s="25">
        <v>5619</v>
      </c>
    </row>
    <row r="33" spans="2:4" x14ac:dyDescent="0.25">
      <c r="B33" s="1" t="s">
        <v>5</v>
      </c>
      <c r="C33" s="6">
        <v>1147</v>
      </c>
      <c r="D33" s="25">
        <v>5535.3</v>
      </c>
    </row>
    <row r="34" spans="2:4" x14ac:dyDescent="0.25">
      <c r="B34" s="1" t="s">
        <v>6</v>
      </c>
      <c r="C34" s="6">
        <v>1923</v>
      </c>
      <c r="D34" s="26">
        <v>0</v>
      </c>
    </row>
    <row r="35" spans="2:4" x14ac:dyDescent="0.25">
      <c r="B35" s="1" t="s">
        <v>7</v>
      </c>
      <c r="C35" s="6">
        <v>1994</v>
      </c>
      <c r="D35" s="26">
        <v>0</v>
      </c>
    </row>
    <row r="36" spans="2:4" x14ac:dyDescent="0.25">
      <c r="B36" s="3" t="s">
        <v>8</v>
      </c>
      <c r="C36" s="8">
        <f>SUM(C32:C35)</f>
        <v>6949</v>
      </c>
      <c r="D36" s="4">
        <f>SUM(D32:D35)</f>
        <v>11154.3</v>
      </c>
    </row>
    <row r="38" spans="2:4" x14ac:dyDescent="0.25">
      <c r="B38" s="27" t="s">
        <v>9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55</v>
      </c>
      <c r="D40" s="25">
        <v>2033</v>
      </c>
    </row>
    <row r="41" spans="2:4" x14ac:dyDescent="0.25">
      <c r="B41" s="9" t="s">
        <v>5</v>
      </c>
      <c r="C41" s="6">
        <v>3342</v>
      </c>
      <c r="D41" s="25">
        <v>7217</v>
      </c>
    </row>
    <row r="42" spans="2:4" x14ac:dyDescent="0.25">
      <c r="B42" s="9" t="s">
        <v>6</v>
      </c>
      <c r="C42" s="6">
        <v>267</v>
      </c>
      <c r="D42" s="25">
        <v>280</v>
      </c>
    </row>
    <row r="43" spans="2:4" x14ac:dyDescent="0.25">
      <c r="B43" s="9" t="s">
        <v>7</v>
      </c>
      <c r="C43" s="6">
        <v>3972</v>
      </c>
      <c r="D43" s="26">
        <v>0</v>
      </c>
    </row>
    <row r="44" spans="2:4" x14ac:dyDescent="0.25">
      <c r="B44" s="10" t="s">
        <v>8</v>
      </c>
      <c r="C44" s="8">
        <f>SUM(C40:C43)</f>
        <v>7636</v>
      </c>
      <c r="D44" s="4">
        <f>SUM(D40:D43)</f>
        <v>9530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587</v>
      </c>
      <c r="D48" s="25">
        <v>3420</v>
      </c>
    </row>
    <row r="49" spans="2:4" x14ac:dyDescent="0.25">
      <c r="B49" s="1" t="s">
        <v>5</v>
      </c>
      <c r="C49" s="6">
        <v>706</v>
      </c>
      <c r="D49" s="25">
        <v>2300</v>
      </c>
    </row>
    <row r="50" spans="2:4" x14ac:dyDescent="0.25">
      <c r="B50" s="1" t="s">
        <v>6</v>
      </c>
      <c r="C50" s="6">
        <v>811</v>
      </c>
      <c r="D50" s="26">
        <v>0</v>
      </c>
    </row>
    <row r="51" spans="2:4" x14ac:dyDescent="0.25">
      <c r="B51" s="1" t="s">
        <v>7</v>
      </c>
      <c r="C51" s="6">
        <v>2472</v>
      </c>
      <c r="D51" s="25">
        <v>731</v>
      </c>
    </row>
    <row r="52" spans="2:4" x14ac:dyDescent="0.25">
      <c r="B52" s="3" t="s">
        <v>8</v>
      </c>
      <c r="C52" s="8">
        <f>SUM(C48:C51)</f>
        <v>4576</v>
      </c>
      <c r="D52" s="4">
        <f>SUM(D48:D51)</f>
        <v>6451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2850</v>
      </c>
      <c r="D56" s="25">
        <v>3014</v>
      </c>
    </row>
    <row r="57" spans="2:4" x14ac:dyDescent="0.25">
      <c r="B57" s="10" t="s">
        <v>8</v>
      </c>
      <c r="C57" s="8">
        <f>SUM(C56:C56)</f>
        <v>2850</v>
      </c>
      <c r="D57" s="4">
        <f>SUM(D56:D56)</f>
        <v>3014</v>
      </c>
    </row>
    <row r="59" spans="2:4" x14ac:dyDescent="0.25">
      <c r="B59" s="11" t="s">
        <v>13</v>
      </c>
      <c r="C59" s="12">
        <f>SUM(C10+C44+C28+C57+C19+C52+C36)</f>
        <v>92751</v>
      </c>
      <c r="D59" s="12">
        <f>SUM(D10+D44+D28+D57+D19+D52+D36)</f>
        <v>319370.90999999997</v>
      </c>
    </row>
  </sheetData>
  <mergeCells count="7">
    <mergeCell ref="B3:D3"/>
    <mergeCell ref="B38:D38"/>
    <mergeCell ref="B54:D54"/>
    <mergeCell ref="B46:D46"/>
    <mergeCell ref="B12:D12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28 MAYO'!C6, 'REPORTE DIARIO'!C:C)</f>
        <v>13749</v>
      </c>
      <c r="E6" s="15">
        <f>SUMIF('REPORTE DIARIO'!B:B,'EPR 28 MAYO'!C6, 'REPORTE DIARIO'!D:D)</f>
        <v>167165.47</v>
      </c>
      <c r="F6" s="15">
        <f>J6*D6</f>
        <v>432111.42857142852</v>
      </c>
      <c r="G6" s="15">
        <f>+E6-F6</f>
        <v>-264945.95857142855</v>
      </c>
      <c r="H6" s="14">
        <f>ABS(G6/F6)</f>
        <v>0.61314267814518741</v>
      </c>
      <c r="I6" s="15">
        <f>E6/D6</f>
        <v>12.158372972579825</v>
      </c>
      <c r="J6" s="15">
        <f>220/7</f>
        <v>31.428571428571427</v>
      </c>
      <c r="K6" s="15">
        <f>+I6-J6</f>
        <v>-19.270198455991604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28 MAYO'!C7, 'REPORTE DIARIO'!C:C)</f>
        <v>11822</v>
      </c>
      <c r="E7" s="15">
        <f>SUMIF('REPORTE DIARIO'!B:B,'EPR 28 MAYO'!C7, 'REPORTE DIARIO'!D:D)</f>
        <v>46352.46</v>
      </c>
      <c r="F7" s="15">
        <f>J7*D7</f>
        <v>185774.28571428571</v>
      </c>
      <c r="G7" s="15">
        <f>+E7-F7</f>
        <v>-139421.82571428572</v>
      </c>
      <c r="H7" s="14">
        <f>ABS(G7/F7)</f>
        <v>0.75049044154965328</v>
      </c>
      <c r="I7" s="15">
        <f>E7/D7</f>
        <v>3.9208644899340213</v>
      </c>
      <c r="J7" s="15">
        <f>110/7</f>
        <v>15.714285714285714</v>
      </c>
      <c r="K7" s="15">
        <f t="shared" ref="K7:K9" si="0">+I7-J7</f>
        <v>-11.793421224351693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28 MAYO'!C8, 'REPORTE DIARIO'!C:C)</f>
        <v>12566</v>
      </c>
      <c r="E8" s="15">
        <f>SUMIF('REPORTE DIARIO'!B:B,'EPR 28 MAYO'!C8, 'REPORTE DIARIO'!D:D)</f>
        <v>23824.6</v>
      </c>
      <c r="F8" s="15">
        <f>J8*D8</f>
        <v>80781.42857142858</v>
      </c>
      <c r="G8" s="15">
        <f>+E8-F8</f>
        <v>-56956.828571428581</v>
      </c>
      <c r="H8" s="14">
        <f>ABS(G8/F8)</f>
        <v>0.70507330185509409</v>
      </c>
      <c r="I8" s="15">
        <f>E8/D8</f>
        <v>1.8959573452172529</v>
      </c>
      <c r="J8" s="15">
        <f>45/7</f>
        <v>6.4285714285714288</v>
      </c>
      <c r="K8" s="15">
        <f t="shared" si="0"/>
        <v>-4.5326140833541757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28 MAYO'!C9, 'REPORTE DIARIO'!C:C)</f>
        <v>54600</v>
      </c>
      <c r="E9" s="15">
        <f>SUMIF('REPORTE DIARIO'!B:B,'EPR 28 MAYO'!C9, 'REPORTE DIARIO'!D:D)</f>
        <v>82028.38</v>
      </c>
      <c r="F9" s="15">
        <f>J9*D9</f>
        <v>117000</v>
      </c>
      <c r="G9" s="15">
        <f>+E9-F9</f>
        <v>-34971.619999999995</v>
      </c>
      <c r="H9" s="14">
        <f>ABS(G9/F9)</f>
        <v>0.29890273504273501</v>
      </c>
      <c r="I9" s="15">
        <f>E9/D9</f>
        <v>1.5023512820512821</v>
      </c>
      <c r="J9" s="15">
        <f>15/7</f>
        <v>2.1428571428571428</v>
      </c>
      <c r="K9" s="15">
        <f t="shared" si="0"/>
        <v>-0.64050586080586069</v>
      </c>
    </row>
    <row r="10" spans="2:12" x14ac:dyDescent="0.25">
      <c r="B10" s="15"/>
      <c r="C10" s="18" t="s">
        <v>16</v>
      </c>
      <c r="D10" s="23">
        <f>SUM(D6:D9)</f>
        <v>92737</v>
      </c>
      <c r="E10" s="19">
        <f>SUM(E6:E9)</f>
        <v>319370.91000000003</v>
      </c>
      <c r="F10" s="19">
        <f>SUM(F6:F9)</f>
        <v>815667.14285714272</v>
      </c>
      <c r="G10" s="19">
        <f>+E10-F10</f>
        <v>-496296.23285714269</v>
      </c>
      <c r="H10" s="20">
        <f>ABS(G10/F10)</f>
        <v>0.60845436426273314</v>
      </c>
      <c r="I10" s="19">
        <f>E10/D10</f>
        <v>3.4438348232097225</v>
      </c>
      <c r="J10" s="19">
        <f>F10/D10</f>
        <v>8.7954877002398479</v>
      </c>
      <c r="K10" s="19">
        <f>I10-J10</f>
        <v>-5.3516528770301255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2025-05-29T02:09:04Z</dcterms:modified>
</cp:coreProperties>
</file>