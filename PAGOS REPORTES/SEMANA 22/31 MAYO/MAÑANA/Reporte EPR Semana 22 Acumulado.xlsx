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31 MAYO\MAÑANA\"/>
    </mc:Choice>
  </mc:AlternateContent>
  <xr:revisionPtr revIDLastSave="0" documentId="13_ncr:1_{B93C94D6-345A-4ADD-AC2A-59116874FCF9}" xr6:coauthVersionLast="47" xr6:coauthVersionMax="47" xr10:uidLastSave="{00000000-0000-0000-0000-000000000000}"/>
  <bookViews>
    <workbookView xWindow="14580" yWindow="14580" windowWidth="10005" windowHeight="5445" activeTab="2" xr2:uid="{4DC6C92A-CD8A-4966-829B-0B6A986E825B}"/>
  </bookViews>
  <sheets>
    <sheet name="REPORTE DIARIO" sheetId="1" r:id="rId1"/>
    <sheet name="DATA" sheetId="4" r:id="rId2"/>
    <sheet name="EPR 30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<sst xmlns="http://schemas.openxmlformats.org/spreadsheetml/2006/main" count="89" uniqueCount="37">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</sst>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34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2519</v>
      </c>
      <c r="D5" s="25">
        <v>421515.06</v>
      </c>
    </row>
    <row r="6" spans="2:8" x14ac:dyDescent="0.25">
      <c r="B6" s="1" t="s">
        <v>5</v>
      </c>
      <c r="C6" s="6">
        <v>3102</v>
      </c>
      <c r="D6" s="25">
        <v>208595.28999999998</v>
      </c>
    </row>
    <row r="7" spans="2:8" x14ac:dyDescent="0.25">
      <c r="B7" s="1" t="s">
        <v>6</v>
      </c>
      <c r="C7" s="6">
        <v>4832</v>
      </c>
      <c r="D7" s="25">
        <v>210781.22000000003</v>
      </c>
    </row>
    <row r="8" spans="2:8" x14ac:dyDescent="0.25">
      <c r="B8" s="5" t="s">
        <v>12</v>
      </c>
      <c r="C8" s="7">
        <v>1980</v>
      </c>
      <c r="D8" s="25">
        <v>0.06</v>
      </c>
    </row>
    <row r="9" spans="2:8" x14ac:dyDescent="0.25">
      <c r="B9" s="1" t="s">
        <v>7</v>
      </c>
      <c r="C9" s="6">
        <v>11315</v>
      </c>
      <c r="D9" s="25">
        <v>310518.06</v>
      </c>
      <c r="E9" s="14"/>
      <c r="F9" s="7"/>
    </row>
    <row r="10" spans="2:8" x14ac:dyDescent="0.25">
      <c r="B10" s="3" t="s">
        <v>8</v>
      </c>
      <c r="C10" s="8">
        <f>SUM(C5:C9)</f>
        <v>23748</v>
      </c>
      <c r="D10" s="4">
        <f>SUM(D5:D9)</f>
        <v>1151409.6900000002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3214</v>
      </c>
      <c r="D14" s="25">
        <v>269816.24</v>
      </c>
    </row>
    <row r="15" spans="2:8" x14ac:dyDescent="0.25">
      <c r="B15" s="9" t="s">
        <v>5</v>
      </c>
      <c r="C15" s="6">
        <v>1156</v>
      </c>
      <c r="D15" s="25">
        <v>66068.77</v>
      </c>
    </row>
    <row r="16" spans="2:8" x14ac:dyDescent="0.25">
      <c r="B16" s="9" t="s">
        <v>6</v>
      </c>
      <c r="C16" s="6">
        <v>2152</v>
      </c>
      <c r="D16" s="25">
        <v>43300.820000000007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17177</v>
      </c>
      <c r="D18" s="25">
        <v>120338.95000000001</v>
      </c>
    </row>
    <row r="19" spans="2:4" x14ac:dyDescent="0.25">
      <c r="B19" s="10" t="s">
        <v>8</v>
      </c>
      <c r="C19" s="8">
        <f>SUM(C14:C18)</f>
        <v>23700</v>
      </c>
      <c r="D19" s="4">
        <f>SUM(D14:D18)</f>
        <v>499563.78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2666</v>
      </c>
      <c r="D23" s="25">
        <v>176057.64</v>
      </c>
    </row>
    <row r="24" spans="2:4" x14ac:dyDescent="0.25">
      <c r="B24" s="1" t="s">
        <v>5</v>
      </c>
      <c r="C24" s="6">
        <v>2185</v>
      </c>
      <c r="D24" s="25">
        <v>106208.70999999999</v>
      </c>
    </row>
    <row r="25" spans="2:4" x14ac:dyDescent="0.25">
      <c r="B25" s="1" t="s">
        <v>6</v>
      </c>
      <c r="C25" s="6">
        <v>2599</v>
      </c>
      <c r="D25" s="25">
        <v>47874.310000000005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17752</v>
      </c>
      <c r="D27" s="25">
        <v>163382.76</v>
      </c>
    </row>
    <row r="28" spans="2:4" x14ac:dyDescent="0.25">
      <c r="B28" s="3" t="s">
        <v>8</v>
      </c>
      <c r="C28" s="8">
        <f>SUM(C23:C27)</f>
        <v>25204</v>
      </c>
      <c r="D28" s="4">
        <f>SUM(D23:D27)</f>
        <v>493523.42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55</v>
      </c>
      <c r="D32" s="25">
        <v>27879.06</v>
      </c>
    </row>
    <row r="33" spans="2:4" x14ac:dyDescent="0.25">
      <c r="B33" s="9" t="s">
        <v>5</v>
      </c>
      <c r="C33" s="6">
        <v>3348</v>
      </c>
      <c r="D33" s="25">
        <v>205929.9</v>
      </c>
    </row>
    <row r="34" spans="2:4" x14ac:dyDescent="0.25">
      <c r="B34" s="9" t="s">
        <v>6</v>
      </c>
      <c r="C34" s="6">
        <v>273</v>
      </c>
      <c r="D34" s="25">
        <v>8692.67</v>
      </c>
    </row>
    <row r="35" spans="2:4" x14ac:dyDescent="0.25">
      <c r="B35" s="9" t="s">
        <v>7</v>
      </c>
      <c r="C35" s="6">
        <v>3972</v>
      </c>
      <c r="D35" s="25">
        <v>7194</v>
      </c>
    </row>
    <row r="36" spans="2:4" x14ac:dyDescent="0.25">
      <c r="B36" s="10" t="s">
        <v>8</v>
      </c>
      <c r="C36" s="8">
        <f>SUM(C32:C35)</f>
        <v>7648</v>
      </c>
      <c r="D36" s="4">
        <f>SUM(D32:D35)</f>
        <v>249695.63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1929</v>
      </c>
      <c r="D40" s="25">
        <v>72601.790000000008</v>
      </c>
    </row>
    <row r="41" spans="2:4" x14ac:dyDescent="0.25">
      <c r="B41" s="1" t="s">
        <v>5</v>
      </c>
      <c r="C41" s="6">
        <v>1165</v>
      </c>
      <c r="D41" s="25">
        <v>22709.3</v>
      </c>
    </row>
    <row r="42" spans="2:4" x14ac:dyDescent="0.25">
      <c r="B42" s="1" t="s">
        <v>6</v>
      </c>
      <c r="C42" s="6">
        <v>1966</v>
      </c>
      <c r="D42" s="25">
        <v>9438</v>
      </c>
    </row>
    <row r="43" spans="2:4" x14ac:dyDescent="0.25">
      <c r="B43" s="1" t="s">
        <v>7</v>
      </c>
      <c r="C43" s="6">
        <v>2023</v>
      </c>
      <c r="D43" s="25">
        <v>9002</v>
      </c>
    </row>
    <row r="44" spans="2:4" x14ac:dyDescent="0.25">
      <c r="B44" s="3" t="s">
        <v>8</v>
      </c>
      <c r="C44" s="8">
        <f>SUM(C40:C43)</f>
        <v>7083</v>
      </c>
      <c r="D44" s="4">
        <f>SUM(D40:D43)</f>
        <v>113751.09000000001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2841</v>
      </c>
      <c r="D48" s="25">
        <v>110021</v>
      </c>
    </row>
    <row r="49" spans="2:4" x14ac:dyDescent="0.25">
      <c r="B49" s="10" t="s">
        <v>8</v>
      </c>
      <c r="C49" s="8">
        <f>SUM(C48:C48)</f>
        <v>2841</v>
      </c>
      <c r="D49" s="4">
        <f>SUM(D48:D48)</f>
        <v>110021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25706.79</v>
      </c>
    </row>
    <row r="54" spans="2:4" x14ac:dyDescent="0.25">
      <c r="B54" s="1" t="s">
        <v>5</v>
      </c>
      <c r="C54" s="6">
        <v>705</v>
      </c>
      <c r="D54" s="25">
        <v>16364.81</v>
      </c>
    </row>
    <row r="55" spans="2:4" x14ac:dyDescent="0.25">
      <c r="B55" s="1" t="s">
        <v>6</v>
      </c>
      <c r="C55" s="6">
        <v>811</v>
      </c>
      <c r="D55" s="25">
        <v>3991</v>
      </c>
    </row>
    <row r="56" spans="2:4" x14ac:dyDescent="0.25">
      <c r="B56" s="1" t="s">
        <v>7</v>
      </c>
      <c r="C56" s="6">
        <v>2472</v>
      </c>
      <c r="D56" s="25">
        <v>5020</v>
      </c>
    </row>
    <row r="57" spans="2:4" x14ac:dyDescent="0.25">
      <c r="B57" s="3" t="s">
        <v>8</v>
      </c>
      <c r="C57" s="8">
        <f>SUM(C53:C56)</f>
        <v>4575</v>
      </c>
      <c r="D57" s="4">
        <f>SUM(D53:D56)</f>
        <v>51082.6</v>
      </c>
    </row>
    <row r="59" spans="2:4" x14ac:dyDescent="0.25">
      <c r="B59" s="12" t="s">
        <v>13</v>
      </c>
      <c r="C59" s="13">
        <f>SUM(C10+C19+C36+C49+C28+C57+C44)</f>
        <v>94799</v>
      </c>
      <c r="D59" s="13">
        <f>SUM(D10+D19+D36+D49+D28+D57+D44)</f>
        <v>2669047.21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30 MAYO'!C6, 'REPORTE DIARIO'!C:C)</f>
        <v>13811</v>
      </c>
      <c r="E6" s="16">
        <f>SUMIF('REPORTE DIARIO'!B:B,'EPR 30 MAYO'!C6, 'REPORTE DIARIO'!D:D)</f>
        <v>1103597.58</v>
      </c>
      <c r="F6" s="16">
        <f>J6*D6</f>
        <v>2604360</v>
      </c>
      <c r="G6" s="16">
        <f>+E6-F6</f>
        <v>-1500762.42</v>
      </c>
      <c r="H6" s="15">
        <f>ABS(G6/F6)</f>
        <v>0.57624998848085518</v>
      </c>
      <c r="I6" s="16">
        <f>E6/D6</f>
        <v>79.907145029324454</v>
      </c>
      <c r="J6" s="16">
        <f>(220/7)*6</f>
        <v>188.57142857142856</v>
      </c>
      <c r="K6" s="16">
        <f>+I6-J6</f>
        <v>-108.6642835421041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30 MAYO'!C7, 'REPORTE DIARIO'!C:C)</f>
        <v>11661</v>
      </c>
      <c r="E7" s="16">
        <f>SUMIF('REPORTE DIARIO'!B:B,'EPR 30 MAYO'!C7, 'REPORTE DIARIO'!D:D)</f>
        <v>625876.78000000014</v>
      </c>
      <c r="F7" s="16">
        <f>J7*D7</f>
        <v>1099465.7142857141</v>
      </c>
      <c r="G7" s="16">
        <f>+E7-F7</f>
        <v>-473588.93428571394</v>
      </c>
      <c r="H7" s="15">
        <f>ABS(G7/F7)</f>
        <v>0.43074461361752309</v>
      </c>
      <c r="I7" s="16">
        <f>E7/D7</f>
        <v>53.672650716062101</v>
      </c>
      <c r="J7" s="16">
        <f>(110/7)*6</f>
        <v>94.285714285714278</v>
      </c>
      <c r="K7" s="16">
        <f t="shared" ref="K7:K9" si="0">+I7-J7</f>
        <v>-40.613063569652176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30 MAYO'!C8, 'REPORTE DIARIO'!C:C)</f>
        <v>12633</v>
      </c>
      <c r="E8" s="16">
        <f>SUMIF('REPORTE DIARIO'!B:B,'EPR 30 MAYO'!C8, 'REPORTE DIARIO'!D:D)</f>
        <v>324078.02</v>
      </c>
      <c r="F8" s="16">
        <f>J8*D8</f>
        <v>487272.8571428571</v>
      </c>
      <c r="G8" s="16">
        <f>+E8-F8</f>
        <v>-163194.83714285708</v>
      </c>
      <c r="H8" s="15">
        <f>ABS(G8/F8)</f>
        <v>0.33491468845557332</v>
      </c>
      <c r="I8" s="16">
        <f>E8/D8</f>
        <v>25.65329058814217</v>
      </c>
      <c r="J8" s="16">
        <f>(45/7)*6</f>
        <v>38.571428571428569</v>
      </c>
      <c r="K8" s="16">
        <f t="shared" si="0"/>
        <v>-12.9181379832864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30 MAYO'!C9, 'REPORTE DIARIO'!C:C)</f>
        <v>54711</v>
      </c>
      <c r="E9" s="16">
        <f>SUMIF('REPORTE DIARIO'!B:B,'EPR 30 MAYO'!C9, 'REPORTE DIARIO'!D:D)</f>
        <v>615455.77</v>
      </c>
      <c r="F9" s="16">
        <f>J9*D9</f>
        <v>703427.14285714284</v>
      </c>
      <c r="G9" s="16">
        <f>+E9-F9</f>
        <v>-87971.372857142822</v>
      </c>
      <c r="H9" s="15">
        <f>ABS(G9/F9)</f>
        <v>0.12506110085520072</v>
      </c>
      <c r="I9" s="16">
        <f>E9/D9</f>
        <v>11.24921441757599</v>
      </c>
      <c r="J9" s="16">
        <f>(15/7)*6</f>
        <v>12.857142857142858</v>
      </c>
      <c r="K9" s="16">
        <f t="shared" si="0"/>
        <v>-1.6079284395668676</v>
      </c>
    </row>
    <row r="10" spans="2:12" x14ac:dyDescent="0.25">
      <c r="B10" s="16"/>
      <c r="C10" s="19" t="s">
        <v>17</v>
      </c>
      <c r="D10" s="24">
        <f>SUM(D6:D9)</f>
        <v>92816</v>
      </c>
      <c r="E10" s="20">
        <f>SUM(E6:E9)</f>
        <v>2669008.1500000004</v>
      </c>
      <c r="F10" s="20">
        <f>SUM(F6:F9)</f>
        <v>4894525.7142857146</v>
      </c>
      <c r="G10" s="20">
        <f>+E10-F10</f>
        <v>-2225517.5642857142</v>
      </c>
      <c r="H10" s="21">
        <f>ABS(G10/F10)</f>
        <v>0.45469524407442946</v>
      </c>
      <c r="I10" s="20">
        <f>E10/D10</f>
        <v>28.755905770556804</v>
      </c>
      <c r="J10" s="20">
        <f>F10/D10</f>
        <v>52.733641982909354</v>
      </c>
      <c r="K10" s="20">
        <f>I10-J10</f>
        <v>-23.97773621235255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30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2025-05-31T15:51:01Z</dcterms:modified>
</cp:coreProperties>
</file>