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2\31 MAYO\NOCHE\"/>
    </mc:Choice>
  </mc:AlternateContent>
  <xr:revisionPtr revIDLastSave="0" documentId="13_ncr:1_{78FC5DAA-14B5-4E0A-B081-F9850A3E5EFC}" xr6:coauthVersionLast="47" xr6:coauthVersionMax="47" xr10:uidLastSave="{00000000-0000-0000-0000-000000000000}"/>
  <bookViews>
    <workbookView xWindow="-120" yWindow="-120" windowWidth="51840" windowHeight="21120" xr2:uid="{4DC6C92A-CD8A-4966-829B-0B6A986E825B}"/>
  </bookViews>
  <sheets>
    <sheet name="REPORTE DIARIO" sheetId="1" r:id="rId1"/>
    <sheet name="DATA" sheetId="4" r:id="rId2"/>
    <sheet name="EPR 31 MAY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C19" i="1" l="1"/>
  <c r="D19" i="1"/>
  <c r="D28" i="1"/>
  <c r="C28" i="1"/>
  <c r="D6" i="3"/>
  <c r="D44" i="1"/>
  <c r="C44" i="1"/>
  <c r="D57" i="1"/>
  <c r="C57" i="1"/>
  <c r="D49" i="1" l="1"/>
  <c r="C49" i="1"/>
  <c r="D36" i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59" i="1" l="1"/>
  <c r="D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<sst xmlns="http://schemas.openxmlformats.org/spreadsheetml/2006/main" count="89" uniqueCount="37">
  <si>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</si>
  <si>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</si>
  <si>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</si>
  <si>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</si>
  <si>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</si>
  <si>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</si>
  <si>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</si>
  <si>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</si>
  <si>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</si>
  <si>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</si>
  <si>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</si>
  <si>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</si>
  <si>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</si>
  <si>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</si>
  <si>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</si>
  <si>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</si>
  <si>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</si>
  <si>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</si>
  <si>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</si>
  <si>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</si>
  <si>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</si>
  <si>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</si>
  <si>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</si>
  <si>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</si>
  <si>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</si>
  <si>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</si>
  <si>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</si>
  <si>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</si>
  <si>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</si>
  <si>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</si>
  <si>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SAMANTHA 2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</si>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</sst>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59"/>
  <sheetViews>
    <sheetView showGridLines="0" tabSelected="1" zoomScaleNormal="100" workbookViewId="0">
      <selection activeCell="B3" sqref="B3:D59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2538</v>
      </c>
      <c r="D5" s="25">
        <v>495675.16</v>
      </c>
    </row>
    <row r="6" spans="2:8" x14ac:dyDescent="0.25">
      <c r="B6" s="1" t="s">
        <v>5</v>
      </c>
      <c r="C6" s="6">
        <v>3126</v>
      </c>
      <c r="D6" s="25">
        <v>305722.92</v>
      </c>
    </row>
    <row r="7" spans="2:8" x14ac:dyDescent="0.25">
      <c r="B7" s="1" t="s">
        <v>6</v>
      </c>
      <c r="C7" s="6">
        <v>4936</v>
      </c>
      <c r="D7" s="25">
        <v>267519.22000000003</v>
      </c>
    </row>
    <row r="8" spans="2:8" x14ac:dyDescent="0.25">
      <c r="B8" s="5" t="s">
        <v>12</v>
      </c>
      <c r="C8" s="7">
        <v>1980</v>
      </c>
      <c r="D8" s="25">
        <v>900.06</v>
      </c>
    </row>
    <row r="9" spans="2:8" x14ac:dyDescent="0.25">
      <c r="B9" s="1" t="s">
        <v>7</v>
      </c>
      <c r="C9" s="6">
        <v>11341</v>
      </c>
      <c r="D9" s="25">
        <v>414100.67</v>
      </c>
      <c r="E9" s="14"/>
      <c r="F9" s="7"/>
    </row>
    <row r="10" spans="2:8" x14ac:dyDescent="0.25">
      <c r="B10" s="3" t="s">
        <v>8</v>
      </c>
      <c r="C10" s="8">
        <f>SUM(C5:C9)</f>
        <v>23921</v>
      </c>
      <c r="D10" s="4">
        <f>SUM(D5:D9)</f>
        <v>1483918.03</v>
      </c>
      <c r="E10" s="11" t="s">
        <v>14</v>
      </c>
    </row>
    <row r="12" spans="2:8" x14ac:dyDescent="0.25">
      <c r="B12" s="28" t="s">
        <v>30</v>
      </c>
      <c r="C12" s="28"/>
      <c r="D12" s="28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2700</v>
      </c>
      <c r="D14" s="25">
        <v>231874.23000000004</v>
      </c>
    </row>
    <row r="15" spans="2:8" x14ac:dyDescent="0.25">
      <c r="B15" s="1" t="s">
        <v>5</v>
      </c>
      <c r="C15" s="6">
        <v>2215</v>
      </c>
      <c r="D15" s="25">
        <v>124798.70999999999</v>
      </c>
    </row>
    <row r="16" spans="2:8" x14ac:dyDescent="0.25">
      <c r="B16" s="1" t="s">
        <v>6</v>
      </c>
      <c r="C16" s="6">
        <v>2622</v>
      </c>
      <c r="D16" s="25">
        <v>66240.31</v>
      </c>
    </row>
    <row r="17" spans="2:4" x14ac:dyDescent="0.25">
      <c r="B17" s="5" t="s">
        <v>12</v>
      </c>
      <c r="C17" s="7">
        <v>2</v>
      </c>
      <c r="D17" s="26">
        <v>0</v>
      </c>
    </row>
    <row r="18" spans="2:4" x14ac:dyDescent="0.25">
      <c r="B18" s="1" t="s">
        <v>7</v>
      </c>
      <c r="C18" s="6">
        <v>17759</v>
      </c>
      <c r="D18" s="25">
        <v>204087.76</v>
      </c>
    </row>
    <row r="19" spans="2:4" x14ac:dyDescent="0.25">
      <c r="B19" s="3" t="s">
        <v>8</v>
      </c>
      <c r="C19" s="8">
        <f>SUM(C14:C18)</f>
        <v>25298</v>
      </c>
      <c r="D19" s="4">
        <f>SUM(D14:D18)</f>
        <v>627001.01</v>
      </c>
    </row>
    <row r="21" spans="2:4" x14ac:dyDescent="0.25">
      <c r="B21" s="27" t="s">
        <v>10</v>
      </c>
      <c r="C21" s="27"/>
      <c r="D21" s="27"/>
    </row>
    <row r="22" spans="2:4" x14ac:dyDescent="0.25">
      <c r="B22" s="4" t="s">
        <v>1</v>
      </c>
      <c r="C22" s="4" t="s">
        <v>2</v>
      </c>
      <c r="D22" s="4" t="s">
        <v>3</v>
      </c>
    </row>
    <row r="23" spans="2:4" x14ac:dyDescent="0.25">
      <c r="B23" s="9" t="s">
        <v>4</v>
      </c>
      <c r="C23" s="6">
        <v>3224</v>
      </c>
      <c r="D23" s="25">
        <v>297491.11</v>
      </c>
    </row>
    <row r="24" spans="2:4" x14ac:dyDescent="0.25">
      <c r="B24" s="9" t="s">
        <v>5</v>
      </c>
      <c r="C24" s="6">
        <v>1156</v>
      </c>
      <c r="D24" s="25">
        <v>73673.89</v>
      </c>
    </row>
    <row r="25" spans="2:4" x14ac:dyDescent="0.25">
      <c r="B25" s="9" t="s">
        <v>6</v>
      </c>
      <c r="C25" s="6">
        <v>2152</v>
      </c>
      <c r="D25" s="25">
        <v>55484.820000000007</v>
      </c>
    </row>
    <row r="26" spans="2:4" x14ac:dyDescent="0.25">
      <c r="B26" s="5" t="s">
        <v>12</v>
      </c>
      <c r="C26" s="7">
        <v>1</v>
      </c>
      <c r="D26" s="25">
        <v>39</v>
      </c>
    </row>
    <row r="27" spans="2:4" x14ac:dyDescent="0.25">
      <c r="B27" s="9" t="s">
        <v>7</v>
      </c>
      <c r="C27" s="6">
        <v>17177</v>
      </c>
      <c r="D27" s="25">
        <v>124704.95000000001</v>
      </c>
    </row>
    <row r="28" spans="2:4" x14ac:dyDescent="0.25">
      <c r="B28" s="10" t="s">
        <v>8</v>
      </c>
      <c r="C28" s="8">
        <f>SUM(C23:C27)</f>
        <v>23710</v>
      </c>
      <c r="D28" s="4">
        <f>SUM(D23:D27)</f>
        <v>551393.77</v>
      </c>
    </row>
    <row r="30" spans="2:4" x14ac:dyDescent="0.25">
      <c r="B30" s="28" t="s">
        <v>9</v>
      </c>
      <c r="C30" s="28"/>
      <c r="D30" s="28"/>
    </row>
    <row r="31" spans="2:4" x14ac:dyDescent="0.25">
      <c r="B31" s="2" t="s">
        <v>1</v>
      </c>
      <c r="C31" s="2" t="s">
        <v>2</v>
      </c>
      <c r="D31" s="2" t="s">
        <v>3</v>
      </c>
    </row>
    <row r="32" spans="2:4" x14ac:dyDescent="0.25">
      <c r="B32" s="9" t="s">
        <v>4</v>
      </c>
      <c r="C32" s="6">
        <v>55</v>
      </c>
      <c r="D32" s="25">
        <v>28421.06</v>
      </c>
    </row>
    <row r="33" spans="2:4" x14ac:dyDescent="0.25">
      <c r="B33" s="9" t="s">
        <v>5</v>
      </c>
      <c r="C33" s="6">
        <v>3357</v>
      </c>
      <c r="D33" s="25">
        <v>261472.52</v>
      </c>
    </row>
    <row r="34" spans="2:4" x14ac:dyDescent="0.25">
      <c r="B34" s="9" t="s">
        <v>6</v>
      </c>
      <c r="C34" s="6">
        <v>282</v>
      </c>
      <c r="D34" s="25">
        <v>9433.67</v>
      </c>
    </row>
    <row r="35" spans="2:4" x14ac:dyDescent="0.25">
      <c r="B35" s="9" t="s">
        <v>7</v>
      </c>
      <c r="C35" s="6">
        <v>3972</v>
      </c>
      <c r="D35" s="25">
        <v>8116</v>
      </c>
    </row>
    <row r="36" spans="2:4" x14ac:dyDescent="0.25">
      <c r="B36" s="10" t="s">
        <v>8</v>
      </c>
      <c r="C36" s="8">
        <f>SUM(C32:C35)</f>
        <v>7666</v>
      </c>
      <c r="D36" s="4">
        <f>SUM(D32:D35)</f>
        <v>307443.25</v>
      </c>
    </row>
    <row r="38" spans="2:4" x14ac:dyDescent="0.25">
      <c r="B38" s="28" t="s">
        <v>32</v>
      </c>
      <c r="C38" s="28"/>
      <c r="D38" s="28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1960</v>
      </c>
      <c r="D40" s="25">
        <v>76482.790000000008</v>
      </c>
    </row>
    <row r="41" spans="2:4" x14ac:dyDescent="0.25">
      <c r="B41" s="1" t="s">
        <v>5</v>
      </c>
      <c r="C41" s="6">
        <v>1197</v>
      </c>
      <c r="D41" s="25">
        <v>28019.3</v>
      </c>
    </row>
    <row r="42" spans="2:4" x14ac:dyDescent="0.25">
      <c r="B42" s="1" t="s">
        <v>6</v>
      </c>
      <c r="C42" s="6">
        <v>1986</v>
      </c>
      <c r="D42" s="25">
        <v>9703</v>
      </c>
    </row>
    <row r="43" spans="2:4" x14ac:dyDescent="0.25">
      <c r="B43" s="1" t="s">
        <v>7</v>
      </c>
      <c r="C43" s="6">
        <v>2026</v>
      </c>
      <c r="D43" s="25">
        <v>12265</v>
      </c>
    </row>
    <row r="44" spans="2:4" x14ac:dyDescent="0.25">
      <c r="B44" s="3" t="s">
        <v>8</v>
      </c>
      <c r="C44" s="8">
        <f>SUM(C40:C43)</f>
        <v>7169</v>
      </c>
      <c r="D44" s="4">
        <f>SUM(D40:D43)</f>
        <v>126470.09000000001</v>
      </c>
    </row>
    <row r="46" spans="2:4" x14ac:dyDescent="0.25">
      <c r="B46" s="27" t="s">
        <v>11</v>
      </c>
      <c r="C46" s="27"/>
      <c r="D46" s="27"/>
    </row>
    <row r="47" spans="2:4" x14ac:dyDescent="0.25">
      <c r="B47" s="4" t="s">
        <v>1</v>
      </c>
      <c r="C47" s="4" t="s">
        <v>2</v>
      </c>
      <c r="D47" s="4" t="s">
        <v>3</v>
      </c>
    </row>
    <row r="48" spans="2:4" x14ac:dyDescent="0.25">
      <c r="B48" s="9" t="s">
        <v>4</v>
      </c>
      <c r="C48" s="6">
        <v>2841</v>
      </c>
      <c r="D48" s="25">
        <v>119689</v>
      </c>
    </row>
    <row r="49" spans="2:4" x14ac:dyDescent="0.25">
      <c r="B49" s="10" t="s">
        <v>8</v>
      </c>
      <c r="C49" s="8">
        <f>SUM(C48:C48)</f>
        <v>2841</v>
      </c>
      <c r="D49" s="4">
        <f>SUM(D48:D48)</f>
        <v>119689</v>
      </c>
    </row>
    <row r="51" spans="2:4" x14ac:dyDescent="0.25">
      <c r="B51" s="28" t="s">
        <v>31</v>
      </c>
      <c r="C51" s="28"/>
      <c r="D51" s="28"/>
    </row>
    <row r="52" spans="2:4" x14ac:dyDescent="0.25">
      <c r="B52" s="2" t="s">
        <v>1</v>
      </c>
      <c r="C52" s="2" t="s">
        <v>2</v>
      </c>
      <c r="D52" s="2" t="s">
        <v>3</v>
      </c>
    </row>
    <row r="53" spans="2:4" x14ac:dyDescent="0.25">
      <c r="B53" s="9" t="s">
        <v>4</v>
      </c>
      <c r="C53" s="6">
        <v>587</v>
      </c>
      <c r="D53" s="25">
        <v>26712.79</v>
      </c>
    </row>
    <row r="54" spans="2:4" x14ac:dyDescent="0.25">
      <c r="B54" s="1" t="s">
        <v>5</v>
      </c>
      <c r="C54" s="6">
        <v>705</v>
      </c>
      <c r="D54" s="25">
        <v>17427.809999999998</v>
      </c>
    </row>
    <row r="55" spans="2:4" x14ac:dyDescent="0.25">
      <c r="B55" s="1" t="s">
        <v>6</v>
      </c>
      <c r="C55" s="6">
        <v>811</v>
      </c>
      <c r="D55" s="25">
        <v>5301</v>
      </c>
    </row>
    <row r="56" spans="2:4" x14ac:dyDescent="0.25">
      <c r="B56" s="1" t="s">
        <v>7</v>
      </c>
      <c r="C56" s="6">
        <v>2472</v>
      </c>
      <c r="D56" s="25">
        <v>5464</v>
      </c>
    </row>
    <row r="57" spans="2:4" x14ac:dyDescent="0.25">
      <c r="B57" s="3" t="s">
        <v>8</v>
      </c>
      <c r="C57" s="8">
        <f>SUM(C53:C56)</f>
        <v>4575</v>
      </c>
      <c r="D57" s="4">
        <f>SUM(D53:D56)</f>
        <v>54905.599999999999</v>
      </c>
    </row>
    <row r="59" spans="2:4" x14ac:dyDescent="0.25">
      <c r="B59" s="12" t="s">
        <v>13</v>
      </c>
      <c r="C59" s="13">
        <f>SUM(C10+C28+C36+C49+C19+C57+C44)</f>
        <v>95180</v>
      </c>
      <c r="D59" s="13">
        <f>SUM(D10+D28+D36+D49+D19+D57+D44)</f>
        <v>3270820.7499999995</v>
      </c>
    </row>
  </sheetData>
  <mergeCells count="7">
    <mergeCell ref="B46:D46"/>
    <mergeCell ref="B38:D38"/>
    <mergeCell ref="B12:D12"/>
    <mergeCell ref="B51:D51"/>
    <mergeCell ref="B3:D3"/>
    <mergeCell ref="B21:D21"/>
    <mergeCell ref="B30:D30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J6" sqref="J6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36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34</v>
      </c>
      <c r="C6" s="16" t="s">
        <v>4</v>
      </c>
      <c r="D6" s="23">
        <f>SUMIF('REPORTE DIARIO'!B:B,'EPR 31 MAYO'!C6, 'REPORTE DIARIO'!C:C)</f>
        <v>13905</v>
      </c>
      <c r="E6" s="16">
        <f>SUMIF('REPORTE DIARIO'!B:B,'EPR 31 MAYO'!C6, 'REPORTE DIARIO'!D:D)</f>
        <v>1276346.1400000001</v>
      </c>
      <c r="F6" s="16">
        <f>J6*D6</f>
        <v>2622085.7142857141</v>
      </c>
      <c r="G6" s="16">
        <f>+E6-F6</f>
        <v>-1345739.574285714</v>
      </c>
      <c r="H6" s="15">
        <f>ABS(G6/F6)</f>
        <v>0.51323248776873365</v>
      </c>
      <c r="I6" s="16">
        <f>E6/D6</f>
        <v>91.790445163610215</v>
      </c>
      <c r="J6" s="16">
        <f>(220/7)*6</f>
        <v>188.57142857142856</v>
      </c>
      <c r="K6" s="16">
        <f>+I6-J6</f>
        <v>-96.78098340781834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31 MAYO'!C7, 'REPORTE DIARIO'!C:C)</f>
        <v>11756</v>
      </c>
      <c r="E7" s="16">
        <f>SUMIF('REPORTE DIARIO'!B:B,'EPR 31 MAYO'!C7, 'REPORTE DIARIO'!D:D)</f>
        <v>811115.15000000014</v>
      </c>
      <c r="F7" s="16">
        <f>J7*D7</f>
        <v>1108422.857142857</v>
      </c>
      <c r="G7" s="16">
        <f>+E7-F7</f>
        <v>-297307.7071428569</v>
      </c>
      <c r="H7" s="15">
        <f>ABS(G7/F7)</f>
        <v>0.26822588980997436</v>
      </c>
      <c r="I7" s="16">
        <f>E7/D7</f>
        <v>68.995844675059558</v>
      </c>
      <c r="J7" s="16">
        <f>(110/7)*6</f>
        <v>94.285714285714278</v>
      </c>
      <c r="K7" s="16">
        <f t="shared" ref="K7:K9" si="0">+I7-J7</f>
        <v>-25.289869610654719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31 MAYO'!C8, 'REPORTE DIARIO'!C:C)</f>
        <v>12789</v>
      </c>
      <c r="E8" s="16">
        <f>SUMIF('REPORTE DIARIO'!B:B,'EPR 31 MAYO'!C8, 'REPORTE DIARIO'!D:D)</f>
        <v>413682.02</v>
      </c>
      <c r="F8" s="16">
        <f>J8*D8</f>
        <v>493290</v>
      </c>
      <c r="G8" s="16">
        <f>+E8-F8</f>
        <v>-79607.979999999981</v>
      </c>
      <c r="H8" s="15">
        <f>ABS(G8/F8)</f>
        <v>0.1613817024468365</v>
      </c>
      <c r="I8" s="16">
        <f>E8/D8</f>
        <v>32.346705762764877</v>
      </c>
      <c r="J8" s="16">
        <f>(45/7)*6</f>
        <v>38.571428571428569</v>
      </c>
      <c r="K8" s="16">
        <f t="shared" si="0"/>
        <v>-6.2247228086636923</v>
      </c>
      <c r="L8" s="15"/>
    </row>
    <row r="9" spans="2:12" x14ac:dyDescent="0.25">
      <c r="B9" s="16" t="s">
        <v>35</v>
      </c>
      <c r="C9" s="16" t="s">
        <v>7</v>
      </c>
      <c r="D9" s="23">
        <f>SUMIF('REPORTE DIARIO'!B:B,'EPR 31 MAYO'!C9, 'REPORTE DIARIO'!C:C)</f>
        <v>54747</v>
      </c>
      <c r="E9" s="16">
        <f>SUMIF('REPORTE DIARIO'!B:B,'EPR 31 MAYO'!C9, 'REPORTE DIARIO'!D:D)</f>
        <v>768738.37999999989</v>
      </c>
      <c r="F9" s="16">
        <f>J9*D9</f>
        <v>703890</v>
      </c>
      <c r="G9" s="16">
        <f>+E9-F9</f>
        <v>64848.379999999888</v>
      </c>
      <c r="H9" s="15">
        <f>ABS(G9/F9)</f>
        <v>9.2128571225617475E-2</v>
      </c>
      <c r="I9" s="16">
        <f>E9/D9</f>
        <v>14.041653058615083</v>
      </c>
      <c r="J9" s="16">
        <f>(15/7)*6</f>
        <v>12.857142857142858</v>
      </c>
      <c r="K9" s="16">
        <f t="shared" si="0"/>
        <v>1.1845102014722251</v>
      </c>
    </row>
    <row r="10" spans="2:12" x14ac:dyDescent="0.25">
      <c r="B10" s="16"/>
      <c r="C10" s="19" t="s">
        <v>17</v>
      </c>
      <c r="D10" s="24">
        <f>SUM(D6:D9)</f>
        <v>93197</v>
      </c>
      <c r="E10" s="20">
        <f>SUM(E6:E9)</f>
        <v>3269881.6900000004</v>
      </c>
      <c r="F10" s="20">
        <f>SUM(F6:F9)</f>
        <v>4927688.5714285709</v>
      </c>
      <c r="G10" s="20">
        <f>+E10-F10</f>
        <v>-1657806.8814285705</v>
      </c>
      <c r="H10" s="21">
        <f>ABS(G10/F10)</f>
        <v>0.33642687791610193</v>
      </c>
      <c r="I10" s="20">
        <f>E10/D10</f>
        <v>35.085696857194975</v>
      </c>
      <c r="J10" s="20">
        <f>F10/D10</f>
        <v>52.873896921881297</v>
      </c>
      <c r="K10" s="20">
        <f>I10-J10</f>
        <v>-17.788200064686322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31 MAYO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2025-05-23T14:10:25Z</cp:lastPrinted>
  <dcterms:created xsi:type="dcterms:W3CDTF">2025-01-27T15:11:28Z</dcterms:created>
  <dcterms:modified xsi:type="dcterms:W3CDTF">2025-06-01T03:41:26Z</dcterms:modified>
</cp:coreProperties>
</file>