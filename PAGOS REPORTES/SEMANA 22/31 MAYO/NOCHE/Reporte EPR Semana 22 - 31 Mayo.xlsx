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31 MAYO\NOCHE\"/>
    </mc:Choice>
  </mc:AlternateContent>
  <xr:revisionPtr revIDLastSave="0" documentId="13_ncr:1_{E338B78E-FE0A-4834-AFB2-C868FE4FB0BE}" xr6:coauthVersionLast="47" xr6:coauthVersionMax="47" xr10:uidLastSave="{00000000-0000-0000-0000-000000000000}"/>
  <bookViews>
    <workbookView xWindow="14580" yWindow="14580" windowWidth="10005" windowHeight="5445" xr2:uid="{4DC6C92A-CD8A-4966-829B-0B6A986E825B}"/>
  </bookViews>
  <sheets>
    <sheet name="REPORTE DIARIO" sheetId="1" r:id="rId1"/>
    <sheet name="DATA" sheetId="4" r:id="rId2"/>
    <sheet name="EPR 31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J6" i="3"/>
  <c r="D57" i="1"/>
  <c r="D44" i="1"/>
  <c r="C44" i="1"/>
  <c r="C57" i="1"/>
  <c r="D19" i="1" l="1"/>
  <c r="C19" i="1"/>
  <c r="J9" i="3"/>
  <c r="J8" i="3"/>
  <c r="J7" i="3"/>
  <c r="D6" i="3"/>
  <c r="F6" i="3" s="1"/>
  <c r="D49" i="1"/>
  <c r="C49" i="1"/>
  <c r="D27" i="1"/>
  <c r="C27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<sst xmlns="http://schemas.openxmlformats.org/spreadsheetml/2006/main" count="88" uniqueCount="36">
  <si>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</si>
  <si>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</si>
  <si>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</si>
  <si>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</si>
  <si>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</si>
  <si>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</si>
  <si>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</si>
  <si>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</si>
  <si>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</si>
  <si>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</si>
  <si>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</si>
  <si>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</si>
  <si>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</si>
  <si>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</si>
  <si>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</si>
  <si>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</si>
  <si>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</si>
  <si>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</si>
  <si>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</si>
  <si>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</si>
  <si>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</si>
  <si>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</si>
  <si>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</si>
  <si>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</si>
  <si>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</si>
  <si>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</si>
  <si>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</si>
  <si>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</si>
  <si>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</si>
  <si>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</si>
  <si>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</si>
  <si>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</si>
  <si>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</si>
  <si>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</si>
  <si>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</si>
  <si>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31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</si>
</sst>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16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2538</v>
      </c>
      <c r="D5" s="25">
        <v>74160.100000000006</v>
      </c>
    </row>
    <row r="6" spans="2:8" x14ac:dyDescent="0.25">
      <c r="B6" s="1" t="s">
        <v>5</v>
      </c>
      <c r="C6" s="6">
        <v>3126</v>
      </c>
      <c r="D6" s="25">
        <v>97127.63</v>
      </c>
    </row>
    <row r="7" spans="2:8" x14ac:dyDescent="0.25">
      <c r="B7" s="1" t="s">
        <v>6</v>
      </c>
      <c r="C7" s="6">
        <v>4936</v>
      </c>
      <c r="D7" s="25">
        <v>56738</v>
      </c>
    </row>
    <row r="8" spans="2:8" x14ac:dyDescent="0.25">
      <c r="B8" s="5" t="s">
        <v>12</v>
      </c>
      <c r="C8" s="7">
        <v>1980</v>
      </c>
      <c r="D8" s="25">
        <v>900</v>
      </c>
    </row>
    <row r="9" spans="2:8" x14ac:dyDescent="0.25">
      <c r="B9" s="1" t="s">
        <v>7</v>
      </c>
      <c r="C9" s="6">
        <v>11341</v>
      </c>
      <c r="D9" s="25">
        <v>103582.61</v>
      </c>
    </row>
    <row r="10" spans="2:8" x14ac:dyDescent="0.25">
      <c r="B10" s="3" t="s">
        <v>8</v>
      </c>
      <c r="C10" s="8">
        <f>SUM(C5:C9)</f>
        <v>23921</v>
      </c>
      <c r="D10" s="4">
        <f>SUM(D5:D9)</f>
        <v>332508.34000000003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2700</v>
      </c>
      <c r="D14" s="25">
        <v>55816.59</v>
      </c>
    </row>
    <row r="15" spans="2:8" x14ac:dyDescent="0.25">
      <c r="B15" s="1" t="s">
        <v>5</v>
      </c>
      <c r="C15" s="6">
        <v>2215</v>
      </c>
      <c r="D15" s="25">
        <v>18590</v>
      </c>
    </row>
    <row r="16" spans="2:8" x14ac:dyDescent="0.25">
      <c r="B16" s="1" t="s">
        <v>6</v>
      </c>
      <c r="C16" s="6">
        <v>2622</v>
      </c>
      <c r="D16" s="25">
        <v>18366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17759</v>
      </c>
      <c r="D18" s="25">
        <v>40705</v>
      </c>
    </row>
    <row r="19" spans="2:11" x14ac:dyDescent="0.25">
      <c r="B19" s="3" t="s">
        <v>8</v>
      </c>
      <c r="C19" s="8">
        <f>SUM(C14:C18)</f>
        <v>25298</v>
      </c>
      <c r="D19" s="4">
        <f>SUM(D14:D18)</f>
        <v>133477.59</v>
      </c>
    </row>
    <row r="21" spans="2:11" x14ac:dyDescent="0.25">
      <c r="B21" s="27" t="s">
        <v>9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9" t="s">
        <v>4</v>
      </c>
      <c r="C23" s="6">
        <v>55</v>
      </c>
      <c r="D23" s="25">
        <v>1077</v>
      </c>
    </row>
    <row r="24" spans="2:11" x14ac:dyDescent="0.25">
      <c r="B24" s="9" t="s">
        <v>5</v>
      </c>
      <c r="C24" s="6">
        <v>3357</v>
      </c>
      <c r="D24" s="25">
        <v>55542.619999999995</v>
      </c>
    </row>
    <row r="25" spans="2:11" x14ac:dyDescent="0.25">
      <c r="B25" s="9" t="s">
        <v>6</v>
      </c>
      <c r="C25" s="6">
        <v>282</v>
      </c>
      <c r="D25" s="25">
        <v>741</v>
      </c>
    </row>
    <row r="26" spans="2:11" x14ac:dyDescent="0.25">
      <c r="B26" s="9" t="s">
        <v>7</v>
      </c>
      <c r="C26" s="6">
        <v>3972</v>
      </c>
      <c r="D26" s="25">
        <v>922</v>
      </c>
      <c r="K26" s="7"/>
    </row>
    <row r="27" spans="2:11" x14ac:dyDescent="0.25">
      <c r="B27" s="10" t="s">
        <v>8</v>
      </c>
      <c r="C27" s="8">
        <f>SUM(C23:C26)</f>
        <v>7666</v>
      </c>
      <c r="D27" s="4">
        <f>SUM(D23:D26)</f>
        <v>58282.619999999995</v>
      </c>
    </row>
    <row r="29" spans="2:11" x14ac:dyDescent="0.25">
      <c r="B29" s="28" t="s">
        <v>10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3224</v>
      </c>
      <c r="D31" s="25">
        <v>26874.87</v>
      </c>
    </row>
    <row r="32" spans="2:11" x14ac:dyDescent="0.25">
      <c r="B32" s="9" t="s">
        <v>5</v>
      </c>
      <c r="C32" s="6">
        <v>1156</v>
      </c>
      <c r="D32" s="25">
        <v>7605.12</v>
      </c>
    </row>
    <row r="33" spans="2:4" x14ac:dyDescent="0.25">
      <c r="B33" s="9" t="s">
        <v>6</v>
      </c>
      <c r="C33" s="6">
        <v>2152</v>
      </c>
      <c r="D33" s="25">
        <v>12184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17177</v>
      </c>
      <c r="D35" s="25">
        <v>4366</v>
      </c>
    </row>
    <row r="36" spans="2:4" x14ac:dyDescent="0.25">
      <c r="B36" s="10" t="s">
        <v>8</v>
      </c>
      <c r="C36" s="8">
        <f>SUM(C31:C35)</f>
        <v>23710</v>
      </c>
      <c r="D36" s="4">
        <f>SUM(D31:D35)</f>
        <v>51029.99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1960</v>
      </c>
      <c r="D40" s="25">
        <v>3881</v>
      </c>
    </row>
    <row r="41" spans="2:4" x14ac:dyDescent="0.25">
      <c r="B41" s="1" t="s">
        <v>5</v>
      </c>
      <c r="C41" s="6">
        <v>1197</v>
      </c>
      <c r="D41" s="25">
        <v>5310</v>
      </c>
    </row>
    <row r="42" spans="2:4" x14ac:dyDescent="0.25">
      <c r="B42" s="1" t="s">
        <v>6</v>
      </c>
      <c r="C42" s="6">
        <v>1986</v>
      </c>
      <c r="D42" s="25">
        <v>265</v>
      </c>
    </row>
    <row r="43" spans="2:4" x14ac:dyDescent="0.25">
      <c r="B43" s="1" t="s">
        <v>7</v>
      </c>
      <c r="C43" s="6">
        <v>2026</v>
      </c>
      <c r="D43" s="25">
        <v>3263</v>
      </c>
    </row>
    <row r="44" spans="2:4" x14ac:dyDescent="0.25">
      <c r="B44" s="3" t="s">
        <v>8</v>
      </c>
      <c r="C44" s="8">
        <f>SUM(C40:C43)</f>
        <v>7169</v>
      </c>
      <c r="D44" s="4">
        <f>SUM(D40:D43)</f>
        <v>12719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2841</v>
      </c>
      <c r="D48" s="25">
        <v>9668</v>
      </c>
    </row>
    <row r="49" spans="2:4" x14ac:dyDescent="0.25">
      <c r="B49" s="10" t="s">
        <v>8</v>
      </c>
      <c r="C49" s="8">
        <f>SUM(C48:C48)</f>
        <v>2841</v>
      </c>
      <c r="D49" s="4">
        <f>SUM(D48:D48)</f>
        <v>9668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1006</v>
      </c>
    </row>
    <row r="54" spans="2:4" x14ac:dyDescent="0.25">
      <c r="B54" s="1" t="s">
        <v>5</v>
      </c>
      <c r="C54" s="6">
        <v>705</v>
      </c>
      <c r="D54" s="25">
        <v>1063</v>
      </c>
    </row>
    <row r="55" spans="2:4" x14ac:dyDescent="0.25">
      <c r="B55" s="1" t="s">
        <v>6</v>
      </c>
      <c r="C55" s="6">
        <v>811</v>
      </c>
      <c r="D55" s="25">
        <v>1310</v>
      </c>
    </row>
    <row r="56" spans="2:4" x14ac:dyDescent="0.25">
      <c r="B56" s="1" t="s">
        <v>7</v>
      </c>
      <c r="C56" s="6">
        <v>2472</v>
      </c>
      <c r="D56" s="25">
        <v>444</v>
      </c>
    </row>
    <row r="57" spans="2:4" x14ac:dyDescent="0.25">
      <c r="B57" s="3" t="s">
        <v>8</v>
      </c>
      <c r="C57" s="8">
        <f>SUM(C53:C56)</f>
        <v>4575</v>
      </c>
      <c r="D57" s="4">
        <f>SUM(D53:D56)</f>
        <v>3823</v>
      </c>
    </row>
    <row r="59" spans="2:4" x14ac:dyDescent="0.25">
      <c r="B59" s="11" t="s">
        <v>13</v>
      </c>
      <c r="C59" s="12">
        <f>SUM(C10+C27+C36+C49+C19+C57+C44)</f>
        <v>95180</v>
      </c>
      <c r="D59" s="12">
        <f>SUM(D10+D27+D36+D49+D19+D57+D44)</f>
        <v>601508.54</v>
      </c>
    </row>
  </sheetData>
  <mergeCells count="7">
    <mergeCell ref="B3:D3"/>
    <mergeCell ref="B21:D21"/>
    <mergeCell ref="B46:D46"/>
    <mergeCell ref="B51:D51"/>
    <mergeCell ref="B12:D12"/>
    <mergeCell ref="B29:D29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3" sqref="B3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31 MAYO'!C6, 'REPORTE DIARIO'!C:C)</f>
        <v>13905</v>
      </c>
      <c r="E6" s="15">
        <f>SUMIF('REPORTE DIARIO'!B:B,'EPR 31 MAYO'!C6, 'REPORTE DIARIO'!D:D)</f>
        <v>172483.56</v>
      </c>
      <c r="F6" s="15">
        <f>J6*D6</f>
        <v>437014.28571428568</v>
      </c>
      <c r="G6" s="15">
        <f>+E6-F6</f>
        <v>-264530.72571428568</v>
      </c>
      <c r="H6" s="14">
        <f>ABS(G6/F6)</f>
        <v>0.60531368049426304</v>
      </c>
      <c r="I6" s="15">
        <f>E6/D6</f>
        <v>12.404427184466019</v>
      </c>
      <c r="J6" s="15">
        <f>220/7</f>
        <v>31.428571428571427</v>
      </c>
      <c r="K6" s="15">
        <f>+I6-J6</f>
        <v>-19.024144244105408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31 MAYO'!C7, 'REPORTE DIARIO'!C:C)</f>
        <v>11756</v>
      </c>
      <c r="E7" s="15">
        <f>SUMIF('REPORTE DIARIO'!B:B,'EPR 31 MAYO'!C7, 'REPORTE DIARIO'!D:D)</f>
        <v>185238.37</v>
      </c>
      <c r="F7" s="15">
        <f>J7*D7</f>
        <v>184737.14285714284</v>
      </c>
      <c r="G7" s="15">
        <f>+E7-F7</f>
        <v>501.22714285715483</v>
      </c>
      <c r="H7" s="14">
        <f>ABS(G7/F7)</f>
        <v>2.7131909431161528E-3</v>
      </c>
      <c r="I7" s="15">
        <f>E7/D7</f>
        <v>15.756921571963252</v>
      </c>
      <c r="J7" s="15">
        <f>110/7</f>
        <v>15.714285714285714</v>
      </c>
      <c r="K7" s="15">
        <f t="shared" ref="K7:K9" si="0">+I7-J7</f>
        <v>4.2635857677538525E-2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31 MAYO'!C8, 'REPORTE DIARIO'!C:C)</f>
        <v>12789</v>
      </c>
      <c r="E8" s="15">
        <f>SUMIF('REPORTE DIARIO'!B:B,'EPR 31 MAYO'!C8, 'REPORTE DIARIO'!D:D)</f>
        <v>89604</v>
      </c>
      <c r="F8" s="15">
        <f>J8*D8</f>
        <v>82215</v>
      </c>
      <c r="G8" s="15">
        <f>+E8-F8</f>
        <v>7389</v>
      </c>
      <c r="H8" s="14">
        <f>ABS(G8/F8)</f>
        <v>8.9874110563765736E-2</v>
      </c>
      <c r="I8" s="15">
        <f>E8/D8</f>
        <v>7.0063335679099223</v>
      </c>
      <c r="J8" s="15">
        <f>45/7</f>
        <v>6.4285714285714288</v>
      </c>
      <c r="K8" s="15">
        <f t="shared" si="0"/>
        <v>0.57776213933849352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31 MAYO'!C9, 'REPORTE DIARIO'!C:C)</f>
        <v>54747</v>
      </c>
      <c r="E9" s="15">
        <f>SUMIF('REPORTE DIARIO'!B:B,'EPR 31 MAYO'!C9, 'REPORTE DIARIO'!D:D)</f>
        <v>153282.60999999999</v>
      </c>
      <c r="F9" s="15">
        <f>J9*D9</f>
        <v>117315</v>
      </c>
      <c r="G9" s="15">
        <f>+E9-F9</f>
        <v>35967.609999999986</v>
      </c>
      <c r="H9" s="14">
        <f>ABS(G9/F9)</f>
        <v>0.30659003537484536</v>
      </c>
      <c r="I9" s="15">
        <f>E9/D9</f>
        <v>2.7998357900889546</v>
      </c>
      <c r="J9" s="15">
        <f>15/7</f>
        <v>2.1428571428571428</v>
      </c>
      <c r="K9" s="15">
        <f t="shared" si="0"/>
        <v>0.65697864723181176</v>
      </c>
    </row>
    <row r="10" spans="2:12" x14ac:dyDescent="0.25">
      <c r="B10" s="15"/>
      <c r="C10" s="18" t="s">
        <v>16</v>
      </c>
      <c r="D10" s="23">
        <f>SUM(D6:D9)</f>
        <v>93197</v>
      </c>
      <c r="E10" s="19">
        <f>SUM(E6:E9)</f>
        <v>600608.54</v>
      </c>
      <c r="F10" s="19">
        <f>SUM(F6:F9)</f>
        <v>821281.42857142852</v>
      </c>
      <c r="G10" s="19">
        <f>+E10-F10</f>
        <v>-220672.88857142848</v>
      </c>
      <c r="H10" s="20">
        <f>ABS(G10/F10)</f>
        <v>0.2686933868153773</v>
      </c>
      <c r="I10" s="19">
        <f>E10/D10</f>
        <v>6.4445050806356434</v>
      </c>
      <c r="J10" s="19">
        <f>F10/D10</f>
        <v>8.8123161536468828</v>
      </c>
      <c r="K10" s="19">
        <f>I10-J10</f>
        <v>-2.3678110730112394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31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2025-06-01T03:37:21Z</dcterms:modified>
</cp:coreProperties>
</file>