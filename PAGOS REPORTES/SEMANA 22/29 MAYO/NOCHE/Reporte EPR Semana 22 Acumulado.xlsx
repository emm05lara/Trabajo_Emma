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9 MAYO\NOCHE\"/>
    </mc:Choice>
  </mc:AlternateContent>
  <xr:revisionPtr revIDLastSave="0" documentId="13_ncr:1_{CCE90079-7693-4849-BAE6-FBC41AD10AB3}" xr6:coauthVersionLast="47" xr6:coauthVersionMax="47" xr10:uidLastSave="{00000000-0000-0000-0000-000000000000}"/>
  <bookViews>
    <workbookView xWindow="12855" yWindow="12855" windowWidth="10005" windowHeight="5445" xr2:uid="{4DC6C92A-CD8A-4966-829B-0B6A986E825B}"/>
  </bookViews>
  <sheets>
    <sheet name="REPORTE DIARIO" sheetId="1" r:id="rId1"/>
    <sheet name="DATA" sheetId="4" r:id="rId2"/>
    <sheet name="EPR 29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<sst xmlns="http://schemas.openxmlformats.org/spreadsheetml/2006/main" count="89" uniqueCount="37">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</sst>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40" zoomScaleNormal="100" workbookViewId="0">
      <selection activeCell="C52" sqref="C5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2558</v>
      </c>
      <c r="D5" s="25">
        <v>284767.82</v>
      </c>
    </row>
    <row r="6" spans="2:8" x14ac:dyDescent="0.25">
      <c r="B6" s="1" t="s">
        <v>5</v>
      </c>
      <c r="C6" s="6">
        <v>3261</v>
      </c>
      <c r="D6" s="25">
        <v>134382.29</v>
      </c>
    </row>
    <row r="7" spans="2:8" x14ac:dyDescent="0.25">
      <c r="B7" s="1" t="s">
        <v>6</v>
      </c>
      <c r="C7" s="6">
        <v>4789</v>
      </c>
      <c r="D7" s="25">
        <v>151234.53</v>
      </c>
    </row>
    <row r="8" spans="2:8" x14ac:dyDescent="0.25">
      <c r="B8" s="5" t="s">
        <v>12</v>
      </c>
      <c r="C8" s="7">
        <v>1980</v>
      </c>
      <c r="D8" s="26">
        <v>0</v>
      </c>
    </row>
    <row r="9" spans="2:8" x14ac:dyDescent="0.25">
      <c r="B9" s="1" t="s">
        <v>7</v>
      </c>
      <c r="C9" s="6">
        <v>11303</v>
      </c>
      <c r="D9" s="25">
        <v>181311.42</v>
      </c>
      <c r="E9" s="14"/>
      <c r="F9" s="7"/>
    </row>
    <row r="10" spans="2:8" x14ac:dyDescent="0.25">
      <c r="B10" s="3" t="s">
        <v>8</v>
      </c>
      <c r="C10" s="8">
        <f>SUM(C5:C9)</f>
        <v>23891</v>
      </c>
      <c r="D10" s="4">
        <f>SUM(D5:D9)</f>
        <v>751696.06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3225</v>
      </c>
      <c r="D14" s="25">
        <v>196094.39999999997</v>
      </c>
    </row>
    <row r="15" spans="2:8" x14ac:dyDescent="0.25">
      <c r="B15" s="9" t="s">
        <v>5</v>
      </c>
      <c r="C15" s="6">
        <v>1170</v>
      </c>
      <c r="D15" s="25">
        <v>46900.37</v>
      </c>
    </row>
    <row r="16" spans="2:8" x14ac:dyDescent="0.25">
      <c r="B16" s="9" t="s">
        <v>6</v>
      </c>
      <c r="C16" s="6">
        <v>2153</v>
      </c>
      <c r="D16" s="25">
        <v>34321.82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17178</v>
      </c>
      <c r="D18" s="25">
        <v>109395.46</v>
      </c>
    </row>
    <row r="19" spans="2:4" x14ac:dyDescent="0.25">
      <c r="B19" s="10" t="s">
        <v>8</v>
      </c>
      <c r="C19" s="8">
        <f>SUM(C14:C18)</f>
        <v>23727</v>
      </c>
      <c r="D19" s="4">
        <f>SUM(D14:D18)</f>
        <v>386712.05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2655</v>
      </c>
      <c r="D23" s="25">
        <v>127827.64000000003</v>
      </c>
    </row>
    <row r="24" spans="2:4" x14ac:dyDescent="0.25">
      <c r="B24" s="1" t="s">
        <v>5</v>
      </c>
      <c r="C24" s="6">
        <v>2194</v>
      </c>
      <c r="D24" s="25">
        <v>92163</v>
      </c>
    </row>
    <row r="25" spans="2:4" x14ac:dyDescent="0.25">
      <c r="B25" s="1" t="s">
        <v>6</v>
      </c>
      <c r="C25" s="6">
        <v>2576</v>
      </c>
      <c r="D25" s="25">
        <v>36476.31</v>
      </c>
    </row>
    <row r="26" spans="2:4" x14ac:dyDescent="0.25">
      <c r="B26" s="5" t="s">
        <v>12</v>
      </c>
      <c r="C26" s="7">
        <v>2</v>
      </c>
      <c r="D26" s="11">
        <v>0</v>
      </c>
    </row>
    <row r="27" spans="2:4" x14ac:dyDescent="0.25">
      <c r="B27" s="1" t="s">
        <v>7</v>
      </c>
      <c r="C27" s="6">
        <v>17736</v>
      </c>
      <c r="D27" s="25">
        <v>105862.95</v>
      </c>
    </row>
    <row r="28" spans="2:4" x14ac:dyDescent="0.25">
      <c r="B28" s="3" t="s">
        <v>8</v>
      </c>
      <c r="C28" s="8">
        <f>SUM(C23:C27)</f>
        <v>25163</v>
      </c>
      <c r="D28" s="4">
        <f>SUM(D23:D27)</f>
        <v>362329.9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55</v>
      </c>
      <c r="D32" s="25">
        <v>23877.06</v>
      </c>
    </row>
    <row r="33" spans="2:4" x14ac:dyDescent="0.25">
      <c r="B33" s="9" t="s">
        <v>5</v>
      </c>
      <c r="C33" s="6">
        <v>3341</v>
      </c>
      <c r="D33" s="25">
        <v>133504.23999999996</v>
      </c>
    </row>
    <row r="34" spans="2:4" x14ac:dyDescent="0.25">
      <c r="B34" s="9" t="s">
        <v>6</v>
      </c>
      <c r="C34" s="6">
        <v>265</v>
      </c>
      <c r="D34" s="25">
        <v>3578.6800000000003</v>
      </c>
    </row>
    <row r="35" spans="2:4" x14ac:dyDescent="0.25">
      <c r="B35" s="9" t="s">
        <v>7</v>
      </c>
      <c r="C35" s="6">
        <v>3972</v>
      </c>
      <c r="D35" s="25">
        <v>4723</v>
      </c>
    </row>
    <row r="36" spans="2:4" x14ac:dyDescent="0.25">
      <c r="B36" s="10" t="s">
        <v>8</v>
      </c>
      <c r="C36" s="8">
        <f>SUM(C32:C35)</f>
        <v>7633</v>
      </c>
      <c r="D36" s="4">
        <f>SUM(D32:D35)</f>
        <v>165682.97999999995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1910</v>
      </c>
      <c r="D40" s="25">
        <v>70242.790000000008</v>
      </c>
    </row>
    <row r="41" spans="2:4" x14ac:dyDescent="0.25">
      <c r="B41" s="1" t="s">
        <v>5</v>
      </c>
      <c r="C41" s="6">
        <v>1146</v>
      </c>
      <c r="D41" s="25">
        <v>18933.3</v>
      </c>
    </row>
    <row r="42" spans="2:4" x14ac:dyDescent="0.25">
      <c r="B42" s="1" t="s">
        <v>6</v>
      </c>
      <c r="C42" s="6">
        <v>1923</v>
      </c>
      <c r="D42" s="25">
        <v>6887</v>
      </c>
    </row>
    <row r="43" spans="2:4" x14ac:dyDescent="0.25">
      <c r="B43" s="1" t="s">
        <v>7</v>
      </c>
      <c r="C43" s="6">
        <v>2014</v>
      </c>
      <c r="D43" s="25">
        <v>6200</v>
      </c>
    </row>
    <row r="44" spans="2:4" x14ac:dyDescent="0.25">
      <c r="B44" s="3" t="s">
        <v>8</v>
      </c>
      <c r="C44" s="8">
        <f>SUM(C40:C43)</f>
        <v>6993</v>
      </c>
      <c r="D44" s="4">
        <f>SUM(D40:D43)</f>
        <v>102263.09000000001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2849</v>
      </c>
      <c r="D48" s="25">
        <v>55985</v>
      </c>
    </row>
    <row r="49" spans="2:4" x14ac:dyDescent="0.25">
      <c r="B49" s="10" t="s">
        <v>8</v>
      </c>
      <c r="C49" s="8">
        <f>SUM(C48:C48)</f>
        <v>2849</v>
      </c>
      <c r="D49" s="4">
        <f>SUM(D48:D48)</f>
        <v>55985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587</v>
      </c>
      <c r="D53" s="25">
        <v>19672</v>
      </c>
    </row>
    <row r="54" spans="2:4" x14ac:dyDescent="0.25">
      <c r="B54" s="1" t="s">
        <v>5</v>
      </c>
      <c r="C54" s="6">
        <v>706</v>
      </c>
      <c r="D54" s="25">
        <v>16064.81</v>
      </c>
    </row>
    <row r="55" spans="2:4" x14ac:dyDescent="0.25">
      <c r="B55" s="1" t="s">
        <v>6</v>
      </c>
      <c r="C55" s="6">
        <v>811</v>
      </c>
      <c r="D55" s="25">
        <v>2671</v>
      </c>
    </row>
    <row r="56" spans="2:4" x14ac:dyDescent="0.25">
      <c r="B56" s="1" t="s">
        <v>7</v>
      </c>
      <c r="C56" s="6">
        <v>2472</v>
      </c>
      <c r="D56" s="25">
        <v>3984</v>
      </c>
    </row>
    <row r="57" spans="2:4" x14ac:dyDescent="0.25">
      <c r="B57" s="3" t="s">
        <v>8</v>
      </c>
      <c r="C57" s="8">
        <f>SUM(C53:C56)</f>
        <v>4576</v>
      </c>
      <c r="D57" s="4">
        <f>SUM(D53:D56)</f>
        <v>42391.81</v>
      </c>
    </row>
    <row r="59" spans="2:4" x14ac:dyDescent="0.25">
      <c r="B59" s="12" t="s">
        <v>13</v>
      </c>
      <c r="C59" s="13">
        <f>SUM(C10+C19+C36+C49+C28+C57+C44)</f>
        <v>94832</v>
      </c>
      <c r="D59" s="13">
        <f>SUM(D10+D19+D36+D49+D28+D57+D44)</f>
        <v>1867060.8900000004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6" sqref="J6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29 MAYO'!C6, 'REPORTE DIARIO'!C:C)</f>
        <v>13839</v>
      </c>
      <c r="E6" s="16">
        <f>SUMIF('REPORTE DIARIO'!B:B,'EPR 29 MAYO'!C6, 'REPORTE DIARIO'!D:D)</f>
        <v>778466.71000000008</v>
      </c>
      <c r="F6" s="16">
        <f>J6*D6</f>
        <v>1739760</v>
      </c>
      <c r="G6" s="16">
        <f>+E6-F6</f>
        <v>-961293.28999999992</v>
      </c>
      <c r="H6" s="15">
        <f>ABS(G6/F6)</f>
        <v>0.55254362095921272</v>
      </c>
      <c r="I6" s="16">
        <f>E6/D6</f>
        <v>56.251659079413258</v>
      </c>
      <c r="J6" s="16">
        <f>(220/7)*4</f>
        <v>125.71428571428571</v>
      </c>
      <c r="K6" s="16">
        <f>+I6-J6</f>
        <v>-69.46262663487245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29 MAYO'!C7, 'REPORTE DIARIO'!C:C)</f>
        <v>11818</v>
      </c>
      <c r="E7" s="16">
        <f>SUMIF('REPORTE DIARIO'!B:B,'EPR 29 MAYO'!C7, 'REPORTE DIARIO'!D:D)</f>
        <v>441948.01</v>
      </c>
      <c r="F7" s="16">
        <f>J7*D7</f>
        <v>742845.7142857142</v>
      </c>
      <c r="G7" s="16">
        <f>+E7-F7</f>
        <v>-300897.70428571419</v>
      </c>
      <c r="H7" s="15">
        <f>ABS(G7/F7)</f>
        <v>0.4050608336282096</v>
      </c>
      <c r="I7" s="16">
        <f>E7/D7</f>
        <v>37.396176171941107</v>
      </c>
      <c r="J7" s="16">
        <f>(110/7)*4</f>
        <v>62.857142857142854</v>
      </c>
      <c r="K7" s="16">
        <f t="shared" ref="K7:K9" si="0">+I7-J7</f>
        <v>-25.460966685201747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29 MAYO'!C8, 'REPORTE DIARIO'!C:C)</f>
        <v>12517</v>
      </c>
      <c r="E8" s="16">
        <f>SUMIF('REPORTE DIARIO'!B:B,'EPR 29 MAYO'!C8, 'REPORTE DIARIO'!D:D)</f>
        <v>235169.34</v>
      </c>
      <c r="F8" s="16">
        <f>J8*D8</f>
        <v>321865.71428571432</v>
      </c>
      <c r="G8" s="16">
        <f>+E8-F8</f>
        <v>-86696.374285714322</v>
      </c>
      <c r="H8" s="15">
        <f>ABS(G8/F8)</f>
        <v>0.26935572954115744</v>
      </c>
      <c r="I8" s="16">
        <f>E8/D8</f>
        <v>18.787995526084526</v>
      </c>
      <c r="J8" s="16">
        <f>(45/7)*4</f>
        <v>25.714285714285715</v>
      </c>
      <c r="K8" s="16">
        <f t="shared" si="0"/>
        <v>-6.9262901882011896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29 MAYO'!C9, 'REPORTE DIARIO'!C:C)</f>
        <v>54675</v>
      </c>
      <c r="E9" s="16">
        <f>SUMIF('REPORTE DIARIO'!B:B,'EPR 29 MAYO'!C9, 'REPORTE DIARIO'!D:D)</f>
        <v>411476.83</v>
      </c>
      <c r="F9" s="16">
        <f>J9*D9</f>
        <v>468642.8571428571</v>
      </c>
      <c r="G9" s="16">
        <f>+E9-F9</f>
        <v>-57166.027142857085</v>
      </c>
      <c r="H9" s="15">
        <f>ABS(G9/F9)</f>
        <v>0.12198207285474764</v>
      </c>
      <c r="I9" s="16">
        <f>E9/D9</f>
        <v>7.5258679469593055</v>
      </c>
      <c r="J9" s="16">
        <f>(15/7)*4</f>
        <v>8.5714285714285712</v>
      </c>
      <c r="K9" s="16">
        <f t="shared" si="0"/>
        <v>-1.0455606244692657</v>
      </c>
    </row>
    <row r="10" spans="2:12" x14ac:dyDescent="0.25">
      <c r="B10" s="16"/>
      <c r="C10" s="19" t="s">
        <v>17</v>
      </c>
      <c r="D10" s="24">
        <f>SUM(D6:D9)</f>
        <v>92849</v>
      </c>
      <c r="E10" s="20">
        <f>SUM(E6:E9)</f>
        <v>1867060.8900000004</v>
      </c>
      <c r="F10" s="20">
        <f>SUM(F6:F9)</f>
        <v>3273114.2857142854</v>
      </c>
      <c r="G10" s="20">
        <f>+E10-F10</f>
        <v>-1406053.3957142851</v>
      </c>
      <c r="H10" s="21">
        <f>ABS(G10/F10)</f>
        <v>0.4295766273274032</v>
      </c>
      <c r="I10" s="20">
        <f>E10/D10</f>
        <v>20.10857295178193</v>
      </c>
      <c r="J10" s="20">
        <f>F10/D10</f>
        <v>35.252014407417263</v>
      </c>
      <c r="K10" s="20">
        <f>I10-J10</f>
        <v>-15.143441455635333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29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2025-05-30T02:19:37Z</dcterms:modified>
</cp:coreProperties>
</file>