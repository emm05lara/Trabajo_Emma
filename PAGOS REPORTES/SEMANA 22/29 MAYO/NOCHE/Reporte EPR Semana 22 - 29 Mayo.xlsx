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9 MAYO\NOCHE\"/>
    </mc:Choice>
  </mc:AlternateContent>
  <xr:revisionPtr revIDLastSave="0" documentId="13_ncr:1_{A4F55954-F303-4276-BEB8-39D28D923CF2}" xr6:coauthVersionLast="47" xr6:coauthVersionMax="47" xr10:uidLastSave="{00000000-0000-0000-0000-000000000000}"/>
  <bookViews>
    <workbookView xWindow="12510" yWindow="12510" windowWidth="10005" windowHeight="5445" activeTab="2" xr2:uid="{4DC6C92A-CD8A-4966-829B-0B6A986E825B}"/>
  </bookViews>
  <sheets>
    <sheet name="REPORTE DIARIO" sheetId="1" r:id="rId1"/>
    <sheet name="DATA" sheetId="4" r:id="rId2"/>
    <sheet name="EPR 29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2" i="1"/>
  <c r="D44" i="1"/>
  <c r="C44" i="1"/>
  <c r="C52" i="1"/>
  <c r="D19" i="1" l="1"/>
  <c r="C19" i="1"/>
  <c r="J9" i="3"/>
  <c r="J8" i="3"/>
  <c r="J7" i="3"/>
  <c r="D6" i="3"/>
  <c r="F6" i="3" s="1"/>
  <c r="D57" i="1"/>
  <c r="C57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<sst xmlns="http://schemas.openxmlformats.org/spreadsheetml/2006/main" count="88" uniqueCount="36">
  <si>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</si>
  <si>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</si>
  <si>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</si>
  <si>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</si>
  <si>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</si>
  <si>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</si>
  <si>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</si>
  <si>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</si>
  <si>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</si>
  <si>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</si>
  <si>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</si>
  <si>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</si>
  <si>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</si>
  <si>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</si>
  <si>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</si>
  <si>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</si>
  <si>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</si>
  <si>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</si>
  <si>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</si>
  <si>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</si>
  <si>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</si>
  <si>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</si>
  <si>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</si>
  <si>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</si>
  <si>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</si>
  <si>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</si>
  <si>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</si>
  <si>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</si>
  <si>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</si>
  <si>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</si>
  <si>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</si>
  <si>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</si>
  <si>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</si>
  <si>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</si>
  <si>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</si>
  <si>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29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</si>
</sst>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28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2558</v>
      </c>
      <c r="D5" s="25">
        <v>23613.460000000003</v>
      </c>
    </row>
    <row r="6" spans="2:8" x14ac:dyDescent="0.25">
      <c r="B6" s="1" t="s">
        <v>5</v>
      </c>
      <c r="C6" s="6">
        <v>3261</v>
      </c>
      <c r="D6" s="25">
        <v>13118</v>
      </c>
    </row>
    <row r="7" spans="2:8" x14ac:dyDescent="0.25">
      <c r="B7" s="1" t="s">
        <v>6</v>
      </c>
      <c r="C7" s="6">
        <v>4789</v>
      </c>
      <c r="D7" s="25">
        <v>32931</v>
      </c>
    </row>
    <row r="8" spans="2:8" x14ac:dyDescent="0.25">
      <c r="B8" s="5" t="s">
        <v>12</v>
      </c>
      <c r="C8" s="7">
        <v>1980</v>
      </c>
      <c r="D8" s="26">
        <v>0</v>
      </c>
    </row>
    <row r="9" spans="2:8" x14ac:dyDescent="0.25">
      <c r="B9" s="1" t="s">
        <v>7</v>
      </c>
      <c r="C9" s="6">
        <v>11303</v>
      </c>
      <c r="D9" s="25">
        <v>20104.88</v>
      </c>
    </row>
    <row r="10" spans="2:8" x14ac:dyDescent="0.25">
      <c r="B10" s="3" t="s">
        <v>8</v>
      </c>
      <c r="C10" s="8">
        <f>SUM(C5:C9)</f>
        <v>23891</v>
      </c>
      <c r="D10" s="4">
        <f>SUM(D5:D9)</f>
        <v>89767.340000000011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2655</v>
      </c>
      <c r="D14" s="25">
        <v>17583</v>
      </c>
    </row>
    <row r="15" spans="2:8" x14ac:dyDescent="0.25">
      <c r="B15" s="1" t="s">
        <v>5</v>
      </c>
      <c r="C15" s="6">
        <v>2194</v>
      </c>
      <c r="D15" s="25">
        <v>3849</v>
      </c>
    </row>
    <row r="16" spans="2:8" x14ac:dyDescent="0.25">
      <c r="B16" s="1" t="s">
        <v>6</v>
      </c>
      <c r="C16" s="6">
        <v>2576</v>
      </c>
      <c r="D16" s="25">
        <v>12469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17736</v>
      </c>
      <c r="D18" s="25">
        <v>37393</v>
      </c>
    </row>
    <row r="19" spans="2:11" x14ac:dyDescent="0.25">
      <c r="B19" s="3" t="s">
        <v>8</v>
      </c>
      <c r="C19" s="8">
        <f>SUM(C14:C18)</f>
        <v>25163</v>
      </c>
      <c r="D19" s="4">
        <f>SUM(D14:D18)</f>
        <v>71294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3225</v>
      </c>
      <c r="D23" s="25">
        <v>38283.360000000001</v>
      </c>
    </row>
    <row r="24" spans="2:11" x14ac:dyDescent="0.25">
      <c r="B24" s="9" t="s">
        <v>5</v>
      </c>
      <c r="C24" s="6">
        <v>1170</v>
      </c>
      <c r="D24" s="25">
        <v>3135</v>
      </c>
    </row>
    <row r="25" spans="2:11" x14ac:dyDescent="0.25">
      <c r="B25" s="9" t="s">
        <v>6</v>
      </c>
      <c r="C25" s="6">
        <v>2153</v>
      </c>
      <c r="D25" s="25">
        <v>5593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17178</v>
      </c>
      <c r="D27" s="25">
        <v>3874.58</v>
      </c>
    </row>
    <row r="28" spans="2:11" x14ac:dyDescent="0.25">
      <c r="B28" s="10" t="s">
        <v>8</v>
      </c>
      <c r="C28" s="8">
        <f>SUM(C23:C27)</f>
        <v>23727</v>
      </c>
      <c r="D28" s="4">
        <f>SUM(D23:D27)</f>
        <v>50885.94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55</v>
      </c>
      <c r="D32" s="26">
        <v>0</v>
      </c>
    </row>
    <row r="33" spans="2:4" x14ac:dyDescent="0.25">
      <c r="B33" s="9" t="s">
        <v>5</v>
      </c>
      <c r="C33" s="6">
        <v>3341</v>
      </c>
      <c r="D33" s="25">
        <v>33056</v>
      </c>
    </row>
    <row r="34" spans="2:4" x14ac:dyDescent="0.25">
      <c r="B34" s="9" t="s">
        <v>6</v>
      </c>
      <c r="C34" s="6">
        <v>265</v>
      </c>
      <c r="D34" s="25">
        <v>200</v>
      </c>
    </row>
    <row r="35" spans="2:4" x14ac:dyDescent="0.25">
      <c r="B35" s="9" t="s">
        <v>7</v>
      </c>
      <c r="C35" s="6">
        <v>3972</v>
      </c>
      <c r="D35" s="25">
        <v>1173</v>
      </c>
    </row>
    <row r="36" spans="2:4" x14ac:dyDescent="0.25">
      <c r="B36" s="10" t="s">
        <v>8</v>
      </c>
      <c r="C36" s="8">
        <f>SUM(C32:C35)</f>
        <v>7633</v>
      </c>
      <c r="D36" s="4">
        <f>SUM(D32:D35)</f>
        <v>34429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1910</v>
      </c>
      <c r="D40" s="25">
        <v>1270</v>
      </c>
    </row>
    <row r="41" spans="2:4" x14ac:dyDescent="0.25">
      <c r="B41" s="1" t="s">
        <v>5</v>
      </c>
      <c r="C41" s="6">
        <v>1146</v>
      </c>
      <c r="D41" s="25">
        <v>7147</v>
      </c>
    </row>
    <row r="42" spans="2:4" x14ac:dyDescent="0.25">
      <c r="B42" s="1" t="s">
        <v>6</v>
      </c>
      <c r="C42" s="6">
        <v>1923</v>
      </c>
      <c r="D42" s="25">
        <v>5656</v>
      </c>
    </row>
    <row r="43" spans="2:4" x14ac:dyDescent="0.25">
      <c r="B43" s="1" t="s">
        <v>7</v>
      </c>
      <c r="C43" s="6">
        <v>2014</v>
      </c>
      <c r="D43" s="25">
        <v>1549</v>
      </c>
    </row>
    <row r="44" spans="2:4" x14ac:dyDescent="0.25">
      <c r="B44" s="3" t="s">
        <v>8</v>
      </c>
      <c r="C44" s="8">
        <f>SUM(C40:C43)</f>
        <v>6993</v>
      </c>
      <c r="D44" s="4">
        <f>SUM(D40:D43)</f>
        <v>15622</v>
      </c>
    </row>
    <row r="46" spans="2:4" x14ac:dyDescent="0.25">
      <c r="B46" s="27" t="s">
        <v>30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587</v>
      </c>
      <c r="D48" s="25">
        <v>1584</v>
      </c>
    </row>
    <row r="49" spans="2:4" x14ac:dyDescent="0.25">
      <c r="B49" s="1" t="s">
        <v>5</v>
      </c>
      <c r="C49" s="6">
        <v>706</v>
      </c>
      <c r="D49" s="25">
        <v>11430.81</v>
      </c>
    </row>
    <row r="50" spans="2:4" x14ac:dyDescent="0.25">
      <c r="B50" s="1" t="s">
        <v>6</v>
      </c>
      <c r="C50" s="6">
        <v>811</v>
      </c>
      <c r="D50" s="25">
        <v>141</v>
      </c>
    </row>
    <row r="51" spans="2:4" x14ac:dyDescent="0.25">
      <c r="B51" s="1" t="s">
        <v>7</v>
      </c>
      <c r="C51" s="6">
        <v>2472</v>
      </c>
      <c r="D51" s="25">
        <v>836</v>
      </c>
    </row>
    <row r="52" spans="2:4" x14ac:dyDescent="0.25">
      <c r="B52" s="3" t="s">
        <v>8</v>
      </c>
      <c r="C52" s="8">
        <f>SUM(C48:C51)</f>
        <v>4576</v>
      </c>
      <c r="D52" s="4">
        <f>SUM(D48:D51)</f>
        <v>13991.81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2849</v>
      </c>
      <c r="D56" s="25">
        <v>3521</v>
      </c>
    </row>
    <row r="57" spans="2:4" x14ac:dyDescent="0.25">
      <c r="B57" s="10" t="s">
        <v>8</v>
      </c>
      <c r="C57" s="8">
        <f>SUM(C56:C56)</f>
        <v>2849</v>
      </c>
      <c r="D57" s="4">
        <f>SUM(D56:D56)</f>
        <v>3521</v>
      </c>
    </row>
    <row r="59" spans="2:4" x14ac:dyDescent="0.25">
      <c r="B59" s="11" t="s">
        <v>13</v>
      </c>
      <c r="C59" s="12">
        <f>SUM(C10+C36+C28+C57+C19+C52+C44)</f>
        <v>94832</v>
      </c>
      <c r="D59" s="12">
        <f>SUM(D10+D36+D28+D57+D19+D52+D44)</f>
        <v>279511.09000000003</v>
      </c>
    </row>
  </sheetData>
  <mergeCells count="7">
    <mergeCell ref="B3:D3"/>
    <mergeCell ref="B30:D30"/>
    <mergeCell ref="B54:D54"/>
    <mergeCell ref="B46:D46"/>
    <mergeCell ref="B12:D12"/>
    <mergeCell ref="B21:D21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29 MAYO'!C6, 'REPORTE DIARIO'!C:C)</f>
        <v>13839</v>
      </c>
      <c r="E6" s="15">
        <f>SUMIF('REPORTE DIARIO'!B:B,'EPR 29 MAYO'!C6, 'REPORTE DIARIO'!D:D)</f>
        <v>85854.82</v>
      </c>
      <c r="F6" s="15">
        <f>J6*D6</f>
        <v>434940</v>
      </c>
      <c r="G6" s="15">
        <f>+E6-F6</f>
        <v>-349085.18</v>
      </c>
      <c r="H6" s="14">
        <f>ABS(G6/F6)</f>
        <v>0.80260537085575023</v>
      </c>
      <c r="I6" s="15">
        <f>E6/D6</f>
        <v>6.2038312016764223</v>
      </c>
      <c r="J6" s="15">
        <f>220/7</f>
        <v>31.428571428571427</v>
      </c>
      <c r="K6" s="15">
        <f>+I6-J6</f>
        <v>-25.224740226895005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29 MAYO'!C7, 'REPORTE DIARIO'!C:C)</f>
        <v>11818</v>
      </c>
      <c r="E7" s="15">
        <f>SUMIF('REPORTE DIARIO'!B:B,'EPR 29 MAYO'!C7, 'REPORTE DIARIO'!D:D)</f>
        <v>71735.81</v>
      </c>
      <c r="F7" s="15">
        <f>J7*D7</f>
        <v>185711.42857142855</v>
      </c>
      <c r="G7" s="15">
        <f>+E7-F7</f>
        <v>-113975.61857142855</v>
      </c>
      <c r="H7" s="14">
        <f>ABS(G7/F7)</f>
        <v>0.61372431114324832</v>
      </c>
      <c r="I7" s="15">
        <f>E7/D7</f>
        <v>6.0700465391775253</v>
      </c>
      <c r="J7" s="15">
        <f>110/7</f>
        <v>15.714285714285714</v>
      </c>
      <c r="K7" s="15">
        <f t="shared" ref="K7:K9" si="0">+I7-J7</f>
        <v>-9.6442391751081882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29 MAYO'!C8, 'REPORTE DIARIO'!C:C)</f>
        <v>12517</v>
      </c>
      <c r="E8" s="15">
        <f>SUMIF('REPORTE DIARIO'!B:B,'EPR 29 MAYO'!C8, 'REPORTE DIARIO'!D:D)</f>
        <v>56990</v>
      </c>
      <c r="F8" s="15">
        <f>J8*D8</f>
        <v>80466.42857142858</v>
      </c>
      <c r="G8" s="15">
        <f>+E8-F8</f>
        <v>-23476.42857142858</v>
      </c>
      <c r="H8" s="14">
        <f>ABS(G8/F8)</f>
        <v>0.29175432522880002</v>
      </c>
      <c r="I8" s="15">
        <f>E8/D8</f>
        <v>4.553007909243429</v>
      </c>
      <c r="J8" s="15">
        <f>45/7</f>
        <v>6.4285714285714288</v>
      </c>
      <c r="K8" s="15">
        <f t="shared" si="0"/>
        <v>-1.8755635193279998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29 MAYO'!C9, 'REPORTE DIARIO'!C:C)</f>
        <v>54675</v>
      </c>
      <c r="E9" s="15">
        <f>SUMIF('REPORTE DIARIO'!B:B,'EPR 29 MAYO'!C9, 'REPORTE DIARIO'!D:D)</f>
        <v>64930.460000000006</v>
      </c>
      <c r="F9" s="15">
        <f>J9*D9</f>
        <v>117160.71428571428</v>
      </c>
      <c r="G9" s="15">
        <f>+E9-F9</f>
        <v>-52230.254285714269</v>
      </c>
      <c r="H9" s="14">
        <f>ABS(G9/F9)</f>
        <v>0.44580006706294761</v>
      </c>
      <c r="I9" s="15">
        <f>E9/D9</f>
        <v>1.1875712848651121</v>
      </c>
      <c r="J9" s="15">
        <f>15/7</f>
        <v>2.1428571428571428</v>
      </c>
      <c r="K9" s="15">
        <f t="shared" si="0"/>
        <v>-0.9552858579920307</v>
      </c>
    </row>
    <row r="10" spans="2:12" x14ac:dyDescent="0.25">
      <c r="B10" s="15"/>
      <c r="C10" s="18" t="s">
        <v>16</v>
      </c>
      <c r="D10" s="23">
        <f>SUM(D6:D9)</f>
        <v>92849</v>
      </c>
      <c r="E10" s="19">
        <f>SUM(E6:E9)</f>
        <v>279511.09000000003</v>
      </c>
      <c r="F10" s="19">
        <f>SUM(F6:F9)</f>
        <v>818278.57142857136</v>
      </c>
      <c r="G10" s="19">
        <f>+E10-F10</f>
        <v>-538767.48142857128</v>
      </c>
      <c r="H10" s="20">
        <f>ABS(G10/F10)</f>
        <v>0.65841572814008487</v>
      </c>
      <c r="I10" s="19">
        <f>E10/D10</f>
        <v>3.0103834182382152</v>
      </c>
      <c r="J10" s="19">
        <f>F10/D10</f>
        <v>8.8130036018543159</v>
      </c>
      <c r="K10" s="19">
        <f>I10-J10</f>
        <v>-5.8026201836161011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2025-05-30T02:16:55Z</dcterms:modified>
</cp:coreProperties>
</file>