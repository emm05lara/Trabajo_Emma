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01 JUN\MAÑANA\"/>
    </mc:Choice>
  </mc:AlternateContent>
  <xr:revisionPtr revIDLastSave="0" documentId="13_ncr:1_{062DB124-88AB-4DA2-930B-8D926D637661}" xr6:coauthVersionLast="47" xr6:coauthVersionMax="47" xr10:uidLastSave="{00000000-0000-0000-0000-000000000000}"/>
  <bookViews>
    <workbookView xWindow="14925" yWindow="14925" windowWidth="10005" windowHeight="5445" xr2:uid="{4DC6C92A-CD8A-4966-829B-0B6A986E825B}"/>
  </bookViews>
  <sheets>
    <sheet name="REPORTE DIARIO" sheetId="1" r:id="rId1"/>
    <sheet name="DATA" sheetId="4" r:id="rId2"/>
    <sheet name="EPR 01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<sst xmlns="http://schemas.openxmlformats.org/spreadsheetml/2006/main" count="89" uniqueCount="37">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</sst>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43" zoomScaleNormal="100" workbookViewId="0">
      <selection activeCell="D54" sqref="D5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2538</v>
      </c>
      <c r="D5" s="25">
        <v>518214.5</v>
      </c>
    </row>
    <row r="6" spans="2:8" x14ac:dyDescent="0.25">
      <c r="B6" s="1" t="s">
        <v>5</v>
      </c>
      <c r="C6" s="6">
        <v>3126</v>
      </c>
      <c r="D6" s="25">
        <v>343753.92</v>
      </c>
    </row>
    <row r="7" spans="2:8" x14ac:dyDescent="0.25">
      <c r="B7" s="1" t="s">
        <v>6</v>
      </c>
      <c r="C7" s="6">
        <v>4936</v>
      </c>
      <c r="D7" s="25">
        <v>286464.22000000003</v>
      </c>
    </row>
    <row r="8" spans="2:8" x14ac:dyDescent="0.25">
      <c r="B8" s="5" t="s">
        <v>12</v>
      </c>
      <c r="C8" s="7">
        <v>1980</v>
      </c>
      <c r="D8" s="25">
        <v>1063.06</v>
      </c>
    </row>
    <row r="9" spans="2:8" x14ac:dyDescent="0.25">
      <c r="B9" s="1" t="s">
        <v>7</v>
      </c>
      <c r="C9" s="6">
        <v>11341</v>
      </c>
      <c r="D9" s="25">
        <v>431921.68000000005</v>
      </c>
      <c r="E9" s="14"/>
      <c r="F9" s="7"/>
    </row>
    <row r="10" spans="2:8" x14ac:dyDescent="0.25">
      <c r="B10" s="3" t="s">
        <v>8</v>
      </c>
      <c r="C10" s="8">
        <f>SUM(C5:C9)</f>
        <v>23921</v>
      </c>
      <c r="D10" s="4">
        <f>SUM(D5:D9)</f>
        <v>1581417.38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2700</v>
      </c>
      <c r="D14" s="25">
        <v>243108.7</v>
      </c>
    </row>
    <row r="15" spans="2:8" x14ac:dyDescent="0.25">
      <c r="B15" s="1" t="s">
        <v>5</v>
      </c>
      <c r="C15" s="6">
        <v>2215</v>
      </c>
      <c r="D15" s="25">
        <v>127186.70999999999</v>
      </c>
    </row>
    <row r="16" spans="2:8" x14ac:dyDescent="0.25">
      <c r="B16" s="1" t="s">
        <v>6</v>
      </c>
      <c r="C16" s="6">
        <v>2622</v>
      </c>
      <c r="D16" s="25">
        <v>78488.31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17759</v>
      </c>
      <c r="D18" s="25">
        <v>211949.76</v>
      </c>
    </row>
    <row r="19" spans="2:4" x14ac:dyDescent="0.25">
      <c r="B19" s="3" t="s">
        <v>8</v>
      </c>
      <c r="C19" s="8">
        <f>SUM(C14:C18)</f>
        <v>25298</v>
      </c>
      <c r="D19" s="4">
        <f>SUM(D14:D18)</f>
        <v>660733.48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3224</v>
      </c>
      <c r="D23" s="25">
        <v>304158.58999999997</v>
      </c>
    </row>
    <row r="24" spans="2:4" x14ac:dyDescent="0.25">
      <c r="B24" s="9" t="s">
        <v>5</v>
      </c>
      <c r="C24" s="6">
        <v>1156</v>
      </c>
      <c r="D24" s="25">
        <v>75576.89</v>
      </c>
    </row>
    <row r="25" spans="2:4" x14ac:dyDescent="0.25">
      <c r="B25" s="9" t="s">
        <v>6</v>
      </c>
      <c r="C25" s="6">
        <v>2152</v>
      </c>
      <c r="D25" s="25">
        <v>59026.82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17177</v>
      </c>
      <c r="D27" s="25">
        <v>128035.23000000001</v>
      </c>
    </row>
    <row r="28" spans="2:4" x14ac:dyDescent="0.25">
      <c r="B28" s="10" t="s">
        <v>8</v>
      </c>
      <c r="C28" s="8">
        <f>SUM(C23:C27)</f>
        <v>23710</v>
      </c>
      <c r="D28" s="4">
        <f>SUM(D23:D27)</f>
        <v>566836.53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55</v>
      </c>
      <c r="D32" s="25">
        <v>28296.06</v>
      </c>
    </row>
    <row r="33" spans="2:4" x14ac:dyDescent="0.25">
      <c r="B33" s="9" t="s">
        <v>5</v>
      </c>
      <c r="C33" s="6">
        <v>3357</v>
      </c>
      <c r="D33" s="25">
        <v>270330.51999999996</v>
      </c>
    </row>
    <row r="34" spans="2:4" x14ac:dyDescent="0.25">
      <c r="B34" s="9" t="s">
        <v>6</v>
      </c>
      <c r="C34" s="6">
        <v>282</v>
      </c>
      <c r="D34" s="25">
        <v>9881.67</v>
      </c>
    </row>
    <row r="35" spans="2:4" x14ac:dyDescent="0.25">
      <c r="B35" s="9" t="s">
        <v>7</v>
      </c>
      <c r="C35" s="6">
        <v>3972</v>
      </c>
      <c r="D35" s="25">
        <v>9209</v>
      </c>
    </row>
    <row r="36" spans="2:4" x14ac:dyDescent="0.25">
      <c r="B36" s="10" t="s">
        <v>8</v>
      </c>
      <c r="C36" s="8">
        <f>SUM(C32:C35)</f>
        <v>7666</v>
      </c>
      <c r="D36" s="4">
        <f>SUM(D32:D35)</f>
        <v>317717.24999999994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1960</v>
      </c>
      <c r="D40" s="25">
        <v>83576.790000000008</v>
      </c>
    </row>
    <row r="41" spans="2:4" x14ac:dyDescent="0.25">
      <c r="B41" s="1" t="s">
        <v>5</v>
      </c>
      <c r="C41" s="6">
        <v>1197</v>
      </c>
      <c r="D41" s="25">
        <v>29942.3</v>
      </c>
    </row>
    <row r="42" spans="2:4" x14ac:dyDescent="0.25">
      <c r="B42" s="1" t="s">
        <v>6</v>
      </c>
      <c r="C42" s="6">
        <v>1986</v>
      </c>
      <c r="D42" s="25">
        <v>10203</v>
      </c>
    </row>
    <row r="43" spans="2:4" x14ac:dyDescent="0.25">
      <c r="B43" s="1" t="s">
        <v>7</v>
      </c>
      <c r="C43" s="6">
        <v>2026</v>
      </c>
      <c r="D43" s="25">
        <v>12859</v>
      </c>
    </row>
    <row r="44" spans="2:4" x14ac:dyDescent="0.25">
      <c r="B44" s="3" t="s">
        <v>8</v>
      </c>
      <c r="C44" s="8">
        <f>SUM(C40:C43)</f>
        <v>7169</v>
      </c>
      <c r="D44" s="4">
        <f>SUM(D40:D43)</f>
        <v>136581.09000000003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2841</v>
      </c>
      <c r="D48" s="25">
        <v>121176</v>
      </c>
    </row>
    <row r="49" spans="2:4" x14ac:dyDescent="0.25">
      <c r="B49" s="10" t="s">
        <v>8</v>
      </c>
      <c r="C49" s="8">
        <f>SUM(C48:C48)</f>
        <v>2841</v>
      </c>
      <c r="D49" s="4">
        <f>SUM(D48:D48)</f>
        <v>121176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587</v>
      </c>
      <c r="D53" s="25">
        <v>27278.79</v>
      </c>
    </row>
    <row r="54" spans="2:4" x14ac:dyDescent="0.25">
      <c r="B54" s="1" t="s">
        <v>5</v>
      </c>
      <c r="C54" s="6">
        <v>705</v>
      </c>
      <c r="D54" s="25">
        <v>17927.809999999998</v>
      </c>
    </row>
    <row r="55" spans="2:4" x14ac:dyDescent="0.25">
      <c r="B55" s="1" t="s">
        <v>6</v>
      </c>
      <c r="C55" s="6">
        <v>811</v>
      </c>
      <c r="D55" s="25">
        <v>5301</v>
      </c>
    </row>
    <row r="56" spans="2:4" x14ac:dyDescent="0.25">
      <c r="B56" s="1" t="s">
        <v>7</v>
      </c>
      <c r="C56" s="6">
        <v>2472</v>
      </c>
      <c r="D56" s="25">
        <v>6152</v>
      </c>
    </row>
    <row r="57" spans="2:4" x14ac:dyDescent="0.25">
      <c r="B57" s="3" t="s">
        <v>8</v>
      </c>
      <c r="C57" s="8">
        <f>SUM(C53:C56)</f>
        <v>4575</v>
      </c>
      <c r="D57" s="4">
        <f>SUM(D53:D56)</f>
        <v>56659.6</v>
      </c>
    </row>
    <row r="59" spans="2:4" x14ac:dyDescent="0.25">
      <c r="B59" s="12" t="s">
        <v>13</v>
      </c>
      <c r="C59" s="13">
        <f>SUM(C10+C28+C36+C49+C19+C57+C44)</f>
        <v>95180</v>
      </c>
      <c r="D59" s="13">
        <f>SUM(D10+D28+D36+D49+D19+D57+D44)</f>
        <v>3441121.33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01 JUN'!C6, 'REPORTE DIARIO'!C:C)</f>
        <v>13905</v>
      </c>
      <c r="E6" s="16">
        <f>SUMIF('REPORTE DIARIO'!B:B,'EPR 01 JUN'!C6, 'REPORTE DIARIO'!D:D)</f>
        <v>1325809.4300000002</v>
      </c>
      <c r="F6" s="16">
        <f>J6*D6</f>
        <v>3059100</v>
      </c>
      <c r="G6" s="16">
        <f>+E6-F6</f>
        <v>-1733290.5699999998</v>
      </c>
      <c r="H6" s="15">
        <f>ABS(G6/F6)</f>
        <v>0.56660147428982377</v>
      </c>
      <c r="I6" s="16">
        <f>E6/D6</f>
        <v>95.347675656238778</v>
      </c>
      <c r="J6" s="16">
        <f>(220/7)*7</f>
        <v>220</v>
      </c>
      <c r="K6" s="16">
        <f>+I6-J6</f>
        <v>-124.65232434376122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01 JUN'!C7, 'REPORTE DIARIO'!C:C)</f>
        <v>11756</v>
      </c>
      <c r="E7" s="16">
        <f>SUMIF('REPORTE DIARIO'!B:B,'EPR 01 JUN'!C7, 'REPORTE DIARIO'!D:D)</f>
        <v>864718.15000000014</v>
      </c>
      <c r="F7" s="16">
        <f>J7*D7</f>
        <v>1293160</v>
      </c>
      <c r="G7" s="16">
        <f>+E7-F7</f>
        <v>-428441.84999999986</v>
      </c>
      <c r="H7" s="15">
        <f>ABS(G7/F7)</f>
        <v>0.3313138745398867</v>
      </c>
      <c r="I7" s="16">
        <f>E7/D7</f>
        <v>73.555473800612461</v>
      </c>
      <c r="J7" s="16">
        <f>(110/7)*7</f>
        <v>110</v>
      </c>
      <c r="K7" s="16">
        <f t="shared" ref="K7:K9" si="0">+I7-J7</f>
        <v>-36.444526199387539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01 JUN'!C8, 'REPORTE DIARIO'!C:C)</f>
        <v>12789</v>
      </c>
      <c r="E8" s="16">
        <f>SUMIF('REPORTE DIARIO'!B:B,'EPR 01 JUN'!C8, 'REPORTE DIARIO'!D:D)</f>
        <v>449365.02</v>
      </c>
      <c r="F8" s="16">
        <f>J8*D8</f>
        <v>575505</v>
      </c>
      <c r="G8" s="16">
        <f>+E8-F8</f>
        <v>-126139.97999999998</v>
      </c>
      <c r="H8" s="15">
        <f>ABS(G8/F8)</f>
        <v>0.21918137983162611</v>
      </c>
      <c r="I8" s="16">
        <f>E8/D8</f>
        <v>35.136837907576826</v>
      </c>
      <c r="J8" s="16">
        <f>(45/7)*7</f>
        <v>45</v>
      </c>
      <c r="K8" s="16">
        <f t="shared" si="0"/>
        <v>-9.863162092423174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01 JUN'!C9, 'REPORTE DIARIO'!C:C)</f>
        <v>54747</v>
      </c>
      <c r="E9" s="16">
        <f>SUMIF('REPORTE DIARIO'!B:B,'EPR 01 JUN'!C9, 'REPORTE DIARIO'!D:D)</f>
        <v>800126.67</v>
      </c>
      <c r="F9" s="16">
        <f>J9*D9</f>
        <v>821205</v>
      </c>
      <c r="G9" s="16">
        <f>+E9-F9</f>
        <v>-21078.329999999958</v>
      </c>
      <c r="H9" s="15">
        <f>ABS(G9/F9)</f>
        <v>2.5667561692878097E-2</v>
      </c>
      <c r="I9" s="16">
        <f>E9/D9</f>
        <v>14.614986574606828</v>
      </c>
      <c r="J9" s="16">
        <f>(15/7)*7</f>
        <v>15</v>
      </c>
      <c r="K9" s="16">
        <f t="shared" si="0"/>
        <v>-0.38501342539317207</v>
      </c>
    </row>
    <row r="10" spans="2:12" x14ac:dyDescent="0.25">
      <c r="B10" s="16"/>
      <c r="C10" s="19" t="s">
        <v>17</v>
      </c>
      <c r="D10" s="24">
        <f>SUM(D6:D9)</f>
        <v>93197</v>
      </c>
      <c r="E10" s="20">
        <f>SUM(E6:E9)</f>
        <v>3440019.27</v>
      </c>
      <c r="F10" s="20">
        <f>SUM(F6:F9)</f>
        <v>5748970</v>
      </c>
      <c r="G10" s="20">
        <f>+E10-F10</f>
        <v>-2308950.73</v>
      </c>
      <c r="H10" s="21">
        <f>ABS(G10/F10)</f>
        <v>0.40162859260006573</v>
      </c>
      <c r="I10" s="20">
        <f>E10/D10</f>
        <v>36.911266135176028</v>
      </c>
      <c r="J10" s="20">
        <f>F10/D10</f>
        <v>61.68621307552818</v>
      </c>
      <c r="K10" s="20">
        <f>I10-J10</f>
        <v>-24.774946940352152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01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2025-06-01T16:30:24Z</dcterms:modified>
</cp:coreProperties>
</file>