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01 JUN\TARDE2\DATA\"/>
    </mc:Choice>
  </mc:AlternateContent>
  <xr:revisionPtr revIDLastSave="0" documentId="8_{63FEACA1-07AB-40BE-B414-3D044340897B}" xr6:coauthVersionLast="47" xr6:coauthVersionMax="47" xr10:uidLastSave="{00000000-0000-0000-0000-000000000000}"/>
  <bookViews>
    <workbookView xWindow="-120" yWindow="-120" windowWidth="51840" windowHeight="21120" activeTab="1" xr2:uid="{0C3309F1-79A5-42F7-8030-E862F457FEB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<sst xmlns="http://schemas.openxmlformats.org/spreadsheetml/2006/main" count="92" uniqueCount="18">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</sst>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48B46-BFD0-4004-AEE4-82ACD95D1C2D}">
  <dimension ref="B2:D51"/>
  <sheetViews>
    <sheetView workbookViewId="0">
      <selection activeCell="B2" sqref="B2:C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53879.979999999996</v>
      </c>
    </row>
    <row r="5" spans="2:4" x14ac:dyDescent="0.25">
      <c r="B5" s="2" t="s">
        <v>2</v>
      </c>
      <c r="C5" s="3">
        <v>39357</v>
      </c>
    </row>
    <row r="6" spans="2:4" x14ac:dyDescent="0.25">
      <c r="B6" s="2" t="s">
        <v>3</v>
      </c>
      <c r="C6" s="3">
        <v>31779</v>
      </c>
    </row>
    <row r="7" spans="2:4" ht="16.5" thickBot="1" x14ac:dyDescent="0.3">
      <c r="B7" s="2" t="s">
        <v>4</v>
      </c>
      <c r="C7" s="3">
        <v>33083.01</v>
      </c>
      <c r="D7" s="1" t="s">
        <v>13</v>
      </c>
    </row>
    <row r="8" spans="2:4" ht="16.5" thickTop="1" x14ac:dyDescent="0.25">
      <c r="B8" s="4" t="s">
        <v>5</v>
      </c>
      <c r="C8" s="5">
        <v>158098.99</v>
      </c>
      <c r="D8" s="5">
        <f>SUMIF(B:B, "Total general", C:C)</f>
        <v>337945.83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28855.33</v>
      </c>
    </row>
    <row r="13" spans="2:4" x14ac:dyDescent="0.25">
      <c r="B13" s="2" t="s">
        <v>2</v>
      </c>
      <c r="C13" s="3">
        <v>9877</v>
      </c>
    </row>
    <row r="14" spans="2:4" x14ac:dyDescent="0.25">
      <c r="B14" s="2" t="s">
        <v>3</v>
      </c>
      <c r="C14" s="3">
        <v>29137</v>
      </c>
    </row>
    <row r="15" spans="2:4" ht="15.75" thickBot="1" x14ac:dyDescent="0.3">
      <c r="B15" s="2" t="s">
        <v>4</v>
      </c>
      <c r="C15" s="3">
        <v>10733</v>
      </c>
    </row>
    <row r="16" spans="2:4" ht="16.5" thickTop="1" x14ac:dyDescent="0.25">
      <c r="B16" s="4" t="s">
        <v>5</v>
      </c>
      <c r="C16" s="5">
        <v>78602.33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12090.73</v>
      </c>
    </row>
    <row r="21" spans="2:3" x14ac:dyDescent="0.25">
      <c r="B21" s="2" t="s">
        <v>2</v>
      </c>
      <c r="C21" s="3">
        <v>22977.02</v>
      </c>
    </row>
    <row r="22" spans="2:3" x14ac:dyDescent="0.25">
      <c r="B22" s="2" t="s">
        <v>3</v>
      </c>
      <c r="C22" s="3">
        <v>3648</v>
      </c>
    </row>
    <row r="23" spans="2:3" ht="15.75" thickBot="1" x14ac:dyDescent="0.3">
      <c r="B23" s="2" t="s">
        <v>4</v>
      </c>
      <c r="C23" s="3">
        <v>4812</v>
      </c>
    </row>
    <row r="24" spans="2:3" ht="16.5" thickTop="1" x14ac:dyDescent="0.25">
      <c r="B24" s="4" t="s">
        <v>5</v>
      </c>
      <c r="C24" s="5">
        <v>43527.75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21776</v>
      </c>
    </row>
    <row r="29" spans="2:3" x14ac:dyDescent="0.25">
      <c r="B29" s="2" t="s">
        <v>2</v>
      </c>
      <c r="C29" s="3">
        <v>985</v>
      </c>
    </row>
    <row r="30" spans="2:3" x14ac:dyDescent="0.25">
      <c r="B30" s="2" t="s">
        <v>3</v>
      </c>
      <c r="C30" s="3">
        <v>3300</v>
      </c>
    </row>
    <row r="31" spans="2:3" ht="15.75" thickBot="1" x14ac:dyDescent="0.3">
      <c r="B31" s="2" t="s">
        <v>4</v>
      </c>
      <c r="C31" s="3">
        <v>500</v>
      </c>
    </row>
    <row r="32" spans="2:3" ht="16.5" thickTop="1" x14ac:dyDescent="0.25">
      <c r="B32" s="4" t="s">
        <v>5</v>
      </c>
      <c r="C32" s="5">
        <v>26561</v>
      </c>
    </row>
    <row r="34" spans="2:3" ht="15.75" x14ac:dyDescent="0.25">
      <c r="B34" s="6" t="s">
        <v>12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2804</v>
      </c>
    </row>
    <row r="37" spans="2:3" x14ac:dyDescent="0.25">
      <c r="B37" s="2" t="s">
        <v>2</v>
      </c>
      <c r="C37" s="3">
        <v>16820.760000000002</v>
      </c>
    </row>
    <row r="38" spans="2:3" ht="15.75" thickBot="1" x14ac:dyDescent="0.3">
      <c r="B38" s="2" t="s">
        <v>3</v>
      </c>
      <c r="C38" s="3">
        <v>601</v>
      </c>
    </row>
    <row r="39" spans="2:3" ht="16.5" thickTop="1" x14ac:dyDescent="0.25">
      <c r="B39" s="4" t="s">
        <v>5</v>
      </c>
      <c r="C39" s="5">
        <v>20225.760000000002</v>
      </c>
    </row>
    <row r="41" spans="2:3" ht="15.75" x14ac:dyDescent="0.25">
      <c r="B41" s="6" t="s">
        <v>10</v>
      </c>
      <c r="C41" s="6"/>
    </row>
    <row r="42" spans="2:3" ht="15.75" x14ac:dyDescent="0.25">
      <c r="B42" s="1" t="s">
        <v>14</v>
      </c>
      <c r="C42" s="1" t="s">
        <v>0</v>
      </c>
    </row>
    <row r="43" spans="2:3" ht="15.75" thickBot="1" x14ac:dyDescent="0.3">
      <c r="B43" s="2" t="s">
        <v>1</v>
      </c>
      <c r="C43" s="3">
        <v>6385</v>
      </c>
    </row>
    <row r="44" spans="2:3" ht="16.5" thickTop="1" x14ac:dyDescent="0.25">
      <c r="B44" s="4" t="s">
        <v>5</v>
      </c>
      <c r="C44" s="5">
        <v>6385</v>
      </c>
    </row>
    <row r="46" spans="2:3" ht="15.75" x14ac:dyDescent="0.25">
      <c r="B46" s="6" t="s">
        <v>9</v>
      </c>
      <c r="C46" s="6"/>
    </row>
    <row r="47" spans="2:3" ht="15.75" x14ac:dyDescent="0.25">
      <c r="B47" s="1" t="s">
        <v>14</v>
      </c>
      <c r="C47" s="1" t="s">
        <v>0</v>
      </c>
    </row>
    <row r="48" spans="2:3" x14ac:dyDescent="0.25">
      <c r="B48" s="2" t="s">
        <v>1</v>
      </c>
      <c r="C48" s="3">
        <v>2009</v>
      </c>
    </row>
    <row r="49" spans="2:3" x14ac:dyDescent="0.25">
      <c r="B49" s="2" t="s">
        <v>2</v>
      </c>
      <c r="C49" s="3">
        <v>500</v>
      </c>
    </row>
    <row r="50" spans="2:3" ht="15.75" thickBot="1" x14ac:dyDescent="0.3">
      <c r="B50" s="2" t="s">
        <v>4</v>
      </c>
      <c r="C50" s="3">
        <v>2036</v>
      </c>
    </row>
    <row r="51" spans="2:3" ht="16.5" thickTop="1" x14ac:dyDescent="0.25">
      <c r="B51" s="4" t="s">
        <v>5</v>
      </c>
      <c r="C51" s="5">
        <v>4545</v>
      </c>
    </row>
  </sheetData>
  <mergeCells count="7">
    <mergeCell ref="B34:C34"/>
    <mergeCell ref="B2:C2"/>
    <mergeCell ref="B10:C10"/>
    <mergeCell ref="B18:C18"/>
    <mergeCell ref="B46:C46"/>
    <mergeCell ref="B41:C41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4CBC-6E84-453B-A116-525607629FC4}">
  <dimension ref="B2:D39"/>
  <sheetViews>
    <sheetView tabSelected="1"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28669</v>
      </c>
      <c r="D4" s="7"/>
    </row>
    <row r="5" spans="2:4" ht="16.5" thickBot="1" x14ac:dyDescent="0.3">
      <c r="B5" s="2" t="s">
        <v>16</v>
      </c>
      <c r="C5" s="3">
        <v>129429.99</v>
      </c>
      <c r="D5" s="1" t="s">
        <v>13</v>
      </c>
    </row>
    <row r="6" spans="2:4" ht="16.5" thickTop="1" x14ac:dyDescent="0.25">
      <c r="B6" s="4" t="s">
        <v>5</v>
      </c>
      <c r="C6" s="5">
        <v>158098.99</v>
      </c>
      <c r="D6" s="5">
        <f>SUMIF(B:B, "Total general", C:C)</f>
        <v>337945.83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43975</v>
      </c>
      <c r="D10" s="7"/>
    </row>
    <row r="11" spans="2:4" ht="15.75" thickBot="1" x14ac:dyDescent="0.3">
      <c r="B11" s="2" t="s">
        <v>16</v>
      </c>
      <c r="C11" s="3">
        <v>34627.33</v>
      </c>
    </row>
    <row r="12" spans="2:4" ht="16.5" thickTop="1" x14ac:dyDescent="0.25">
      <c r="B12" s="4" t="s">
        <v>5</v>
      </c>
      <c r="C12" s="5">
        <v>78602.33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43527.75</v>
      </c>
    </row>
    <row r="17" spans="2:4" ht="16.5" thickTop="1" x14ac:dyDescent="0.25">
      <c r="B17" s="4" t="s">
        <v>5</v>
      </c>
      <c r="C17" s="5">
        <v>43527.75</v>
      </c>
    </row>
    <row r="19" spans="2:4" ht="15.75" x14ac:dyDescent="0.25">
      <c r="B19" s="6" t="s">
        <v>11</v>
      </c>
      <c r="C19" s="6"/>
    </row>
    <row r="20" spans="2:4" ht="15.75" x14ac:dyDescent="0.25">
      <c r="B20" s="1" t="s">
        <v>17</v>
      </c>
      <c r="C20" s="1" t="s">
        <v>0</v>
      </c>
    </row>
    <row r="21" spans="2:4" x14ac:dyDescent="0.25">
      <c r="B21" s="2" t="s">
        <v>15</v>
      </c>
      <c r="C21" s="3">
        <v>18868</v>
      </c>
      <c r="D21" s="7"/>
    </row>
    <row r="22" spans="2:4" ht="15.75" thickBot="1" x14ac:dyDescent="0.3">
      <c r="B22" s="2" t="s">
        <v>16</v>
      </c>
      <c r="C22" s="3">
        <v>7693</v>
      </c>
    </row>
    <row r="23" spans="2:4" ht="16.5" thickTop="1" x14ac:dyDescent="0.25">
      <c r="B23" s="4" t="s">
        <v>5</v>
      </c>
      <c r="C23" s="5">
        <v>26561</v>
      </c>
    </row>
    <row r="25" spans="2:4" ht="15.75" x14ac:dyDescent="0.25">
      <c r="B25" s="6" t="s">
        <v>12</v>
      </c>
      <c r="C25" s="6"/>
    </row>
    <row r="26" spans="2:4" ht="15.75" x14ac:dyDescent="0.25">
      <c r="B26" s="1" t="s">
        <v>17</v>
      </c>
      <c r="C26" s="1" t="s">
        <v>0</v>
      </c>
    </row>
    <row r="27" spans="2:4" ht="15.75" thickBot="1" x14ac:dyDescent="0.3">
      <c r="B27" s="2" t="s">
        <v>16</v>
      </c>
      <c r="C27" s="3">
        <v>20225.759999999998</v>
      </c>
    </row>
    <row r="28" spans="2:4" ht="16.5" thickTop="1" x14ac:dyDescent="0.25">
      <c r="B28" s="4" t="s">
        <v>5</v>
      </c>
      <c r="C28" s="5">
        <v>20225.759999999998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3">
        <v>6385</v>
      </c>
      <c r="D32" s="7"/>
    </row>
    <row r="33" spans="2:4" ht="16.5" thickTop="1" x14ac:dyDescent="0.25">
      <c r="B33" s="4" t="s">
        <v>5</v>
      </c>
      <c r="C33" s="5">
        <v>6385</v>
      </c>
    </row>
    <row r="35" spans="2:4" ht="15.75" x14ac:dyDescent="0.25">
      <c r="B35" s="6" t="s">
        <v>9</v>
      </c>
      <c r="C35" s="6"/>
    </row>
    <row r="36" spans="2:4" ht="15.75" x14ac:dyDescent="0.25">
      <c r="B36" s="1" t="s">
        <v>17</v>
      </c>
      <c r="C36" s="1" t="s">
        <v>0</v>
      </c>
    </row>
    <row r="37" spans="2:4" x14ac:dyDescent="0.25">
      <c r="B37" s="2" t="s">
        <v>15</v>
      </c>
      <c r="C37" s="3">
        <v>2689</v>
      </c>
      <c r="D37" s="7"/>
    </row>
    <row r="38" spans="2:4" ht="15.75" thickBot="1" x14ac:dyDescent="0.3">
      <c r="B38" s="2" t="s">
        <v>16</v>
      </c>
      <c r="C38" s="3">
        <v>1856</v>
      </c>
    </row>
    <row r="39" spans="2:4" ht="16.5" thickTop="1" x14ac:dyDescent="0.25">
      <c r="B39" s="4" t="s">
        <v>5</v>
      </c>
      <c r="C39" s="5">
        <v>4545</v>
      </c>
    </row>
  </sheetData>
  <mergeCells count="7">
    <mergeCell ref="B35:C35"/>
    <mergeCell ref="B2:C2"/>
    <mergeCell ref="B8:C8"/>
    <mergeCell ref="B14:C14"/>
    <mergeCell ref="B19:C19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2025-06-01T22:17:10Z</dcterms:created>
  <dcterms:modified xsi:type="dcterms:W3CDTF">2025-06-01T22:22:20Z</dcterms:modified>
</cp:coreProperties>
</file>