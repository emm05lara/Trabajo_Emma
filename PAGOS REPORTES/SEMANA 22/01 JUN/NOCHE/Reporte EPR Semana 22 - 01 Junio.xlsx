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01 JUN\NOCHE\"/>
    </mc:Choice>
  </mc:AlternateContent>
  <xr:revisionPtr revIDLastSave="0" documentId="13_ncr:1_{F06F486B-0AE1-41FA-8AE9-3CBEE47C2BEF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01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2" i="1"/>
  <c r="D44" i="1"/>
  <c r="C44" i="1"/>
  <c r="C52" i="1"/>
  <c r="D19" i="1" l="1"/>
  <c r="C19" i="1"/>
  <c r="J9" i="3"/>
  <c r="J8" i="3"/>
  <c r="J7" i="3"/>
  <c r="D6" i="3"/>
  <c r="F6" i="3" s="1"/>
  <c r="D57" i="1"/>
  <c r="C57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<sst xmlns="http://schemas.openxmlformats.org/spreadsheetml/2006/main" count="88" uniqueCount="36">
  <si>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</si>
  <si>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</si>
  <si>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</si>
  <si>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</si>
  <si>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</si>
  <si>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</si>
  <si>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</si>
  <si>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</si>
  <si>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</si>
  <si>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</si>
  <si>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</si>
  <si>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</si>
  <si>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</si>
  <si>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</si>
  <si>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</si>
  <si>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</si>
  <si>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</si>
  <si>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</si>
  <si>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</si>
  <si>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</si>
  <si>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</si>
  <si>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</si>
  <si>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</si>
  <si>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</si>
  <si>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</si>
  <si>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</si>
  <si>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</si>
  <si>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</si>
  <si>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</si>
  <si>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</si>
  <si>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</si>
  <si>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</si>
  <si>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</si>
  <si>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</si>
  <si>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</si>
  <si>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01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</si>
</sst>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31" workbookViewId="0">
      <selection activeCell="A56" sqref="A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2556</v>
      </c>
      <c r="D5" s="25">
        <v>70575.88</v>
      </c>
    </row>
    <row r="6" spans="2:8" x14ac:dyDescent="0.25">
      <c r="B6" s="1" t="s">
        <v>5</v>
      </c>
      <c r="C6" s="6">
        <v>3078</v>
      </c>
      <c r="D6" s="25">
        <v>45389.14</v>
      </c>
    </row>
    <row r="7" spans="2:8" x14ac:dyDescent="0.25">
      <c r="B7" s="1" t="s">
        <v>6</v>
      </c>
      <c r="C7" s="6">
        <v>5016</v>
      </c>
      <c r="D7" s="25">
        <v>101520</v>
      </c>
    </row>
    <row r="8" spans="2:8" x14ac:dyDescent="0.25">
      <c r="B8" s="5" t="s">
        <v>12</v>
      </c>
      <c r="C8" s="7">
        <v>1980</v>
      </c>
      <c r="D8" s="26">
        <v>0</v>
      </c>
    </row>
    <row r="9" spans="2:8" x14ac:dyDescent="0.25">
      <c r="B9" s="1" t="s">
        <v>7</v>
      </c>
      <c r="C9" s="6">
        <v>11383</v>
      </c>
      <c r="D9" s="25">
        <v>53554.01</v>
      </c>
    </row>
    <row r="10" spans="2:8" x14ac:dyDescent="0.25">
      <c r="B10" s="3" t="s">
        <v>8</v>
      </c>
      <c r="C10" s="8">
        <f>SUM(C5:C9)</f>
        <v>24013</v>
      </c>
      <c r="D10" s="4">
        <f>SUM(D5:D9)</f>
        <v>271039.03000000003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2752</v>
      </c>
      <c r="D14" s="25">
        <v>48947.33</v>
      </c>
    </row>
    <row r="15" spans="2:8" x14ac:dyDescent="0.25">
      <c r="B15" s="1" t="s">
        <v>5</v>
      </c>
      <c r="C15" s="6">
        <v>2222</v>
      </c>
      <c r="D15" s="25">
        <v>14394.880000000001</v>
      </c>
    </row>
    <row r="16" spans="2:8" x14ac:dyDescent="0.25">
      <c r="B16" s="1" t="s">
        <v>6</v>
      </c>
      <c r="C16" s="6">
        <v>2600</v>
      </c>
      <c r="D16" s="25">
        <v>37801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17762</v>
      </c>
      <c r="D18" s="25">
        <v>19204</v>
      </c>
    </row>
    <row r="19" spans="2:11" x14ac:dyDescent="0.25">
      <c r="B19" s="3" t="s">
        <v>8</v>
      </c>
      <c r="C19" s="8">
        <f>SUM(C14:C18)</f>
        <v>25338</v>
      </c>
      <c r="D19" s="4">
        <f>SUM(D14:D18)</f>
        <v>120347.21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3208</v>
      </c>
      <c r="D23" s="25">
        <v>55032.5</v>
      </c>
    </row>
    <row r="24" spans="2:11" x14ac:dyDescent="0.25">
      <c r="B24" s="9" t="s">
        <v>5</v>
      </c>
      <c r="C24" s="6">
        <v>1151</v>
      </c>
      <c r="D24" s="25">
        <v>25104.02</v>
      </c>
    </row>
    <row r="25" spans="2:11" x14ac:dyDescent="0.25">
      <c r="B25" s="9" t="s">
        <v>6</v>
      </c>
      <c r="C25" s="6">
        <v>2152</v>
      </c>
      <c r="D25" s="25">
        <v>6392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17175</v>
      </c>
      <c r="D27" s="25">
        <v>6899</v>
      </c>
    </row>
    <row r="28" spans="2:11" x14ac:dyDescent="0.25">
      <c r="B28" s="10" t="s">
        <v>8</v>
      </c>
      <c r="C28" s="8">
        <f>SUM(C23:C27)</f>
        <v>23687</v>
      </c>
      <c r="D28" s="4">
        <f>SUM(D23:D27)</f>
        <v>93427.520000000004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55</v>
      </c>
      <c r="D32" s="25">
        <v>2804</v>
      </c>
    </row>
    <row r="33" spans="2:4" x14ac:dyDescent="0.25">
      <c r="B33" s="9" t="s">
        <v>5</v>
      </c>
      <c r="C33" s="6">
        <v>3380</v>
      </c>
      <c r="D33" s="25">
        <v>22699.759999999998</v>
      </c>
    </row>
    <row r="34" spans="2:4" x14ac:dyDescent="0.25">
      <c r="B34" s="9" t="s">
        <v>6</v>
      </c>
      <c r="C34" s="6">
        <v>285</v>
      </c>
      <c r="D34" s="25">
        <v>1601</v>
      </c>
    </row>
    <row r="35" spans="2:4" x14ac:dyDescent="0.25">
      <c r="B35" s="9" t="s">
        <v>7</v>
      </c>
      <c r="C35" s="6">
        <v>3972</v>
      </c>
      <c r="D35" s="25">
        <v>3438</v>
      </c>
    </row>
    <row r="36" spans="2:4" x14ac:dyDescent="0.25">
      <c r="B36" s="10" t="s">
        <v>8</v>
      </c>
      <c r="C36" s="8">
        <f>SUM(C32:C35)</f>
        <v>7692</v>
      </c>
      <c r="D36" s="4">
        <f>SUM(D32:D35)</f>
        <v>30542.76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2003</v>
      </c>
      <c r="D40" s="25">
        <v>22776</v>
      </c>
    </row>
    <row r="41" spans="2:4" x14ac:dyDescent="0.25">
      <c r="B41" s="1" t="s">
        <v>5</v>
      </c>
      <c r="C41" s="6">
        <v>1209</v>
      </c>
      <c r="D41" s="25">
        <v>2607</v>
      </c>
    </row>
    <row r="42" spans="2:4" x14ac:dyDescent="0.25">
      <c r="B42" s="1" t="s">
        <v>6</v>
      </c>
      <c r="C42" s="6">
        <v>2003</v>
      </c>
      <c r="D42" s="25">
        <v>3300</v>
      </c>
    </row>
    <row r="43" spans="2:4" x14ac:dyDescent="0.25">
      <c r="B43" s="1" t="s">
        <v>7</v>
      </c>
      <c r="C43" s="6">
        <v>2034</v>
      </c>
      <c r="D43" s="25">
        <v>1110</v>
      </c>
    </row>
    <row r="44" spans="2:4" x14ac:dyDescent="0.25">
      <c r="B44" s="3" t="s">
        <v>8</v>
      </c>
      <c r="C44" s="8">
        <f>SUM(C40:C43)</f>
        <v>7249</v>
      </c>
      <c r="D44" s="4">
        <f>SUM(D40:D43)</f>
        <v>29793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587</v>
      </c>
      <c r="D48" s="25">
        <v>6119</v>
      </c>
    </row>
    <row r="49" spans="2:4" x14ac:dyDescent="0.25">
      <c r="B49" s="1" t="s">
        <v>5</v>
      </c>
      <c r="C49" s="6">
        <v>705</v>
      </c>
      <c r="D49" s="25">
        <v>500</v>
      </c>
    </row>
    <row r="50" spans="2:4" x14ac:dyDescent="0.25">
      <c r="B50" s="1" t="s">
        <v>6</v>
      </c>
      <c r="C50" s="6">
        <v>811</v>
      </c>
      <c r="D50" s="26">
        <v>0</v>
      </c>
    </row>
    <row r="51" spans="2:4" x14ac:dyDescent="0.25">
      <c r="B51" s="1" t="s">
        <v>7</v>
      </c>
      <c r="C51" s="6">
        <v>2472</v>
      </c>
      <c r="D51" s="25">
        <v>2623</v>
      </c>
    </row>
    <row r="52" spans="2:4" x14ac:dyDescent="0.25">
      <c r="B52" s="3" t="s">
        <v>8</v>
      </c>
      <c r="C52" s="8">
        <f>SUM(C48:C51)</f>
        <v>4575</v>
      </c>
      <c r="D52" s="4">
        <f>SUM(D48:D51)</f>
        <v>9242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2835</v>
      </c>
      <c r="D56" s="25">
        <v>9211</v>
      </c>
    </row>
    <row r="57" spans="2:4" x14ac:dyDescent="0.25">
      <c r="B57" s="10" t="s">
        <v>8</v>
      </c>
      <c r="C57" s="8">
        <f>SUM(C56:C56)</f>
        <v>2835</v>
      </c>
      <c r="D57" s="4">
        <f>SUM(D56:D56)</f>
        <v>9211</v>
      </c>
    </row>
    <row r="59" spans="2:4" x14ac:dyDescent="0.25">
      <c r="B59" s="11" t="s">
        <v>13</v>
      </c>
      <c r="C59" s="12">
        <f>SUM(C10+C36+C28+C57+C19+C52+C44)</f>
        <v>95389</v>
      </c>
      <c r="D59" s="12">
        <f>SUM(D10+D36+D28+D57+D19+D52+D44)</f>
        <v>563602.52</v>
      </c>
    </row>
  </sheetData>
  <mergeCells count="7">
    <mergeCell ref="B3:D3"/>
    <mergeCell ref="B30:D30"/>
    <mergeCell ref="B54:D54"/>
    <mergeCell ref="B46:D46"/>
    <mergeCell ref="B12:D12"/>
    <mergeCell ref="B21:D21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01 JUN'!C6, 'REPORTE DIARIO'!C:C)</f>
        <v>13996</v>
      </c>
      <c r="E6" s="15">
        <f>SUMIF('REPORTE DIARIO'!B:B,'EPR 01 JUN'!C6, 'REPORTE DIARIO'!D:D)</f>
        <v>215465.71000000002</v>
      </c>
      <c r="F6" s="15">
        <f>J6*D6</f>
        <v>439874.28571428568</v>
      </c>
      <c r="G6" s="15">
        <f>+E6-F6</f>
        <v>-224408.57571428566</v>
      </c>
      <c r="H6" s="14">
        <f>ABS(G6/F6)</f>
        <v>0.51016525176024308</v>
      </c>
      <c r="I6" s="15">
        <f>E6/D6</f>
        <v>15.394806373249502</v>
      </c>
      <c r="J6" s="15">
        <f>220/7</f>
        <v>31.428571428571427</v>
      </c>
      <c r="K6" s="15">
        <f>+I6-J6</f>
        <v>-16.033765055321926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01 JUN'!C7, 'REPORTE DIARIO'!C:C)</f>
        <v>11745</v>
      </c>
      <c r="E7" s="15">
        <f>SUMIF('REPORTE DIARIO'!B:B,'EPR 01 JUN'!C7, 'REPORTE DIARIO'!D:D)</f>
        <v>110694.8</v>
      </c>
      <c r="F7" s="15">
        <f>J7*D7</f>
        <v>184564.28571428571</v>
      </c>
      <c r="G7" s="15">
        <f>+E7-F7</f>
        <v>-73869.485714285707</v>
      </c>
      <c r="H7" s="14">
        <f>ABS(G7/F7)</f>
        <v>0.40023716088083899</v>
      </c>
      <c r="I7" s="15">
        <f>E7/D7</f>
        <v>9.4248446147296718</v>
      </c>
      <c r="J7" s="15">
        <f>110/7</f>
        <v>15.714285714285714</v>
      </c>
      <c r="K7" s="15">
        <f t="shared" ref="K7:K9" si="0">+I7-J7</f>
        <v>-6.2894410995560417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01 JUN'!C8, 'REPORTE DIARIO'!C:C)</f>
        <v>12867</v>
      </c>
      <c r="E8" s="15">
        <f>SUMIF('REPORTE DIARIO'!B:B,'EPR 01 JUN'!C8, 'REPORTE DIARIO'!D:D)</f>
        <v>150614</v>
      </c>
      <c r="F8" s="15">
        <f>J8*D8</f>
        <v>82716.42857142858</v>
      </c>
      <c r="G8" s="15">
        <f>+E8-F8</f>
        <v>67897.57142857142</v>
      </c>
      <c r="H8" s="14">
        <f>ABS(G8/F8)</f>
        <v>0.82084747372693267</v>
      </c>
      <c r="I8" s="15">
        <f>E8/D8</f>
        <v>11.705448045387426</v>
      </c>
      <c r="J8" s="15">
        <f>45/7</f>
        <v>6.4285714285714288</v>
      </c>
      <c r="K8" s="15">
        <f t="shared" si="0"/>
        <v>5.2768766168159971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01 JUN'!C9, 'REPORTE DIARIO'!C:C)</f>
        <v>54798</v>
      </c>
      <c r="E9" s="15">
        <f>SUMIF('REPORTE DIARIO'!B:B,'EPR 01 JUN'!C9, 'REPORTE DIARIO'!D:D)</f>
        <v>86828.010000000009</v>
      </c>
      <c r="F9" s="15">
        <f>J9*D9</f>
        <v>117424.28571428571</v>
      </c>
      <c r="G9" s="15">
        <f>+E9-F9</f>
        <v>-30596.275714285701</v>
      </c>
      <c r="H9" s="14">
        <f>ABS(G9/F9)</f>
        <v>0.26056173582977471</v>
      </c>
      <c r="I9" s="15">
        <f>E9/D9</f>
        <v>1.5845105660790542</v>
      </c>
      <c r="J9" s="15">
        <f>15/7</f>
        <v>2.1428571428571428</v>
      </c>
      <c r="K9" s="15">
        <f t="shared" si="0"/>
        <v>-0.55834657677808863</v>
      </c>
    </row>
    <row r="10" spans="2:12" x14ac:dyDescent="0.25">
      <c r="B10" s="15"/>
      <c r="C10" s="18" t="s">
        <v>16</v>
      </c>
      <c r="D10" s="23">
        <f>SUM(D6:D9)</f>
        <v>93406</v>
      </c>
      <c r="E10" s="19">
        <f>SUM(E6:E9)</f>
        <v>563602.52</v>
      </c>
      <c r="F10" s="19">
        <f>SUM(F6:F9)</f>
        <v>824579.28571428568</v>
      </c>
      <c r="G10" s="19">
        <f>+E10-F10</f>
        <v>-260976.76571428566</v>
      </c>
      <c r="H10" s="20">
        <f>ABS(G10/F10)</f>
        <v>0.31649687329729181</v>
      </c>
      <c r="I10" s="19">
        <f>E10/D10</f>
        <v>6.0339006059567906</v>
      </c>
      <c r="J10" s="19">
        <f>F10/D10</f>
        <v>8.8279049066899944</v>
      </c>
      <c r="K10" s="19">
        <f>I10-J10</f>
        <v>-2.7940043007332038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01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2025-06-02T02:13:01Z</dcterms:modified>
</cp:coreProperties>
</file>