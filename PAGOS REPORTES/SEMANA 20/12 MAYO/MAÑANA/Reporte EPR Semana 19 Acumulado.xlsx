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20\12 MAYO\MAÑANA\"/>
    </mc:Choice>
  </mc:AlternateContent>
  <xr:revisionPtr revIDLastSave="0" documentId="13_ncr:1_{98F975E4-5530-4EEA-9877-2CC59DB31792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11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D51" i="1"/>
  <c r="C51" i="1"/>
  <c r="D43" i="1"/>
  <c r="C43" i="1"/>
  <c r="D27" i="1"/>
  <c r="C27" i="1"/>
  <c r="D56" i="1" l="1"/>
  <c r="C56" i="1"/>
  <c r="D35" i="1"/>
  <c r="C35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<sst xmlns="http://schemas.openxmlformats.org/spreadsheetml/2006/main" count="88" uniqueCount="37">
  <si>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</si>
  <si>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</si>
  <si>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</si>
  <si>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</si>
  <si>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</si>
  <si>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</si>
  <si>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</si>
  <si>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</si>
  <si>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</si>
  <si>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</si>
  <si>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</si>
  <si>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</si>
  <si>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</si>
  <si>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</si>
  <si>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</si>
  <si>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</si>
  <si>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</si>
  <si>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</si>
  <si>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</si>
  <si>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</si>
  <si>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</si>
  <si>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</si>
  <si>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</si>
  <si>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</si>
  <si>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</si>
  <si>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</si>
  <si>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</si>
  <si>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</si>
  <si>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</si>
  <si>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</si>
  <si>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</si>
  <si>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</si>
  <si>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</si>
  <si>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</si>
  <si>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19</t>
  </si>
  <si>
    <t>Zareth</t>
  </si>
  <si>
    <t>Fernando (Naucalpan)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</si>
</sst>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43" zoomScaleNormal="100" workbookViewId="0">
      <selection activeCell="B3" sqref="B3:D58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4161</v>
      </c>
      <c r="D5" s="25">
        <v>633319.02</v>
      </c>
    </row>
    <row r="6" spans="2:8" x14ac:dyDescent="0.3">
      <c r="B6" s="1" t="s">
        <v>5</v>
      </c>
      <c r="C6" s="6">
        <v>4381</v>
      </c>
      <c r="D6" s="25">
        <v>349795.39</v>
      </c>
    </row>
    <row r="7" spans="2:8" x14ac:dyDescent="0.3">
      <c r="B7" s="1" t="s">
        <v>6</v>
      </c>
      <c r="C7" s="6">
        <v>6023</v>
      </c>
      <c r="D7" s="25">
        <v>316924.62</v>
      </c>
    </row>
    <row r="8" spans="2:8" x14ac:dyDescent="0.3">
      <c r="B8" s="5" t="s">
        <v>12</v>
      </c>
      <c r="C8" s="7">
        <v>10</v>
      </c>
      <c r="D8" s="26">
        <v>0</v>
      </c>
    </row>
    <row r="9" spans="2:8" x14ac:dyDescent="0.3">
      <c r="B9" s="1" t="s">
        <v>7</v>
      </c>
      <c r="C9" s="6">
        <v>13324</v>
      </c>
      <c r="D9" s="25">
        <v>433932.1</v>
      </c>
      <c r="E9" s="14"/>
      <c r="F9" s="7"/>
    </row>
    <row r="10" spans="2:8" x14ac:dyDescent="0.3">
      <c r="B10" s="3" t="s">
        <v>8</v>
      </c>
      <c r="C10" s="8">
        <f>SUM(C5:C9)</f>
        <v>27899</v>
      </c>
      <c r="D10" s="4">
        <f>SUM(D5:D9)</f>
        <v>1733971.13</v>
      </c>
      <c r="E10" s="11" t="s">
        <v>14</v>
      </c>
    </row>
    <row r="12" spans="2:8" x14ac:dyDescent="0.3">
      <c r="B12" s="27" t="s">
        <v>10</v>
      </c>
      <c r="C12" s="27"/>
      <c r="D12" s="27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3397</v>
      </c>
      <c r="D14" s="25">
        <v>395717.48000000004</v>
      </c>
    </row>
    <row r="15" spans="2:8" x14ac:dyDescent="0.3">
      <c r="B15" s="9" t="s">
        <v>5</v>
      </c>
      <c r="C15" s="6">
        <v>1958</v>
      </c>
      <c r="D15" s="25">
        <v>164830</v>
      </c>
    </row>
    <row r="16" spans="2:8" x14ac:dyDescent="0.3">
      <c r="B16" s="9" t="s">
        <v>6</v>
      </c>
      <c r="C16" s="6">
        <v>2240</v>
      </c>
      <c r="D16" s="25">
        <v>43602.479999999996</v>
      </c>
    </row>
    <row r="17" spans="2:11" x14ac:dyDescent="0.3">
      <c r="B17" s="9" t="s">
        <v>7</v>
      </c>
      <c r="C17" s="6">
        <v>9835</v>
      </c>
      <c r="D17" s="25">
        <v>96291.81</v>
      </c>
    </row>
    <row r="18" spans="2:11" x14ac:dyDescent="0.3">
      <c r="B18" s="10" t="s">
        <v>8</v>
      </c>
      <c r="C18" s="8">
        <f>SUM(C14:C17)</f>
        <v>17430</v>
      </c>
      <c r="D18" s="4">
        <f>SUM(D14:D17)</f>
        <v>700441.77</v>
      </c>
    </row>
    <row r="20" spans="2:11" x14ac:dyDescent="0.3">
      <c r="B20" s="28" t="s">
        <v>30</v>
      </c>
      <c r="C20" s="28"/>
      <c r="D20" s="28"/>
    </row>
    <row r="21" spans="2:11" x14ac:dyDescent="0.3">
      <c r="B21" s="2" t="s">
        <v>1</v>
      </c>
      <c r="C21" s="2" t="s">
        <v>2</v>
      </c>
      <c r="D21" s="2" t="s">
        <v>3</v>
      </c>
    </row>
    <row r="22" spans="2:11" x14ac:dyDescent="0.3">
      <c r="B22" s="1" t="s">
        <v>4</v>
      </c>
      <c r="C22" s="6">
        <v>1932</v>
      </c>
      <c r="D22" s="25">
        <v>228482.34</v>
      </c>
    </row>
    <row r="23" spans="2:11" x14ac:dyDescent="0.3">
      <c r="B23" s="1" t="s">
        <v>5</v>
      </c>
      <c r="C23" s="6">
        <v>1826</v>
      </c>
      <c r="D23" s="25">
        <v>104752</v>
      </c>
    </row>
    <row r="24" spans="2:11" x14ac:dyDescent="0.3">
      <c r="B24" s="1" t="s">
        <v>6</v>
      </c>
      <c r="C24" s="6">
        <v>3118</v>
      </c>
      <c r="D24" s="25">
        <v>119728</v>
      </c>
    </row>
    <row r="25" spans="2:11" x14ac:dyDescent="0.3">
      <c r="B25" s="5" t="s">
        <v>12</v>
      </c>
      <c r="C25" s="7">
        <v>2</v>
      </c>
      <c r="D25" s="26">
        <v>0</v>
      </c>
    </row>
    <row r="26" spans="2:11" x14ac:dyDescent="0.3">
      <c r="B26" s="1" t="s">
        <v>7</v>
      </c>
      <c r="C26" s="6">
        <v>20810</v>
      </c>
      <c r="D26" s="25">
        <v>171694.37</v>
      </c>
    </row>
    <row r="27" spans="2:11" x14ac:dyDescent="0.3">
      <c r="B27" s="3" t="s">
        <v>8</v>
      </c>
      <c r="C27" s="8">
        <f>SUM(C22:C26)</f>
        <v>27688</v>
      </c>
      <c r="D27" s="4">
        <f>SUM(D22:D26)</f>
        <v>624656.71</v>
      </c>
      <c r="K27" s="7"/>
    </row>
    <row r="29" spans="2:11" x14ac:dyDescent="0.3">
      <c r="B29" s="28" t="s">
        <v>9</v>
      </c>
      <c r="C29" s="28"/>
      <c r="D29" s="28"/>
    </row>
    <row r="30" spans="2:11" x14ac:dyDescent="0.3">
      <c r="B30" s="2" t="s">
        <v>1</v>
      </c>
      <c r="C30" s="2" t="s">
        <v>2</v>
      </c>
      <c r="D30" s="2" t="s">
        <v>3</v>
      </c>
    </row>
    <row r="31" spans="2:11" x14ac:dyDescent="0.3">
      <c r="B31" s="9" t="s">
        <v>4</v>
      </c>
      <c r="C31" s="6">
        <v>282</v>
      </c>
      <c r="D31" s="25">
        <v>65687.97</v>
      </c>
    </row>
    <row r="32" spans="2:11" x14ac:dyDescent="0.3">
      <c r="B32" s="9" t="s">
        <v>5</v>
      </c>
      <c r="C32" s="6">
        <v>2023</v>
      </c>
      <c r="D32" s="25">
        <v>116494.71000000002</v>
      </c>
    </row>
    <row r="33" spans="2:4" x14ac:dyDescent="0.3">
      <c r="B33" s="9" t="s">
        <v>6</v>
      </c>
      <c r="C33" s="6">
        <v>2233</v>
      </c>
      <c r="D33" s="25">
        <v>38041.99</v>
      </c>
    </row>
    <row r="34" spans="2:4" x14ac:dyDescent="0.3">
      <c r="B34" s="9" t="s">
        <v>7</v>
      </c>
      <c r="C34" s="6">
        <v>4229</v>
      </c>
      <c r="D34" s="25">
        <v>5658</v>
      </c>
    </row>
    <row r="35" spans="2:4" x14ac:dyDescent="0.3">
      <c r="B35" s="10" t="s">
        <v>8</v>
      </c>
      <c r="C35" s="8">
        <f>SUM(C31:C34)</f>
        <v>8767</v>
      </c>
      <c r="D35" s="4">
        <f>SUM(D31:D34)</f>
        <v>225882.67</v>
      </c>
    </row>
    <row r="37" spans="2:4" x14ac:dyDescent="0.3">
      <c r="B37" s="28" t="s">
        <v>31</v>
      </c>
      <c r="C37" s="28"/>
      <c r="D37" s="28"/>
    </row>
    <row r="38" spans="2:4" x14ac:dyDescent="0.3">
      <c r="B38" s="2" t="s">
        <v>1</v>
      </c>
      <c r="C38" s="2" t="s">
        <v>2</v>
      </c>
      <c r="D38" s="2" t="s">
        <v>3</v>
      </c>
    </row>
    <row r="39" spans="2:4" x14ac:dyDescent="0.3">
      <c r="B39" s="9" t="s">
        <v>4</v>
      </c>
      <c r="C39" s="6">
        <v>144</v>
      </c>
      <c r="D39" s="25">
        <v>177376</v>
      </c>
    </row>
    <row r="40" spans="2:4" x14ac:dyDescent="0.3">
      <c r="B40" s="1" t="s">
        <v>5</v>
      </c>
      <c r="C40" s="6">
        <v>642</v>
      </c>
      <c r="D40" s="25">
        <v>9536</v>
      </c>
    </row>
    <row r="41" spans="2:4" x14ac:dyDescent="0.3">
      <c r="B41" s="1" t="s">
        <v>6</v>
      </c>
      <c r="C41" s="6">
        <v>511</v>
      </c>
      <c r="D41" s="25">
        <v>1320</v>
      </c>
    </row>
    <row r="42" spans="2:4" x14ac:dyDescent="0.3">
      <c r="B42" s="1" t="s">
        <v>7</v>
      </c>
      <c r="C42" s="6">
        <v>2181</v>
      </c>
      <c r="D42" s="25">
        <v>31522</v>
      </c>
    </row>
    <row r="43" spans="2:4" x14ac:dyDescent="0.3">
      <c r="B43" s="3" t="s">
        <v>8</v>
      </c>
      <c r="C43" s="8">
        <f>SUM(C39:C42)</f>
        <v>3478</v>
      </c>
      <c r="D43" s="4">
        <f>SUM(D39:D42)</f>
        <v>219754</v>
      </c>
    </row>
    <row r="45" spans="2:4" x14ac:dyDescent="0.3">
      <c r="B45" s="28" t="s">
        <v>32</v>
      </c>
      <c r="C45" s="28"/>
      <c r="D45" s="28"/>
    </row>
    <row r="46" spans="2:4" x14ac:dyDescent="0.3">
      <c r="B46" s="2" t="s">
        <v>1</v>
      </c>
      <c r="C46" s="2" t="s">
        <v>2</v>
      </c>
      <c r="D46" s="2" t="s">
        <v>3</v>
      </c>
    </row>
    <row r="47" spans="2:4" x14ac:dyDescent="0.3">
      <c r="B47" s="9" t="s">
        <v>4</v>
      </c>
      <c r="C47" s="6">
        <v>183</v>
      </c>
      <c r="D47" s="25">
        <v>15372</v>
      </c>
    </row>
    <row r="48" spans="2:4" x14ac:dyDescent="0.3">
      <c r="B48" s="1" t="s">
        <v>5</v>
      </c>
      <c r="C48" s="6">
        <v>467</v>
      </c>
      <c r="D48" s="25">
        <v>76054</v>
      </c>
    </row>
    <row r="49" spans="2:4" x14ac:dyDescent="0.3">
      <c r="B49" s="1" t="s">
        <v>6</v>
      </c>
      <c r="C49" s="6">
        <v>822</v>
      </c>
      <c r="D49" s="25">
        <v>2189</v>
      </c>
    </row>
    <row r="50" spans="2:4" x14ac:dyDescent="0.3">
      <c r="B50" s="1" t="s">
        <v>7</v>
      </c>
      <c r="C50" s="6">
        <v>1087</v>
      </c>
      <c r="D50" s="25">
        <v>4361</v>
      </c>
    </row>
    <row r="51" spans="2:4" x14ac:dyDescent="0.3">
      <c r="B51" s="3" t="s">
        <v>8</v>
      </c>
      <c r="C51" s="8">
        <f>SUM(C47:C50)</f>
        <v>2559</v>
      </c>
      <c r="D51" s="4">
        <f>SUM(D47:D50)</f>
        <v>97976</v>
      </c>
    </row>
    <row r="53" spans="2:4" x14ac:dyDescent="0.3">
      <c r="B53" s="27" t="s">
        <v>11</v>
      </c>
      <c r="C53" s="27"/>
      <c r="D53" s="27"/>
    </row>
    <row r="54" spans="2:4" x14ac:dyDescent="0.3">
      <c r="B54" s="4" t="s">
        <v>1</v>
      </c>
      <c r="C54" s="4" t="s">
        <v>2</v>
      </c>
      <c r="D54" s="4" t="s">
        <v>3</v>
      </c>
    </row>
    <row r="55" spans="2:4" x14ac:dyDescent="0.3">
      <c r="B55" s="9" t="s">
        <v>4</v>
      </c>
      <c r="C55" s="6">
        <v>2032</v>
      </c>
      <c r="D55" s="25">
        <v>37497</v>
      </c>
    </row>
    <row r="56" spans="2:4" x14ac:dyDescent="0.3">
      <c r="B56" s="10" t="s">
        <v>8</v>
      </c>
      <c r="C56" s="8">
        <f>SUM(C55:C55)</f>
        <v>2032</v>
      </c>
      <c r="D56" s="4">
        <f>SUM(D55:D55)</f>
        <v>37497</v>
      </c>
    </row>
    <row r="58" spans="2:4" x14ac:dyDescent="0.3">
      <c r="B58" s="12" t="s">
        <v>13</v>
      </c>
      <c r="C58" s="13">
        <f>SUM(C10+C18+C35+C56+C27+C43+C51)</f>
        <v>89853</v>
      </c>
      <c r="D58" s="13">
        <f>SUM(D10+D18+D35+D56+D27+D43+D51)</f>
        <v>3640179.28</v>
      </c>
    </row>
  </sheetData>
  <mergeCells count="7">
    <mergeCell ref="B53:D53"/>
    <mergeCell ref="B45:D45"/>
    <mergeCell ref="B20:D20"/>
    <mergeCell ref="B37:D37"/>
    <mergeCell ref="B3:D3"/>
    <mergeCell ref="B12:D12"/>
    <mergeCell ref="B29:D29"/>
  </mergeCells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topLeftCell="C1" zoomScale="145" zoomScaleNormal="145" workbookViewId="0">
      <selection activeCell="B2" sqref="B2:K14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34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35</v>
      </c>
      <c r="C6" s="16" t="s">
        <v>4</v>
      </c>
      <c r="D6" s="23">
        <f>SUMIF('REPORTE DIARIO'!B:B,'EPR 11 MAYO'!C6, 'REPORTE DIARIO'!C:C)</f>
        <v>12131</v>
      </c>
      <c r="E6" s="16">
        <f>SUMIF('REPORTE DIARIO'!B:B,'EPR 11 MAYO'!C6, 'REPORTE DIARIO'!D:D)</f>
        <v>1553451.81</v>
      </c>
      <c r="F6" s="16">
        <f>J6*D6</f>
        <v>2668820</v>
      </c>
      <c r="G6" s="16">
        <f>+E6-F6</f>
        <v>-1115368.19</v>
      </c>
      <c r="H6" s="15">
        <f>ABS(G6/F6)</f>
        <v>0.41792559633096271</v>
      </c>
      <c r="I6" s="16">
        <f>E6/D6</f>
        <v>128.05636880718819</v>
      </c>
      <c r="J6" s="16">
        <f>(220/7)*7</f>
        <v>220</v>
      </c>
      <c r="K6" s="16">
        <f>+I6-J6</f>
        <v>-91.943631192811807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11 MAYO'!C7, 'REPORTE DIARIO'!C:C)</f>
        <v>11297</v>
      </c>
      <c r="E7" s="16">
        <f>SUMIF('REPORTE DIARIO'!B:B,'EPR 11 MAYO'!C7, 'REPORTE DIARIO'!D:D)</f>
        <v>821462.10000000009</v>
      </c>
      <c r="F7" s="16">
        <f>J7*D7</f>
        <v>1242670</v>
      </c>
      <c r="G7" s="16">
        <f>+E7-F7</f>
        <v>-421207.89999999991</v>
      </c>
      <c r="H7" s="15">
        <f>ABS(G7/F7)</f>
        <v>0.33895394593898615</v>
      </c>
      <c r="I7" s="16">
        <f>E7/D7</f>
        <v>72.715065946711519</v>
      </c>
      <c r="J7" s="16">
        <f>(110/7)*7</f>
        <v>110</v>
      </c>
      <c r="K7" s="16">
        <f t="shared" ref="K7:K9" si="0">+I7-J7</f>
        <v>-37.284934053288481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11 MAYO'!C8, 'REPORTE DIARIO'!C:C)</f>
        <v>14947</v>
      </c>
      <c r="E8" s="16">
        <f>SUMIF('REPORTE DIARIO'!B:B,'EPR 11 MAYO'!C8, 'REPORTE DIARIO'!D:D)</f>
        <v>521806.08999999997</v>
      </c>
      <c r="F8" s="16">
        <f>J8*D8</f>
        <v>672615</v>
      </c>
      <c r="G8" s="16">
        <f>+E8-F8</f>
        <v>-150808.91000000003</v>
      </c>
      <c r="H8" s="15">
        <f>ABS(G8/F8)</f>
        <v>0.22421282605948431</v>
      </c>
      <c r="I8" s="16">
        <f>E8/D8</f>
        <v>34.91042282732321</v>
      </c>
      <c r="J8" s="16">
        <f>(45/7)*7</f>
        <v>45</v>
      </c>
      <c r="K8" s="16">
        <f t="shared" si="0"/>
        <v>-10.08957717267679</v>
      </c>
      <c r="L8" s="15"/>
    </row>
    <row r="9" spans="2:12" x14ac:dyDescent="0.3">
      <c r="B9" s="16" t="s">
        <v>36</v>
      </c>
      <c r="C9" s="16" t="s">
        <v>7</v>
      </c>
      <c r="D9" s="23">
        <f>SUMIF('REPORTE DIARIO'!B:B,'EPR 11 MAYO'!C9, 'REPORTE DIARIO'!C:C)</f>
        <v>51466</v>
      </c>
      <c r="E9" s="16">
        <f>SUMIF('REPORTE DIARIO'!B:B,'EPR 11 MAYO'!C9, 'REPORTE DIARIO'!D:D)</f>
        <v>743459.27999999991</v>
      </c>
      <c r="F9" s="16">
        <f>J9*D9</f>
        <v>771990</v>
      </c>
      <c r="G9" s="16">
        <f>+E9-F9</f>
        <v>-28530.720000000088</v>
      </c>
      <c r="H9" s="15">
        <f>ABS(G9/F9)</f>
        <v>3.6957369914118174E-2</v>
      </c>
      <c r="I9" s="16">
        <f>E9/D9</f>
        <v>14.445639451288228</v>
      </c>
      <c r="J9" s="16">
        <f>(15/7)*7</f>
        <v>15</v>
      </c>
      <c r="K9" s="16">
        <f t="shared" si="0"/>
        <v>-0.55436054871177198</v>
      </c>
    </row>
    <row r="10" spans="2:12" x14ac:dyDescent="0.3">
      <c r="B10" s="16"/>
      <c r="C10" s="19" t="s">
        <v>17</v>
      </c>
      <c r="D10" s="24">
        <f>SUM(D6:D9)</f>
        <v>89841</v>
      </c>
      <c r="E10" s="20">
        <f>SUM(E6:E9)</f>
        <v>3640179.28</v>
      </c>
      <c r="F10" s="20">
        <f>SUM(F6:F9)</f>
        <v>5356095</v>
      </c>
      <c r="G10" s="20">
        <f>+E10-F10</f>
        <v>-1715915.7200000002</v>
      </c>
      <c r="H10" s="21">
        <f>ABS(G10/F10)</f>
        <v>0.32036693150513579</v>
      </c>
      <c r="I10" s="20">
        <f>E10/D10</f>
        <v>40.518018276733336</v>
      </c>
      <c r="J10" s="20">
        <f>F10/D10</f>
        <v>59.617490900591044</v>
      </c>
      <c r="K10" s="20">
        <f>I10-J10</f>
        <v>-19.099472623857707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11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2025-05-12T13:43:11Z</cp:lastPrinted>
  <dcterms:created xsi:type="dcterms:W3CDTF">2025-01-27T15:11:28Z</dcterms:created>
  <dcterms:modified xsi:type="dcterms:W3CDTF">2025-05-12T13:43:15Z</dcterms:modified>
</cp:coreProperties>
</file>