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7 MAYO\MAÑANA\"/>
    </mc:Choice>
  </mc:AlternateContent>
  <xr:revisionPtr revIDLastSave="0" documentId="13_ncr:1_{CE4102B2-1721-4182-83F2-315415D6C0D2}" xr6:coauthVersionLast="47" xr6:coauthVersionMax="47" xr10:uidLastSave="{00000000-0000-0000-0000-000000000000}"/>
  <bookViews>
    <workbookView xWindow="1560" yWindow="1560" windowWidth="10005" windowHeight="5445" activeTab="2" xr2:uid="{4DC6C92A-CD8A-4966-829B-0B6A986E825B}"/>
  </bookViews>
  <sheets>
    <sheet name="REPORTE DIARIO" sheetId="1" r:id="rId1"/>
    <sheet name="DATA" sheetId="4" r:id="rId2"/>
    <sheet name="EPR 1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/>
  <c r="D28" i="1"/>
  <c r="D19" i="1"/>
  <c r="C19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<sst xmlns="http://schemas.openxmlformats.org/spreadsheetml/2006/main" count="89" uniqueCount="37">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</sst>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4291</v>
      </c>
      <c r="D5" s="25">
        <v>406940.74999999994</v>
      </c>
    </row>
    <row r="6" spans="2:8" x14ac:dyDescent="0.25">
      <c r="B6" s="1" t="s">
        <v>5</v>
      </c>
      <c r="C6" s="6">
        <v>4291</v>
      </c>
      <c r="D6" s="25">
        <v>224305.43000000002</v>
      </c>
    </row>
    <row r="7" spans="2:8" x14ac:dyDescent="0.25">
      <c r="B7" s="1" t="s">
        <v>6</v>
      </c>
      <c r="C7" s="6">
        <v>6151</v>
      </c>
      <c r="D7" s="25">
        <v>252993.6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13213</v>
      </c>
      <c r="D9" s="25">
        <v>350508.32</v>
      </c>
      <c r="E9" s="14"/>
      <c r="F9" s="7"/>
    </row>
    <row r="10" spans="2:8" x14ac:dyDescent="0.25">
      <c r="B10" s="3" t="s">
        <v>8</v>
      </c>
      <c r="C10" s="8">
        <f>SUM(C5:C9)</f>
        <v>27958</v>
      </c>
      <c r="D10" s="4">
        <f>SUM(D5:D9)</f>
        <v>1235551.6599999999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3372</v>
      </c>
      <c r="D14" s="25">
        <v>251300.06999999995</v>
      </c>
    </row>
    <row r="15" spans="2:8" x14ac:dyDescent="0.25">
      <c r="B15" s="9" t="s">
        <v>5</v>
      </c>
      <c r="C15" s="6">
        <v>1745</v>
      </c>
      <c r="D15" s="25">
        <v>89386.049999999988</v>
      </c>
    </row>
    <row r="16" spans="2:8" x14ac:dyDescent="0.25">
      <c r="B16" s="9" t="s">
        <v>6</v>
      </c>
      <c r="C16" s="6">
        <v>2261</v>
      </c>
      <c r="D16" s="25">
        <v>59194.76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17377</v>
      </c>
      <c r="D18" s="25">
        <v>46950.630000000005</v>
      </c>
    </row>
    <row r="19" spans="2:4" x14ac:dyDescent="0.25">
      <c r="B19" s="10" t="s">
        <v>8</v>
      </c>
      <c r="C19" s="8">
        <f>SUM(C14:C18)</f>
        <v>24756</v>
      </c>
      <c r="D19" s="4">
        <f>SUM(D14:D18)</f>
        <v>446870.50999999995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2032</v>
      </c>
      <c r="D23" s="25">
        <v>121109</v>
      </c>
    </row>
    <row r="24" spans="2:4" x14ac:dyDescent="0.25">
      <c r="B24" s="1" t="s">
        <v>5</v>
      </c>
      <c r="C24" s="6">
        <v>1989</v>
      </c>
      <c r="D24" s="25">
        <v>68009.89</v>
      </c>
    </row>
    <row r="25" spans="2:4" x14ac:dyDescent="0.25">
      <c r="B25" s="1" t="s">
        <v>6</v>
      </c>
      <c r="C25" s="6">
        <v>3272</v>
      </c>
      <c r="D25" s="25">
        <v>47203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20626</v>
      </c>
      <c r="D27" s="25">
        <v>163350.07999999999</v>
      </c>
    </row>
    <row r="28" spans="2:4" x14ac:dyDescent="0.25">
      <c r="B28" s="3" t="s">
        <v>8</v>
      </c>
      <c r="C28" s="8">
        <f>SUM(C23:C27)</f>
        <v>27921</v>
      </c>
      <c r="D28" s="4">
        <f>SUM(D23:D27)</f>
        <v>399671.97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247</v>
      </c>
      <c r="D32" s="25">
        <v>81598.09</v>
      </c>
    </row>
    <row r="33" spans="2:4" x14ac:dyDescent="0.25">
      <c r="B33" s="9" t="s">
        <v>5</v>
      </c>
      <c r="C33" s="6">
        <v>2855</v>
      </c>
      <c r="D33" s="25">
        <v>202502.87</v>
      </c>
    </row>
    <row r="34" spans="2:4" x14ac:dyDescent="0.25">
      <c r="B34" s="9" t="s">
        <v>6</v>
      </c>
      <c r="C34" s="6">
        <v>1655</v>
      </c>
      <c r="D34" s="25">
        <v>25874.33</v>
      </c>
    </row>
    <row r="35" spans="2:4" x14ac:dyDescent="0.25">
      <c r="B35" s="9" t="s">
        <v>7</v>
      </c>
      <c r="C35" s="6">
        <v>4234</v>
      </c>
      <c r="D35" s="25">
        <v>4543</v>
      </c>
    </row>
    <row r="36" spans="2:4" x14ac:dyDescent="0.25">
      <c r="B36" s="10" t="s">
        <v>8</v>
      </c>
      <c r="C36" s="8">
        <f>SUM(C32:C35)</f>
        <v>8991</v>
      </c>
      <c r="D36" s="4">
        <f>SUM(D32:D35)</f>
        <v>314518.28999999998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386</v>
      </c>
      <c r="D40" s="25">
        <v>666</v>
      </c>
    </row>
    <row r="41" spans="2:4" x14ac:dyDescent="0.25">
      <c r="B41" s="1" t="s">
        <v>5</v>
      </c>
      <c r="C41" s="6">
        <v>582</v>
      </c>
      <c r="D41" s="25">
        <v>3889</v>
      </c>
    </row>
    <row r="42" spans="2:4" x14ac:dyDescent="0.25">
      <c r="B42" s="1" t="s">
        <v>6</v>
      </c>
      <c r="C42" s="6">
        <v>984</v>
      </c>
      <c r="D42" s="25">
        <v>50144</v>
      </c>
    </row>
    <row r="43" spans="2:4" x14ac:dyDescent="0.25">
      <c r="B43" s="1" t="s">
        <v>7</v>
      </c>
      <c r="C43" s="6">
        <v>1165</v>
      </c>
      <c r="D43" s="25">
        <v>3137</v>
      </c>
    </row>
    <row r="44" spans="2:4" x14ac:dyDescent="0.25">
      <c r="B44" s="3" t="s">
        <v>8</v>
      </c>
      <c r="C44" s="8">
        <f>SUM(C40:C43)</f>
        <v>3117</v>
      </c>
      <c r="D44" s="4">
        <f>SUM(D40:D43)</f>
        <v>57836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341</v>
      </c>
      <c r="D48" s="25">
        <v>4448</v>
      </c>
    </row>
    <row r="49" spans="2:4" x14ac:dyDescent="0.25">
      <c r="B49" s="1" t="s">
        <v>5</v>
      </c>
      <c r="C49" s="6">
        <v>750</v>
      </c>
      <c r="D49" s="25">
        <v>6834</v>
      </c>
    </row>
    <row r="50" spans="2:4" x14ac:dyDescent="0.25">
      <c r="B50" s="1" t="s">
        <v>6</v>
      </c>
      <c r="C50" s="6">
        <v>672</v>
      </c>
      <c r="D50" s="25">
        <v>1820</v>
      </c>
    </row>
    <row r="51" spans="2:4" x14ac:dyDescent="0.25">
      <c r="B51" s="1" t="s">
        <v>7</v>
      </c>
      <c r="C51" s="6">
        <v>2281</v>
      </c>
      <c r="D51" s="25">
        <v>31608</v>
      </c>
    </row>
    <row r="52" spans="2:4" x14ac:dyDescent="0.25">
      <c r="B52" s="3" t="s">
        <v>8</v>
      </c>
      <c r="C52" s="8">
        <f>SUM(C48:C51)</f>
        <v>4044</v>
      </c>
      <c r="D52" s="4">
        <f>SUM(D48:D51)</f>
        <v>44710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2000</v>
      </c>
      <c r="D56" s="25">
        <v>45715</v>
      </c>
    </row>
    <row r="57" spans="2:4" x14ac:dyDescent="0.25">
      <c r="B57" s="10" t="s">
        <v>8</v>
      </c>
      <c r="C57" s="8">
        <f>SUM(C56:C56)</f>
        <v>2000</v>
      </c>
      <c r="D57" s="4">
        <f>SUM(D56:D56)</f>
        <v>45715</v>
      </c>
    </row>
    <row r="59" spans="2:4" x14ac:dyDescent="0.25">
      <c r="B59" s="12" t="s">
        <v>13</v>
      </c>
      <c r="C59" s="13">
        <f>SUM(C10+C19+C36+C57+C28+C52+C44)</f>
        <v>98787</v>
      </c>
      <c r="D59" s="13">
        <f>SUM(D10+D19+D36+D57+D28+D52+D44)</f>
        <v>2544873.4299999997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17 MAYO'!C6, 'REPORTE DIARIO'!C:C)</f>
        <v>12669</v>
      </c>
      <c r="E6" s="16">
        <f>SUMIF('REPORTE DIARIO'!B:B,'EPR 17 MAYO'!C6, 'REPORTE DIARIO'!D:D)</f>
        <v>911776.9099999998</v>
      </c>
      <c r="F6" s="16">
        <f>J6*D6</f>
        <v>2389011.4285714282</v>
      </c>
      <c r="G6" s="16">
        <f>+E6-F6</f>
        <v>-1477234.5185714285</v>
      </c>
      <c r="H6" s="15">
        <f>ABS(G6/F6)</f>
        <v>0.61834552187754899</v>
      </c>
      <c r="I6" s="16">
        <f>E6/D6</f>
        <v>71.969130160233632</v>
      </c>
      <c r="J6" s="16">
        <f>(220/7)*6</f>
        <v>188.57142857142856</v>
      </c>
      <c r="K6" s="16">
        <f>+I6-J6</f>
        <v>-116.60229841119492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17 MAYO'!C7, 'REPORTE DIARIO'!C:C)</f>
        <v>12212</v>
      </c>
      <c r="E7" s="16">
        <f>SUMIF('REPORTE DIARIO'!B:B,'EPR 17 MAYO'!C7, 'REPORTE DIARIO'!D:D)</f>
        <v>594927.24</v>
      </c>
      <c r="F7" s="16">
        <f>J7*D7</f>
        <v>1151417.1428571427</v>
      </c>
      <c r="G7" s="16">
        <f>+E7-F7</f>
        <v>-556489.90285714273</v>
      </c>
      <c r="H7" s="15">
        <f>ABS(G7/F7)</f>
        <v>0.48330868296459512</v>
      </c>
      <c r="I7" s="16">
        <f>E7/D7</f>
        <v>48.716609891909599</v>
      </c>
      <c r="J7" s="16">
        <f>(110/7)*6</f>
        <v>94.285714285714278</v>
      </c>
      <c r="K7" s="16">
        <f t="shared" ref="K7:K9" si="0">+I7-J7</f>
        <v>-45.569104393804679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17 MAYO'!C8, 'REPORTE DIARIO'!C:C)</f>
        <v>14995</v>
      </c>
      <c r="E8" s="16">
        <f>SUMIF('REPORTE DIARIO'!B:B,'EPR 17 MAYO'!C8, 'REPORTE DIARIO'!D:D)</f>
        <v>437229.69</v>
      </c>
      <c r="F8" s="16">
        <f>J8*D8</f>
        <v>578378.57142857136</v>
      </c>
      <c r="G8" s="16">
        <f>+E8-F8</f>
        <v>-141148.88142857136</v>
      </c>
      <c r="H8" s="15">
        <f>ABS(G8/F8)</f>
        <v>0.24404237708865908</v>
      </c>
      <c r="I8" s="16">
        <f>E8/D8</f>
        <v>29.158365455151717</v>
      </c>
      <c r="J8" s="16">
        <f>(45/7)*6</f>
        <v>38.571428571428569</v>
      </c>
      <c r="K8" s="16">
        <f t="shared" si="0"/>
        <v>-9.4130631162768523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17 MAYO'!C9, 'REPORTE DIARIO'!C:C)</f>
        <v>58896</v>
      </c>
      <c r="E9" s="16">
        <f>SUMIF('REPORTE DIARIO'!B:B,'EPR 17 MAYO'!C9, 'REPORTE DIARIO'!D:D)</f>
        <v>600097.03</v>
      </c>
      <c r="F9" s="16">
        <f>J9*D9</f>
        <v>757234.2857142858</v>
      </c>
      <c r="G9" s="16">
        <f>+E9-F9</f>
        <v>-157137.25571428577</v>
      </c>
      <c r="H9" s="15">
        <f>ABS(G9/F9)</f>
        <v>0.20751471331763716</v>
      </c>
      <c r="I9" s="16">
        <f>E9/D9</f>
        <v>10.189096543058952</v>
      </c>
      <c r="J9" s="16">
        <f>(15/7)*6</f>
        <v>12.857142857142858</v>
      </c>
      <c r="K9" s="16">
        <f t="shared" si="0"/>
        <v>-2.6680463140839059</v>
      </c>
    </row>
    <row r="10" spans="2:12" x14ac:dyDescent="0.25">
      <c r="B10" s="16"/>
      <c r="C10" s="19" t="s">
        <v>17</v>
      </c>
      <c r="D10" s="24">
        <f>SUM(D6:D9)</f>
        <v>98772</v>
      </c>
      <c r="E10" s="20">
        <f>SUM(E6:E9)</f>
        <v>2544030.87</v>
      </c>
      <c r="F10" s="20">
        <f>SUM(F6:F9)</f>
        <v>4876041.4285714282</v>
      </c>
      <c r="G10" s="20">
        <f>+E10-F10</f>
        <v>-2332010.5585714281</v>
      </c>
      <c r="H10" s="21">
        <f>ABS(G10/F10)</f>
        <v>0.47825897149004648</v>
      </c>
      <c r="I10" s="20">
        <f>E10/D10</f>
        <v>25.756599744866968</v>
      </c>
      <c r="J10" s="20">
        <f>F10/D10</f>
        <v>49.366636582952943</v>
      </c>
      <c r="K10" s="20">
        <f>I10-J10</f>
        <v>-23.610036838085975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2025-05-17T14:30:45Z</dcterms:modified>
</cp:coreProperties>
</file>