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7 MAYO\NOCHE\"/>
    </mc:Choice>
  </mc:AlternateContent>
  <xr:revisionPtr revIDLastSave="0" documentId="13_ncr:1_{497A1AEC-D576-4B9C-BDDF-72E23F3E3353}" xr6:coauthVersionLast="47" xr6:coauthVersionMax="47" xr10:uidLastSave="{00000000-0000-0000-0000-000000000000}"/>
  <bookViews>
    <workbookView xWindow="3285" yWindow="3285" windowWidth="10005" windowHeight="5445" xr2:uid="{4DC6C92A-CD8A-4966-829B-0B6A986E825B}"/>
  </bookViews>
  <sheets>
    <sheet name="REPORTE DIARIO" sheetId="1" r:id="rId1"/>
    <sheet name="DATA" sheetId="4" r:id="rId2"/>
    <sheet name="EPR 1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<sst xmlns="http://schemas.openxmlformats.org/spreadsheetml/2006/main" count="89" uniqueCount="37">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</sst>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8" zoomScaleNormal="100" workbookViewId="0">
      <selection activeCell="E46" sqref="E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4119</v>
      </c>
      <c r="D5" s="25">
        <v>469644.64999999997</v>
      </c>
    </row>
    <row r="6" spans="2:8" x14ac:dyDescent="0.25">
      <c r="B6" s="1" t="s">
        <v>5</v>
      </c>
      <c r="C6" s="6">
        <v>4353</v>
      </c>
      <c r="D6" s="25">
        <v>302218.43000000005</v>
      </c>
    </row>
    <row r="7" spans="2:8" x14ac:dyDescent="0.25">
      <c r="B7" s="1" t="s">
        <v>6</v>
      </c>
      <c r="C7" s="6">
        <v>4098</v>
      </c>
      <c r="D7" s="25">
        <v>304133.59999999998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10666</v>
      </c>
      <c r="D9" s="25">
        <v>415912.32</v>
      </c>
      <c r="E9" s="14"/>
      <c r="F9" s="7"/>
    </row>
    <row r="10" spans="2:8" x14ac:dyDescent="0.25">
      <c r="B10" s="3" t="s">
        <v>8</v>
      </c>
      <c r="C10" s="8">
        <f>SUM(C5:C9)</f>
        <v>23248</v>
      </c>
      <c r="D10" s="4">
        <f>SUM(D5:D9)</f>
        <v>1492712.5600000003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3386</v>
      </c>
      <c r="D14" s="25">
        <v>297899.12999999989</v>
      </c>
    </row>
    <row r="15" spans="2:8" x14ac:dyDescent="0.25">
      <c r="B15" s="9" t="s">
        <v>5</v>
      </c>
      <c r="C15" s="6">
        <v>1508</v>
      </c>
      <c r="D15" s="25">
        <v>99075.049999999988</v>
      </c>
    </row>
    <row r="16" spans="2:8" x14ac:dyDescent="0.25">
      <c r="B16" s="9" t="s">
        <v>6</v>
      </c>
      <c r="C16" s="6">
        <v>2213</v>
      </c>
      <c r="D16" s="25">
        <v>66759.760000000009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17193</v>
      </c>
      <c r="D18" s="25">
        <v>64428.630000000005</v>
      </c>
    </row>
    <row r="19" spans="2:4" x14ac:dyDescent="0.25">
      <c r="B19" s="10" t="s">
        <v>8</v>
      </c>
      <c r="C19" s="8">
        <f>SUM(C14:C18)</f>
        <v>24301</v>
      </c>
      <c r="D19" s="4">
        <f>SUM(D14:D18)</f>
        <v>528201.56999999983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1910</v>
      </c>
      <c r="D23" s="25">
        <v>156424</v>
      </c>
    </row>
    <row r="24" spans="2:4" x14ac:dyDescent="0.25">
      <c r="B24" s="1" t="s">
        <v>5</v>
      </c>
      <c r="C24" s="6">
        <v>1988</v>
      </c>
      <c r="D24" s="25">
        <v>79756.89</v>
      </c>
    </row>
    <row r="25" spans="2:4" x14ac:dyDescent="0.25">
      <c r="B25" s="1" t="s">
        <v>6</v>
      </c>
      <c r="C25" s="6">
        <v>2035</v>
      </c>
      <c r="D25" s="25">
        <v>55668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20634</v>
      </c>
      <c r="D27" s="25">
        <v>192876.08</v>
      </c>
    </row>
    <row r="28" spans="2:4" x14ac:dyDescent="0.25">
      <c r="B28" s="3" t="s">
        <v>8</v>
      </c>
      <c r="C28" s="8">
        <f>SUM(C23:C27)</f>
        <v>26569</v>
      </c>
      <c r="D28" s="4">
        <f>SUM(D23:D27)</f>
        <v>484724.97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246</v>
      </c>
      <c r="D32" s="25">
        <v>87620.09</v>
      </c>
    </row>
    <row r="33" spans="2:4" x14ac:dyDescent="0.25">
      <c r="B33" s="9" t="s">
        <v>5</v>
      </c>
      <c r="C33" s="6">
        <v>2831</v>
      </c>
      <c r="D33" s="25">
        <v>228359.88999999998</v>
      </c>
    </row>
    <row r="34" spans="2:4" x14ac:dyDescent="0.25">
      <c r="B34" s="9" t="s">
        <v>6</v>
      </c>
      <c r="C34" s="6">
        <v>1282</v>
      </c>
      <c r="D34" s="25">
        <v>27032.33</v>
      </c>
    </row>
    <row r="35" spans="2:4" x14ac:dyDescent="0.25">
      <c r="B35" s="9" t="s">
        <v>7</v>
      </c>
      <c r="C35" s="6">
        <v>3941</v>
      </c>
      <c r="D35" s="25">
        <v>6875</v>
      </c>
    </row>
    <row r="36" spans="2:4" x14ac:dyDescent="0.25">
      <c r="B36" s="10" t="s">
        <v>8</v>
      </c>
      <c r="C36" s="8">
        <f>SUM(C32:C35)</f>
        <v>8300</v>
      </c>
      <c r="D36" s="4">
        <f>SUM(D32:D35)</f>
        <v>349887.31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417</v>
      </c>
      <c r="D40" s="25">
        <v>3687</v>
      </c>
    </row>
    <row r="41" spans="2:4" x14ac:dyDescent="0.25">
      <c r="B41" s="1" t="s">
        <v>5</v>
      </c>
      <c r="C41" s="6">
        <v>597</v>
      </c>
      <c r="D41" s="25">
        <v>3889</v>
      </c>
    </row>
    <row r="42" spans="2:4" x14ac:dyDescent="0.25">
      <c r="B42" s="1" t="s">
        <v>6</v>
      </c>
      <c r="C42" s="6">
        <v>1031</v>
      </c>
      <c r="D42" s="25">
        <v>50144</v>
      </c>
    </row>
    <row r="43" spans="2:4" x14ac:dyDescent="0.25">
      <c r="B43" s="1" t="s">
        <v>7</v>
      </c>
      <c r="C43" s="6">
        <v>1174</v>
      </c>
      <c r="D43" s="25">
        <v>3937</v>
      </c>
    </row>
    <row r="44" spans="2:4" x14ac:dyDescent="0.25">
      <c r="B44" s="3" t="s">
        <v>8</v>
      </c>
      <c r="C44" s="8">
        <f>SUM(C40:C43)</f>
        <v>3219</v>
      </c>
      <c r="D44" s="4">
        <f>SUM(D40:D43)</f>
        <v>61657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1946</v>
      </c>
      <c r="D48" s="25">
        <v>50805</v>
      </c>
    </row>
    <row r="49" spans="2:4" x14ac:dyDescent="0.25">
      <c r="B49" s="10" t="s">
        <v>8</v>
      </c>
      <c r="C49" s="8">
        <f>SUM(C48:C48)</f>
        <v>1946</v>
      </c>
      <c r="D49" s="4">
        <f>SUM(D48:D48)</f>
        <v>50805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373</v>
      </c>
      <c r="D53" s="25">
        <v>8148</v>
      </c>
    </row>
    <row r="54" spans="2:4" x14ac:dyDescent="0.25">
      <c r="B54" s="1" t="s">
        <v>5</v>
      </c>
      <c r="C54" s="6">
        <v>761</v>
      </c>
      <c r="D54" s="25">
        <v>7084</v>
      </c>
    </row>
    <row r="55" spans="2:4" x14ac:dyDescent="0.25">
      <c r="B55" s="1" t="s">
        <v>6</v>
      </c>
      <c r="C55" s="6">
        <v>627</v>
      </c>
      <c r="D55" s="25">
        <v>1820</v>
      </c>
    </row>
    <row r="56" spans="2:4" x14ac:dyDescent="0.25">
      <c r="B56" s="1" t="s">
        <v>7</v>
      </c>
      <c r="C56" s="6">
        <v>2291</v>
      </c>
      <c r="D56" s="25">
        <v>33196</v>
      </c>
    </row>
    <row r="57" spans="2:4" x14ac:dyDescent="0.25">
      <c r="B57" s="3" t="s">
        <v>8</v>
      </c>
      <c r="C57" s="8">
        <f>SUM(C53:C56)</f>
        <v>4052</v>
      </c>
      <c r="D57" s="4">
        <f>SUM(D53:D56)</f>
        <v>50248</v>
      </c>
    </row>
    <row r="59" spans="2:4" x14ac:dyDescent="0.25">
      <c r="B59" s="12" t="s">
        <v>13</v>
      </c>
      <c r="C59" s="13">
        <f>SUM(C10+C19+C36+C49+C28+C57+C44)</f>
        <v>91635</v>
      </c>
      <c r="D59" s="13">
        <f>SUM(D10+D19+D36+D49+D28+D57+D44)</f>
        <v>3018236.41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17 MAYO'!C6, 'REPORTE DIARIO'!C:C)</f>
        <v>12397</v>
      </c>
      <c r="E6" s="16">
        <f>SUMIF('REPORTE DIARIO'!B:B,'EPR 17 MAYO'!C6, 'REPORTE DIARIO'!D:D)</f>
        <v>1074227.8699999996</v>
      </c>
      <c r="F6" s="16">
        <f>J6*D6</f>
        <v>2337720</v>
      </c>
      <c r="G6" s="16">
        <f>+E6-F6</f>
        <v>-1263492.1300000004</v>
      </c>
      <c r="H6" s="15">
        <f>ABS(G6/F6)</f>
        <v>0.54048052375819189</v>
      </c>
      <c r="I6" s="16">
        <f>E6/D6</f>
        <v>86.652244091312383</v>
      </c>
      <c r="J6" s="16">
        <f>(220/7)*6</f>
        <v>188.57142857142856</v>
      </c>
      <c r="K6" s="16">
        <f>+I6-J6</f>
        <v>-101.91918448011617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17 MAYO'!C7, 'REPORTE DIARIO'!C:C)</f>
        <v>12038</v>
      </c>
      <c r="E7" s="16">
        <f>SUMIF('REPORTE DIARIO'!B:B,'EPR 17 MAYO'!C7, 'REPORTE DIARIO'!D:D)</f>
        <v>720383.26</v>
      </c>
      <c r="F7" s="16">
        <f>J7*D7</f>
        <v>1135011.4285714284</v>
      </c>
      <c r="G7" s="16">
        <f>+E7-F7</f>
        <v>-414628.1685714284</v>
      </c>
      <c r="H7" s="15">
        <f>ABS(G7/F7)</f>
        <v>0.365307483373358</v>
      </c>
      <c r="I7" s="16">
        <f>E7/D7</f>
        <v>59.842437281940519</v>
      </c>
      <c r="J7" s="16">
        <f>(110/7)*6</f>
        <v>94.285714285714278</v>
      </c>
      <c r="K7" s="16">
        <f t="shared" ref="K7:K9" si="0">+I7-J7</f>
        <v>-34.443277003773758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17 MAYO'!C8, 'REPORTE DIARIO'!C:C)</f>
        <v>11286</v>
      </c>
      <c r="E8" s="16">
        <f>SUMIF('REPORTE DIARIO'!B:B,'EPR 17 MAYO'!C8, 'REPORTE DIARIO'!D:D)</f>
        <v>505557.69</v>
      </c>
      <c r="F8" s="16">
        <f>J8*D8</f>
        <v>435317.14285714284</v>
      </c>
      <c r="G8" s="16">
        <f>+E8-F8</f>
        <v>70240.547142857162</v>
      </c>
      <c r="H8" s="15">
        <f>ABS(G8/F8)</f>
        <v>0.16135488412389001</v>
      </c>
      <c r="I8" s="16">
        <f>E8/D8</f>
        <v>44.79511695906433</v>
      </c>
      <c r="J8" s="16">
        <f>(45/7)*6</f>
        <v>38.571428571428569</v>
      </c>
      <c r="K8" s="16">
        <f t="shared" si="0"/>
        <v>6.2236883876357609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17 MAYO'!C9, 'REPORTE DIARIO'!C:C)</f>
        <v>55899</v>
      </c>
      <c r="E9" s="16">
        <f>SUMIF('REPORTE DIARIO'!B:B,'EPR 17 MAYO'!C9, 'REPORTE DIARIO'!D:D)</f>
        <v>717225.03</v>
      </c>
      <c r="F9" s="16">
        <f>J9*D9</f>
        <v>718701.42857142864</v>
      </c>
      <c r="G9" s="16">
        <f>+E9-F9</f>
        <v>-1476.39857142861</v>
      </c>
      <c r="H9" s="15">
        <f>ABS(G9/F9)</f>
        <v>2.054258573498685E-3</v>
      </c>
      <c r="I9" s="16">
        <f>E9/D9</f>
        <v>12.830730961197876</v>
      </c>
      <c r="J9" s="16">
        <f>(15/7)*6</f>
        <v>12.857142857142858</v>
      </c>
      <c r="K9" s="16">
        <f t="shared" si="0"/>
        <v>-2.6411895944981723E-2</v>
      </c>
    </row>
    <row r="10" spans="2:12" x14ac:dyDescent="0.25">
      <c r="B10" s="16"/>
      <c r="C10" s="19" t="s">
        <v>17</v>
      </c>
      <c r="D10" s="24">
        <f>SUM(D6:D9)</f>
        <v>91620</v>
      </c>
      <c r="E10" s="20">
        <f>SUM(E6:E9)</f>
        <v>3017393.8499999996</v>
      </c>
      <c r="F10" s="20">
        <f>SUM(F6:F9)</f>
        <v>4626750</v>
      </c>
      <c r="G10" s="20">
        <f>+E10-F10</f>
        <v>-1609356.1500000004</v>
      </c>
      <c r="H10" s="21">
        <f>ABS(G10/F10)</f>
        <v>0.34783728319014434</v>
      </c>
      <c r="I10" s="20">
        <f>E10/D10</f>
        <v>32.933790111329401</v>
      </c>
      <c r="J10" s="20">
        <f>F10/D10</f>
        <v>50.499345121152587</v>
      </c>
      <c r="K10" s="20">
        <f>I10-J10</f>
        <v>-17.565555009823186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2025-05-18T02:38:23Z</dcterms:modified>
</cp:coreProperties>
</file>