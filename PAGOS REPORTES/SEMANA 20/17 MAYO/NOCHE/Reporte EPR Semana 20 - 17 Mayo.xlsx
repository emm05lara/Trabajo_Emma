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7 MAYO\NOCHE\"/>
    </mc:Choice>
  </mc:AlternateContent>
  <xr:revisionPtr revIDLastSave="0" documentId="13_ncr:1_{B938567B-D574-4186-A84A-7F07998FC972}" xr6:coauthVersionLast="47" xr6:coauthVersionMax="47" xr10:uidLastSave="{00000000-0000-0000-0000-000000000000}"/>
  <bookViews>
    <workbookView xWindow="2940" yWindow="2940" windowWidth="10005" windowHeight="5445" activeTab="2" xr2:uid="{4DC6C92A-CD8A-4966-829B-0B6A986E825B}"/>
  </bookViews>
  <sheets>
    <sheet name="REPORTE DIARIO" sheetId="1" r:id="rId1"/>
    <sheet name="DATA" sheetId="4" r:id="rId2"/>
    <sheet name="EPR 17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J6" i="3"/>
  <c r="D44" i="1"/>
  <c r="D57" i="1"/>
  <c r="C57" i="1"/>
  <c r="C44" i="1"/>
  <c r="D19" i="1" l="1"/>
  <c r="C19" i="1"/>
  <c r="J9" i="3"/>
  <c r="J8" i="3"/>
  <c r="J7" i="3"/>
  <c r="D6" i="3"/>
  <c r="F6" i="3" s="1"/>
  <c r="D49" i="1"/>
  <c r="C49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<sst xmlns="http://schemas.openxmlformats.org/spreadsheetml/2006/main" count="88" uniqueCount="36">
  <si>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</si>
  <si>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</si>
  <si>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</si>
  <si>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</si>
  <si>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</si>
  <si>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</si>
  <si>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</si>
  <si>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</si>
  <si>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</si>
  <si>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</si>
  <si>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</si>
  <si>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</si>
  <si>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</si>
  <si>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</si>
  <si>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</si>
  <si>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</si>
  <si>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</si>
  <si>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</si>
  <si>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</si>
  <si>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</si>
  <si>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</si>
  <si>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</si>
  <si>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</si>
  <si>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</si>
  <si>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</si>
  <si>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</si>
  <si>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</si>
  <si>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</si>
  <si>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</si>
  <si>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</si>
  <si>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</si>
  <si>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</si>
  <si>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</si>
  <si>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</si>
  <si>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</si>
  <si>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16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</si>
</sst>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opLeftCell="A28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4119</v>
      </c>
      <c r="D5" s="25">
        <v>65527.9</v>
      </c>
    </row>
    <row r="6" spans="2:8" x14ac:dyDescent="0.25">
      <c r="B6" s="1" t="s">
        <v>5</v>
      </c>
      <c r="C6" s="6">
        <v>4353</v>
      </c>
      <c r="D6" s="25">
        <v>79463</v>
      </c>
    </row>
    <row r="7" spans="2:8" x14ac:dyDescent="0.25">
      <c r="B7" s="1" t="s">
        <v>6</v>
      </c>
      <c r="C7" s="6">
        <v>4098</v>
      </c>
      <c r="D7" s="25">
        <v>51840</v>
      </c>
    </row>
    <row r="8" spans="2:8" x14ac:dyDescent="0.25">
      <c r="B8" s="5" t="s">
        <v>12</v>
      </c>
      <c r="C8" s="7">
        <v>12</v>
      </c>
      <c r="D8" s="26">
        <v>0</v>
      </c>
    </row>
    <row r="9" spans="2:8" x14ac:dyDescent="0.25">
      <c r="B9" s="1" t="s">
        <v>7</v>
      </c>
      <c r="C9" s="6">
        <v>10666</v>
      </c>
      <c r="D9" s="25">
        <v>67355</v>
      </c>
    </row>
    <row r="10" spans="2:8" x14ac:dyDescent="0.25">
      <c r="B10" s="3" t="s">
        <v>8</v>
      </c>
      <c r="C10" s="8">
        <f>SUM(C5:C9)</f>
        <v>23248</v>
      </c>
      <c r="D10" s="4">
        <f>SUM(D5:D9)</f>
        <v>264185.90000000002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1910</v>
      </c>
      <c r="D14" s="25">
        <v>36199</v>
      </c>
    </row>
    <row r="15" spans="2:8" x14ac:dyDescent="0.25">
      <c r="B15" s="1" t="s">
        <v>5</v>
      </c>
      <c r="C15" s="6">
        <v>1988</v>
      </c>
      <c r="D15" s="25">
        <v>11927</v>
      </c>
    </row>
    <row r="16" spans="2:8" x14ac:dyDescent="0.25">
      <c r="B16" s="1" t="s">
        <v>6</v>
      </c>
      <c r="C16" s="6">
        <v>2035</v>
      </c>
      <c r="D16" s="25">
        <v>8465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20634</v>
      </c>
      <c r="D18" s="25">
        <v>29526</v>
      </c>
    </row>
    <row r="19" spans="2:11" x14ac:dyDescent="0.25">
      <c r="B19" s="3" t="s">
        <v>8</v>
      </c>
      <c r="C19" s="8">
        <f>SUM(C14:C18)</f>
        <v>26569</v>
      </c>
      <c r="D19" s="4">
        <f>SUM(D14:D18)</f>
        <v>86117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3386</v>
      </c>
      <c r="D23" s="25">
        <v>47468.06</v>
      </c>
    </row>
    <row r="24" spans="2:11" x14ac:dyDescent="0.25">
      <c r="B24" s="9" t="s">
        <v>5</v>
      </c>
      <c r="C24" s="6">
        <v>1508</v>
      </c>
      <c r="D24" s="25">
        <v>9689</v>
      </c>
    </row>
    <row r="25" spans="2:11" x14ac:dyDescent="0.25">
      <c r="B25" s="9" t="s">
        <v>6</v>
      </c>
      <c r="C25" s="6">
        <v>2213</v>
      </c>
      <c r="D25" s="25">
        <v>7565</v>
      </c>
    </row>
    <row r="26" spans="2:11" x14ac:dyDescent="0.25">
      <c r="B26" s="5" t="s">
        <v>12</v>
      </c>
      <c r="C26" s="7">
        <v>1</v>
      </c>
      <c r="D26" s="26">
        <v>0</v>
      </c>
      <c r="K26" s="7"/>
    </row>
    <row r="27" spans="2:11" x14ac:dyDescent="0.25">
      <c r="B27" s="9" t="s">
        <v>7</v>
      </c>
      <c r="C27" s="6">
        <v>17193</v>
      </c>
      <c r="D27" s="25">
        <v>17478</v>
      </c>
    </row>
    <row r="28" spans="2:11" x14ac:dyDescent="0.25">
      <c r="B28" s="10" t="s">
        <v>8</v>
      </c>
      <c r="C28" s="8">
        <f>SUM(C23:C27)</f>
        <v>24301</v>
      </c>
      <c r="D28" s="4">
        <f>SUM(D23:D27)</f>
        <v>82200.06</v>
      </c>
    </row>
    <row r="30" spans="2:11" x14ac:dyDescent="0.25">
      <c r="B30" s="27" t="s">
        <v>9</v>
      </c>
      <c r="C30" s="27"/>
      <c r="D30" s="27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246</v>
      </c>
      <c r="D32" s="25">
        <v>6022</v>
      </c>
    </row>
    <row r="33" spans="2:4" x14ac:dyDescent="0.25">
      <c r="B33" s="9" t="s">
        <v>5</v>
      </c>
      <c r="C33" s="6">
        <v>2831</v>
      </c>
      <c r="D33" s="25">
        <v>37962.04</v>
      </c>
    </row>
    <row r="34" spans="2:4" x14ac:dyDescent="0.25">
      <c r="B34" s="9" t="s">
        <v>6</v>
      </c>
      <c r="C34" s="6">
        <v>1282</v>
      </c>
      <c r="D34" s="25">
        <v>1158</v>
      </c>
    </row>
    <row r="35" spans="2:4" x14ac:dyDescent="0.25">
      <c r="B35" s="9" t="s">
        <v>7</v>
      </c>
      <c r="C35" s="6">
        <v>3941</v>
      </c>
      <c r="D35" s="25">
        <v>2332</v>
      </c>
    </row>
    <row r="36" spans="2:4" x14ac:dyDescent="0.25">
      <c r="B36" s="10" t="s">
        <v>8</v>
      </c>
      <c r="C36" s="8">
        <f>SUM(C32:C35)</f>
        <v>8300</v>
      </c>
      <c r="D36" s="4">
        <f>SUM(D32:D35)</f>
        <v>47474.04</v>
      </c>
    </row>
    <row r="38" spans="2:4" x14ac:dyDescent="0.25">
      <c r="B38" s="27" t="s">
        <v>30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373</v>
      </c>
      <c r="D40" s="25">
        <v>3700</v>
      </c>
    </row>
    <row r="41" spans="2:4" x14ac:dyDescent="0.25">
      <c r="B41" s="1" t="s">
        <v>5</v>
      </c>
      <c r="C41" s="6">
        <v>761</v>
      </c>
      <c r="D41" s="25">
        <v>250</v>
      </c>
    </row>
    <row r="42" spans="2:4" x14ac:dyDescent="0.25">
      <c r="B42" s="1" t="s">
        <v>6</v>
      </c>
      <c r="C42" s="6">
        <v>627</v>
      </c>
      <c r="D42" s="26">
        <v>0</v>
      </c>
    </row>
    <row r="43" spans="2:4" x14ac:dyDescent="0.25">
      <c r="B43" s="1" t="s">
        <v>7</v>
      </c>
      <c r="C43" s="6">
        <v>2291</v>
      </c>
      <c r="D43" s="25">
        <v>1588</v>
      </c>
    </row>
    <row r="44" spans="2:4" x14ac:dyDescent="0.25">
      <c r="B44" s="3" t="s">
        <v>8</v>
      </c>
      <c r="C44" s="8">
        <f>SUM(C40:C43)</f>
        <v>4052</v>
      </c>
      <c r="D44" s="4">
        <f>SUM(D40:D43)</f>
        <v>5538</v>
      </c>
    </row>
    <row r="46" spans="2:4" x14ac:dyDescent="0.25">
      <c r="B46" s="28" t="s">
        <v>11</v>
      </c>
      <c r="C46" s="28"/>
      <c r="D46" s="28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1946</v>
      </c>
      <c r="D48" s="25">
        <v>5090</v>
      </c>
    </row>
    <row r="49" spans="2:4" x14ac:dyDescent="0.25">
      <c r="B49" s="10" t="s">
        <v>8</v>
      </c>
      <c r="C49" s="8">
        <f>SUM(C48:C48)</f>
        <v>1946</v>
      </c>
      <c r="D49" s="4">
        <f>SUM(D48:D48)</f>
        <v>5090</v>
      </c>
    </row>
    <row r="51" spans="2:4" x14ac:dyDescent="0.25">
      <c r="B51" s="27" t="s">
        <v>31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417</v>
      </c>
      <c r="D53" s="25">
        <v>3021</v>
      </c>
    </row>
    <row r="54" spans="2:4" x14ac:dyDescent="0.25">
      <c r="B54" s="1" t="s">
        <v>5</v>
      </c>
      <c r="C54" s="6">
        <v>597</v>
      </c>
      <c r="D54" s="26">
        <v>0</v>
      </c>
    </row>
    <row r="55" spans="2:4" x14ac:dyDescent="0.25">
      <c r="B55" s="1" t="s">
        <v>6</v>
      </c>
      <c r="C55" s="6">
        <v>1031</v>
      </c>
      <c r="D55" s="26">
        <v>0</v>
      </c>
    </row>
    <row r="56" spans="2:4" x14ac:dyDescent="0.25">
      <c r="B56" s="1" t="s">
        <v>7</v>
      </c>
      <c r="C56" s="6">
        <v>1174</v>
      </c>
      <c r="D56" s="25">
        <v>800</v>
      </c>
    </row>
    <row r="57" spans="2:4" x14ac:dyDescent="0.25">
      <c r="B57" s="3" t="s">
        <v>8</v>
      </c>
      <c r="C57" s="8">
        <f>SUM(C53:C56)</f>
        <v>3219</v>
      </c>
      <c r="D57" s="4">
        <f>SUM(D53:D56)</f>
        <v>3821</v>
      </c>
    </row>
    <row r="59" spans="2:4" x14ac:dyDescent="0.25">
      <c r="B59" s="11" t="s">
        <v>13</v>
      </c>
      <c r="C59" s="12">
        <f>SUM(C10+C36+C28+C49+C19+C44+C57)</f>
        <v>91635</v>
      </c>
      <c r="D59" s="12">
        <f>SUM(D10+D36+D28+D49+D19+D44+D57)</f>
        <v>494426</v>
      </c>
    </row>
  </sheetData>
  <mergeCells count="7">
    <mergeCell ref="B51:D51"/>
    <mergeCell ref="B3:D3"/>
    <mergeCell ref="B30:D30"/>
    <mergeCell ref="B46:D46"/>
    <mergeCell ref="B38:D38"/>
    <mergeCell ref="B12:D12"/>
    <mergeCell ref="B21:D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A9" sqref="A9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17 MAYO'!C6, 'REPORTE DIARIO'!C:C)</f>
        <v>12397</v>
      </c>
      <c r="E6" s="15">
        <f>SUMIF('REPORTE DIARIO'!B:B,'EPR 17 MAYO'!C6, 'REPORTE DIARIO'!D:D)</f>
        <v>167027.96</v>
      </c>
      <c r="F6" s="15">
        <f>J6*D6</f>
        <v>389620</v>
      </c>
      <c r="G6" s="15">
        <f>+E6-F6</f>
        <v>-222592.04</v>
      </c>
      <c r="H6" s="14">
        <f>ABS(G6/F6)</f>
        <v>0.5713054771315641</v>
      </c>
      <c r="I6" s="15">
        <f>E6/D6</f>
        <v>13.473256433007986</v>
      </c>
      <c r="J6" s="15">
        <f>220/7</f>
        <v>31.428571428571427</v>
      </c>
      <c r="K6" s="15">
        <f>+I6-J6</f>
        <v>-17.955314995563441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17 MAYO'!C7, 'REPORTE DIARIO'!C:C)</f>
        <v>12038</v>
      </c>
      <c r="E7" s="15">
        <f>SUMIF('REPORTE DIARIO'!B:B,'EPR 17 MAYO'!C7, 'REPORTE DIARIO'!D:D)</f>
        <v>139291.04</v>
      </c>
      <c r="F7" s="15">
        <f>J7*D7</f>
        <v>189168.57142857142</v>
      </c>
      <c r="G7" s="15">
        <f>+E7-F7</f>
        <v>-49877.531428571412</v>
      </c>
      <c r="H7" s="14">
        <f>ABS(G7/F7)</f>
        <v>0.2636671147427086</v>
      </c>
      <c r="I7" s="15">
        <f>E7/D7</f>
        <v>11.570945339757435</v>
      </c>
      <c r="J7" s="15">
        <f>110/7</f>
        <v>15.714285714285714</v>
      </c>
      <c r="K7" s="15">
        <f t="shared" ref="K7:K9" si="0">+I7-J7</f>
        <v>-4.1433403745282789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17 MAYO'!C8, 'REPORTE DIARIO'!C:C)</f>
        <v>11286</v>
      </c>
      <c r="E8" s="15">
        <f>SUMIF('REPORTE DIARIO'!B:B,'EPR 17 MAYO'!C8, 'REPORTE DIARIO'!D:D)</f>
        <v>69028</v>
      </c>
      <c r="F8" s="15">
        <f>J8*D8</f>
        <v>72552.857142857145</v>
      </c>
      <c r="G8" s="15">
        <f>+E8-F8</f>
        <v>-3524.8571428571449</v>
      </c>
      <c r="H8" s="14">
        <f>ABS(G8/F8)</f>
        <v>4.8583298875696561E-2</v>
      </c>
      <c r="I8" s="15">
        <f>E8/D8</f>
        <v>6.1162502215133792</v>
      </c>
      <c r="J8" s="15">
        <f>45/7</f>
        <v>6.4285714285714288</v>
      </c>
      <c r="K8" s="15">
        <f t="shared" si="0"/>
        <v>-0.31232120705804967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17 MAYO'!C9, 'REPORTE DIARIO'!C:C)</f>
        <v>55899</v>
      </c>
      <c r="E9" s="15">
        <f>SUMIF('REPORTE DIARIO'!B:B,'EPR 17 MAYO'!C9, 'REPORTE DIARIO'!D:D)</f>
        <v>119079</v>
      </c>
      <c r="F9" s="15">
        <f>J9*D9</f>
        <v>119783.57142857142</v>
      </c>
      <c r="G9" s="15">
        <f>+E9-F9</f>
        <v>-704.57142857142026</v>
      </c>
      <c r="H9" s="14">
        <f>ABS(G9/F9)</f>
        <v>5.8820372457467247E-3</v>
      </c>
      <c r="I9" s="15">
        <f>E9/D9</f>
        <v>2.1302527773305426</v>
      </c>
      <c r="J9" s="15">
        <f>15/7</f>
        <v>2.1428571428571428</v>
      </c>
      <c r="K9" s="15">
        <f t="shared" si="0"/>
        <v>-1.2604365526600159E-2</v>
      </c>
    </row>
    <row r="10" spans="2:12" x14ac:dyDescent="0.25">
      <c r="B10" s="15"/>
      <c r="C10" s="18" t="s">
        <v>16</v>
      </c>
      <c r="D10" s="23">
        <f>SUM(D6:D9)</f>
        <v>91620</v>
      </c>
      <c r="E10" s="19">
        <f>SUM(E6:E9)</f>
        <v>494426</v>
      </c>
      <c r="F10" s="19">
        <f>SUM(F6:F9)</f>
        <v>771125</v>
      </c>
      <c r="G10" s="19">
        <f>+E10-F10</f>
        <v>-276699</v>
      </c>
      <c r="H10" s="20">
        <f>ABS(G10/F10)</f>
        <v>0.35882509320797534</v>
      </c>
      <c r="I10" s="19">
        <f>E10/D10</f>
        <v>5.396485483518882</v>
      </c>
      <c r="J10" s="19">
        <f>F10/D10</f>
        <v>8.4165575201920984</v>
      </c>
      <c r="K10" s="19">
        <f>I10-J10</f>
        <v>-3.0200720366732163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17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2025-05-18T02:36:08Z</dcterms:modified>
</cp:coreProperties>
</file>