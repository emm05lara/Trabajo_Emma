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0\15 MAYO\MAÑANA\"/>
    </mc:Choice>
  </mc:AlternateContent>
  <xr:revisionPtr revIDLastSave="0" documentId="13_ncr:1_{8C657317-594F-4FD8-9852-712664BB812F}" xr6:coauthVersionLast="47" xr6:coauthVersionMax="47" xr10:uidLastSave="{00000000-0000-0000-0000-000000000000}"/>
  <bookViews>
    <workbookView xWindow="11355" yWindow="11355" windowWidth="10005" windowHeight="5445" activeTab="2" xr2:uid="{4DC6C92A-CD8A-4966-829B-0B6A986E825B}"/>
  </bookViews>
  <sheets>
    <sheet name="REPORTE DIARIO" sheetId="1" r:id="rId1"/>
    <sheet name="DATA" sheetId="4" r:id="rId2"/>
    <sheet name="EPR 15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36" i="1"/>
  <c r="D36" i="1"/>
  <c r="D27" i="1"/>
  <c r="C27" i="1"/>
  <c r="D6" i="3"/>
  <c r="D44" i="1"/>
  <c r="C44" i="1"/>
  <c r="D57" i="1"/>
  <c r="C57" i="1"/>
  <c r="D49" i="1" l="1"/>
  <c r="C49" i="1"/>
  <c r="D18" i="1"/>
  <c r="C18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<sst xmlns="http://schemas.openxmlformats.org/spreadsheetml/2006/main" count="89" uniqueCount="37">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</sst>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9"/>
  <sheetViews>
    <sheetView showGridLines="0" zoomScaleNormal="100" workbookViewId="0">
      <selection activeCell="B2" sqref="B2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4211</v>
      </c>
      <c r="D5" s="25">
        <v>244778.23</v>
      </c>
    </row>
    <row r="6" spans="2:8" x14ac:dyDescent="0.25">
      <c r="B6" s="1" t="s">
        <v>5</v>
      </c>
      <c r="C6" s="6">
        <v>4322</v>
      </c>
      <c r="D6" s="25">
        <v>116354.03</v>
      </c>
    </row>
    <row r="7" spans="2:8" x14ac:dyDescent="0.25">
      <c r="B7" s="1" t="s">
        <v>6</v>
      </c>
      <c r="C7" s="6">
        <v>6109</v>
      </c>
      <c r="D7" s="25">
        <v>165362.6</v>
      </c>
    </row>
    <row r="8" spans="2:8" x14ac:dyDescent="0.25">
      <c r="B8" s="5" t="s">
        <v>12</v>
      </c>
      <c r="C8" s="7">
        <v>12</v>
      </c>
      <c r="D8" s="25">
        <v>803.56</v>
      </c>
    </row>
    <row r="9" spans="2:8" x14ac:dyDescent="0.25">
      <c r="B9" s="1" t="s">
        <v>7</v>
      </c>
      <c r="C9" s="6">
        <v>13177</v>
      </c>
      <c r="D9" s="25">
        <v>152094.39000000001</v>
      </c>
      <c r="E9" s="14"/>
      <c r="F9" s="7"/>
    </row>
    <row r="10" spans="2:8" x14ac:dyDescent="0.25">
      <c r="B10" s="3" t="s">
        <v>8</v>
      </c>
      <c r="C10" s="8">
        <f>SUM(C5:C9)</f>
        <v>27831</v>
      </c>
      <c r="D10" s="4">
        <f>SUM(D5:D9)</f>
        <v>679392.81</v>
      </c>
      <c r="E10" s="11" t="s">
        <v>14</v>
      </c>
    </row>
    <row r="12" spans="2:8" x14ac:dyDescent="0.25">
      <c r="B12" s="28" t="s">
        <v>9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247</v>
      </c>
      <c r="D14" s="25">
        <v>31986.83</v>
      </c>
    </row>
    <row r="15" spans="2:8" x14ac:dyDescent="0.25">
      <c r="B15" s="9" t="s">
        <v>5</v>
      </c>
      <c r="C15" s="6">
        <v>2813</v>
      </c>
      <c r="D15" s="25">
        <v>156319.59000000003</v>
      </c>
    </row>
    <row r="16" spans="2:8" x14ac:dyDescent="0.25">
      <c r="B16" s="9" t="s">
        <v>6</v>
      </c>
      <c r="C16" s="6">
        <v>1864</v>
      </c>
      <c r="D16" s="25">
        <v>18956</v>
      </c>
    </row>
    <row r="17" spans="2:11" x14ac:dyDescent="0.25">
      <c r="B17" s="9" t="s">
        <v>7</v>
      </c>
      <c r="C17" s="6">
        <v>4230</v>
      </c>
      <c r="D17" s="25">
        <v>530</v>
      </c>
    </row>
    <row r="18" spans="2:11" x14ac:dyDescent="0.25">
      <c r="B18" s="10" t="s">
        <v>8</v>
      </c>
      <c r="C18" s="8">
        <f>SUM(C14:C17)</f>
        <v>9154</v>
      </c>
      <c r="D18" s="4">
        <f>SUM(D14:D17)</f>
        <v>207792.42000000004</v>
      </c>
    </row>
    <row r="20" spans="2:11" x14ac:dyDescent="0.25">
      <c r="B20" s="27" t="s">
        <v>10</v>
      </c>
      <c r="C20" s="27"/>
      <c r="D20" s="27"/>
    </row>
    <row r="21" spans="2:11" x14ac:dyDescent="0.25">
      <c r="B21" s="4" t="s">
        <v>1</v>
      </c>
      <c r="C21" s="4" t="s">
        <v>2</v>
      </c>
      <c r="D21" s="4" t="s">
        <v>3</v>
      </c>
    </row>
    <row r="22" spans="2:11" x14ac:dyDescent="0.25">
      <c r="B22" s="9" t="s">
        <v>4</v>
      </c>
      <c r="C22" s="6">
        <v>3343</v>
      </c>
      <c r="D22" s="25">
        <v>106146.47</v>
      </c>
    </row>
    <row r="23" spans="2:11" x14ac:dyDescent="0.25">
      <c r="B23" s="9" t="s">
        <v>5</v>
      </c>
      <c r="C23" s="6">
        <v>1733</v>
      </c>
      <c r="D23" s="25">
        <v>45431.43</v>
      </c>
    </row>
    <row r="24" spans="2:11" x14ac:dyDescent="0.25">
      <c r="B24" s="9" t="s">
        <v>6</v>
      </c>
      <c r="C24" s="6">
        <v>2267</v>
      </c>
      <c r="D24" s="25">
        <v>24901.45</v>
      </c>
    </row>
    <row r="25" spans="2:11" x14ac:dyDescent="0.25">
      <c r="B25" s="5" t="s">
        <v>12</v>
      </c>
      <c r="C25" s="7">
        <v>1</v>
      </c>
      <c r="D25" s="26">
        <v>0</v>
      </c>
    </row>
    <row r="26" spans="2:11" x14ac:dyDescent="0.25">
      <c r="B26" s="9" t="s">
        <v>7</v>
      </c>
      <c r="C26" s="6">
        <v>17376</v>
      </c>
      <c r="D26" s="25">
        <v>26455</v>
      </c>
    </row>
    <row r="27" spans="2:11" x14ac:dyDescent="0.25">
      <c r="B27" s="10" t="s">
        <v>8</v>
      </c>
      <c r="C27" s="8">
        <f>SUM(C22:C26)</f>
        <v>24720</v>
      </c>
      <c r="D27" s="4">
        <f>SUM(D22:D26)</f>
        <v>202934.35</v>
      </c>
      <c r="K27" s="7"/>
    </row>
    <row r="29" spans="2:11" x14ac:dyDescent="0.25">
      <c r="B29" s="28" t="s">
        <v>30</v>
      </c>
      <c r="C29" s="28"/>
      <c r="D29" s="28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1" t="s">
        <v>4</v>
      </c>
      <c r="C31" s="6">
        <v>1998</v>
      </c>
      <c r="D31" s="25">
        <v>64326.92</v>
      </c>
    </row>
    <row r="32" spans="2:11" x14ac:dyDescent="0.25">
      <c r="B32" s="1" t="s">
        <v>5</v>
      </c>
      <c r="C32" s="6">
        <v>1926</v>
      </c>
      <c r="D32" s="25">
        <v>37442</v>
      </c>
    </row>
    <row r="33" spans="2:4" x14ac:dyDescent="0.25">
      <c r="B33" s="1" t="s">
        <v>6</v>
      </c>
      <c r="C33" s="6">
        <v>3214</v>
      </c>
      <c r="D33" s="25">
        <v>26328</v>
      </c>
    </row>
    <row r="34" spans="2:4" x14ac:dyDescent="0.25">
      <c r="B34" s="5" t="s">
        <v>12</v>
      </c>
      <c r="C34" s="7">
        <v>2</v>
      </c>
      <c r="D34" s="26">
        <v>0</v>
      </c>
    </row>
    <row r="35" spans="2:4" x14ac:dyDescent="0.25">
      <c r="B35" s="1" t="s">
        <v>7</v>
      </c>
      <c r="C35" s="6">
        <v>20623</v>
      </c>
      <c r="D35" s="25">
        <v>74357.81</v>
      </c>
    </row>
    <row r="36" spans="2:4" x14ac:dyDescent="0.25">
      <c r="B36" s="3" t="s">
        <v>8</v>
      </c>
      <c r="C36" s="8">
        <f>SUM(C31:C35)</f>
        <v>27763</v>
      </c>
      <c r="D36" s="4">
        <f>SUM(D31:D35)</f>
        <v>202454.72999999998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342</v>
      </c>
      <c r="D40" s="25">
        <v>648</v>
      </c>
    </row>
    <row r="41" spans="2:4" x14ac:dyDescent="0.25">
      <c r="B41" s="1" t="s">
        <v>5</v>
      </c>
      <c r="C41" s="6">
        <v>546</v>
      </c>
      <c r="D41" s="25">
        <v>2700</v>
      </c>
    </row>
    <row r="42" spans="2:4" x14ac:dyDescent="0.25">
      <c r="B42" s="1" t="s">
        <v>6</v>
      </c>
      <c r="C42" s="6">
        <v>935</v>
      </c>
      <c r="D42" s="25">
        <v>49629</v>
      </c>
    </row>
    <row r="43" spans="2:4" x14ac:dyDescent="0.25">
      <c r="B43" s="1" t="s">
        <v>7</v>
      </c>
      <c r="C43" s="6">
        <v>1153</v>
      </c>
      <c r="D43" s="25">
        <v>2077</v>
      </c>
    </row>
    <row r="44" spans="2:4" x14ac:dyDescent="0.25">
      <c r="B44" s="3" t="s">
        <v>8</v>
      </c>
      <c r="C44" s="8">
        <f>SUM(C40:C43)</f>
        <v>2976</v>
      </c>
      <c r="D44" s="4">
        <f>SUM(D40:D43)</f>
        <v>55054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2007</v>
      </c>
      <c r="D48" s="25">
        <v>18233</v>
      </c>
    </row>
    <row r="49" spans="2:4" x14ac:dyDescent="0.25">
      <c r="B49" s="10" t="s">
        <v>8</v>
      </c>
      <c r="C49" s="8">
        <f>SUM(C48:C48)</f>
        <v>2007</v>
      </c>
      <c r="D49" s="4">
        <f>SUM(D48:D48)</f>
        <v>18233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299</v>
      </c>
      <c r="D53" s="25">
        <v>4238</v>
      </c>
    </row>
    <row r="54" spans="2:4" x14ac:dyDescent="0.25">
      <c r="B54" s="1" t="s">
        <v>5</v>
      </c>
      <c r="C54" s="6">
        <v>716</v>
      </c>
      <c r="D54" s="25">
        <v>4023</v>
      </c>
    </row>
    <row r="55" spans="2:4" x14ac:dyDescent="0.25">
      <c r="B55" s="1" t="s">
        <v>6</v>
      </c>
      <c r="C55" s="6">
        <v>619</v>
      </c>
      <c r="D55" s="25">
        <v>500</v>
      </c>
    </row>
    <row r="56" spans="2:4" x14ac:dyDescent="0.25">
      <c r="B56" s="1" t="s">
        <v>7</v>
      </c>
      <c r="C56" s="6">
        <v>2270</v>
      </c>
      <c r="D56" s="25">
        <v>2555</v>
      </c>
    </row>
    <row r="57" spans="2:4" x14ac:dyDescent="0.25">
      <c r="B57" s="3" t="s">
        <v>8</v>
      </c>
      <c r="C57" s="8">
        <f>SUM(C53:C56)</f>
        <v>3904</v>
      </c>
      <c r="D57" s="4">
        <f>SUM(D53:D56)</f>
        <v>11316</v>
      </c>
    </row>
    <row r="59" spans="2:4" x14ac:dyDescent="0.25">
      <c r="B59" s="12" t="s">
        <v>13</v>
      </c>
      <c r="C59" s="13">
        <f>SUM(C10+C27+C18+C49+C36+C57+C44)</f>
        <v>98355</v>
      </c>
      <c r="D59" s="13">
        <f>SUM(D10+D27+D18+D49+D36+D57+D44)</f>
        <v>1377177.31</v>
      </c>
    </row>
  </sheetData>
  <mergeCells count="7">
    <mergeCell ref="B46:D46"/>
    <mergeCell ref="B38:D38"/>
    <mergeCell ref="B29:D29"/>
    <mergeCell ref="B51:D51"/>
    <mergeCell ref="B3:D3"/>
    <mergeCell ref="B20:D20"/>
    <mergeCell ref="B12:D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J10" sqref="J10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15 MAYO'!C6, 'REPORTE DIARIO'!C:C)</f>
        <v>12447</v>
      </c>
      <c r="E6" s="16">
        <f>SUMIF('REPORTE DIARIO'!B:B,'EPR 15 MAYO'!C6, 'REPORTE DIARIO'!D:D)</f>
        <v>470357.45</v>
      </c>
      <c r="F6" s="16">
        <f>J6*D6</f>
        <v>1564765.7142857143</v>
      </c>
      <c r="G6" s="16">
        <f>+E6-F6</f>
        <v>-1094408.2642857144</v>
      </c>
      <c r="H6" s="15">
        <f>ABS(G6/F6)</f>
        <v>0.6994071088688768</v>
      </c>
      <c r="I6" s="16">
        <f>E6/D6</f>
        <v>37.788820599341207</v>
      </c>
      <c r="J6" s="16">
        <f>(220/7)*4</f>
        <v>125.71428571428571</v>
      </c>
      <c r="K6" s="16">
        <f>+I6-J6</f>
        <v>-87.925465114944501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15 MAYO'!C7, 'REPORTE DIARIO'!C:C)</f>
        <v>12056</v>
      </c>
      <c r="E7" s="16">
        <f>SUMIF('REPORTE DIARIO'!B:B,'EPR 15 MAYO'!C7, 'REPORTE DIARIO'!D:D)</f>
        <v>362270.05</v>
      </c>
      <c r="F7" s="16">
        <f>J7*D7</f>
        <v>757805.7142857142</v>
      </c>
      <c r="G7" s="16">
        <f>+E7-F7</f>
        <v>-395535.66428571421</v>
      </c>
      <c r="H7" s="15">
        <f>ABS(G7/F7)</f>
        <v>0.52194864307474209</v>
      </c>
      <c r="I7" s="16">
        <f>E7/D7</f>
        <v>30.048942435301925</v>
      </c>
      <c r="J7" s="16">
        <f>(110/7)*4</f>
        <v>62.857142857142854</v>
      </c>
      <c r="K7" s="16">
        <f t="shared" ref="K7:K9" si="0">+I7-J7</f>
        <v>-32.80820042184093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15 MAYO'!C8, 'REPORTE DIARIO'!C:C)</f>
        <v>15008</v>
      </c>
      <c r="E8" s="16">
        <f>SUMIF('REPORTE DIARIO'!B:B,'EPR 15 MAYO'!C8, 'REPORTE DIARIO'!D:D)</f>
        <v>285677.05000000005</v>
      </c>
      <c r="F8" s="16">
        <f>J8*D8</f>
        <v>385920</v>
      </c>
      <c r="G8" s="16">
        <f>+E8-F8</f>
        <v>-100242.94999999995</v>
      </c>
      <c r="H8" s="15">
        <f>ABS(G8/F8)</f>
        <v>0.25975059597844102</v>
      </c>
      <c r="I8" s="16">
        <f>E8/D8</f>
        <v>19.034984674840089</v>
      </c>
      <c r="J8" s="16">
        <f>(45/7)*4</f>
        <v>25.714285714285715</v>
      </c>
      <c r="K8" s="16">
        <f t="shared" si="0"/>
        <v>-6.679301039445626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15 MAYO'!C9, 'REPORTE DIARIO'!C:C)</f>
        <v>58829</v>
      </c>
      <c r="E9" s="16">
        <f>SUMIF('REPORTE DIARIO'!B:B,'EPR 15 MAYO'!C9, 'REPORTE DIARIO'!D:D)</f>
        <v>258069.2</v>
      </c>
      <c r="F9" s="16">
        <f>J9*D9</f>
        <v>504248.57142857142</v>
      </c>
      <c r="G9" s="16">
        <f>+E9-F9</f>
        <v>-246179.37142857141</v>
      </c>
      <c r="H9" s="15">
        <f>ABS(G9/F9)</f>
        <v>0.48821034977080463</v>
      </c>
      <c r="I9" s="16">
        <f>E9/D9</f>
        <v>4.3867684305359607</v>
      </c>
      <c r="J9" s="16">
        <f>(15/7)*4</f>
        <v>8.5714285714285712</v>
      </c>
      <c r="K9" s="16">
        <f t="shared" si="0"/>
        <v>-4.1846601408926105</v>
      </c>
    </row>
    <row r="10" spans="2:12" x14ac:dyDescent="0.25">
      <c r="B10" s="16"/>
      <c r="C10" s="19" t="s">
        <v>17</v>
      </c>
      <c r="D10" s="24">
        <f>SUM(D6:D9)</f>
        <v>98340</v>
      </c>
      <c r="E10" s="20">
        <f>SUM(E6:E9)</f>
        <v>1376373.75</v>
      </c>
      <c r="F10" s="20">
        <f>SUM(F6:F9)</f>
        <v>3212740</v>
      </c>
      <c r="G10" s="20">
        <f>+E10-F10</f>
        <v>-1836366.25</v>
      </c>
      <c r="H10" s="21">
        <f>ABS(G10/F10)</f>
        <v>0.57158881515466553</v>
      </c>
      <c r="I10" s="20">
        <f>E10/D10</f>
        <v>13.996072300183039</v>
      </c>
      <c r="J10" s="20">
        <f>F10/D10</f>
        <v>32.669717307301198</v>
      </c>
      <c r="K10" s="20">
        <f>I10-J10</f>
        <v>-18.673645007118161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15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2025-05-15T15:00:12Z</dcterms:modified>
</cp:coreProperties>
</file>