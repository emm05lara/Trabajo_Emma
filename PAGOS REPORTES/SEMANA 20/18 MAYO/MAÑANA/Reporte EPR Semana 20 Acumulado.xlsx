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0\18 MAYO\MAÑANA\"/>
    </mc:Choice>
  </mc:AlternateContent>
  <xr:revisionPtr revIDLastSave="0" documentId="13_ncr:1_{DF870237-3B3F-41CB-90D0-A3C28A8D6836}" xr6:coauthVersionLast="47" xr6:coauthVersionMax="47" xr10:uidLastSave="{00000000-0000-0000-0000-000000000000}"/>
  <bookViews>
    <workbookView xWindow="3285" yWindow="3285" windowWidth="10005" windowHeight="5445" activeTab="2" xr2:uid="{4DC6C92A-CD8A-4966-829B-0B6A986E825B}"/>
  </bookViews>
  <sheets>
    <sheet name="REPORTE DIARIO" sheetId="1" r:id="rId1"/>
    <sheet name="DATA" sheetId="4" r:id="rId2"/>
    <sheet name="EPR 17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28" i="1"/>
  <c r="D28" i="1"/>
  <c r="D19" i="1"/>
  <c r="C19" i="1"/>
  <c r="D6" i="3"/>
  <c r="D44" i="1"/>
  <c r="C44" i="1"/>
  <c r="D52" i="1"/>
  <c r="C52" i="1"/>
  <c r="D57" i="1" l="1"/>
  <c r="C57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<sst xmlns="http://schemas.openxmlformats.org/spreadsheetml/2006/main" count="89" uniqueCount="37">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</sst>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opLeftCell="A5" zoomScaleNormal="100" workbookViewId="0">
      <selection activeCell="B3" sqref="B3:D5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4031</v>
      </c>
      <c r="D5" s="25">
        <v>488965.92999999993</v>
      </c>
    </row>
    <row r="6" spans="2:8" x14ac:dyDescent="0.25">
      <c r="B6" s="1" t="s">
        <v>5</v>
      </c>
      <c r="C6" s="6">
        <v>4209</v>
      </c>
      <c r="D6" s="25">
        <v>323183.43</v>
      </c>
    </row>
    <row r="7" spans="2:8" x14ac:dyDescent="0.25">
      <c r="B7" s="1" t="s">
        <v>6</v>
      </c>
      <c r="C7" s="6">
        <v>4027</v>
      </c>
      <c r="D7" s="25">
        <v>322051.59999999998</v>
      </c>
    </row>
    <row r="8" spans="2:8" x14ac:dyDescent="0.25">
      <c r="B8" s="5" t="s">
        <v>12</v>
      </c>
      <c r="C8" s="7">
        <v>12</v>
      </c>
      <c r="D8" s="25">
        <v>803.56</v>
      </c>
    </row>
    <row r="9" spans="2:8" x14ac:dyDescent="0.25">
      <c r="B9" s="1" t="s">
        <v>7</v>
      </c>
      <c r="C9" s="6">
        <v>10665</v>
      </c>
      <c r="D9" s="25">
        <v>430078.3299999999</v>
      </c>
      <c r="E9" s="14"/>
      <c r="F9" s="7"/>
    </row>
    <row r="10" spans="2:8" x14ac:dyDescent="0.25">
      <c r="B10" s="3" t="s">
        <v>8</v>
      </c>
      <c r="C10" s="8">
        <f>SUM(C5:C9)</f>
        <v>22944</v>
      </c>
      <c r="D10" s="4">
        <f>SUM(D5:D9)</f>
        <v>1565082.8499999999</v>
      </c>
      <c r="E10" s="11" t="s">
        <v>14</v>
      </c>
    </row>
    <row r="12" spans="2:8" x14ac:dyDescent="0.25">
      <c r="B12" s="27" t="s">
        <v>10</v>
      </c>
      <c r="C12" s="27"/>
      <c r="D12" s="27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3239</v>
      </c>
      <c r="D14" s="25">
        <v>301921.9499999999</v>
      </c>
    </row>
    <row r="15" spans="2:8" x14ac:dyDescent="0.25">
      <c r="B15" s="9" t="s">
        <v>5</v>
      </c>
      <c r="C15" s="6">
        <v>1487</v>
      </c>
      <c r="D15" s="25">
        <v>101271.55</v>
      </c>
    </row>
    <row r="16" spans="2:8" x14ac:dyDescent="0.25">
      <c r="B16" s="9" t="s">
        <v>6</v>
      </c>
      <c r="C16" s="6">
        <v>2196</v>
      </c>
      <c r="D16" s="25">
        <v>70094.340000000011</v>
      </c>
    </row>
    <row r="17" spans="2:4" x14ac:dyDescent="0.25">
      <c r="B17" s="5" t="s">
        <v>12</v>
      </c>
      <c r="C17" s="7">
        <v>1</v>
      </c>
      <c r="D17" s="25">
        <v>39</v>
      </c>
    </row>
    <row r="18" spans="2:4" x14ac:dyDescent="0.25">
      <c r="B18" s="9" t="s">
        <v>7</v>
      </c>
      <c r="C18" s="6">
        <v>17193</v>
      </c>
      <c r="D18" s="25">
        <v>64665.63</v>
      </c>
    </row>
    <row r="19" spans="2:4" x14ac:dyDescent="0.25">
      <c r="B19" s="10" t="s">
        <v>8</v>
      </c>
      <c r="C19" s="8">
        <f>SUM(C14:C18)</f>
        <v>24116</v>
      </c>
      <c r="D19" s="4">
        <f>SUM(D14:D18)</f>
        <v>537992.46999999986</v>
      </c>
    </row>
    <row r="21" spans="2:4" x14ac:dyDescent="0.25">
      <c r="B21" s="28" t="s">
        <v>30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1845</v>
      </c>
      <c r="D23" s="25">
        <v>162300</v>
      </c>
    </row>
    <row r="24" spans="2:4" x14ac:dyDescent="0.25">
      <c r="B24" s="1" t="s">
        <v>5</v>
      </c>
      <c r="C24" s="6">
        <v>1980</v>
      </c>
      <c r="D24" s="25">
        <v>84848.89</v>
      </c>
    </row>
    <row r="25" spans="2:4" x14ac:dyDescent="0.25">
      <c r="B25" s="1" t="s">
        <v>6</v>
      </c>
      <c r="C25" s="6">
        <v>2028</v>
      </c>
      <c r="D25" s="25">
        <v>58674</v>
      </c>
    </row>
    <row r="26" spans="2:4" x14ac:dyDescent="0.25">
      <c r="B26" s="5" t="s">
        <v>12</v>
      </c>
      <c r="C26" s="7">
        <v>2</v>
      </c>
      <c r="D26" s="26">
        <v>0</v>
      </c>
    </row>
    <row r="27" spans="2:4" x14ac:dyDescent="0.25">
      <c r="B27" s="1" t="s">
        <v>7</v>
      </c>
      <c r="C27" s="6">
        <v>20626</v>
      </c>
      <c r="D27" s="25">
        <v>196628.08</v>
      </c>
    </row>
    <row r="28" spans="2:4" x14ac:dyDescent="0.25">
      <c r="B28" s="3" t="s">
        <v>8</v>
      </c>
      <c r="C28" s="8">
        <f>SUM(C23:C27)</f>
        <v>26481</v>
      </c>
      <c r="D28" s="4">
        <f>SUM(D23:D27)</f>
        <v>502450.97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229</v>
      </c>
      <c r="D32" s="25">
        <v>89197.09</v>
      </c>
    </row>
    <row r="33" spans="2:4" x14ac:dyDescent="0.25">
      <c r="B33" s="9" t="s">
        <v>5</v>
      </c>
      <c r="C33" s="6">
        <v>2824</v>
      </c>
      <c r="D33" s="25">
        <v>219034.87</v>
      </c>
    </row>
    <row r="34" spans="2:4" x14ac:dyDescent="0.25">
      <c r="B34" s="9" t="s">
        <v>6</v>
      </c>
      <c r="C34" s="6">
        <v>652</v>
      </c>
      <c r="D34" s="25">
        <v>27455.33</v>
      </c>
    </row>
    <row r="35" spans="2:4" x14ac:dyDescent="0.25">
      <c r="B35" s="9" t="s">
        <v>7</v>
      </c>
      <c r="C35" s="6">
        <v>3941</v>
      </c>
      <c r="D35" s="25">
        <v>6918</v>
      </c>
    </row>
    <row r="36" spans="2:4" x14ac:dyDescent="0.25">
      <c r="B36" s="10" t="s">
        <v>8</v>
      </c>
      <c r="C36" s="8">
        <f>SUM(C32:C35)</f>
        <v>7646</v>
      </c>
      <c r="D36" s="4">
        <f>SUM(D32:D35)</f>
        <v>342605.29</v>
      </c>
    </row>
    <row r="38" spans="2:4" x14ac:dyDescent="0.25">
      <c r="B38" s="28" t="s">
        <v>32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416</v>
      </c>
      <c r="D40" s="25">
        <v>3687</v>
      </c>
    </row>
    <row r="41" spans="2:4" x14ac:dyDescent="0.25">
      <c r="B41" s="1" t="s">
        <v>5</v>
      </c>
      <c r="C41" s="6">
        <v>591</v>
      </c>
      <c r="D41" s="25">
        <v>3889</v>
      </c>
    </row>
    <row r="42" spans="2:4" x14ac:dyDescent="0.25">
      <c r="B42" s="1" t="s">
        <v>6</v>
      </c>
      <c r="C42" s="6">
        <v>1031</v>
      </c>
      <c r="D42" s="25">
        <v>50144</v>
      </c>
    </row>
    <row r="43" spans="2:4" x14ac:dyDescent="0.25">
      <c r="B43" s="1" t="s">
        <v>7</v>
      </c>
      <c r="C43" s="6">
        <v>1170</v>
      </c>
      <c r="D43" s="25">
        <v>3937</v>
      </c>
    </row>
    <row r="44" spans="2:4" x14ac:dyDescent="0.25">
      <c r="B44" s="3" t="s">
        <v>8</v>
      </c>
      <c r="C44" s="8">
        <f>SUM(C40:C43)</f>
        <v>3208</v>
      </c>
      <c r="D44" s="4">
        <f>SUM(D40:D43)</f>
        <v>61657</v>
      </c>
    </row>
    <row r="46" spans="2:4" x14ac:dyDescent="0.25">
      <c r="B46" s="28" t="s">
        <v>31</v>
      </c>
      <c r="C46" s="28"/>
      <c r="D46" s="28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373</v>
      </c>
      <c r="D48" s="25">
        <v>9683</v>
      </c>
    </row>
    <row r="49" spans="2:4" x14ac:dyDescent="0.25">
      <c r="B49" s="1" t="s">
        <v>5</v>
      </c>
      <c r="C49" s="6">
        <v>758</v>
      </c>
      <c r="D49" s="25">
        <v>8147</v>
      </c>
    </row>
    <row r="50" spans="2:4" x14ac:dyDescent="0.25">
      <c r="B50" s="1" t="s">
        <v>6</v>
      </c>
      <c r="C50" s="6">
        <v>627</v>
      </c>
      <c r="D50" s="25">
        <v>1820</v>
      </c>
    </row>
    <row r="51" spans="2:4" x14ac:dyDescent="0.25">
      <c r="B51" s="1" t="s">
        <v>7</v>
      </c>
      <c r="C51" s="6">
        <v>2287</v>
      </c>
      <c r="D51" s="25">
        <v>33809</v>
      </c>
    </row>
    <row r="52" spans="2:4" x14ac:dyDescent="0.25">
      <c r="B52" s="3" t="s">
        <v>8</v>
      </c>
      <c r="C52" s="8">
        <f>SUM(C48:C51)</f>
        <v>4045</v>
      </c>
      <c r="D52" s="4">
        <f>SUM(D48:D51)</f>
        <v>53459</v>
      </c>
    </row>
    <row r="54" spans="2:4" x14ac:dyDescent="0.25">
      <c r="B54" s="27" t="s">
        <v>11</v>
      </c>
      <c r="C54" s="27"/>
      <c r="D54" s="27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1939</v>
      </c>
      <c r="D56" s="25">
        <v>52717</v>
      </c>
    </row>
    <row r="57" spans="2:4" x14ac:dyDescent="0.25">
      <c r="B57" s="10" t="s">
        <v>8</v>
      </c>
      <c r="C57" s="8">
        <f>SUM(C56:C56)</f>
        <v>1939</v>
      </c>
      <c r="D57" s="4">
        <f>SUM(D56:D56)</f>
        <v>52717</v>
      </c>
    </row>
    <row r="59" spans="2:4" x14ac:dyDescent="0.25">
      <c r="B59" s="12" t="s">
        <v>13</v>
      </c>
      <c r="C59" s="13">
        <f>SUM(C10+C19+C36+C57+C28+C52+C44)</f>
        <v>90379</v>
      </c>
      <c r="D59" s="13">
        <f>SUM(D10+D19+D36+D57+D28+D52+D44)</f>
        <v>3115964.58</v>
      </c>
    </row>
  </sheetData>
  <mergeCells count="7">
    <mergeCell ref="B54:D54"/>
    <mergeCell ref="B38:D38"/>
    <mergeCell ref="B21:D21"/>
    <mergeCell ref="B46:D46"/>
    <mergeCell ref="B3:D3"/>
    <mergeCell ref="B12:D12"/>
    <mergeCell ref="B30:D3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45" zoomScaleNormal="145" workbookViewId="0">
      <selection activeCell="J10" sqref="J10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17 MAYO'!C6, 'REPORTE DIARIO'!C:C)</f>
        <v>12072</v>
      </c>
      <c r="E6" s="16">
        <f>SUMIF('REPORTE DIARIO'!B:B,'EPR 17 MAYO'!C6, 'REPORTE DIARIO'!D:D)</f>
        <v>1108471.9699999997</v>
      </c>
      <c r="F6" s="16">
        <f>J6*D6</f>
        <v>2655840</v>
      </c>
      <c r="G6" s="16">
        <f>+E6-F6</f>
        <v>-1547368.0300000003</v>
      </c>
      <c r="H6" s="15">
        <f>ABS(G6/F6)</f>
        <v>0.5826284828905357</v>
      </c>
      <c r="I6" s="16">
        <f>E6/D6</f>
        <v>91.821733764082154</v>
      </c>
      <c r="J6" s="16">
        <f>(220/7)*7</f>
        <v>220</v>
      </c>
      <c r="K6" s="16">
        <f>+I6-J6</f>
        <v>-128.17826623591785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17 MAYO'!C7, 'REPORTE DIARIO'!C:C)</f>
        <v>11849</v>
      </c>
      <c r="E7" s="16">
        <f>SUMIF('REPORTE DIARIO'!B:B,'EPR 17 MAYO'!C7, 'REPORTE DIARIO'!D:D)</f>
        <v>740374.74</v>
      </c>
      <c r="F7" s="16">
        <f>J7*D7</f>
        <v>1303390</v>
      </c>
      <c r="G7" s="16">
        <f>+E7-F7</f>
        <v>-563015.26</v>
      </c>
      <c r="H7" s="15">
        <f>ABS(G7/F7)</f>
        <v>0.43196223693599001</v>
      </c>
      <c r="I7" s="16">
        <f>E7/D7</f>
        <v>62.4841539370411</v>
      </c>
      <c r="J7" s="16">
        <f>(110/7)*7</f>
        <v>110</v>
      </c>
      <c r="K7" s="16">
        <f t="shared" ref="K7:K9" si="0">+I7-J7</f>
        <v>-47.5158460629589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17 MAYO'!C8, 'REPORTE DIARIO'!C:C)</f>
        <v>10561</v>
      </c>
      <c r="E8" s="16">
        <f>SUMIF('REPORTE DIARIO'!B:B,'EPR 17 MAYO'!C8, 'REPORTE DIARIO'!D:D)</f>
        <v>530239.27</v>
      </c>
      <c r="F8" s="16">
        <f>J8*D8</f>
        <v>475245</v>
      </c>
      <c r="G8" s="16">
        <f>+E8-F8</f>
        <v>54994.270000000019</v>
      </c>
      <c r="H8" s="15">
        <f>ABS(G8/F8)</f>
        <v>0.11571772454207833</v>
      </c>
      <c r="I8" s="16">
        <f>E8/D8</f>
        <v>50.207297604393524</v>
      </c>
      <c r="J8" s="16">
        <f>(45/7)*7</f>
        <v>45</v>
      </c>
      <c r="K8" s="16">
        <f t="shared" si="0"/>
        <v>5.2072976043935242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17 MAYO'!C9, 'REPORTE DIARIO'!C:C)</f>
        <v>55882</v>
      </c>
      <c r="E9" s="16">
        <f>SUMIF('REPORTE DIARIO'!B:B,'EPR 17 MAYO'!C9, 'REPORTE DIARIO'!D:D)</f>
        <v>736036.03999999992</v>
      </c>
      <c r="F9" s="16">
        <f>J9*D9</f>
        <v>838230</v>
      </c>
      <c r="G9" s="16">
        <f>+E9-F9</f>
        <v>-102193.96000000008</v>
      </c>
      <c r="H9" s="15">
        <f>ABS(G9/F9)</f>
        <v>0.12191637140164403</v>
      </c>
      <c r="I9" s="16">
        <f>E9/D9</f>
        <v>13.17125442897534</v>
      </c>
      <c r="J9" s="16">
        <f>(15/7)*7</f>
        <v>15</v>
      </c>
      <c r="K9" s="16">
        <f t="shared" si="0"/>
        <v>-1.8287455710246601</v>
      </c>
    </row>
    <row r="10" spans="2:12" x14ac:dyDescent="0.25">
      <c r="B10" s="16"/>
      <c r="C10" s="19" t="s">
        <v>17</v>
      </c>
      <c r="D10" s="24">
        <f>SUM(D6:D9)</f>
        <v>90364</v>
      </c>
      <c r="E10" s="20">
        <f>SUM(E6:E9)</f>
        <v>3115122.0199999996</v>
      </c>
      <c r="F10" s="20">
        <f>SUM(F6:F9)</f>
        <v>5272705</v>
      </c>
      <c r="G10" s="20">
        <f>+E10-F10</f>
        <v>-2157582.9800000004</v>
      </c>
      <c r="H10" s="21">
        <f>ABS(G10/F10)</f>
        <v>0.40919850057987323</v>
      </c>
      <c r="I10" s="20">
        <f>E10/D10</f>
        <v>34.473042583329637</v>
      </c>
      <c r="J10" s="20">
        <f>F10/D10</f>
        <v>58.349619317427297</v>
      </c>
      <c r="K10" s="20">
        <f>I10-J10</f>
        <v>-23.876576734097661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17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2025-04-13T02:12:51Z</cp:lastPrinted>
  <dcterms:created xsi:type="dcterms:W3CDTF">2025-01-27T15:11:28Z</dcterms:created>
  <dcterms:modified xsi:type="dcterms:W3CDTF">2025-05-18T15:23:31Z</dcterms:modified>
</cp:coreProperties>
</file>