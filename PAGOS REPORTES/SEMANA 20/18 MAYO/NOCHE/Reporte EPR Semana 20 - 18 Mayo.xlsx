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0\18 MAYO\NOCHE\"/>
    </mc:Choice>
  </mc:AlternateContent>
  <xr:revisionPtr revIDLastSave="0" documentId="13_ncr:1_{728AC4F8-4850-4A69-BC53-9C8DBDF9D89F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49" i="1"/>
  <c r="D57" i="1"/>
  <c r="C57" i="1"/>
  <c r="C49" i="1"/>
  <c r="D19" i="1" l="1"/>
  <c r="C19" i="1"/>
  <c r="J9" i="3"/>
  <c r="J8" i="3"/>
  <c r="J7" i="3"/>
  <c r="D6" i="3"/>
  <c r="F6" i="3" s="1"/>
  <c r="D41" i="1"/>
  <c r="C41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<sst xmlns="http://schemas.openxmlformats.org/spreadsheetml/2006/main" count="88" uniqueCount="36">
  <si>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</si>
  <si>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</si>
  <si>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</si>
  <si>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</si>
  <si>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</si>
  <si>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</si>
  <si>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</si>
  <si>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</si>
  <si>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</si>
  <si>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</si>
  <si>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</si>
  <si>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</si>
  <si>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</si>
  <si>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</si>
  <si>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</si>
  <si>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</si>
  <si>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</si>
  <si>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</si>
  <si>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</si>
  <si>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</si>
  <si>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</si>
  <si>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</si>
  <si>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</si>
  <si>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</si>
  <si>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</si>
  <si>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</si>
  <si>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</si>
  <si>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</si>
  <si>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</si>
  <si>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</si>
  <si>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</si>
  <si>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</si>
  <si>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</si>
  <si>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</si>
  <si>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</si>
  <si>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18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</si>
</sst>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46" workbookViewId="0">
      <selection activeCell="B3" sqref="B3:D5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4169</v>
      </c>
      <c r="D5" s="25">
        <v>48391.67</v>
      </c>
    </row>
    <row r="6" spans="2:8" x14ac:dyDescent="0.3">
      <c r="B6" s="1" t="s">
        <v>5</v>
      </c>
      <c r="C6" s="6">
        <v>4441</v>
      </c>
      <c r="D6" s="25">
        <v>43572</v>
      </c>
    </row>
    <row r="7" spans="2:8" x14ac:dyDescent="0.3">
      <c r="B7" s="1" t="s">
        <v>6</v>
      </c>
      <c r="C7" s="6">
        <v>4270</v>
      </c>
      <c r="D7" s="25">
        <v>48078</v>
      </c>
    </row>
    <row r="8" spans="2:8" x14ac:dyDescent="0.3">
      <c r="B8" s="5" t="s">
        <v>12</v>
      </c>
      <c r="C8" s="7">
        <v>12</v>
      </c>
      <c r="D8" s="26">
        <v>0</v>
      </c>
    </row>
    <row r="9" spans="2:8" x14ac:dyDescent="0.3">
      <c r="B9" s="1" t="s">
        <v>7</v>
      </c>
      <c r="C9" s="6">
        <v>11331</v>
      </c>
      <c r="D9" s="25">
        <v>53413</v>
      </c>
    </row>
    <row r="10" spans="2:8" x14ac:dyDescent="0.3">
      <c r="B10" s="3" t="s">
        <v>8</v>
      </c>
      <c r="C10" s="8">
        <f>SUM(C5:C9)</f>
        <v>24223</v>
      </c>
      <c r="D10" s="4">
        <f>SUM(D5:D9)</f>
        <v>193454.66999999998</v>
      </c>
    </row>
    <row r="12" spans="2:8" x14ac:dyDescent="0.3">
      <c r="B12" s="27" t="s">
        <v>29</v>
      </c>
      <c r="C12" s="27"/>
      <c r="D12" s="27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1906</v>
      </c>
      <c r="D14" s="25">
        <v>25612</v>
      </c>
    </row>
    <row r="15" spans="2:8" x14ac:dyDescent="0.3">
      <c r="B15" s="1" t="s">
        <v>5</v>
      </c>
      <c r="C15" s="6">
        <v>2033</v>
      </c>
      <c r="D15" s="25">
        <v>33712</v>
      </c>
    </row>
    <row r="16" spans="2:8" x14ac:dyDescent="0.3">
      <c r="B16" s="1" t="s">
        <v>6</v>
      </c>
      <c r="C16" s="6">
        <v>2101</v>
      </c>
      <c r="D16" s="25">
        <v>12295</v>
      </c>
    </row>
    <row r="17" spans="2:11" x14ac:dyDescent="0.3">
      <c r="B17" s="5" t="s">
        <v>12</v>
      </c>
      <c r="C17" s="7">
        <v>2</v>
      </c>
      <c r="D17" s="24">
        <v>0</v>
      </c>
    </row>
    <row r="18" spans="2:11" x14ac:dyDescent="0.3">
      <c r="B18" s="1" t="s">
        <v>7</v>
      </c>
      <c r="C18" s="6">
        <v>20733</v>
      </c>
      <c r="D18" s="25">
        <v>17270</v>
      </c>
    </row>
    <row r="19" spans="2:11" x14ac:dyDescent="0.3">
      <c r="B19" s="3" t="s">
        <v>8</v>
      </c>
      <c r="C19" s="8">
        <f>SUM(C14:C18)</f>
        <v>26775</v>
      </c>
      <c r="D19" s="4">
        <f>SUM(D14:D18)</f>
        <v>88889</v>
      </c>
    </row>
    <row r="21" spans="2:11" x14ac:dyDescent="0.3">
      <c r="B21" s="28" t="s">
        <v>10</v>
      </c>
      <c r="C21" s="28"/>
      <c r="D21" s="28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3367</v>
      </c>
      <c r="D23" s="25">
        <v>21963.65</v>
      </c>
    </row>
    <row r="24" spans="2:11" x14ac:dyDescent="0.3">
      <c r="B24" s="9" t="s">
        <v>5</v>
      </c>
      <c r="C24" s="6">
        <v>1488</v>
      </c>
      <c r="D24" s="25">
        <v>34208.32</v>
      </c>
    </row>
    <row r="25" spans="2:11" x14ac:dyDescent="0.3">
      <c r="B25" s="9" t="s">
        <v>6</v>
      </c>
      <c r="C25" s="6">
        <v>2197</v>
      </c>
      <c r="D25" s="25">
        <v>4892</v>
      </c>
    </row>
    <row r="26" spans="2:11" x14ac:dyDescent="0.3">
      <c r="B26" s="5" t="s">
        <v>12</v>
      </c>
      <c r="C26" s="7">
        <v>1</v>
      </c>
      <c r="D26" s="26">
        <v>0</v>
      </c>
      <c r="K26" s="7"/>
    </row>
    <row r="27" spans="2:11" x14ac:dyDescent="0.3">
      <c r="B27" s="9" t="s">
        <v>7</v>
      </c>
      <c r="C27" s="6">
        <v>17194</v>
      </c>
      <c r="D27" s="25">
        <v>11931.060000000001</v>
      </c>
    </row>
    <row r="28" spans="2:11" x14ac:dyDescent="0.3">
      <c r="B28" s="10" t="s">
        <v>8</v>
      </c>
      <c r="C28" s="8">
        <f>SUM(C23:C27)</f>
        <v>24247</v>
      </c>
      <c r="D28" s="4">
        <f>SUM(D23:D27)</f>
        <v>72995.03</v>
      </c>
    </row>
    <row r="30" spans="2:11" x14ac:dyDescent="0.3">
      <c r="B30" s="27" t="s">
        <v>9</v>
      </c>
      <c r="C30" s="27"/>
      <c r="D30" s="27"/>
    </row>
    <row r="31" spans="2:11" x14ac:dyDescent="0.3">
      <c r="B31" s="2" t="s">
        <v>1</v>
      </c>
      <c r="C31" s="2" t="s">
        <v>2</v>
      </c>
      <c r="D31" s="2" t="s">
        <v>3</v>
      </c>
    </row>
    <row r="32" spans="2:11" x14ac:dyDescent="0.3">
      <c r="B32" s="9" t="s">
        <v>4</v>
      </c>
      <c r="C32" s="6">
        <v>230</v>
      </c>
      <c r="D32" s="25">
        <v>9737.98</v>
      </c>
    </row>
    <row r="33" spans="2:4" x14ac:dyDescent="0.3">
      <c r="B33" s="9" t="s">
        <v>5</v>
      </c>
      <c r="C33" s="6">
        <v>3187</v>
      </c>
      <c r="D33" s="25">
        <v>46441.82</v>
      </c>
    </row>
    <row r="34" spans="2:4" x14ac:dyDescent="0.3">
      <c r="B34" s="9" t="s">
        <v>6</v>
      </c>
      <c r="C34" s="6">
        <v>653</v>
      </c>
      <c r="D34" s="25">
        <v>1726</v>
      </c>
    </row>
    <row r="35" spans="2:4" x14ac:dyDescent="0.3">
      <c r="B35" s="9" t="s">
        <v>7</v>
      </c>
      <c r="C35" s="6">
        <v>3965</v>
      </c>
      <c r="D35" s="25">
        <v>521</v>
      </c>
    </row>
    <row r="36" spans="2:4" x14ac:dyDescent="0.3">
      <c r="B36" s="10" t="s">
        <v>8</v>
      </c>
      <c r="C36" s="8">
        <f>SUM(C32:C35)</f>
        <v>8035</v>
      </c>
      <c r="D36" s="4">
        <f>SUM(D32:D35)</f>
        <v>58426.8</v>
      </c>
    </row>
    <row r="38" spans="2:4" x14ac:dyDescent="0.3">
      <c r="B38" s="28" t="s">
        <v>11</v>
      </c>
      <c r="C38" s="28"/>
      <c r="D38" s="28"/>
    </row>
    <row r="39" spans="2:4" x14ac:dyDescent="0.3">
      <c r="B39" s="4" t="s">
        <v>1</v>
      </c>
      <c r="C39" s="4" t="s">
        <v>2</v>
      </c>
      <c r="D39" s="4" t="s">
        <v>3</v>
      </c>
    </row>
    <row r="40" spans="2:4" x14ac:dyDescent="0.3">
      <c r="B40" s="9" t="s">
        <v>4</v>
      </c>
      <c r="C40" s="6">
        <v>1939</v>
      </c>
      <c r="D40" s="25">
        <v>18443</v>
      </c>
    </row>
    <row r="41" spans="2:4" x14ac:dyDescent="0.3">
      <c r="B41" s="10" t="s">
        <v>8</v>
      </c>
      <c r="C41" s="8">
        <f>SUM(C40:C40)</f>
        <v>1939</v>
      </c>
      <c r="D41" s="4">
        <f>SUM(D40:D40)</f>
        <v>18443</v>
      </c>
    </row>
    <row r="43" spans="2:4" x14ac:dyDescent="0.3">
      <c r="B43" s="27" t="s">
        <v>30</v>
      </c>
      <c r="C43" s="27"/>
      <c r="D43" s="27"/>
    </row>
    <row r="44" spans="2:4" x14ac:dyDescent="0.3">
      <c r="B44" s="2" t="s">
        <v>1</v>
      </c>
      <c r="C44" s="2" t="s">
        <v>2</v>
      </c>
      <c r="D44" s="2" t="s">
        <v>3</v>
      </c>
    </row>
    <row r="45" spans="2:4" x14ac:dyDescent="0.3">
      <c r="B45" s="9" t="s">
        <v>4</v>
      </c>
      <c r="C45" s="6">
        <v>432</v>
      </c>
      <c r="D45" s="25">
        <v>4148</v>
      </c>
    </row>
    <row r="46" spans="2:4" x14ac:dyDescent="0.3">
      <c r="B46" s="1" t="s">
        <v>5</v>
      </c>
      <c r="C46" s="6">
        <v>809</v>
      </c>
      <c r="D46" s="25">
        <v>500</v>
      </c>
    </row>
    <row r="47" spans="2:4" x14ac:dyDescent="0.3">
      <c r="B47" s="1" t="s">
        <v>6</v>
      </c>
      <c r="C47" s="6">
        <v>696</v>
      </c>
      <c r="D47" s="25">
        <v>312</v>
      </c>
    </row>
    <row r="48" spans="2:4" x14ac:dyDescent="0.3">
      <c r="B48" s="1" t="s">
        <v>7</v>
      </c>
      <c r="C48" s="6">
        <v>2393</v>
      </c>
      <c r="D48" s="25">
        <v>1848</v>
      </c>
    </row>
    <row r="49" spans="2:4" x14ac:dyDescent="0.3">
      <c r="B49" s="3" t="s">
        <v>8</v>
      </c>
      <c r="C49" s="8">
        <f>SUM(C45:C48)</f>
        <v>4330</v>
      </c>
      <c r="D49" s="4">
        <f>SUM(D45:D48)</f>
        <v>6808</v>
      </c>
    </row>
    <row r="51" spans="2:4" x14ac:dyDescent="0.3">
      <c r="B51" s="27" t="s">
        <v>31</v>
      </c>
      <c r="C51" s="27"/>
      <c r="D51" s="27"/>
    </row>
    <row r="52" spans="2:4" x14ac:dyDescent="0.3">
      <c r="B52" s="2" t="s">
        <v>1</v>
      </c>
      <c r="C52" s="2" t="s">
        <v>2</v>
      </c>
      <c r="D52" s="2" t="s">
        <v>3</v>
      </c>
    </row>
    <row r="53" spans="2:4" x14ac:dyDescent="0.3">
      <c r="B53" s="9" t="s">
        <v>4</v>
      </c>
      <c r="C53" s="6">
        <v>475</v>
      </c>
      <c r="D53" s="25">
        <v>1000</v>
      </c>
    </row>
    <row r="54" spans="2:4" x14ac:dyDescent="0.3">
      <c r="B54" s="1" t="s">
        <v>5</v>
      </c>
      <c r="C54" s="6">
        <v>647</v>
      </c>
      <c r="D54" s="25">
        <v>185</v>
      </c>
    </row>
    <row r="55" spans="2:4" x14ac:dyDescent="0.3">
      <c r="B55" s="1" t="s">
        <v>6</v>
      </c>
      <c r="C55" s="6">
        <v>1101</v>
      </c>
      <c r="D55" s="25">
        <v>1000</v>
      </c>
    </row>
    <row r="56" spans="2:4" x14ac:dyDescent="0.3">
      <c r="B56" s="1" t="s">
        <v>7</v>
      </c>
      <c r="C56" s="6">
        <v>1279</v>
      </c>
      <c r="D56" s="25">
        <v>728</v>
      </c>
    </row>
    <row r="57" spans="2:4" x14ac:dyDescent="0.3">
      <c r="B57" s="3" t="s">
        <v>8</v>
      </c>
      <c r="C57" s="8">
        <f>SUM(C53:C56)</f>
        <v>3502</v>
      </c>
      <c r="D57" s="4">
        <f>SUM(D53:D56)</f>
        <v>2913</v>
      </c>
    </row>
    <row r="59" spans="2:4" x14ac:dyDescent="0.3">
      <c r="B59" s="11" t="s">
        <v>13</v>
      </c>
      <c r="C59" s="12">
        <f>SUM(C10+C36+C28+C41+C19+C49+C57)</f>
        <v>93051</v>
      </c>
      <c r="D59" s="12">
        <f>SUM(D10+D36+D28+D41+D19+D49+D57)</f>
        <v>441929.5</v>
      </c>
    </row>
  </sheetData>
  <mergeCells count="7">
    <mergeCell ref="B51:D51"/>
    <mergeCell ref="B3:D3"/>
    <mergeCell ref="B30:D30"/>
    <mergeCell ref="B38:D38"/>
    <mergeCell ref="B43:D43"/>
    <mergeCell ref="B12:D12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4.4" x14ac:dyDescent="0.3"/>
  <cols>
    <col min="2" max="2" width="20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8.5546875" bestFit="1" customWidth="1"/>
    <col min="9" max="9" width="4.3320312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7" t="s">
        <v>20</v>
      </c>
    </row>
    <row r="3" spans="2:12" x14ac:dyDescent="0.3">
      <c r="B3" s="16" t="s">
        <v>35</v>
      </c>
    </row>
    <row r="5" spans="2:12" x14ac:dyDescent="0.3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3">
      <c r="B6" s="15" t="s">
        <v>33</v>
      </c>
      <c r="C6" s="1" t="s">
        <v>4</v>
      </c>
      <c r="D6" s="22">
        <f>SUMIF('REPORTE DIARIO'!B:B,'EPR 18 MAYO'!C6, 'REPORTE DIARIO'!C:C)</f>
        <v>12518</v>
      </c>
      <c r="E6" s="15">
        <f>SUMIF('REPORTE DIARIO'!B:B,'EPR 18 MAYO'!C6, 'REPORTE DIARIO'!D:D)</f>
        <v>129296.3</v>
      </c>
      <c r="F6" s="15">
        <f>J6*D6</f>
        <v>393422.8571428571</v>
      </c>
      <c r="G6" s="15">
        <f>+E6-F6</f>
        <v>-264126.55714285711</v>
      </c>
      <c r="H6" s="14">
        <f>ABS(G6/F6)</f>
        <v>0.6713553936876353</v>
      </c>
      <c r="I6" s="15">
        <f>E6/D6</f>
        <v>10.328830484102893</v>
      </c>
      <c r="J6" s="15">
        <f>220/7</f>
        <v>31.428571428571427</v>
      </c>
      <c r="K6" s="15">
        <f>+I6-J6</f>
        <v>-21.099740944468536</v>
      </c>
      <c r="L6" s="14"/>
    </row>
    <row r="7" spans="2:12" x14ac:dyDescent="0.3">
      <c r="B7" s="15" t="s">
        <v>28</v>
      </c>
      <c r="C7" s="1" t="s">
        <v>5</v>
      </c>
      <c r="D7" s="22">
        <f>SUMIF('REPORTE DIARIO'!B:B,'EPR 18 MAYO'!C7, 'REPORTE DIARIO'!C:C)</f>
        <v>12605</v>
      </c>
      <c r="E7" s="15">
        <f>SUMIF('REPORTE DIARIO'!B:B,'EPR 18 MAYO'!C7, 'REPORTE DIARIO'!D:D)</f>
        <v>158619.14000000001</v>
      </c>
      <c r="F7" s="15">
        <f>J7*D7</f>
        <v>198078.57142857142</v>
      </c>
      <c r="G7" s="15">
        <f>+E7-F7</f>
        <v>-39459.431428571406</v>
      </c>
      <c r="H7" s="14">
        <f>ABS(G7/F7)</f>
        <v>0.19921100573365538</v>
      </c>
      <c r="I7" s="15">
        <f>E7/D7</f>
        <v>12.583827052756844</v>
      </c>
      <c r="J7" s="15">
        <f>110/7</f>
        <v>15.714285714285714</v>
      </c>
      <c r="K7" s="15">
        <f t="shared" ref="K7:K9" si="0">+I7-J7</f>
        <v>-3.1304586615288699</v>
      </c>
      <c r="L7" s="14"/>
    </row>
    <row r="8" spans="2:12" x14ac:dyDescent="0.3">
      <c r="B8" s="15" t="s">
        <v>28</v>
      </c>
      <c r="C8" s="1" t="s">
        <v>6</v>
      </c>
      <c r="D8" s="22">
        <f>SUMIF('REPORTE DIARIO'!B:B,'EPR 18 MAYO'!C8, 'REPORTE DIARIO'!C:C)</f>
        <v>11018</v>
      </c>
      <c r="E8" s="15">
        <f>SUMIF('REPORTE DIARIO'!B:B,'EPR 18 MAYO'!C8, 'REPORTE DIARIO'!D:D)</f>
        <v>68303</v>
      </c>
      <c r="F8" s="15">
        <f>J8*D8</f>
        <v>70830</v>
      </c>
      <c r="G8" s="15">
        <f>+E8-F8</f>
        <v>-2527</v>
      </c>
      <c r="H8" s="14">
        <f>ABS(G8/F8)</f>
        <v>3.5676973034025131E-2</v>
      </c>
      <c r="I8" s="15">
        <f>E8/D8</f>
        <v>6.1992194590669811</v>
      </c>
      <c r="J8" s="15">
        <f>45/7</f>
        <v>6.4285714285714288</v>
      </c>
      <c r="K8" s="15">
        <f t="shared" si="0"/>
        <v>-0.22935196950444769</v>
      </c>
      <c r="L8" s="14"/>
    </row>
    <row r="9" spans="2:12" x14ac:dyDescent="0.3">
      <c r="B9" s="15" t="s">
        <v>34</v>
      </c>
      <c r="C9" s="1" t="s">
        <v>7</v>
      </c>
      <c r="D9" s="22">
        <f>SUMIF('REPORTE DIARIO'!B:B,'EPR 18 MAYO'!C9, 'REPORTE DIARIO'!C:C)</f>
        <v>56895</v>
      </c>
      <c r="E9" s="15">
        <f>SUMIF('REPORTE DIARIO'!B:B,'EPR 18 MAYO'!C9, 'REPORTE DIARIO'!D:D)</f>
        <v>85711.06</v>
      </c>
      <c r="F9" s="15">
        <f>J9*D9</f>
        <v>121917.85714285714</v>
      </c>
      <c r="G9" s="15">
        <f>+E9-F9</f>
        <v>-36206.797142857147</v>
      </c>
      <c r="H9" s="14">
        <f>ABS(G9/F9)</f>
        <v>0.29697698098837044</v>
      </c>
      <c r="I9" s="15">
        <f>E9/D9</f>
        <v>1.5064778978820634</v>
      </c>
      <c r="J9" s="15">
        <f>15/7</f>
        <v>2.1428571428571428</v>
      </c>
      <c r="K9" s="15">
        <f t="shared" si="0"/>
        <v>-0.63637924497507936</v>
      </c>
    </row>
    <row r="10" spans="2:12" x14ac:dyDescent="0.3">
      <c r="B10" s="15"/>
      <c r="C10" s="18" t="s">
        <v>16</v>
      </c>
      <c r="D10" s="23">
        <f>SUM(D6:D9)</f>
        <v>93036</v>
      </c>
      <c r="E10" s="19">
        <f>SUM(E6:E9)</f>
        <v>441929.5</v>
      </c>
      <c r="F10" s="19">
        <f>SUM(F6:F9)</f>
        <v>784249.28571428568</v>
      </c>
      <c r="G10" s="19">
        <f>+E10-F10</f>
        <v>-342319.78571428568</v>
      </c>
      <c r="H10" s="20">
        <f>ABS(G10/F10)</f>
        <v>0.43649358941080141</v>
      </c>
      <c r="I10" s="19">
        <f>E10/D10</f>
        <v>4.7500913624833396</v>
      </c>
      <c r="J10" s="19">
        <f>F10/D10</f>
        <v>8.429524976506789</v>
      </c>
      <c r="K10" s="19">
        <f>I10-J10</f>
        <v>-3.6794336140234494</v>
      </c>
    </row>
    <row r="12" spans="2:12" x14ac:dyDescent="0.3">
      <c r="B12" s="21" t="s">
        <v>23</v>
      </c>
      <c r="I12" s="13"/>
    </row>
    <row r="13" spans="2:12" x14ac:dyDescent="0.3">
      <c r="B13" t="s">
        <v>24</v>
      </c>
    </row>
    <row r="14" spans="2:12" x14ac:dyDescent="0.3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2025-05-19T02:14:07Z</cp:lastPrinted>
  <dcterms:created xsi:type="dcterms:W3CDTF">2025-01-27T15:11:28Z</dcterms:created>
  <dcterms:modified xsi:type="dcterms:W3CDTF">2025-05-19T02:14:34Z</dcterms:modified>
</cp:coreProperties>
</file>