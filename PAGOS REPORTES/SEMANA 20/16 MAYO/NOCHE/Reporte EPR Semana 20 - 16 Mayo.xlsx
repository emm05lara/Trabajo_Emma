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0\16 MAYO\NOCHE\"/>
    </mc:Choice>
  </mc:AlternateContent>
  <xr:revisionPtr revIDLastSave="0" documentId="13_ncr:1_{2C9FDD66-9121-4E15-9594-B6D1A15B70FA}" xr6:coauthVersionLast="47" xr6:coauthVersionMax="47" xr10:uidLastSave="{00000000-0000-0000-0000-000000000000}"/>
  <bookViews>
    <workbookView xWindow="15495" yWindow="15435" windowWidth="10005" windowHeight="5445" xr2:uid="{4DC6C92A-CD8A-4966-829B-0B6A986E825B}"/>
  </bookViews>
  <sheets>
    <sheet name="REPORTE DIARIO" sheetId="1" r:id="rId1"/>
    <sheet name="DATA" sheetId="4" r:id="rId2"/>
    <sheet name="EPR 16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1" l="1"/>
  <c r="C19" i="1"/>
  <c r="J6" i="3"/>
  <c r="D49" i="1"/>
  <c r="D57" i="1"/>
  <c r="C57" i="1"/>
  <c r="C49" i="1"/>
  <c r="D28" i="1" l="1"/>
  <c r="C28" i="1"/>
  <c r="J9" i="3"/>
  <c r="J8" i="3"/>
  <c r="J7" i="3"/>
  <c r="D6" i="3"/>
  <c r="F6" i="3" s="1"/>
  <c r="D41" i="1"/>
  <c r="C41" i="1"/>
  <c r="D36" i="1"/>
  <c r="C36" i="1"/>
  <c r="D10" i="1"/>
  <c r="C10" i="1"/>
  <c r="E7" i="3"/>
  <c r="E8" i="3"/>
  <c r="E9" i="3"/>
  <c r="E6" i="3"/>
  <c r="D7" i="3"/>
  <c r="F7" i="3" s="1"/>
  <c r="D8" i="3"/>
  <c r="F8" i="3" s="1"/>
  <c r="D9" i="3"/>
  <c r="F9" i="3" s="1"/>
  <c r="D59" i="1" l="1"/>
  <c r="C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<sst xmlns="http://schemas.openxmlformats.org/spreadsheetml/2006/main" count="88" uniqueCount="36">
  <si>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</si>
  <si>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</si>
  <si>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</si>
  <si>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</si>
  <si>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</si>
  <si>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</si>
  <si>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</si>
  <si>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</si>
  <si>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</si>
  <si>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</si>
  <si>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</si>
  <si>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</si>
  <si>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</si>
  <si>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</si>
  <si>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</si>
  <si>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</si>
  <si>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</si>
  <si>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</si>
  <si>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</si>
  <si>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</si>
  <si>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</si>
  <si>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</si>
  <si>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</si>
  <si>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</si>
  <si>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</si>
  <si>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</si>
  <si>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</si>
  <si>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</si>
  <si>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</si>
  <si>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</si>
  <si>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</si>
  <si>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</si>
  <si>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</si>
  <si>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</si>
  <si>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</si>
  <si>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COBRANZA 16 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</si>
</sst>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9"/>
  <sheetViews>
    <sheetView showGridLines="0" tabSelected="1" topLeftCell="A19" workbookViewId="0">
      <selection activeCell="C57" sqref="C57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4326</v>
      </c>
      <c r="D5" s="25">
        <v>80789.929999999993</v>
      </c>
    </row>
    <row r="6" spans="2:8" x14ac:dyDescent="0.25">
      <c r="B6" s="1" t="s">
        <v>5</v>
      </c>
      <c r="C6" s="6">
        <v>4403</v>
      </c>
      <c r="D6" s="25">
        <v>50570</v>
      </c>
    </row>
    <row r="7" spans="2:8" x14ac:dyDescent="0.25">
      <c r="B7" s="1" t="s">
        <v>6</v>
      </c>
      <c r="C7" s="6">
        <v>6171</v>
      </c>
      <c r="D7" s="25">
        <v>42048</v>
      </c>
    </row>
    <row r="8" spans="2:8" x14ac:dyDescent="0.25">
      <c r="B8" s="5" t="s">
        <v>12</v>
      </c>
      <c r="C8" s="7">
        <v>12</v>
      </c>
      <c r="D8" s="26">
        <v>0</v>
      </c>
    </row>
    <row r="9" spans="2:8" x14ac:dyDescent="0.25">
      <c r="B9" s="1" t="s">
        <v>7</v>
      </c>
      <c r="C9" s="6">
        <v>13215</v>
      </c>
      <c r="D9" s="25">
        <v>75990.539999999994</v>
      </c>
    </row>
    <row r="10" spans="2:8" x14ac:dyDescent="0.25">
      <c r="B10" s="3" t="s">
        <v>8</v>
      </c>
      <c r="C10" s="8">
        <f>SUM(C5:C9)</f>
        <v>28127</v>
      </c>
      <c r="D10" s="4">
        <f>SUM(D5:D9)</f>
        <v>249398.46999999997</v>
      </c>
    </row>
    <row r="12" spans="2:8" x14ac:dyDescent="0.25">
      <c r="B12" s="27" t="s">
        <v>10</v>
      </c>
      <c r="C12" s="27"/>
      <c r="D12" s="27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3454</v>
      </c>
      <c r="D14" s="25">
        <v>71195.850000000006</v>
      </c>
    </row>
    <row r="15" spans="2:8" x14ac:dyDescent="0.25">
      <c r="B15" s="9" t="s">
        <v>5</v>
      </c>
      <c r="C15" s="6">
        <v>1759</v>
      </c>
      <c r="D15" s="25">
        <v>23653.07</v>
      </c>
    </row>
    <row r="16" spans="2:8" x14ac:dyDescent="0.25">
      <c r="B16" s="9" t="s">
        <v>6</v>
      </c>
      <c r="C16" s="6">
        <v>2265</v>
      </c>
      <c r="D16" s="25">
        <v>25081.65</v>
      </c>
    </row>
    <row r="17" spans="2:11" x14ac:dyDescent="0.25">
      <c r="B17" s="5" t="s">
        <v>12</v>
      </c>
      <c r="C17" s="7">
        <v>1</v>
      </c>
      <c r="D17" s="26">
        <v>0</v>
      </c>
    </row>
    <row r="18" spans="2:11" x14ac:dyDescent="0.25">
      <c r="B18" s="9" t="s">
        <v>7</v>
      </c>
      <c r="C18" s="6">
        <v>17377</v>
      </c>
      <c r="D18" s="25">
        <v>8762.130000000001</v>
      </c>
    </row>
    <row r="19" spans="2:11" x14ac:dyDescent="0.25">
      <c r="B19" s="10" t="s">
        <v>8</v>
      </c>
      <c r="C19" s="8">
        <f>SUM(C14:C18)</f>
        <v>24856</v>
      </c>
      <c r="D19" s="4">
        <f>SUM(D14:D18)</f>
        <v>128692.70000000001</v>
      </c>
    </row>
    <row r="21" spans="2:11" x14ac:dyDescent="0.25">
      <c r="B21" s="28" t="s">
        <v>29</v>
      </c>
      <c r="C21" s="28"/>
      <c r="D21" s="28"/>
    </row>
    <row r="22" spans="2:11" x14ac:dyDescent="0.25">
      <c r="B22" s="2" t="s">
        <v>1</v>
      </c>
      <c r="C22" s="2" t="s">
        <v>2</v>
      </c>
      <c r="D22" s="2" t="s">
        <v>3</v>
      </c>
    </row>
    <row r="23" spans="2:11" x14ac:dyDescent="0.25">
      <c r="B23" s="1" t="s">
        <v>4</v>
      </c>
      <c r="C23" s="6">
        <v>2044</v>
      </c>
      <c r="D23" s="25">
        <v>23306</v>
      </c>
    </row>
    <row r="24" spans="2:11" x14ac:dyDescent="0.25">
      <c r="B24" s="1" t="s">
        <v>5</v>
      </c>
      <c r="C24" s="6">
        <v>1994</v>
      </c>
      <c r="D24" s="25">
        <v>-5303</v>
      </c>
    </row>
    <row r="25" spans="2:11" x14ac:dyDescent="0.25">
      <c r="B25" s="1" t="s">
        <v>6</v>
      </c>
      <c r="C25" s="6">
        <v>3272</v>
      </c>
      <c r="D25" s="25">
        <v>8720</v>
      </c>
    </row>
    <row r="26" spans="2:11" x14ac:dyDescent="0.25">
      <c r="B26" s="5" t="s">
        <v>12</v>
      </c>
      <c r="C26" s="7">
        <v>2</v>
      </c>
      <c r="D26" s="24">
        <v>0</v>
      </c>
      <c r="K26" s="7"/>
    </row>
    <row r="27" spans="2:11" x14ac:dyDescent="0.25">
      <c r="B27" s="1" t="s">
        <v>7</v>
      </c>
      <c r="C27" s="6">
        <v>20635</v>
      </c>
      <c r="D27" s="25">
        <v>30162.83</v>
      </c>
    </row>
    <row r="28" spans="2:11" x14ac:dyDescent="0.25">
      <c r="B28" s="3" t="s">
        <v>8</v>
      </c>
      <c r="C28" s="8">
        <f>SUM(C23:C27)</f>
        <v>27947</v>
      </c>
      <c r="D28" s="4">
        <f>SUM(D23:D27)</f>
        <v>56885.83</v>
      </c>
    </row>
    <row r="30" spans="2:11" x14ac:dyDescent="0.25">
      <c r="B30" s="28" t="s">
        <v>9</v>
      </c>
      <c r="C30" s="28"/>
      <c r="D30" s="28"/>
    </row>
    <row r="31" spans="2:11" x14ac:dyDescent="0.25">
      <c r="B31" s="2" t="s">
        <v>1</v>
      </c>
      <c r="C31" s="2" t="s">
        <v>2</v>
      </c>
      <c r="D31" s="2" t="s">
        <v>3</v>
      </c>
    </row>
    <row r="32" spans="2:11" x14ac:dyDescent="0.25">
      <c r="B32" s="9" t="s">
        <v>4</v>
      </c>
      <c r="C32" s="6">
        <v>251</v>
      </c>
      <c r="D32" s="25">
        <v>30482</v>
      </c>
    </row>
    <row r="33" spans="2:4" x14ac:dyDescent="0.25">
      <c r="B33" s="9" t="s">
        <v>5</v>
      </c>
      <c r="C33" s="6">
        <v>2860</v>
      </c>
      <c r="D33" s="25">
        <v>15779.2</v>
      </c>
    </row>
    <row r="34" spans="2:4" x14ac:dyDescent="0.25">
      <c r="B34" s="9" t="s">
        <v>6</v>
      </c>
      <c r="C34" s="6">
        <v>1856</v>
      </c>
      <c r="D34" s="25">
        <v>2265</v>
      </c>
    </row>
    <row r="35" spans="2:4" x14ac:dyDescent="0.25">
      <c r="B35" s="9" t="s">
        <v>7</v>
      </c>
      <c r="C35" s="6">
        <v>4234</v>
      </c>
      <c r="D35" s="25">
        <v>971</v>
      </c>
    </row>
    <row r="36" spans="2:4" x14ac:dyDescent="0.25">
      <c r="B36" s="10" t="s">
        <v>8</v>
      </c>
      <c r="C36" s="8">
        <f>SUM(C32:C35)</f>
        <v>9201</v>
      </c>
      <c r="D36" s="4">
        <f>SUM(D32:D35)</f>
        <v>49497.2</v>
      </c>
    </row>
    <row r="38" spans="2:4" x14ac:dyDescent="0.25">
      <c r="B38" s="27" t="s">
        <v>11</v>
      </c>
      <c r="C38" s="27"/>
      <c r="D38" s="27"/>
    </row>
    <row r="39" spans="2:4" x14ac:dyDescent="0.25">
      <c r="B39" s="4" t="s">
        <v>1</v>
      </c>
      <c r="C39" s="4" t="s">
        <v>2</v>
      </c>
      <c r="D39" s="4" t="s">
        <v>3</v>
      </c>
    </row>
    <row r="40" spans="2:4" x14ac:dyDescent="0.25">
      <c r="B40" s="9" t="s">
        <v>4</v>
      </c>
      <c r="C40" s="6">
        <v>2003</v>
      </c>
      <c r="D40" s="25">
        <v>9559</v>
      </c>
    </row>
    <row r="41" spans="2:4" x14ac:dyDescent="0.25">
      <c r="B41" s="10" t="s">
        <v>8</v>
      </c>
      <c r="C41" s="8">
        <f>SUM(C40:C40)</f>
        <v>2003</v>
      </c>
      <c r="D41" s="4">
        <f>SUM(D40:D40)</f>
        <v>9559</v>
      </c>
    </row>
    <row r="43" spans="2:4" x14ac:dyDescent="0.25">
      <c r="B43" s="28" t="s">
        <v>30</v>
      </c>
      <c r="C43" s="28"/>
      <c r="D43" s="28"/>
    </row>
    <row r="44" spans="2:4" x14ac:dyDescent="0.25">
      <c r="B44" s="2" t="s">
        <v>1</v>
      </c>
      <c r="C44" s="2" t="s">
        <v>2</v>
      </c>
      <c r="D44" s="2" t="s">
        <v>3</v>
      </c>
    </row>
    <row r="45" spans="2:4" x14ac:dyDescent="0.25">
      <c r="B45" s="9" t="s">
        <v>4</v>
      </c>
      <c r="C45" s="6">
        <v>341</v>
      </c>
      <c r="D45" s="26">
        <v>0</v>
      </c>
    </row>
    <row r="46" spans="2:4" x14ac:dyDescent="0.25">
      <c r="B46" s="1" t="s">
        <v>5</v>
      </c>
      <c r="C46" s="6">
        <v>753</v>
      </c>
      <c r="D46" s="26">
        <v>0</v>
      </c>
    </row>
    <row r="47" spans="2:4" x14ac:dyDescent="0.25">
      <c r="B47" s="1" t="s">
        <v>6</v>
      </c>
      <c r="C47" s="6">
        <v>672</v>
      </c>
      <c r="D47" s="26">
        <v>0</v>
      </c>
    </row>
    <row r="48" spans="2:4" x14ac:dyDescent="0.25">
      <c r="B48" s="1" t="s">
        <v>7</v>
      </c>
      <c r="C48" s="6">
        <v>2286</v>
      </c>
      <c r="D48" s="25">
        <v>1965</v>
      </c>
    </row>
    <row r="49" spans="2:4" x14ac:dyDescent="0.25">
      <c r="B49" s="3" t="s">
        <v>8</v>
      </c>
      <c r="C49" s="8">
        <f>SUM(C45:C48)</f>
        <v>4052</v>
      </c>
      <c r="D49" s="4">
        <f>SUM(D45:D48)</f>
        <v>1965</v>
      </c>
    </row>
    <row r="51" spans="2:4" x14ac:dyDescent="0.25">
      <c r="B51" s="28" t="s">
        <v>31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386</v>
      </c>
      <c r="D53" s="26">
        <v>0</v>
      </c>
    </row>
    <row r="54" spans="2:4" x14ac:dyDescent="0.25">
      <c r="B54" s="1" t="s">
        <v>5</v>
      </c>
      <c r="C54" s="6">
        <v>587</v>
      </c>
      <c r="D54" s="26">
        <v>0</v>
      </c>
    </row>
    <row r="55" spans="2:4" x14ac:dyDescent="0.25">
      <c r="B55" s="1" t="s">
        <v>6</v>
      </c>
      <c r="C55" s="6">
        <v>984</v>
      </c>
      <c r="D55" s="26">
        <v>0</v>
      </c>
    </row>
    <row r="56" spans="2:4" x14ac:dyDescent="0.25">
      <c r="B56" s="1" t="s">
        <v>7</v>
      </c>
      <c r="C56" s="6">
        <v>1169</v>
      </c>
      <c r="D56" s="25">
        <v>1060</v>
      </c>
    </row>
    <row r="57" spans="2:4" x14ac:dyDescent="0.25">
      <c r="B57" s="3" t="s">
        <v>8</v>
      </c>
      <c r="C57" s="8">
        <f>SUM(C53:C56)</f>
        <v>3126</v>
      </c>
      <c r="D57" s="4">
        <f>SUM(D53:D56)</f>
        <v>1060</v>
      </c>
    </row>
    <row r="59" spans="2:4" x14ac:dyDescent="0.25">
      <c r="B59" s="11" t="s">
        <v>13</v>
      </c>
      <c r="C59" s="12">
        <f>SUM(C10+C36+C19+C41+C28+C49+C57)</f>
        <v>99312</v>
      </c>
      <c r="D59" s="12">
        <f>SUM(D10+D36+D19+D41+D28+D49+D57)</f>
        <v>497058.2</v>
      </c>
    </row>
  </sheetData>
  <mergeCells count="7">
    <mergeCell ref="B3:D3"/>
    <mergeCell ref="B30:D30"/>
    <mergeCell ref="B38:D38"/>
    <mergeCell ref="B43:D43"/>
    <mergeCell ref="B21:D21"/>
    <mergeCell ref="B12:D12"/>
    <mergeCell ref="B51:D5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30" zoomScaleNormal="130" workbookViewId="0">
      <selection activeCell="A9" sqref="A9"/>
    </sheetView>
  </sheetViews>
  <sheetFormatPr baseColWidth="10" defaultRowHeight="15" x14ac:dyDescent="0.25"/>
  <cols>
    <col min="2" max="2" width="20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8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7" t="s">
        <v>20</v>
      </c>
    </row>
    <row r="3" spans="2:12" x14ac:dyDescent="0.25">
      <c r="B3" s="16" t="s">
        <v>35</v>
      </c>
    </row>
    <row r="5" spans="2:12" x14ac:dyDescent="0.25">
      <c r="B5" t="s">
        <v>26</v>
      </c>
      <c r="C5" t="s">
        <v>27</v>
      </c>
      <c r="D5" s="16" t="s">
        <v>14</v>
      </c>
      <c r="E5" s="16" t="s">
        <v>25</v>
      </c>
      <c r="F5" s="16" t="s">
        <v>18</v>
      </c>
      <c r="G5" s="16" t="s">
        <v>19</v>
      </c>
      <c r="H5" s="16" t="s">
        <v>21</v>
      </c>
      <c r="I5" s="16" t="s">
        <v>15</v>
      </c>
      <c r="J5" s="16" t="s">
        <v>17</v>
      </c>
      <c r="K5" s="16" t="s">
        <v>22</v>
      </c>
      <c r="L5" s="14"/>
    </row>
    <row r="6" spans="2:12" x14ac:dyDescent="0.25">
      <c r="B6" s="15" t="s">
        <v>33</v>
      </c>
      <c r="C6" s="1" t="s">
        <v>4</v>
      </c>
      <c r="D6" s="22">
        <f>SUMIF('REPORTE DIARIO'!B:B,'EPR 16 MAYO'!C6, 'REPORTE DIARIO'!C:C)</f>
        <v>12805</v>
      </c>
      <c r="E6" s="15">
        <f>SUMIF('REPORTE DIARIO'!B:B,'EPR 16 MAYO'!C6, 'REPORTE DIARIO'!D:D)</f>
        <v>215332.78</v>
      </c>
      <c r="F6" s="15">
        <f>J6*D6</f>
        <v>402442.8571428571</v>
      </c>
      <c r="G6" s="15">
        <f>+E6-F6</f>
        <v>-187110.0771428571</v>
      </c>
      <c r="H6" s="14">
        <f>ABS(G6/F6)</f>
        <v>0.46493576372865708</v>
      </c>
      <c r="I6" s="15">
        <f>E6/D6</f>
        <v>16.816304568527919</v>
      </c>
      <c r="J6" s="15">
        <f>220/7</f>
        <v>31.428571428571427</v>
      </c>
      <c r="K6" s="15">
        <f>+I6-J6</f>
        <v>-14.612266860043508</v>
      </c>
      <c r="L6" s="14"/>
    </row>
    <row r="7" spans="2:12" x14ac:dyDescent="0.25">
      <c r="B7" s="15" t="s">
        <v>28</v>
      </c>
      <c r="C7" s="1" t="s">
        <v>5</v>
      </c>
      <c r="D7" s="22">
        <f>SUMIF('REPORTE DIARIO'!B:B,'EPR 16 MAYO'!C7, 'REPORTE DIARIO'!C:C)</f>
        <v>12356</v>
      </c>
      <c r="E7" s="15">
        <f>SUMIF('REPORTE DIARIO'!B:B,'EPR 16 MAYO'!C7, 'REPORTE DIARIO'!D:D)</f>
        <v>84699.27</v>
      </c>
      <c r="F7" s="15">
        <f>J7*D7</f>
        <v>194165.71428571429</v>
      </c>
      <c r="G7" s="15">
        <f>+E7-F7</f>
        <v>-109466.44428571429</v>
      </c>
      <c r="H7" s="14">
        <f>ABS(G7/F7)</f>
        <v>0.56377844403896527</v>
      </c>
      <c r="I7" s="15">
        <f>E7/D7</f>
        <v>6.854910165101975</v>
      </c>
      <c r="J7" s="15">
        <f>110/7</f>
        <v>15.714285714285714</v>
      </c>
      <c r="K7" s="15">
        <f t="shared" ref="K7:K9" si="0">+I7-J7</f>
        <v>-8.8593755491837385</v>
      </c>
      <c r="L7" s="14"/>
    </row>
    <row r="8" spans="2:12" x14ac:dyDescent="0.25">
      <c r="B8" s="15" t="s">
        <v>28</v>
      </c>
      <c r="C8" s="1" t="s">
        <v>6</v>
      </c>
      <c r="D8" s="22">
        <f>SUMIF('REPORTE DIARIO'!B:B,'EPR 16 MAYO'!C8, 'REPORTE DIARIO'!C:C)</f>
        <v>15220</v>
      </c>
      <c r="E8" s="15">
        <f>SUMIF('REPORTE DIARIO'!B:B,'EPR 16 MAYO'!C8, 'REPORTE DIARIO'!D:D)</f>
        <v>78114.649999999994</v>
      </c>
      <c r="F8" s="15">
        <f>J8*D8</f>
        <v>97842.857142857145</v>
      </c>
      <c r="G8" s="15">
        <f>+E8-F8</f>
        <v>-19728.207142857151</v>
      </c>
      <c r="H8" s="14">
        <f>ABS(G8/F8)</f>
        <v>0.20163155205139444</v>
      </c>
      <c r="I8" s="15">
        <f>E8/D8</f>
        <v>5.1323685939553219</v>
      </c>
      <c r="J8" s="15">
        <f>45/7</f>
        <v>6.4285714285714288</v>
      </c>
      <c r="K8" s="15">
        <f t="shared" si="0"/>
        <v>-1.296202834616107</v>
      </c>
      <c r="L8" s="14"/>
    </row>
    <row r="9" spans="2:12" x14ac:dyDescent="0.25">
      <c r="B9" s="15" t="s">
        <v>34</v>
      </c>
      <c r="C9" s="1" t="s">
        <v>7</v>
      </c>
      <c r="D9" s="22">
        <f>SUMIF('REPORTE DIARIO'!B:B,'EPR 16 MAYO'!C9, 'REPORTE DIARIO'!C:C)</f>
        <v>58916</v>
      </c>
      <c r="E9" s="15">
        <f>SUMIF('REPORTE DIARIO'!B:B,'EPR 16 MAYO'!C9, 'REPORTE DIARIO'!D:D)</f>
        <v>118911.5</v>
      </c>
      <c r="F9" s="15">
        <f>J9*D9</f>
        <v>126248.57142857142</v>
      </c>
      <c r="G9" s="15">
        <f>+E9-F9</f>
        <v>-7337.0714285714203</v>
      </c>
      <c r="H9" s="14">
        <f>ABS(G9/F9)</f>
        <v>5.8116074863647615E-2</v>
      </c>
      <c r="I9" s="15">
        <f>E9/D9</f>
        <v>2.0183226967207548</v>
      </c>
      <c r="J9" s="15">
        <f>15/7</f>
        <v>2.1428571428571428</v>
      </c>
      <c r="K9" s="15">
        <f t="shared" si="0"/>
        <v>-0.12453444613638798</v>
      </c>
    </row>
    <row r="10" spans="2:12" x14ac:dyDescent="0.25">
      <c r="B10" s="15"/>
      <c r="C10" s="18" t="s">
        <v>16</v>
      </c>
      <c r="D10" s="23">
        <f>SUM(D6:D9)</f>
        <v>99297</v>
      </c>
      <c r="E10" s="19">
        <f>SUM(E6:E9)</f>
        <v>497058.19999999995</v>
      </c>
      <c r="F10" s="19">
        <f>SUM(F6:F9)</f>
        <v>820700</v>
      </c>
      <c r="G10" s="19">
        <f>+E10-F10</f>
        <v>-323641.80000000005</v>
      </c>
      <c r="H10" s="20">
        <f>ABS(G10/F10)</f>
        <v>0.39434848300231518</v>
      </c>
      <c r="I10" s="19">
        <f>E10/D10</f>
        <v>5.00577258124616</v>
      </c>
      <c r="J10" s="19">
        <f>F10/D10</f>
        <v>8.2651036788624026</v>
      </c>
      <c r="K10" s="19">
        <f>I10-J10</f>
        <v>-3.2593310976162426</v>
      </c>
    </row>
    <row r="12" spans="2:12" x14ac:dyDescent="0.25">
      <c r="B12" s="21" t="s">
        <v>23</v>
      </c>
      <c r="I12" s="13"/>
    </row>
    <row r="13" spans="2:12" x14ac:dyDescent="0.25">
      <c r="B13" t="s">
        <v>24</v>
      </c>
    </row>
    <row r="14" spans="2:12" x14ac:dyDescent="0.25">
      <c r="B14" t="s">
        <v>32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16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2025-05-17T02:03:18Z</dcterms:modified>
</cp:coreProperties>
</file>