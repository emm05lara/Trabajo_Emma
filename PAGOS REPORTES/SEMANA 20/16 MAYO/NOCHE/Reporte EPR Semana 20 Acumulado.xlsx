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6 MAYO\NOCHE\"/>
    </mc:Choice>
  </mc:AlternateContent>
  <xr:revisionPtr revIDLastSave="0" documentId="13_ncr:1_{3E4E0103-9185-4580-AD3E-52633A3C031F}" xr6:coauthVersionLast="47" xr6:coauthVersionMax="47" xr10:uidLastSave="{00000000-0000-0000-0000-000000000000}"/>
  <bookViews>
    <workbookView xWindow="1560" yWindow="1560" windowWidth="10005" windowHeight="5445" xr2:uid="{4DC6C92A-CD8A-4966-829B-0B6A986E825B}"/>
  </bookViews>
  <sheets>
    <sheet name="REPORTE DIARIO" sheetId="1" r:id="rId1"/>
    <sheet name="DATA" sheetId="4" r:id="rId2"/>
    <sheet name="EPR 16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/>
  <c r="D28" i="1"/>
  <c r="D19" i="1"/>
  <c r="C19" i="1"/>
  <c r="D6" i="3"/>
  <c r="D44" i="1"/>
  <c r="C44" i="1"/>
  <c r="D52" i="1"/>
  <c r="C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<sst xmlns="http://schemas.openxmlformats.org/spreadsheetml/2006/main" count="89" uniqueCount="37">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</sst>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4326</v>
      </c>
      <c r="D5" s="25">
        <v>388756.75</v>
      </c>
    </row>
    <row r="6" spans="2:8" x14ac:dyDescent="0.25">
      <c r="B6" s="1" t="s">
        <v>5</v>
      </c>
      <c r="C6" s="6">
        <v>4403</v>
      </c>
      <c r="D6" s="25">
        <v>210679.43000000002</v>
      </c>
    </row>
    <row r="7" spans="2:8" x14ac:dyDescent="0.25">
      <c r="B7" s="1" t="s">
        <v>6</v>
      </c>
      <c r="C7" s="6">
        <v>6171</v>
      </c>
      <c r="D7" s="25">
        <v>238496.6</v>
      </c>
    </row>
    <row r="8" spans="2:8" x14ac:dyDescent="0.25">
      <c r="B8" s="5" t="s">
        <v>12</v>
      </c>
      <c r="C8" s="7">
        <v>12</v>
      </c>
      <c r="D8" s="25">
        <v>803.56</v>
      </c>
    </row>
    <row r="9" spans="2:8" x14ac:dyDescent="0.25">
      <c r="B9" s="1" t="s">
        <v>7</v>
      </c>
      <c r="C9" s="6">
        <v>13215</v>
      </c>
      <c r="D9" s="25">
        <v>337256.02</v>
      </c>
      <c r="E9" s="14"/>
      <c r="F9" s="7"/>
    </row>
    <row r="10" spans="2:8" x14ac:dyDescent="0.25">
      <c r="B10" s="3" t="s">
        <v>8</v>
      </c>
      <c r="C10" s="8">
        <f>SUM(C5:C9)</f>
        <v>28127</v>
      </c>
      <c r="D10" s="4">
        <f>SUM(D5:D9)</f>
        <v>1175992.3600000001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3454</v>
      </c>
      <c r="D14" s="25">
        <v>248331.53999999998</v>
      </c>
    </row>
    <row r="15" spans="2:8" x14ac:dyDescent="0.25">
      <c r="B15" s="9" t="s">
        <v>5</v>
      </c>
      <c r="C15" s="6">
        <v>1759</v>
      </c>
      <c r="D15" s="25">
        <v>92802.05</v>
      </c>
    </row>
    <row r="16" spans="2:8" x14ac:dyDescent="0.25">
      <c r="B16" s="9" t="s">
        <v>6</v>
      </c>
      <c r="C16" s="6">
        <v>2265</v>
      </c>
      <c r="D16" s="25">
        <v>56887.1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17377</v>
      </c>
      <c r="D18" s="25">
        <v>46950.63</v>
      </c>
    </row>
    <row r="19" spans="2:4" x14ac:dyDescent="0.25">
      <c r="B19" s="10" t="s">
        <v>8</v>
      </c>
      <c r="C19" s="8">
        <f>SUM(C14:C18)</f>
        <v>24856</v>
      </c>
      <c r="D19" s="4">
        <f>SUM(D14:D18)</f>
        <v>445010.31999999995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2044</v>
      </c>
      <c r="D23" s="25">
        <v>111878</v>
      </c>
    </row>
    <row r="24" spans="2:4" x14ac:dyDescent="0.25">
      <c r="B24" s="1" t="s">
        <v>5</v>
      </c>
      <c r="C24" s="6">
        <v>1994</v>
      </c>
      <c r="D24" s="25">
        <v>41658.89</v>
      </c>
    </row>
    <row r="25" spans="2:4" x14ac:dyDescent="0.25">
      <c r="B25" s="1" t="s">
        <v>6</v>
      </c>
      <c r="C25" s="6">
        <v>3272</v>
      </c>
      <c r="D25" s="25">
        <v>44318</v>
      </c>
    </row>
    <row r="26" spans="2:4" x14ac:dyDescent="0.25">
      <c r="B26" s="5" t="s">
        <v>12</v>
      </c>
      <c r="C26" s="7">
        <v>2</v>
      </c>
      <c r="D26" s="26">
        <v>0</v>
      </c>
    </row>
    <row r="27" spans="2:4" x14ac:dyDescent="0.25">
      <c r="B27" s="1" t="s">
        <v>7</v>
      </c>
      <c r="C27" s="6">
        <v>20635</v>
      </c>
      <c r="D27" s="25">
        <v>161613.07999999999</v>
      </c>
    </row>
    <row r="28" spans="2:4" x14ac:dyDescent="0.25">
      <c r="B28" s="3" t="s">
        <v>8</v>
      </c>
      <c r="C28" s="8">
        <f>SUM(C23:C27)</f>
        <v>27947</v>
      </c>
      <c r="D28" s="4">
        <f>SUM(D23:D27)</f>
        <v>359467.97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251</v>
      </c>
      <c r="D32" s="25">
        <v>85376.09</v>
      </c>
    </row>
    <row r="33" spans="2:4" x14ac:dyDescent="0.25">
      <c r="B33" s="9" t="s">
        <v>5</v>
      </c>
      <c r="C33" s="6">
        <v>2860</v>
      </c>
      <c r="D33" s="25">
        <v>185750.85000000003</v>
      </c>
    </row>
    <row r="34" spans="2:4" x14ac:dyDescent="0.25">
      <c r="B34" s="9" t="s">
        <v>6</v>
      </c>
      <c r="C34" s="6">
        <v>1856</v>
      </c>
      <c r="D34" s="25">
        <v>25624.33</v>
      </c>
    </row>
    <row r="35" spans="2:4" x14ac:dyDescent="0.25">
      <c r="B35" s="9" t="s">
        <v>7</v>
      </c>
      <c r="C35" s="6">
        <v>4234</v>
      </c>
      <c r="D35" s="25">
        <v>4543</v>
      </c>
    </row>
    <row r="36" spans="2:4" x14ac:dyDescent="0.25">
      <c r="B36" s="10" t="s">
        <v>8</v>
      </c>
      <c r="C36" s="8">
        <f>SUM(C32:C35)</f>
        <v>9201</v>
      </c>
      <c r="D36" s="4">
        <f>SUM(D32:D35)</f>
        <v>301294.27000000008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386</v>
      </c>
      <c r="D40" s="25">
        <v>648</v>
      </c>
    </row>
    <row r="41" spans="2:4" x14ac:dyDescent="0.25">
      <c r="B41" s="1" t="s">
        <v>5</v>
      </c>
      <c r="C41" s="6">
        <v>587</v>
      </c>
      <c r="D41" s="25">
        <v>3889</v>
      </c>
    </row>
    <row r="42" spans="2:4" x14ac:dyDescent="0.25">
      <c r="B42" s="1" t="s">
        <v>6</v>
      </c>
      <c r="C42" s="6">
        <v>984</v>
      </c>
      <c r="D42" s="25">
        <v>49644</v>
      </c>
    </row>
    <row r="43" spans="2:4" x14ac:dyDescent="0.25">
      <c r="B43" s="1" t="s">
        <v>7</v>
      </c>
      <c r="C43" s="6">
        <v>1169</v>
      </c>
      <c r="D43" s="25">
        <v>3137</v>
      </c>
    </row>
    <row r="44" spans="2:4" x14ac:dyDescent="0.25">
      <c r="B44" s="3" t="s">
        <v>8</v>
      </c>
      <c r="C44" s="8">
        <f>SUM(C40:C43)</f>
        <v>3126</v>
      </c>
      <c r="D44" s="4">
        <f>SUM(D40:D43)</f>
        <v>57318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341</v>
      </c>
      <c r="D48" s="25">
        <v>4448</v>
      </c>
    </row>
    <row r="49" spans="2:4" x14ac:dyDescent="0.25">
      <c r="B49" s="1" t="s">
        <v>5</v>
      </c>
      <c r="C49" s="6">
        <v>753</v>
      </c>
      <c r="D49" s="25">
        <v>6023</v>
      </c>
    </row>
    <row r="50" spans="2:4" x14ac:dyDescent="0.25">
      <c r="B50" s="1" t="s">
        <v>6</v>
      </c>
      <c r="C50" s="6">
        <v>672</v>
      </c>
      <c r="D50" s="25">
        <v>1820</v>
      </c>
    </row>
    <row r="51" spans="2:4" x14ac:dyDescent="0.25">
      <c r="B51" s="1" t="s">
        <v>7</v>
      </c>
      <c r="C51" s="6">
        <v>2286</v>
      </c>
      <c r="D51" s="25">
        <v>31608</v>
      </c>
    </row>
    <row r="52" spans="2:4" x14ac:dyDescent="0.25">
      <c r="B52" s="3" t="s">
        <v>8</v>
      </c>
      <c r="C52" s="8">
        <f>SUM(C48:C51)</f>
        <v>4052</v>
      </c>
      <c r="D52" s="4">
        <f>SUM(D48:D51)</f>
        <v>43899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2003</v>
      </c>
      <c r="D56" s="25">
        <v>38430</v>
      </c>
    </row>
    <row r="57" spans="2:4" x14ac:dyDescent="0.25">
      <c r="B57" s="10" t="s">
        <v>8</v>
      </c>
      <c r="C57" s="8">
        <f>SUM(C56:C56)</f>
        <v>2003</v>
      </c>
      <c r="D57" s="4">
        <f>SUM(D56:D56)</f>
        <v>38430</v>
      </c>
    </row>
    <row r="59" spans="2:4" x14ac:dyDescent="0.25">
      <c r="B59" s="12" t="s">
        <v>13</v>
      </c>
      <c r="C59" s="13">
        <f>SUM(C10+C19+C36+C57+C28+C52+C44)</f>
        <v>99312</v>
      </c>
      <c r="D59" s="13">
        <f>SUM(D10+D19+D36+D57+D28+D52+D44)</f>
        <v>2421411.92</v>
      </c>
    </row>
  </sheetData>
  <mergeCells count="7">
    <mergeCell ref="B54:D54"/>
    <mergeCell ref="B38:D38"/>
    <mergeCell ref="B21:D21"/>
    <mergeCell ref="B46:D46"/>
    <mergeCell ref="B3:D3"/>
    <mergeCell ref="B12:D12"/>
    <mergeCell ref="B30:D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16 MAYO'!C6, 'REPORTE DIARIO'!C:C)</f>
        <v>12805</v>
      </c>
      <c r="E6" s="16">
        <f>SUMIF('REPORTE DIARIO'!B:B,'EPR 16 MAYO'!C6, 'REPORTE DIARIO'!D:D)</f>
        <v>877868.38</v>
      </c>
      <c r="F6" s="16">
        <f>J6*D6</f>
        <v>2012214.2857142857</v>
      </c>
      <c r="G6" s="16">
        <f>+E6-F6</f>
        <v>-1134345.9057142856</v>
      </c>
      <c r="H6" s="15">
        <f>ABS(G6/F6)</f>
        <v>0.56373017216286248</v>
      </c>
      <c r="I6" s="16">
        <f>E6/D6</f>
        <v>68.556687231550171</v>
      </c>
      <c r="J6" s="16">
        <f>(220/7)*5</f>
        <v>157.14285714285714</v>
      </c>
      <c r="K6" s="16">
        <f>+I6-J6</f>
        <v>-88.586169911306968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16 MAYO'!C7, 'REPORTE DIARIO'!C:C)</f>
        <v>12356</v>
      </c>
      <c r="E7" s="16">
        <f>SUMIF('REPORTE DIARIO'!B:B,'EPR 16 MAYO'!C7, 'REPORTE DIARIO'!D:D)</f>
        <v>540803.22000000009</v>
      </c>
      <c r="F7" s="16">
        <f>J7*D7</f>
        <v>970828.57142857136</v>
      </c>
      <c r="G7" s="16">
        <f>+E7-F7</f>
        <v>-430025.35142857127</v>
      </c>
      <c r="H7" s="15">
        <f>ABS(G7/F7)</f>
        <v>0.44294674063392081</v>
      </c>
      <c r="I7" s="16">
        <f>E7/D7</f>
        <v>43.768470378763361</v>
      </c>
      <c r="J7" s="16">
        <f>(110/7)*5</f>
        <v>78.571428571428569</v>
      </c>
      <c r="K7" s="16">
        <f t="shared" ref="K7:K9" si="0">+I7-J7</f>
        <v>-34.802958192665209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16 MAYO'!C8, 'REPORTE DIARIO'!C:C)</f>
        <v>15220</v>
      </c>
      <c r="E8" s="16">
        <f>SUMIF('REPORTE DIARIO'!B:B,'EPR 16 MAYO'!C8, 'REPORTE DIARIO'!D:D)</f>
        <v>416790.03</v>
      </c>
      <c r="F8" s="16">
        <f>J8*D8</f>
        <v>489214.28571428574</v>
      </c>
      <c r="G8" s="16">
        <f>+E8-F8</f>
        <v>-72424.255714285711</v>
      </c>
      <c r="H8" s="15">
        <f>ABS(G8/F8)</f>
        <v>0.14804198861147611</v>
      </c>
      <c r="I8" s="16">
        <f>E8/D8</f>
        <v>27.384364651773982</v>
      </c>
      <c r="J8" s="16">
        <f>(45/7)*5</f>
        <v>32.142857142857146</v>
      </c>
      <c r="K8" s="16">
        <f t="shared" si="0"/>
        <v>-4.7584924910831639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16 MAYO'!C9, 'REPORTE DIARIO'!C:C)</f>
        <v>58916</v>
      </c>
      <c r="E9" s="16">
        <f>SUMIF('REPORTE DIARIO'!B:B,'EPR 16 MAYO'!C9, 'REPORTE DIARIO'!D:D)</f>
        <v>585107.73</v>
      </c>
      <c r="F9" s="16">
        <f>J9*D9</f>
        <v>631242.85714285704</v>
      </c>
      <c r="G9" s="16">
        <f>+E9-F9</f>
        <v>-46135.127142857062</v>
      </c>
      <c r="H9" s="15">
        <f>ABS(G9/F9)</f>
        <v>7.3086176929866131E-2</v>
      </c>
      <c r="I9" s="16">
        <f>E9/D9</f>
        <v>9.9312195328942892</v>
      </c>
      <c r="J9" s="16">
        <f>(15/7)*5</f>
        <v>10.714285714285714</v>
      </c>
      <c r="K9" s="16">
        <f t="shared" si="0"/>
        <v>-0.78306618139142437</v>
      </c>
    </row>
    <row r="10" spans="2:12" x14ac:dyDescent="0.25">
      <c r="B10" s="16"/>
      <c r="C10" s="19" t="s">
        <v>17</v>
      </c>
      <c r="D10" s="24">
        <f>SUM(D6:D9)</f>
        <v>99297</v>
      </c>
      <c r="E10" s="20">
        <f>SUM(E6:E9)</f>
        <v>2420569.3600000003</v>
      </c>
      <c r="F10" s="20">
        <f>SUM(F6:F9)</f>
        <v>4103500</v>
      </c>
      <c r="G10" s="20">
        <f>+E10-F10</f>
        <v>-1682930.6399999997</v>
      </c>
      <c r="H10" s="21">
        <f>ABS(G10/F10)</f>
        <v>0.41012078469599117</v>
      </c>
      <c r="I10" s="20">
        <f>E10/D10</f>
        <v>24.377064362468154</v>
      </c>
      <c r="J10" s="20">
        <f>F10/D10</f>
        <v>41.325518394312013</v>
      </c>
      <c r="K10" s="20">
        <f>I10-J10</f>
        <v>-16.948454031843859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16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2025-05-17T02:08:04Z</dcterms:modified>
</cp:coreProperties>
</file>