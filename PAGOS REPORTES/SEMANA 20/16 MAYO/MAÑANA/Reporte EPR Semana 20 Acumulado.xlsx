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20\16 MAYO\MAÑANA\"/>
    </mc:Choice>
  </mc:AlternateContent>
  <xr:revisionPtr revIDLastSave="0" documentId="13_ncr:1_{3E01E15F-068D-44A7-A475-F5FE04A181EE}" xr6:coauthVersionLast="47" xr6:coauthVersionMax="47" xr10:uidLastSave="{00000000-0000-0000-0000-000000000000}"/>
  <bookViews>
    <workbookView xWindow="-108" yWindow="-108" windowWidth="23256" windowHeight="12456" activeTab="2" xr2:uid="{4DC6C92A-CD8A-4966-829B-0B6A986E825B}"/>
  </bookViews>
  <sheets>
    <sheet name="REPORTE DIARIO" sheetId="1" r:id="rId1"/>
    <sheet name="DATA" sheetId="4" r:id="rId2"/>
    <sheet name="EPR 16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1" l="1"/>
  <c r="J9" i="3"/>
  <c r="J8" i="3"/>
  <c r="J7" i="3"/>
  <c r="J6" i="3"/>
  <c r="C28" i="1"/>
  <c r="D19" i="1"/>
  <c r="C19" i="1"/>
  <c r="D6" i="3"/>
  <c r="D44" i="1"/>
  <c r="C44" i="1"/>
  <c r="D52" i="1"/>
  <c r="C52" i="1"/>
  <c r="D57" i="1" l="1"/>
  <c r="C57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<sst xmlns="http://schemas.openxmlformats.org/spreadsheetml/2006/main" count="89" uniqueCount="37">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</sst>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9"/>
  <sheetViews>
    <sheetView showGridLines="0" topLeftCell="A48" zoomScaleNormal="100" workbookViewId="0">
      <selection activeCell="B3" sqref="B3:D59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8" t="s">
        <v>0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4264</v>
      </c>
      <c r="D5" s="25">
        <v>307966.82</v>
      </c>
    </row>
    <row r="6" spans="2:8" x14ac:dyDescent="0.3">
      <c r="B6" s="1" t="s">
        <v>5</v>
      </c>
      <c r="C6" s="6">
        <v>4349</v>
      </c>
      <c r="D6" s="25">
        <v>160109.43000000002</v>
      </c>
    </row>
    <row r="7" spans="2:8" x14ac:dyDescent="0.3">
      <c r="B7" s="1" t="s">
        <v>6</v>
      </c>
      <c r="C7" s="6">
        <v>6120</v>
      </c>
      <c r="D7" s="25">
        <v>196891.6</v>
      </c>
    </row>
    <row r="8" spans="2:8" x14ac:dyDescent="0.3">
      <c r="B8" s="5" t="s">
        <v>12</v>
      </c>
      <c r="C8" s="7">
        <v>12</v>
      </c>
      <c r="D8" s="25">
        <v>803.56</v>
      </c>
    </row>
    <row r="9" spans="2:8" x14ac:dyDescent="0.3">
      <c r="B9" s="1" t="s">
        <v>7</v>
      </c>
      <c r="C9" s="6">
        <v>13207</v>
      </c>
      <c r="D9" s="25">
        <v>261265.75</v>
      </c>
      <c r="E9" s="14"/>
      <c r="F9" s="7"/>
    </row>
    <row r="10" spans="2:8" x14ac:dyDescent="0.3">
      <c r="B10" s="3" t="s">
        <v>8</v>
      </c>
      <c r="C10" s="8">
        <f>SUM(C5:C9)</f>
        <v>27952</v>
      </c>
      <c r="D10" s="4">
        <f>SUM(D5:D9)</f>
        <v>927037.16</v>
      </c>
      <c r="E10" s="11" t="s">
        <v>14</v>
      </c>
    </row>
    <row r="12" spans="2:8" x14ac:dyDescent="0.3">
      <c r="B12" s="27" t="s">
        <v>10</v>
      </c>
      <c r="C12" s="27"/>
      <c r="D12" s="27"/>
    </row>
    <row r="13" spans="2:8" x14ac:dyDescent="0.3">
      <c r="B13" s="4" t="s">
        <v>1</v>
      </c>
      <c r="C13" s="4" t="s">
        <v>2</v>
      </c>
      <c r="D13" s="4" t="s">
        <v>3</v>
      </c>
    </row>
    <row r="14" spans="2:8" x14ac:dyDescent="0.3">
      <c r="B14" s="9" t="s">
        <v>4</v>
      </c>
      <c r="C14" s="6">
        <v>3402</v>
      </c>
      <c r="D14" s="25">
        <v>182121.87999999998</v>
      </c>
    </row>
    <row r="15" spans="2:8" x14ac:dyDescent="0.3">
      <c r="B15" s="9" t="s">
        <v>5</v>
      </c>
      <c r="C15" s="6">
        <v>1757</v>
      </c>
      <c r="D15" s="25">
        <v>74240.98</v>
      </c>
    </row>
    <row r="16" spans="2:8" x14ac:dyDescent="0.3">
      <c r="B16" s="9" t="s">
        <v>6</v>
      </c>
      <c r="C16" s="6">
        <v>2265</v>
      </c>
      <c r="D16" s="25">
        <v>31805.45</v>
      </c>
    </row>
    <row r="17" spans="2:11" x14ac:dyDescent="0.3">
      <c r="B17" s="5" t="s">
        <v>12</v>
      </c>
      <c r="C17" s="7">
        <v>1</v>
      </c>
      <c r="D17" s="25">
        <v>39</v>
      </c>
    </row>
    <row r="18" spans="2:11" x14ac:dyDescent="0.3">
      <c r="B18" s="9" t="s">
        <v>7</v>
      </c>
      <c r="C18" s="6">
        <v>17378</v>
      </c>
      <c r="D18" s="25">
        <v>38188.5</v>
      </c>
    </row>
    <row r="19" spans="2:11" x14ac:dyDescent="0.3">
      <c r="B19" s="10" t="s">
        <v>8</v>
      </c>
      <c r="C19" s="8">
        <f>SUM(C14:C18)</f>
        <v>24803</v>
      </c>
      <c r="D19" s="4">
        <f>SUM(D14:D18)</f>
        <v>326395.81</v>
      </c>
    </row>
    <row r="21" spans="2:11" x14ac:dyDescent="0.3">
      <c r="B21" s="28" t="s">
        <v>30</v>
      </c>
      <c r="C21" s="28"/>
      <c r="D21" s="28"/>
    </row>
    <row r="22" spans="2:11" x14ac:dyDescent="0.3">
      <c r="B22" s="2" t="s">
        <v>1</v>
      </c>
      <c r="C22" s="2" t="s">
        <v>2</v>
      </c>
      <c r="D22" s="2" t="s">
        <v>3</v>
      </c>
    </row>
    <row r="23" spans="2:11" x14ac:dyDescent="0.3">
      <c r="B23" s="1" t="s">
        <v>4</v>
      </c>
      <c r="C23" s="6">
        <v>2025</v>
      </c>
      <c r="D23" s="25">
        <v>88654</v>
      </c>
    </row>
    <row r="24" spans="2:11" x14ac:dyDescent="0.3">
      <c r="B24" s="1" t="s">
        <v>5</v>
      </c>
      <c r="C24" s="6">
        <v>1950</v>
      </c>
      <c r="D24" s="25">
        <v>46961.89</v>
      </c>
    </row>
    <row r="25" spans="2:11" x14ac:dyDescent="0.3">
      <c r="B25" s="1" t="s">
        <v>6</v>
      </c>
      <c r="C25" s="6">
        <v>3221</v>
      </c>
      <c r="D25" s="25">
        <v>35598</v>
      </c>
    </row>
    <row r="26" spans="2:11" x14ac:dyDescent="0.3">
      <c r="B26" s="5" t="s">
        <v>12</v>
      </c>
      <c r="C26" s="7">
        <v>2</v>
      </c>
      <c r="D26" s="26">
        <v>0</v>
      </c>
    </row>
    <row r="27" spans="2:11" x14ac:dyDescent="0.3">
      <c r="B27" s="1" t="s">
        <v>7</v>
      </c>
      <c r="C27" s="6">
        <v>20623</v>
      </c>
      <c r="D27" s="25">
        <v>131450.25</v>
      </c>
      <c r="K27" s="7"/>
    </row>
    <row r="28" spans="2:11" x14ac:dyDescent="0.3">
      <c r="B28" s="3" t="s">
        <v>8</v>
      </c>
      <c r="C28" s="8">
        <f>SUM(C23:C27)</f>
        <v>27821</v>
      </c>
      <c r="D28" s="4">
        <f>SUM(D23:D27)</f>
        <v>302664.14</v>
      </c>
    </row>
    <row r="30" spans="2:11" x14ac:dyDescent="0.3">
      <c r="B30" s="28" t="s">
        <v>9</v>
      </c>
      <c r="C30" s="28"/>
      <c r="D30" s="28"/>
    </row>
    <row r="31" spans="2:11" x14ac:dyDescent="0.3">
      <c r="B31" s="2" t="s">
        <v>1</v>
      </c>
      <c r="C31" s="2" t="s">
        <v>2</v>
      </c>
      <c r="D31" s="2" t="s">
        <v>3</v>
      </c>
    </row>
    <row r="32" spans="2:11" x14ac:dyDescent="0.3">
      <c r="B32" s="9" t="s">
        <v>4</v>
      </c>
      <c r="C32" s="6">
        <v>251</v>
      </c>
      <c r="D32" s="25">
        <v>61794.090000000004</v>
      </c>
    </row>
    <row r="33" spans="2:4" x14ac:dyDescent="0.3">
      <c r="B33" s="9" t="s">
        <v>5</v>
      </c>
      <c r="C33" s="6">
        <v>2824</v>
      </c>
      <c r="D33" s="25">
        <v>169971.65000000002</v>
      </c>
    </row>
    <row r="34" spans="2:4" x14ac:dyDescent="0.3">
      <c r="B34" s="9" t="s">
        <v>6</v>
      </c>
      <c r="C34" s="6">
        <v>1856</v>
      </c>
      <c r="D34" s="25">
        <v>23609.33</v>
      </c>
    </row>
    <row r="35" spans="2:4" x14ac:dyDescent="0.3">
      <c r="B35" s="9" t="s">
        <v>7</v>
      </c>
      <c r="C35" s="6">
        <v>4232</v>
      </c>
      <c r="D35" s="25">
        <v>3572</v>
      </c>
    </row>
    <row r="36" spans="2:4" x14ac:dyDescent="0.3">
      <c r="B36" s="10" t="s">
        <v>8</v>
      </c>
      <c r="C36" s="8">
        <f>SUM(C32:C35)</f>
        <v>9163</v>
      </c>
      <c r="D36" s="4">
        <f>SUM(D32:D35)</f>
        <v>258947.07</v>
      </c>
    </row>
    <row r="38" spans="2:4" x14ac:dyDescent="0.3">
      <c r="B38" s="28" t="s">
        <v>32</v>
      </c>
      <c r="C38" s="28"/>
      <c r="D38" s="28"/>
    </row>
    <row r="39" spans="2:4" x14ac:dyDescent="0.3">
      <c r="B39" s="2" t="s">
        <v>1</v>
      </c>
      <c r="C39" s="2" t="s">
        <v>2</v>
      </c>
      <c r="D39" s="2" t="s">
        <v>3</v>
      </c>
    </row>
    <row r="40" spans="2:4" x14ac:dyDescent="0.3">
      <c r="B40" s="9" t="s">
        <v>4</v>
      </c>
      <c r="C40" s="6">
        <v>368</v>
      </c>
      <c r="D40" s="25">
        <v>648</v>
      </c>
    </row>
    <row r="41" spans="2:4" x14ac:dyDescent="0.3">
      <c r="B41" s="1" t="s">
        <v>5</v>
      </c>
      <c r="C41" s="6">
        <v>543</v>
      </c>
      <c r="D41" s="25">
        <v>3889</v>
      </c>
    </row>
    <row r="42" spans="2:4" x14ac:dyDescent="0.3">
      <c r="B42" s="1" t="s">
        <v>6</v>
      </c>
      <c r="C42" s="6">
        <v>937</v>
      </c>
      <c r="D42" s="25">
        <v>49644</v>
      </c>
    </row>
    <row r="43" spans="2:4" x14ac:dyDescent="0.3">
      <c r="B43" s="1" t="s">
        <v>7</v>
      </c>
      <c r="C43" s="6">
        <v>1158</v>
      </c>
      <c r="D43" s="25">
        <v>2077</v>
      </c>
    </row>
    <row r="44" spans="2:4" x14ac:dyDescent="0.3">
      <c r="B44" s="3" t="s">
        <v>8</v>
      </c>
      <c r="C44" s="8">
        <f>SUM(C40:C43)</f>
        <v>3006</v>
      </c>
      <c r="D44" s="4">
        <f>SUM(D40:D43)</f>
        <v>56258</v>
      </c>
    </row>
    <row r="46" spans="2:4" x14ac:dyDescent="0.3">
      <c r="B46" s="28" t="s">
        <v>31</v>
      </c>
      <c r="C46" s="28"/>
      <c r="D46" s="28"/>
    </row>
    <row r="47" spans="2:4" x14ac:dyDescent="0.3">
      <c r="B47" s="2" t="s">
        <v>1</v>
      </c>
      <c r="C47" s="2" t="s">
        <v>2</v>
      </c>
      <c r="D47" s="2" t="s">
        <v>3</v>
      </c>
    </row>
    <row r="48" spans="2:4" x14ac:dyDescent="0.3">
      <c r="B48" s="9" t="s">
        <v>4</v>
      </c>
      <c r="C48" s="6">
        <v>325</v>
      </c>
      <c r="D48" s="25">
        <v>4448</v>
      </c>
    </row>
    <row r="49" spans="2:4" x14ac:dyDescent="0.3">
      <c r="B49" s="1" t="s">
        <v>5</v>
      </c>
      <c r="C49" s="6">
        <v>714</v>
      </c>
      <c r="D49" s="25">
        <v>6023</v>
      </c>
    </row>
    <row r="50" spans="2:4" x14ac:dyDescent="0.3">
      <c r="B50" s="1" t="s">
        <v>6</v>
      </c>
      <c r="C50" s="6">
        <v>623</v>
      </c>
      <c r="D50" s="25">
        <v>1820</v>
      </c>
    </row>
    <row r="51" spans="2:4" x14ac:dyDescent="0.3">
      <c r="B51" s="1" t="s">
        <v>7</v>
      </c>
      <c r="C51" s="6">
        <v>2277</v>
      </c>
      <c r="D51" s="25">
        <v>29643</v>
      </c>
    </row>
    <row r="52" spans="2:4" x14ac:dyDescent="0.3">
      <c r="B52" s="3" t="s">
        <v>8</v>
      </c>
      <c r="C52" s="8">
        <f>SUM(C48:C51)</f>
        <v>3939</v>
      </c>
      <c r="D52" s="4">
        <f>SUM(D48:D51)</f>
        <v>41934</v>
      </c>
    </row>
    <row r="54" spans="2:4" x14ac:dyDescent="0.3">
      <c r="B54" s="27" t="s">
        <v>11</v>
      </c>
      <c r="C54" s="27"/>
      <c r="D54" s="27"/>
    </row>
    <row r="55" spans="2:4" x14ac:dyDescent="0.3">
      <c r="B55" s="4" t="s">
        <v>1</v>
      </c>
      <c r="C55" s="4" t="s">
        <v>2</v>
      </c>
      <c r="D55" s="4" t="s">
        <v>3</v>
      </c>
    </row>
    <row r="56" spans="2:4" x14ac:dyDescent="0.3">
      <c r="B56" s="9" t="s">
        <v>4</v>
      </c>
      <c r="C56" s="6">
        <v>2003</v>
      </c>
      <c r="D56" s="25">
        <v>28871</v>
      </c>
    </row>
    <row r="57" spans="2:4" x14ac:dyDescent="0.3">
      <c r="B57" s="10" t="s">
        <v>8</v>
      </c>
      <c r="C57" s="8">
        <f>SUM(C56:C56)</f>
        <v>2003</v>
      </c>
      <c r="D57" s="4">
        <f>SUM(D56:D56)</f>
        <v>28871</v>
      </c>
    </row>
    <row r="59" spans="2:4" x14ac:dyDescent="0.3">
      <c r="B59" s="12" t="s">
        <v>13</v>
      </c>
      <c r="C59" s="13">
        <f>SUM(C10+C19+C36+C57+C28+C52+C44)</f>
        <v>98687</v>
      </c>
      <c r="D59" s="13">
        <f>SUM(D10+D19+D36+D57+D28+D52+D44)</f>
        <v>1942107.1800000002</v>
      </c>
    </row>
  </sheetData>
  <mergeCells count="7">
    <mergeCell ref="B54:D54"/>
    <mergeCell ref="B38:D38"/>
    <mergeCell ref="B21:D21"/>
    <mergeCell ref="B46:D46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topLeftCell="C1" zoomScale="145" zoomScaleNormal="145" workbookViewId="0">
      <selection activeCell="B2" sqref="B2:K14"/>
    </sheetView>
  </sheetViews>
  <sheetFormatPr baseColWidth="10" defaultRowHeight="14.4" x14ac:dyDescent="0.3"/>
  <cols>
    <col min="2" max="2" width="19.88671875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36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34</v>
      </c>
      <c r="C6" s="16" t="s">
        <v>4</v>
      </c>
      <c r="D6" s="23">
        <f>SUMIF('REPORTE DIARIO'!B:B,'EPR 16 MAYO'!C6, 'REPORTE DIARIO'!C:C)</f>
        <v>12638</v>
      </c>
      <c r="E6" s="16">
        <f>SUMIF('REPORTE DIARIO'!B:B,'EPR 16 MAYO'!C6, 'REPORTE DIARIO'!D:D)</f>
        <v>674503.78999999992</v>
      </c>
      <c r="F6" s="16">
        <f>J6*D6</f>
        <v>1985971.4285714284</v>
      </c>
      <c r="G6" s="16">
        <f>+E6-F6</f>
        <v>-1311467.6385714286</v>
      </c>
      <c r="H6" s="15">
        <f>ABS(G6/F6)</f>
        <v>0.66036581377951065</v>
      </c>
      <c r="I6" s="16">
        <f>E6/D6</f>
        <v>53.371086406076905</v>
      </c>
      <c r="J6" s="16">
        <f>(220/7)*5</f>
        <v>157.14285714285714</v>
      </c>
      <c r="K6" s="16">
        <f>+I6-J6</f>
        <v>-103.77177073678024</v>
      </c>
      <c r="L6" s="15"/>
    </row>
    <row r="7" spans="2:12" x14ac:dyDescent="0.3">
      <c r="B7" s="16" t="s">
        <v>29</v>
      </c>
      <c r="C7" s="16" t="s">
        <v>5</v>
      </c>
      <c r="D7" s="23">
        <f>SUMIF('REPORTE DIARIO'!B:B,'EPR 16 MAYO'!C7, 'REPORTE DIARIO'!C:C)</f>
        <v>12137</v>
      </c>
      <c r="E7" s="16">
        <f>SUMIF('REPORTE DIARIO'!B:B,'EPR 16 MAYO'!C7, 'REPORTE DIARIO'!D:D)</f>
        <v>461195.95000000007</v>
      </c>
      <c r="F7" s="16">
        <f>J7*D7</f>
        <v>953621.42857142852</v>
      </c>
      <c r="G7" s="16">
        <f>+E7-F7</f>
        <v>-492425.47857142845</v>
      </c>
      <c r="H7" s="15">
        <f>ABS(G7/F7)</f>
        <v>0.51637417513688411</v>
      </c>
      <c r="I7" s="16">
        <f>E7/D7</f>
        <v>37.999171953530535</v>
      </c>
      <c r="J7" s="16">
        <f>(110/7)*5</f>
        <v>78.571428571428569</v>
      </c>
      <c r="K7" s="16">
        <f t="shared" ref="K7:K9" si="0">+I7-J7</f>
        <v>-40.572256617898034</v>
      </c>
      <c r="L7" s="15"/>
    </row>
    <row r="8" spans="2:12" x14ac:dyDescent="0.3">
      <c r="B8" s="16" t="s">
        <v>29</v>
      </c>
      <c r="C8" s="16" t="s">
        <v>6</v>
      </c>
      <c r="D8" s="23">
        <f>SUMIF('REPORTE DIARIO'!B:B,'EPR 16 MAYO'!C8, 'REPORTE DIARIO'!C:C)</f>
        <v>15022</v>
      </c>
      <c r="E8" s="16">
        <f>SUMIF('REPORTE DIARIO'!B:B,'EPR 16 MAYO'!C8, 'REPORTE DIARIO'!D:D)</f>
        <v>339368.38000000006</v>
      </c>
      <c r="F8" s="16">
        <f>J8*D8</f>
        <v>482850.00000000006</v>
      </c>
      <c r="G8" s="16">
        <f>+E8-F8</f>
        <v>-143481.62</v>
      </c>
      <c r="H8" s="15">
        <f>ABS(G8/F8)</f>
        <v>0.29715567981774876</v>
      </c>
      <c r="I8" s="16">
        <f>E8/D8</f>
        <v>22.591424577286652</v>
      </c>
      <c r="J8" s="16">
        <f>(45/7)*5</f>
        <v>32.142857142857146</v>
      </c>
      <c r="K8" s="16">
        <f t="shared" si="0"/>
        <v>-9.5514325655704937</v>
      </c>
      <c r="L8" s="15"/>
    </row>
    <row r="9" spans="2:12" x14ac:dyDescent="0.3">
      <c r="B9" s="16" t="s">
        <v>35</v>
      </c>
      <c r="C9" s="16" t="s">
        <v>7</v>
      </c>
      <c r="D9" s="23">
        <f>SUMIF('REPORTE DIARIO'!B:B,'EPR 16 MAYO'!C9, 'REPORTE DIARIO'!C:C)</f>
        <v>58875</v>
      </c>
      <c r="E9" s="16">
        <f>SUMIF('REPORTE DIARIO'!B:B,'EPR 16 MAYO'!C9, 'REPORTE DIARIO'!D:D)</f>
        <v>466196.5</v>
      </c>
      <c r="F9" s="16">
        <f>J9*D9</f>
        <v>630803.57142857136</v>
      </c>
      <c r="G9" s="16">
        <f>+E9-F9</f>
        <v>-164607.07142857136</v>
      </c>
      <c r="H9" s="15">
        <f>ABS(G9/F9)</f>
        <v>0.2609482236376503</v>
      </c>
      <c r="I9" s="16">
        <f>E9/D9</f>
        <v>7.9184118895966034</v>
      </c>
      <c r="J9" s="16">
        <f>(15/7)*5</f>
        <v>10.714285714285714</v>
      </c>
      <c r="K9" s="16">
        <f t="shared" si="0"/>
        <v>-2.7958738246891102</v>
      </c>
    </row>
    <row r="10" spans="2:12" x14ac:dyDescent="0.3">
      <c r="B10" s="16"/>
      <c r="C10" s="19" t="s">
        <v>17</v>
      </c>
      <c r="D10" s="24">
        <f>SUM(D6:D9)</f>
        <v>98672</v>
      </c>
      <c r="E10" s="20">
        <f>SUM(E6:E9)</f>
        <v>1941264.62</v>
      </c>
      <c r="F10" s="20">
        <f>SUM(F6:F9)</f>
        <v>4053246.4285714282</v>
      </c>
      <c r="G10" s="20">
        <f>+E10-F10</f>
        <v>-2111981.8085714281</v>
      </c>
      <c r="H10" s="21">
        <f>ABS(G10/F10)</f>
        <v>0.52105931524025262</v>
      </c>
      <c r="I10" s="20">
        <f>E10/D10</f>
        <v>19.673915801848551</v>
      </c>
      <c r="J10" s="20">
        <f>F10/D10</f>
        <v>41.0779798582316</v>
      </c>
      <c r="K10" s="20">
        <f>I10-J10</f>
        <v>-21.404064056383049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16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2025-05-16T14:07:30Z</cp:lastPrinted>
  <dcterms:created xsi:type="dcterms:W3CDTF">2025-01-27T15:11:28Z</dcterms:created>
  <dcterms:modified xsi:type="dcterms:W3CDTF">2025-05-16T14:07:37Z</dcterms:modified>
</cp:coreProperties>
</file>