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4 MAYO\MAÑANA\"/>
    </mc:Choice>
  </mc:AlternateContent>
  <xr:revisionPtr revIDLastSave="0" documentId="13_ncr:1_{6586515A-8319-475F-85B5-0656E12E86B0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7" i="1"/>
  <c r="D27" i="1"/>
  <c r="D36" i="1"/>
  <c r="C36" i="1"/>
  <c r="D6" i="3"/>
  <c r="D57" i="1"/>
  <c r="C57" i="1"/>
  <c r="D49" i="1"/>
  <c r="C49" i="1"/>
  <c r="D41" i="1" l="1"/>
  <c r="C41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<sst xmlns="http://schemas.openxmlformats.org/spreadsheetml/2006/main" count="89" uniqueCount="37">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</sst>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37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4090</v>
      </c>
      <c r="D5" s="25">
        <v>186606.19</v>
      </c>
    </row>
    <row r="6" spans="2:8" x14ac:dyDescent="0.25">
      <c r="B6" s="1" t="s">
        <v>5</v>
      </c>
      <c r="C6" s="6">
        <v>4355</v>
      </c>
      <c r="D6" s="25">
        <v>92155.03</v>
      </c>
    </row>
    <row r="7" spans="2:8" x14ac:dyDescent="0.25">
      <c r="B7" s="1" t="s">
        <v>6</v>
      </c>
      <c r="C7" s="6">
        <v>6144</v>
      </c>
      <c r="D7" s="25">
        <v>146981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13243</v>
      </c>
      <c r="D9" s="25">
        <v>113145.2</v>
      </c>
      <c r="E9" s="14"/>
      <c r="F9" s="7"/>
    </row>
    <row r="10" spans="2:8" x14ac:dyDescent="0.25">
      <c r="B10" s="3" t="s">
        <v>8</v>
      </c>
      <c r="C10" s="8">
        <f>SUM(C5:C9)</f>
        <v>27844</v>
      </c>
      <c r="D10" s="4">
        <f>SUM(D5:D9)</f>
        <v>539690.98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248</v>
      </c>
      <c r="D14" s="25">
        <v>27373.83</v>
      </c>
    </row>
    <row r="15" spans="2:8" x14ac:dyDescent="0.25">
      <c r="B15" s="9" t="s">
        <v>5</v>
      </c>
      <c r="C15" s="6">
        <v>2808</v>
      </c>
      <c r="D15" s="25">
        <v>127117.06999999999</v>
      </c>
    </row>
    <row r="16" spans="2:8" x14ac:dyDescent="0.25">
      <c r="B16" s="9" t="s">
        <v>6</v>
      </c>
      <c r="C16" s="6">
        <v>2226</v>
      </c>
      <c r="D16" s="25">
        <v>18676</v>
      </c>
    </row>
    <row r="17" spans="2:11" x14ac:dyDescent="0.25">
      <c r="B17" s="9" t="s">
        <v>7</v>
      </c>
      <c r="C17" s="6">
        <v>4227</v>
      </c>
      <c r="D17" s="26">
        <v>0</v>
      </c>
    </row>
    <row r="18" spans="2:11" x14ac:dyDescent="0.25">
      <c r="B18" s="10" t="s">
        <v>8</v>
      </c>
      <c r="C18" s="8">
        <f>SUM(C14:C17)</f>
        <v>9509</v>
      </c>
      <c r="D18" s="4">
        <f>SUM(D14:D17)</f>
        <v>173166.9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1969</v>
      </c>
      <c r="D22" s="25">
        <v>34020.32</v>
      </c>
    </row>
    <row r="23" spans="2:11" x14ac:dyDescent="0.25">
      <c r="B23" s="1" t="s">
        <v>5</v>
      </c>
      <c r="C23" s="6">
        <v>1923</v>
      </c>
      <c r="D23" s="25">
        <v>26684</v>
      </c>
    </row>
    <row r="24" spans="2:11" x14ac:dyDescent="0.25">
      <c r="B24" s="1" t="s">
        <v>6</v>
      </c>
      <c r="C24" s="6">
        <v>3215</v>
      </c>
      <c r="D24" s="25">
        <v>22287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20594</v>
      </c>
      <c r="D26" s="25">
        <v>51670</v>
      </c>
    </row>
    <row r="27" spans="2:11" x14ac:dyDescent="0.25">
      <c r="B27" s="3" t="s">
        <v>8</v>
      </c>
      <c r="C27" s="8">
        <f>SUM(C22:C26)</f>
        <v>27703</v>
      </c>
      <c r="D27" s="4">
        <f>SUM(D22:D26)</f>
        <v>134661.32</v>
      </c>
      <c r="K27" s="7"/>
    </row>
    <row r="29" spans="2:11" x14ac:dyDescent="0.25">
      <c r="B29" s="27" t="s">
        <v>10</v>
      </c>
      <c r="C29" s="27"/>
      <c r="D29" s="27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3123</v>
      </c>
      <c r="D31" s="25">
        <v>51506.329999999994</v>
      </c>
    </row>
    <row r="32" spans="2:11" x14ac:dyDescent="0.25">
      <c r="B32" s="9" t="s">
        <v>5</v>
      </c>
      <c r="C32" s="6">
        <v>1734</v>
      </c>
      <c r="D32" s="25">
        <v>39058.43</v>
      </c>
    </row>
    <row r="33" spans="2:4" x14ac:dyDescent="0.25">
      <c r="B33" s="9" t="s">
        <v>6</v>
      </c>
      <c r="C33" s="6">
        <v>2268</v>
      </c>
      <c r="D33" s="25">
        <v>23839.45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9838</v>
      </c>
      <c r="D35" s="25">
        <v>16067</v>
      </c>
    </row>
    <row r="36" spans="2:4" x14ac:dyDescent="0.25">
      <c r="B36" s="10" t="s">
        <v>8</v>
      </c>
      <c r="C36" s="8">
        <f>SUM(C31:C35)</f>
        <v>16964</v>
      </c>
      <c r="D36" s="4">
        <f>SUM(D31:D35)</f>
        <v>130471.20999999999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2019</v>
      </c>
      <c r="D40" s="25">
        <v>16643</v>
      </c>
    </row>
    <row r="41" spans="2:4" x14ac:dyDescent="0.25">
      <c r="B41" s="10" t="s">
        <v>8</v>
      </c>
      <c r="C41" s="8">
        <f>SUM(C40:C40)</f>
        <v>2019</v>
      </c>
      <c r="D41" s="4">
        <f>SUM(D40:D40)</f>
        <v>16643</v>
      </c>
    </row>
    <row r="43" spans="2:4" x14ac:dyDescent="0.25">
      <c r="B43" s="28" t="s">
        <v>31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270</v>
      </c>
      <c r="D45" s="25">
        <v>4238</v>
      </c>
    </row>
    <row r="46" spans="2:4" x14ac:dyDescent="0.25">
      <c r="B46" s="1" t="s">
        <v>5</v>
      </c>
      <c r="C46" s="6">
        <v>715</v>
      </c>
      <c r="D46" s="25">
        <v>3523</v>
      </c>
    </row>
    <row r="47" spans="2:4" x14ac:dyDescent="0.25">
      <c r="B47" s="1" t="s">
        <v>6</v>
      </c>
      <c r="C47" s="6">
        <v>614</v>
      </c>
      <c r="D47" s="25">
        <v>500</v>
      </c>
    </row>
    <row r="48" spans="2:4" x14ac:dyDescent="0.25">
      <c r="B48" s="1" t="s">
        <v>7</v>
      </c>
      <c r="C48" s="6">
        <v>2203</v>
      </c>
      <c r="D48" s="25">
        <v>2555</v>
      </c>
    </row>
    <row r="49" spans="2:4" x14ac:dyDescent="0.25">
      <c r="B49" s="3" t="s">
        <v>8</v>
      </c>
      <c r="C49" s="8">
        <f>SUM(C45:C48)</f>
        <v>3802</v>
      </c>
      <c r="D49" s="4">
        <f>SUM(D45:D48)</f>
        <v>10816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311</v>
      </c>
      <c r="D53" s="26">
        <v>0</v>
      </c>
    </row>
    <row r="54" spans="2:4" x14ac:dyDescent="0.25">
      <c r="B54" s="1" t="s">
        <v>5</v>
      </c>
      <c r="C54" s="6">
        <v>546</v>
      </c>
      <c r="D54" s="25">
        <v>1500</v>
      </c>
    </row>
    <row r="55" spans="2:4" x14ac:dyDescent="0.25">
      <c r="B55" s="1" t="s">
        <v>6</v>
      </c>
      <c r="C55" s="6">
        <v>931</v>
      </c>
      <c r="D55" s="26">
        <v>0</v>
      </c>
    </row>
    <row r="56" spans="2:4" x14ac:dyDescent="0.25">
      <c r="B56" s="1" t="s">
        <v>7</v>
      </c>
      <c r="C56" s="6">
        <v>1112</v>
      </c>
      <c r="D56" s="25">
        <v>2077</v>
      </c>
    </row>
    <row r="57" spans="2:4" x14ac:dyDescent="0.25">
      <c r="B57" s="3" t="s">
        <v>8</v>
      </c>
      <c r="C57" s="8">
        <f>SUM(C53:C56)</f>
        <v>2900</v>
      </c>
      <c r="D57" s="4">
        <f>SUM(D53:D56)</f>
        <v>3577</v>
      </c>
    </row>
    <row r="59" spans="2:4" x14ac:dyDescent="0.25">
      <c r="B59" s="12" t="s">
        <v>13</v>
      </c>
      <c r="C59" s="13">
        <f>SUM(C10+C36+C18+C41+C27+C49+C57)</f>
        <v>90741</v>
      </c>
      <c r="D59" s="13">
        <f>SUM(D10+D36+D18+D41+D27+D49+D57)</f>
        <v>1009026.4099999999</v>
      </c>
    </row>
  </sheetData>
  <mergeCells count="7">
    <mergeCell ref="B38:D38"/>
    <mergeCell ref="B51:D51"/>
    <mergeCell ref="B20:D20"/>
    <mergeCell ref="B43:D43"/>
    <mergeCell ref="B3:D3"/>
    <mergeCell ref="B29:D29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13 MAYO'!C6, 'REPORTE DIARIO'!C:C)</f>
        <v>12030</v>
      </c>
      <c r="E6" s="16">
        <f>SUMIF('REPORTE DIARIO'!B:B,'EPR 13 MAYO'!C6, 'REPORTE DIARIO'!D:D)</f>
        <v>320387.67000000004</v>
      </c>
      <c r="F6" s="16">
        <f>J6*D6</f>
        <v>1134257.1428571427</v>
      </c>
      <c r="G6" s="16">
        <f>+E6-F6</f>
        <v>-813869.47285714268</v>
      </c>
      <c r="H6" s="15">
        <f>ABS(G6/F6)</f>
        <v>0.71753524144184988</v>
      </c>
      <c r="I6" s="16">
        <f>E6/D6</f>
        <v>26.632391521197011</v>
      </c>
      <c r="J6" s="16">
        <f>(220/7)*3</f>
        <v>94.285714285714278</v>
      </c>
      <c r="K6" s="16">
        <f>+I6-J6</f>
        <v>-67.65332276451727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13 MAYO'!C7, 'REPORTE DIARIO'!C:C)</f>
        <v>12081</v>
      </c>
      <c r="E7" s="16">
        <f>SUMIF('REPORTE DIARIO'!B:B,'EPR 13 MAYO'!C7, 'REPORTE DIARIO'!D:D)</f>
        <v>290037.52999999997</v>
      </c>
      <c r="F7" s="16">
        <f>J7*D7</f>
        <v>569532.85714285704</v>
      </c>
      <c r="G7" s="16">
        <f>+E7-F7</f>
        <v>-279495.32714285707</v>
      </c>
      <c r="H7" s="15">
        <f>ABS(G7/F7)</f>
        <v>0.49074486860158573</v>
      </c>
      <c r="I7" s="16">
        <f>E7/D7</f>
        <v>24.007741908782382</v>
      </c>
      <c r="J7" s="16">
        <f>(110/7)*3</f>
        <v>47.142857142857139</v>
      </c>
      <c r="K7" s="16">
        <f t="shared" ref="K7:K9" si="0">+I7-J7</f>
        <v>-23.135115234074757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13 MAYO'!C8, 'REPORTE DIARIO'!C:C)</f>
        <v>15398</v>
      </c>
      <c r="E8" s="16">
        <f>SUMIF('REPORTE DIARIO'!B:B,'EPR 13 MAYO'!C8, 'REPORTE DIARIO'!D:D)</f>
        <v>212283.45</v>
      </c>
      <c r="F8" s="16">
        <f>J8*D8</f>
        <v>296961.42857142858</v>
      </c>
      <c r="G8" s="16">
        <f>+E8-F8</f>
        <v>-84677.978571428568</v>
      </c>
      <c r="H8" s="15">
        <f>ABS(G8/F8)</f>
        <v>0.28514807117807506</v>
      </c>
      <c r="I8" s="16">
        <f>E8/D8</f>
        <v>13.78643005585141</v>
      </c>
      <c r="J8" s="16">
        <f>(45/7)*3</f>
        <v>19.285714285714285</v>
      </c>
      <c r="K8" s="16">
        <f t="shared" si="0"/>
        <v>-5.4992842298628748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13 MAYO'!C9, 'REPORTE DIARIO'!C:C)</f>
        <v>51217</v>
      </c>
      <c r="E9" s="16">
        <f>SUMIF('REPORTE DIARIO'!B:B,'EPR 13 MAYO'!C9, 'REPORTE DIARIO'!D:D)</f>
        <v>185514.2</v>
      </c>
      <c r="F9" s="16">
        <f>J9*D9</f>
        <v>329252.1428571429</v>
      </c>
      <c r="G9" s="16">
        <f>+E9-F9</f>
        <v>-143737.94285714289</v>
      </c>
      <c r="H9" s="15">
        <f>ABS(G9/F9)</f>
        <v>0.43655886825771828</v>
      </c>
      <c r="I9" s="16">
        <f>E9/D9</f>
        <v>3.622121561200383</v>
      </c>
      <c r="J9" s="16">
        <f>(15/7)*3</f>
        <v>6.4285714285714288</v>
      </c>
      <c r="K9" s="16">
        <f t="shared" si="0"/>
        <v>-2.8064498673710458</v>
      </c>
    </row>
    <row r="10" spans="2:12" x14ac:dyDescent="0.25">
      <c r="B10" s="16"/>
      <c r="C10" s="19" t="s">
        <v>17</v>
      </c>
      <c r="D10" s="24">
        <f>SUM(D6:D9)</f>
        <v>90726</v>
      </c>
      <c r="E10" s="20">
        <f>SUM(E6:E9)</f>
        <v>1008222.8499999999</v>
      </c>
      <c r="F10" s="20">
        <f>SUM(F6:F9)</f>
        <v>2330003.5714285714</v>
      </c>
      <c r="G10" s="20">
        <f>+E10-F10</f>
        <v>-1321780.7214285715</v>
      </c>
      <c r="H10" s="21">
        <f>ABS(G10/F10)</f>
        <v>0.567286993735448</v>
      </c>
      <c r="I10" s="20">
        <f>E10/D10</f>
        <v>11.112832594846019</v>
      </c>
      <c r="J10" s="20">
        <f>F10/D10</f>
        <v>25.681762355097451</v>
      </c>
      <c r="K10" s="20">
        <f>I10-J10</f>
        <v>-14.568929760251432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2025-05-14T14:54:02Z</dcterms:modified>
</cp:coreProperties>
</file>