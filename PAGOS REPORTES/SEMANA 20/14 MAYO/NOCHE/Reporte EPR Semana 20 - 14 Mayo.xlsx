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4 MAYO\NOCHE\"/>
    </mc:Choice>
  </mc:AlternateContent>
  <xr:revisionPtr revIDLastSave="0" documentId="13_ncr:1_{D9A25FB3-0CC1-4D08-8988-C76D44F91745}" xr6:coauthVersionLast="47" xr6:coauthVersionMax="47" xr10:uidLastSave="{00000000-0000-0000-0000-000000000000}"/>
  <bookViews>
    <workbookView xWindow="11010" yWindow="11010" windowWidth="10005" windowHeight="5445" activeTab="2" xr2:uid="{4DC6C92A-CD8A-4966-829B-0B6A986E825B}"/>
  </bookViews>
  <sheets>
    <sheet name="REPORTE DIARIO" sheetId="1" r:id="rId1"/>
    <sheet name="DATA" sheetId="4" r:id="rId2"/>
    <sheet name="EPR 14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57" i="1"/>
  <c r="D36" i="1"/>
  <c r="C36" i="1"/>
  <c r="C57" i="1"/>
  <c r="D28" i="1" l="1"/>
  <c r="C28" i="1"/>
  <c r="J9" i="3"/>
  <c r="J8" i="3"/>
  <c r="J7" i="3"/>
  <c r="D6" i="3"/>
  <c r="F6" i="3" s="1"/>
  <c r="D49" i="1"/>
  <c r="C49" i="1"/>
  <c r="D44" i="1"/>
  <c r="C4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<sst xmlns="http://schemas.openxmlformats.org/spreadsheetml/2006/main" count="88" uniqueCount="36">
  <si>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</si>
  <si>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</si>
  <si>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</si>
  <si>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</si>
  <si>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</si>
  <si>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</si>
  <si>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</si>
  <si>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</si>
  <si>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</si>
  <si>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</si>
  <si>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</si>
  <si>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</si>
  <si>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</si>
  <si>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</si>
  <si>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</si>
  <si>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</si>
  <si>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</si>
  <si>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</si>
  <si>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</si>
  <si>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</si>
  <si>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</si>
  <si>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</si>
  <si>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</si>
  <si>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</si>
  <si>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</si>
  <si>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</si>
  <si>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</si>
  <si>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</si>
  <si>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</si>
  <si>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</si>
  <si>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</si>
  <si>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</si>
  <si>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</si>
  <si>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</si>
  <si>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</si>
  <si>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14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</si>
</sst>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opLeftCell="A28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4211</v>
      </c>
      <c r="D5" s="25">
        <v>58568.04</v>
      </c>
    </row>
    <row r="6" spans="2:8" x14ac:dyDescent="0.25">
      <c r="B6" s="1" t="s">
        <v>5</v>
      </c>
      <c r="C6" s="6">
        <v>4322</v>
      </c>
      <c r="D6" s="25">
        <v>20205</v>
      </c>
    </row>
    <row r="7" spans="2:8" x14ac:dyDescent="0.25">
      <c r="B7" s="1" t="s">
        <v>6</v>
      </c>
      <c r="C7" s="6">
        <v>6109</v>
      </c>
      <c r="D7" s="25">
        <v>16781.599999999999</v>
      </c>
    </row>
    <row r="8" spans="2:8" x14ac:dyDescent="0.25">
      <c r="B8" s="5" t="s">
        <v>12</v>
      </c>
      <c r="C8" s="7">
        <v>12</v>
      </c>
      <c r="D8" s="26">
        <v>0</v>
      </c>
    </row>
    <row r="9" spans="2:8" x14ac:dyDescent="0.25">
      <c r="B9" s="1" t="s">
        <v>7</v>
      </c>
      <c r="C9" s="6">
        <v>13177</v>
      </c>
      <c r="D9" s="25">
        <v>37187</v>
      </c>
    </row>
    <row r="10" spans="2:8" x14ac:dyDescent="0.25">
      <c r="B10" s="3" t="s">
        <v>8</v>
      </c>
      <c r="C10" s="8">
        <f>SUM(C5:C9)</f>
        <v>27831</v>
      </c>
      <c r="D10" s="4">
        <f>SUM(D5:D9)</f>
        <v>132741.64000000001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3343</v>
      </c>
      <c r="D14" s="25">
        <v>63517.8</v>
      </c>
    </row>
    <row r="15" spans="2:8" x14ac:dyDescent="0.25">
      <c r="B15" s="9" t="s">
        <v>5</v>
      </c>
      <c r="C15" s="6">
        <v>1733</v>
      </c>
      <c r="D15" s="25">
        <v>4754</v>
      </c>
    </row>
    <row r="16" spans="2:8" x14ac:dyDescent="0.25">
      <c r="B16" s="9" t="s">
        <v>6</v>
      </c>
      <c r="C16" s="6">
        <v>2267</v>
      </c>
      <c r="D16" s="25">
        <v>1062</v>
      </c>
    </row>
    <row r="17" spans="2:11" x14ac:dyDescent="0.25">
      <c r="B17" s="5" t="s">
        <v>12</v>
      </c>
      <c r="C17" s="7">
        <v>1</v>
      </c>
      <c r="D17" s="26">
        <v>0</v>
      </c>
    </row>
    <row r="18" spans="2:11" x14ac:dyDescent="0.25">
      <c r="B18" s="9" t="s">
        <v>7</v>
      </c>
      <c r="C18" s="6">
        <v>17376</v>
      </c>
      <c r="D18" s="25">
        <v>6184</v>
      </c>
    </row>
    <row r="19" spans="2:11" x14ac:dyDescent="0.25">
      <c r="B19" s="10" t="s">
        <v>8</v>
      </c>
      <c r="C19" s="8">
        <f>SUM(C14:C18)</f>
        <v>24720</v>
      </c>
      <c r="D19" s="4">
        <f>SUM(D14:D18)</f>
        <v>75517.8</v>
      </c>
    </row>
    <row r="21" spans="2:11" x14ac:dyDescent="0.25">
      <c r="B21" s="27" t="s">
        <v>29</v>
      </c>
      <c r="C21" s="27"/>
      <c r="D21" s="27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1998</v>
      </c>
      <c r="D23" s="25">
        <v>30148.6</v>
      </c>
    </row>
    <row r="24" spans="2:11" x14ac:dyDescent="0.25">
      <c r="B24" s="1" t="s">
        <v>5</v>
      </c>
      <c r="C24" s="6">
        <v>1926</v>
      </c>
      <c r="D24" s="25">
        <v>9246</v>
      </c>
    </row>
    <row r="25" spans="2:11" x14ac:dyDescent="0.25">
      <c r="B25" s="1" t="s">
        <v>6</v>
      </c>
      <c r="C25" s="6">
        <v>3214</v>
      </c>
      <c r="D25" s="25">
        <v>3494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20623</v>
      </c>
      <c r="D27" s="25">
        <v>22187.8</v>
      </c>
    </row>
    <row r="28" spans="2:11" x14ac:dyDescent="0.25">
      <c r="B28" s="3" t="s">
        <v>8</v>
      </c>
      <c r="C28" s="8">
        <f>SUM(C23:C27)</f>
        <v>27763</v>
      </c>
      <c r="D28" s="4">
        <f>SUM(D23:D27)</f>
        <v>65076.399999999994</v>
      </c>
    </row>
    <row r="30" spans="2:11" x14ac:dyDescent="0.25">
      <c r="B30" s="27" t="s">
        <v>31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342</v>
      </c>
      <c r="D32" s="25">
        <v>1</v>
      </c>
    </row>
    <row r="33" spans="2:4" x14ac:dyDescent="0.25">
      <c r="B33" s="1" t="s">
        <v>5</v>
      </c>
      <c r="C33" s="6">
        <v>546</v>
      </c>
      <c r="D33" s="25">
        <v>1200</v>
      </c>
    </row>
    <row r="34" spans="2:4" x14ac:dyDescent="0.25">
      <c r="B34" s="1" t="s">
        <v>6</v>
      </c>
      <c r="C34" s="6">
        <v>935</v>
      </c>
      <c r="D34" s="26">
        <v>0</v>
      </c>
    </row>
    <row r="35" spans="2:4" x14ac:dyDescent="0.25">
      <c r="B35" s="1" t="s">
        <v>7</v>
      </c>
      <c r="C35" s="6">
        <v>1153</v>
      </c>
      <c r="D35" s="25">
        <v>49629</v>
      </c>
    </row>
    <row r="36" spans="2:4" x14ac:dyDescent="0.25">
      <c r="B36" s="3" t="s">
        <v>8</v>
      </c>
      <c r="C36" s="8">
        <f>SUM(C32:C35)</f>
        <v>2976</v>
      </c>
      <c r="D36" s="4">
        <f>SUM(D32:D35)</f>
        <v>50830</v>
      </c>
    </row>
    <row r="38" spans="2:4" x14ac:dyDescent="0.25">
      <c r="B38" s="27" t="s">
        <v>9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247</v>
      </c>
      <c r="D40" s="25">
        <v>6372.18</v>
      </c>
    </row>
    <row r="41" spans="2:4" x14ac:dyDescent="0.25">
      <c r="B41" s="9" t="s">
        <v>5</v>
      </c>
      <c r="C41" s="6">
        <v>2813</v>
      </c>
      <c r="D41" s="25">
        <v>24101.29</v>
      </c>
    </row>
    <row r="42" spans="2:4" x14ac:dyDescent="0.25">
      <c r="B42" s="9" t="s">
        <v>6</v>
      </c>
      <c r="C42" s="6">
        <v>1864</v>
      </c>
      <c r="D42" s="25">
        <v>1680</v>
      </c>
    </row>
    <row r="43" spans="2:4" x14ac:dyDescent="0.25">
      <c r="B43" s="9" t="s">
        <v>7</v>
      </c>
      <c r="C43" s="6">
        <v>4230</v>
      </c>
      <c r="D43" s="25">
        <v>530</v>
      </c>
    </row>
    <row r="44" spans="2:4" x14ac:dyDescent="0.25">
      <c r="B44" s="10" t="s">
        <v>8</v>
      </c>
      <c r="C44" s="8">
        <f>SUM(C40:C43)</f>
        <v>9154</v>
      </c>
      <c r="D44" s="4">
        <f>SUM(D40:D43)</f>
        <v>32683.47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2007</v>
      </c>
      <c r="D48" s="25">
        <v>1590</v>
      </c>
    </row>
    <row r="49" spans="2:4" x14ac:dyDescent="0.25">
      <c r="B49" s="10" t="s">
        <v>8</v>
      </c>
      <c r="C49" s="8">
        <f>SUM(C48:C48)</f>
        <v>2007</v>
      </c>
      <c r="D49" s="4">
        <f>SUM(D48:D48)</f>
        <v>1590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299</v>
      </c>
      <c r="D53" s="26">
        <v>0</v>
      </c>
    </row>
    <row r="54" spans="2:4" x14ac:dyDescent="0.25">
      <c r="B54" s="1" t="s">
        <v>5</v>
      </c>
      <c r="C54" s="6">
        <v>716</v>
      </c>
      <c r="D54" s="25">
        <v>500</v>
      </c>
    </row>
    <row r="55" spans="2:4" x14ac:dyDescent="0.25">
      <c r="B55" s="1" t="s">
        <v>6</v>
      </c>
      <c r="C55" s="6">
        <v>619</v>
      </c>
      <c r="D55" s="26">
        <v>0</v>
      </c>
    </row>
    <row r="56" spans="2:4" x14ac:dyDescent="0.25">
      <c r="B56" s="1" t="s">
        <v>7</v>
      </c>
      <c r="C56" s="6">
        <v>2270</v>
      </c>
      <c r="D56" s="26">
        <v>0</v>
      </c>
    </row>
    <row r="57" spans="2:4" x14ac:dyDescent="0.25">
      <c r="B57" s="3" t="s">
        <v>8</v>
      </c>
      <c r="C57" s="8">
        <f>SUM(C53:C56)</f>
        <v>3904</v>
      </c>
      <c r="D57" s="4">
        <f>SUM(D53:D56)</f>
        <v>500</v>
      </c>
    </row>
    <row r="59" spans="2:4" x14ac:dyDescent="0.25">
      <c r="B59" s="11" t="s">
        <v>13</v>
      </c>
      <c r="C59" s="12">
        <f>SUM(C10+C44+C19+C49+C28+C57+C36)</f>
        <v>98355</v>
      </c>
      <c r="D59" s="12">
        <f>SUM(D10+D44+D19+D49+D28+D57+D36)</f>
        <v>358939.31000000006</v>
      </c>
    </row>
  </sheetData>
  <mergeCells count="7">
    <mergeCell ref="B46:D46"/>
    <mergeCell ref="B51:D51"/>
    <mergeCell ref="B21:D21"/>
    <mergeCell ref="B12:D12"/>
    <mergeCell ref="B30:D30"/>
    <mergeCell ref="B3:D3"/>
    <mergeCell ref="B38:D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14 MAYO'!C6, 'REPORTE DIARIO'!C:C)</f>
        <v>12447</v>
      </c>
      <c r="E6" s="15">
        <f>SUMIF('REPORTE DIARIO'!B:B,'EPR 14 MAYO'!C6, 'REPORTE DIARIO'!D:D)</f>
        <v>160197.62</v>
      </c>
      <c r="F6" s="15">
        <f>J6*D6</f>
        <v>391191.42857142858</v>
      </c>
      <c r="G6" s="15">
        <f>+E6-F6</f>
        <v>-230993.80857142858</v>
      </c>
      <c r="H6" s="14">
        <f>ABS(G6/F6)</f>
        <v>0.59048790873302803</v>
      </c>
      <c r="I6" s="15">
        <f>E6/D6</f>
        <v>12.87038001124769</v>
      </c>
      <c r="J6" s="15">
        <f>220/7</f>
        <v>31.428571428571427</v>
      </c>
      <c r="K6" s="15">
        <f>+I6-J6</f>
        <v>-18.558191417323737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14 MAYO'!C7, 'REPORTE DIARIO'!C:C)</f>
        <v>12056</v>
      </c>
      <c r="E7" s="15">
        <f>SUMIF('REPORTE DIARIO'!B:B,'EPR 14 MAYO'!C7, 'REPORTE DIARIO'!D:D)</f>
        <v>60006.29</v>
      </c>
      <c r="F7" s="15">
        <f>J7*D7</f>
        <v>189451.42857142855</v>
      </c>
      <c r="G7" s="15">
        <f>+E7-F7</f>
        <v>-129445.13857142854</v>
      </c>
      <c r="H7" s="14">
        <f>ABS(G7/F7)</f>
        <v>0.68326293207456101</v>
      </c>
      <c r="I7" s="15">
        <f>E7/D7</f>
        <v>4.9772967816854683</v>
      </c>
      <c r="J7" s="15">
        <f>110/7</f>
        <v>15.714285714285714</v>
      </c>
      <c r="K7" s="15">
        <f t="shared" ref="K7:K9" si="0">+I7-J7</f>
        <v>-10.736988932600244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14 MAYO'!C8, 'REPORTE DIARIO'!C:C)</f>
        <v>15008</v>
      </c>
      <c r="E8" s="15">
        <f>SUMIF('REPORTE DIARIO'!B:B,'EPR 14 MAYO'!C8, 'REPORTE DIARIO'!D:D)</f>
        <v>23017.599999999999</v>
      </c>
      <c r="F8" s="15">
        <f>J8*D8</f>
        <v>96480</v>
      </c>
      <c r="G8" s="15">
        <f>+E8-F8</f>
        <v>-73462.399999999994</v>
      </c>
      <c r="H8" s="14">
        <f>ABS(G8/F8)</f>
        <v>0.76142620232172464</v>
      </c>
      <c r="I8" s="15">
        <f>E8/D8</f>
        <v>1.5336886993603411</v>
      </c>
      <c r="J8" s="15">
        <f>45/7</f>
        <v>6.4285714285714288</v>
      </c>
      <c r="K8" s="15">
        <f t="shared" si="0"/>
        <v>-4.8948827292110879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14 MAYO'!C9, 'REPORTE DIARIO'!C:C)</f>
        <v>58829</v>
      </c>
      <c r="E9" s="15">
        <f>SUMIF('REPORTE DIARIO'!B:B,'EPR 14 MAYO'!C9, 'REPORTE DIARIO'!D:D)</f>
        <v>115717.8</v>
      </c>
      <c r="F9" s="15">
        <f>J9*D9</f>
        <v>126062.14285714286</v>
      </c>
      <c r="G9" s="15">
        <f>+E9-F9</f>
        <v>-10344.342857142852</v>
      </c>
      <c r="H9" s="14">
        <f>ABS(G9/F9)</f>
        <v>8.205748865355518E-2</v>
      </c>
      <c r="I9" s="15">
        <f>E9/D9</f>
        <v>1.9670196671709532</v>
      </c>
      <c r="J9" s="15">
        <f>15/7</f>
        <v>2.1428571428571428</v>
      </c>
      <c r="K9" s="15">
        <f t="shared" si="0"/>
        <v>-0.17583747568618957</v>
      </c>
    </row>
    <row r="10" spans="2:12" x14ac:dyDescent="0.25">
      <c r="B10" s="15"/>
      <c r="C10" s="18" t="s">
        <v>16</v>
      </c>
      <c r="D10" s="23">
        <f>SUM(D6:D9)</f>
        <v>98340</v>
      </c>
      <c r="E10" s="19">
        <f>SUM(E6:E9)</f>
        <v>358939.31</v>
      </c>
      <c r="F10" s="19">
        <f>SUM(F6:F9)</f>
        <v>803185</v>
      </c>
      <c r="G10" s="19">
        <f>+E10-F10</f>
        <v>-444245.69</v>
      </c>
      <c r="H10" s="20">
        <f>ABS(G10/F10)</f>
        <v>0.55310506296805839</v>
      </c>
      <c r="I10" s="19">
        <f>E10/D10</f>
        <v>3.6499828147244253</v>
      </c>
      <c r="J10" s="19">
        <f>F10/D10</f>
        <v>8.1674293268252995</v>
      </c>
      <c r="K10" s="19">
        <f>I10-J10</f>
        <v>-4.5174465121008742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2025-05-15T04:12:25Z</dcterms:modified>
</cp:coreProperties>
</file>