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0\13 MAYO\NOCHE\"/>
    </mc:Choice>
  </mc:AlternateContent>
  <xr:revisionPtr revIDLastSave="0" documentId="13_ncr:1_{2660DC56-B21F-400F-BB71-33189CE7AE6B}" xr6:coauthVersionLast="47" xr6:coauthVersionMax="47" xr10:uidLastSave="{00000000-0000-0000-0000-000000000000}"/>
  <bookViews>
    <workbookView xWindow="6525" yWindow="6525" windowWidth="10005" windowHeight="5445" xr2:uid="{4DC6C92A-CD8A-4966-829B-0B6A986E825B}"/>
  </bookViews>
  <sheets>
    <sheet name="REPORTE DIARIO" sheetId="1" r:id="rId1"/>
    <sheet name="DATA" sheetId="4" r:id="rId2"/>
    <sheet name="EPR 13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D59" i="1" s="1"/>
  <c r="C28" i="1"/>
  <c r="J6" i="3"/>
  <c r="D49" i="1"/>
  <c r="D57" i="1"/>
  <c r="C57" i="1"/>
  <c r="C49" i="1"/>
  <c r="D19" i="1" l="1"/>
  <c r="C19" i="1"/>
  <c r="J9" i="3"/>
  <c r="J8" i="3"/>
  <c r="J7" i="3"/>
  <c r="D6" i="3"/>
  <c r="F6" i="3" s="1"/>
  <c r="D41" i="1"/>
  <c r="C41" i="1"/>
  <c r="D36" i="1"/>
  <c r="C36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9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<sst xmlns="http://schemas.openxmlformats.org/spreadsheetml/2006/main" count="88" uniqueCount="36">
  <si>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</si>
  <si>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</si>
  <si>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</si>
  <si>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</si>
  <si>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</si>
  <si>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</si>
  <si>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</si>
  <si>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</si>
  <si>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</si>
  <si>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</si>
  <si>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</si>
  <si>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</si>
  <si>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</si>
  <si>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</si>
  <si>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</si>
  <si>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</si>
  <si>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</si>
  <si>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</si>
  <si>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</si>
  <si>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</si>
  <si>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</si>
  <si>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</si>
  <si>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</si>
  <si>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</si>
  <si>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</si>
  <si>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</si>
  <si>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</si>
  <si>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</si>
  <si>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</si>
  <si>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</si>
  <si>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</si>
  <si>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</si>
  <si>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</si>
  <si>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</si>
  <si>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</si>
  <si>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13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</si>
</sst>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abSelected="1" topLeftCell="A34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4090</v>
      </c>
      <c r="D5" s="25">
        <v>60881.850000000006</v>
      </c>
    </row>
    <row r="6" spans="2:8" x14ac:dyDescent="0.25">
      <c r="B6" s="1" t="s">
        <v>5</v>
      </c>
      <c r="C6" s="6">
        <v>4355</v>
      </c>
      <c r="D6" s="25">
        <v>25967</v>
      </c>
    </row>
    <row r="7" spans="2:8" x14ac:dyDescent="0.25">
      <c r="B7" s="1" t="s">
        <v>6</v>
      </c>
      <c r="C7" s="6">
        <v>6144</v>
      </c>
      <c r="D7" s="25">
        <v>54791</v>
      </c>
    </row>
    <row r="8" spans="2:8" x14ac:dyDescent="0.25">
      <c r="B8" s="5" t="s">
        <v>12</v>
      </c>
      <c r="C8" s="7">
        <v>12</v>
      </c>
      <c r="D8" s="26">
        <v>0</v>
      </c>
    </row>
    <row r="9" spans="2:8" x14ac:dyDescent="0.25">
      <c r="B9" s="1" t="s">
        <v>7</v>
      </c>
      <c r="C9" s="6">
        <v>13243</v>
      </c>
      <c r="D9" s="25">
        <v>40304</v>
      </c>
    </row>
    <row r="10" spans="2:8" x14ac:dyDescent="0.25">
      <c r="B10" s="3" t="s">
        <v>8</v>
      </c>
      <c r="C10" s="8">
        <f>SUM(C5:C9)</f>
        <v>27844</v>
      </c>
      <c r="D10" s="4">
        <f>SUM(D5:D9)</f>
        <v>181943.85</v>
      </c>
    </row>
    <row r="12" spans="2:8" x14ac:dyDescent="0.25">
      <c r="B12" s="27" t="s">
        <v>29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1969</v>
      </c>
      <c r="D14" s="25">
        <v>13140.32</v>
      </c>
    </row>
    <row r="15" spans="2:8" x14ac:dyDescent="0.25">
      <c r="B15" s="1" t="s">
        <v>5</v>
      </c>
      <c r="C15" s="6">
        <v>1923</v>
      </c>
      <c r="D15" s="25">
        <v>7482</v>
      </c>
    </row>
    <row r="16" spans="2:8" x14ac:dyDescent="0.25">
      <c r="B16" s="1" t="s">
        <v>6</v>
      </c>
      <c r="C16" s="6">
        <v>3215</v>
      </c>
      <c r="D16" s="25">
        <v>13130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20594</v>
      </c>
      <c r="D18" s="25">
        <v>44374</v>
      </c>
    </row>
    <row r="19" spans="2:11" x14ac:dyDescent="0.25">
      <c r="B19" s="3" t="s">
        <v>8</v>
      </c>
      <c r="C19" s="8">
        <f>SUM(C14:C18)</f>
        <v>27703</v>
      </c>
      <c r="D19" s="4">
        <f>SUM(D14:D18)</f>
        <v>78126.320000000007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3123</v>
      </c>
      <c r="D23" s="25">
        <v>31306.730000000003</v>
      </c>
    </row>
    <row r="24" spans="2:11" x14ac:dyDescent="0.25">
      <c r="B24" s="9" t="s">
        <v>5</v>
      </c>
      <c r="C24" s="6">
        <v>1734</v>
      </c>
      <c r="D24" s="25">
        <v>18609.43</v>
      </c>
    </row>
    <row r="25" spans="2:11" x14ac:dyDescent="0.25">
      <c r="B25" s="9" t="s">
        <v>6</v>
      </c>
      <c r="C25" s="6">
        <v>2268</v>
      </c>
      <c r="D25" s="25">
        <v>10677</v>
      </c>
    </row>
    <row r="26" spans="2:11" x14ac:dyDescent="0.25">
      <c r="B26" s="5" t="s">
        <v>12</v>
      </c>
      <c r="C26" s="7">
        <v>1</v>
      </c>
      <c r="D26" s="26">
        <v>0</v>
      </c>
      <c r="K26" s="7"/>
    </row>
    <row r="27" spans="2:11" x14ac:dyDescent="0.25">
      <c r="B27" s="9" t="s">
        <v>7</v>
      </c>
      <c r="C27" s="6">
        <v>9838</v>
      </c>
      <c r="D27" s="25">
        <v>7324</v>
      </c>
    </row>
    <row r="28" spans="2:11" x14ac:dyDescent="0.25">
      <c r="B28" s="10" t="s">
        <v>8</v>
      </c>
      <c r="C28" s="8">
        <f>SUM(C23:C27)</f>
        <v>16964</v>
      </c>
      <c r="D28" s="4">
        <f>SUM(D23:D27)</f>
        <v>67917.16</v>
      </c>
    </row>
    <row r="30" spans="2:11" x14ac:dyDescent="0.25">
      <c r="B30" s="27" t="s">
        <v>9</v>
      </c>
      <c r="C30" s="27"/>
      <c r="D30" s="27"/>
    </row>
    <row r="31" spans="2:11" x14ac:dyDescent="0.25">
      <c r="B31" s="2" t="s">
        <v>1</v>
      </c>
      <c r="C31" s="2" t="s">
        <v>2</v>
      </c>
      <c r="D31" s="2" t="s">
        <v>3</v>
      </c>
    </row>
    <row r="32" spans="2:11" x14ac:dyDescent="0.25">
      <c r="B32" s="9" t="s">
        <v>4</v>
      </c>
      <c r="C32" s="6">
        <v>248</v>
      </c>
      <c r="D32" s="25">
        <v>5239</v>
      </c>
    </row>
    <row r="33" spans="2:4" x14ac:dyDescent="0.25">
      <c r="B33" s="9" t="s">
        <v>5</v>
      </c>
      <c r="C33" s="6">
        <v>2808</v>
      </c>
      <c r="D33" s="25">
        <v>11088.5</v>
      </c>
    </row>
    <row r="34" spans="2:4" x14ac:dyDescent="0.25">
      <c r="B34" s="9" t="s">
        <v>6</v>
      </c>
      <c r="C34" s="6">
        <v>2226</v>
      </c>
      <c r="D34" s="25">
        <v>15407</v>
      </c>
    </row>
    <row r="35" spans="2:4" x14ac:dyDescent="0.25">
      <c r="B35" s="9" t="s">
        <v>7</v>
      </c>
      <c r="C35" s="6">
        <v>4227</v>
      </c>
      <c r="D35" s="26">
        <v>0</v>
      </c>
    </row>
    <row r="36" spans="2:4" x14ac:dyDescent="0.25">
      <c r="B36" s="10" t="s">
        <v>8</v>
      </c>
      <c r="C36" s="8">
        <f>SUM(C32:C35)</f>
        <v>9509</v>
      </c>
      <c r="D36" s="4">
        <f>SUM(D32:D35)</f>
        <v>31734.5</v>
      </c>
    </row>
    <row r="38" spans="2:4" x14ac:dyDescent="0.25">
      <c r="B38" s="28" t="s">
        <v>11</v>
      </c>
      <c r="C38" s="28"/>
      <c r="D38" s="28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6">
        <v>2019</v>
      </c>
      <c r="D40" s="25">
        <v>5686</v>
      </c>
    </row>
    <row r="41" spans="2:4" x14ac:dyDescent="0.25">
      <c r="B41" s="10" t="s">
        <v>8</v>
      </c>
      <c r="C41" s="8">
        <f>SUM(C40:C40)</f>
        <v>2019</v>
      </c>
      <c r="D41" s="4">
        <f>SUM(D40:D40)</f>
        <v>5686</v>
      </c>
    </row>
    <row r="43" spans="2:4" x14ac:dyDescent="0.25">
      <c r="B43" s="27" t="s">
        <v>30</v>
      </c>
      <c r="C43" s="27"/>
      <c r="D43" s="27"/>
    </row>
    <row r="44" spans="2:4" x14ac:dyDescent="0.25">
      <c r="B44" s="2" t="s">
        <v>1</v>
      </c>
      <c r="C44" s="2" t="s">
        <v>2</v>
      </c>
      <c r="D44" s="2" t="s">
        <v>3</v>
      </c>
    </row>
    <row r="45" spans="2:4" x14ac:dyDescent="0.25">
      <c r="B45" s="9" t="s">
        <v>4</v>
      </c>
      <c r="C45" s="6">
        <v>270</v>
      </c>
      <c r="D45" s="25">
        <v>948</v>
      </c>
    </row>
    <row r="46" spans="2:4" x14ac:dyDescent="0.25">
      <c r="B46" s="1" t="s">
        <v>5</v>
      </c>
      <c r="C46" s="6">
        <v>715</v>
      </c>
      <c r="D46" s="25">
        <v>2923</v>
      </c>
    </row>
    <row r="47" spans="2:4" x14ac:dyDescent="0.25">
      <c r="B47" s="1" t="s">
        <v>6</v>
      </c>
      <c r="C47" s="6">
        <v>614</v>
      </c>
      <c r="D47" s="26">
        <v>0</v>
      </c>
    </row>
    <row r="48" spans="2:4" x14ac:dyDescent="0.25">
      <c r="B48" s="1" t="s">
        <v>7</v>
      </c>
      <c r="C48" s="6">
        <v>2203</v>
      </c>
      <c r="D48" s="25">
        <v>772</v>
      </c>
    </row>
    <row r="49" spans="2:4" x14ac:dyDescent="0.25">
      <c r="B49" s="3" t="s">
        <v>8</v>
      </c>
      <c r="C49" s="8">
        <f>SUM(C45:C48)</f>
        <v>3802</v>
      </c>
      <c r="D49" s="4">
        <f>SUM(D45:D48)</f>
        <v>4643</v>
      </c>
    </row>
    <row r="51" spans="2:4" x14ac:dyDescent="0.25">
      <c r="B51" s="27" t="s">
        <v>31</v>
      </c>
      <c r="C51" s="27"/>
      <c r="D51" s="27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311</v>
      </c>
      <c r="D53" s="26">
        <v>0</v>
      </c>
    </row>
    <row r="54" spans="2:4" x14ac:dyDescent="0.25">
      <c r="B54" s="1" t="s">
        <v>5</v>
      </c>
      <c r="C54" s="6">
        <v>546</v>
      </c>
      <c r="D54" s="26">
        <v>0</v>
      </c>
    </row>
    <row r="55" spans="2:4" x14ac:dyDescent="0.25">
      <c r="B55" s="1" t="s">
        <v>6</v>
      </c>
      <c r="C55" s="6">
        <v>931</v>
      </c>
      <c r="D55" s="26">
        <v>0</v>
      </c>
    </row>
    <row r="56" spans="2:4" x14ac:dyDescent="0.25">
      <c r="B56" s="1" t="s">
        <v>7</v>
      </c>
      <c r="C56" s="6">
        <v>1112</v>
      </c>
      <c r="D56" s="25">
        <v>1645</v>
      </c>
    </row>
    <row r="57" spans="2:4" x14ac:dyDescent="0.25">
      <c r="B57" s="3" t="s">
        <v>8</v>
      </c>
      <c r="C57" s="8">
        <f>SUM(C53:C56)</f>
        <v>2900</v>
      </c>
      <c r="D57" s="4">
        <f>SUM(D53:D56)</f>
        <v>1645</v>
      </c>
    </row>
    <row r="59" spans="2:4" x14ac:dyDescent="0.25">
      <c r="B59" s="11" t="s">
        <v>13</v>
      </c>
      <c r="C59" s="12">
        <f>SUM(C10+C36+C28+C41+C19+C49+C57)</f>
        <v>90741</v>
      </c>
      <c r="D59" s="12">
        <f>SUM(D10+D36+D28+D41+D19+D49+D57)</f>
        <v>371695.83</v>
      </c>
    </row>
  </sheetData>
  <mergeCells count="7">
    <mergeCell ref="B12:D12"/>
    <mergeCell ref="B21:D21"/>
    <mergeCell ref="B51:D51"/>
    <mergeCell ref="B3:D3"/>
    <mergeCell ref="B30:D30"/>
    <mergeCell ref="B38:D38"/>
    <mergeCell ref="B43:D4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B4" sqref="B4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13 MAYO'!C6, 'REPORTE DIARIO'!C:C)</f>
        <v>12030</v>
      </c>
      <c r="E6" s="15">
        <f>SUMIF('REPORTE DIARIO'!B:B,'EPR 13 MAYO'!C6, 'REPORTE DIARIO'!D:D)</f>
        <v>117201.90000000002</v>
      </c>
      <c r="F6" s="15">
        <f>J6*D6</f>
        <v>378085.71428571426</v>
      </c>
      <c r="G6" s="15">
        <f>+E6-F6</f>
        <v>-260883.81428571424</v>
      </c>
      <c r="H6" s="14">
        <f>ABS(G6/F6)</f>
        <v>0.69001235547494888</v>
      </c>
      <c r="I6" s="15">
        <f>E6/D6</f>
        <v>9.7424688279301765</v>
      </c>
      <c r="J6" s="15">
        <f>220/7</f>
        <v>31.428571428571427</v>
      </c>
      <c r="K6" s="15">
        <f>+I6-J6</f>
        <v>-21.686102600641249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13 MAYO'!C7, 'REPORTE DIARIO'!C:C)</f>
        <v>12081</v>
      </c>
      <c r="E7" s="15">
        <f>SUMIF('REPORTE DIARIO'!B:B,'EPR 13 MAYO'!C7, 'REPORTE DIARIO'!D:D)</f>
        <v>66069.929999999993</v>
      </c>
      <c r="F7" s="15">
        <f>J7*D7</f>
        <v>189844.28571428571</v>
      </c>
      <c r="G7" s="15">
        <f>+E7-F7</f>
        <v>-123774.35571428572</v>
      </c>
      <c r="H7" s="14">
        <f>ABS(G7/F7)</f>
        <v>0.65197830552859115</v>
      </c>
      <c r="I7" s="15">
        <f>E7/D7</f>
        <v>5.4689123416935681</v>
      </c>
      <c r="J7" s="15">
        <f>110/7</f>
        <v>15.714285714285714</v>
      </c>
      <c r="K7" s="15">
        <f t="shared" ref="K7:K9" si="0">+I7-J7</f>
        <v>-10.245373372592145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13 MAYO'!C8, 'REPORTE DIARIO'!C:C)</f>
        <v>15398</v>
      </c>
      <c r="E8" s="15">
        <f>SUMIF('REPORTE DIARIO'!B:B,'EPR 13 MAYO'!C8, 'REPORTE DIARIO'!D:D)</f>
        <v>94005</v>
      </c>
      <c r="F8" s="15">
        <f>J8*D8</f>
        <v>98987.142857142855</v>
      </c>
      <c r="G8" s="15">
        <f>+E8-F8</f>
        <v>-4982.1428571428551</v>
      </c>
      <c r="H8" s="14">
        <f>ABS(G8/F8)</f>
        <v>5.0331211845694224E-2</v>
      </c>
      <c r="I8" s="15">
        <f>E8/D8</f>
        <v>6.1050136381348228</v>
      </c>
      <c r="J8" s="15">
        <f>45/7</f>
        <v>6.4285714285714288</v>
      </c>
      <c r="K8" s="15">
        <f t="shared" si="0"/>
        <v>-0.32355779043660604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13 MAYO'!C9, 'REPORTE DIARIO'!C:C)</f>
        <v>51217</v>
      </c>
      <c r="E9" s="15">
        <f>SUMIF('REPORTE DIARIO'!B:B,'EPR 13 MAYO'!C9, 'REPORTE DIARIO'!D:D)</f>
        <v>94419</v>
      </c>
      <c r="F9" s="15">
        <f>J9*D9</f>
        <v>109750.71428571428</v>
      </c>
      <c r="G9" s="15">
        <f>+E9-F9</f>
        <v>-15331.714285714275</v>
      </c>
      <c r="H9" s="14">
        <f>ABS(G9/F9)</f>
        <v>0.13969580412753571</v>
      </c>
      <c r="I9" s="15">
        <f>E9/D9</f>
        <v>1.8435089911552804</v>
      </c>
      <c r="J9" s="15">
        <f>15/7</f>
        <v>2.1428571428571428</v>
      </c>
      <c r="K9" s="15">
        <f t="shared" si="0"/>
        <v>-0.29934815170186235</v>
      </c>
    </row>
    <row r="10" spans="2:12" x14ac:dyDescent="0.25">
      <c r="B10" s="15"/>
      <c r="C10" s="18" t="s">
        <v>16</v>
      </c>
      <c r="D10" s="23">
        <f>SUM(D6:D9)</f>
        <v>90726</v>
      </c>
      <c r="E10" s="19">
        <f>SUM(E6:E9)</f>
        <v>371695.83</v>
      </c>
      <c r="F10" s="19">
        <f>SUM(F6:F9)</f>
        <v>776667.85714285716</v>
      </c>
      <c r="G10" s="19">
        <f>+E10-F10</f>
        <v>-404972.02714285714</v>
      </c>
      <c r="H10" s="20">
        <f>ABS(G10/F10)</f>
        <v>0.52142241167625436</v>
      </c>
      <c r="I10" s="19">
        <f>E10/D10</f>
        <v>4.096905297268699</v>
      </c>
      <c r="J10" s="19">
        <f>F10/D10</f>
        <v>8.5605874516991509</v>
      </c>
      <c r="K10" s="19">
        <f>I10-J10</f>
        <v>-4.4636821544304519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13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2025-05-14T02:44:33Z</dcterms:modified>
</cp:coreProperties>
</file>