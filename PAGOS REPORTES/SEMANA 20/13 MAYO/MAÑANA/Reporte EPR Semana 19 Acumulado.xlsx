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20\13 MAYO\MAÑANA\"/>
    </mc:Choice>
  </mc:AlternateContent>
  <xr:revisionPtr revIDLastSave="0" documentId="13_ncr:1_{9EF6BD89-D099-498F-BCC4-EFCA4E1F58A7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13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D18" i="1"/>
  <c r="J9" i="3"/>
  <c r="J8" i="3"/>
  <c r="J7" i="3"/>
  <c r="J6" i="3"/>
  <c r="D6" i="3"/>
  <c r="D56" i="1"/>
  <c r="C56" i="1"/>
  <c r="D48" i="1"/>
  <c r="C48" i="1"/>
  <c r="D35" i="1"/>
  <c r="C35" i="1"/>
  <c r="D40" i="1" l="1"/>
  <c r="C40" i="1"/>
  <c r="D26" i="1"/>
  <c r="C2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<sst xmlns="http://schemas.openxmlformats.org/spreadsheetml/2006/main" count="88" uniqueCount="37">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</sst>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49" zoomScaleNormal="100" workbookViewId="0">
      <selection activeCell="B3" sqref="B3:D5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4042</v>
      </c>
      <c r="D5" s="25">
        <v>119138.12</v>
      </c>
    </row>
    <row r="6" spans="2:8" x14ac:dyDescent="0.3">
      <c r="B6" s="1" t="s">
        <v>5</v>
      </c>
      <c r="C6" s="6">
        <v>4295</v>
      </c>
      <c r="D6" s="25">
        <v>58610.03</v>
      </c>
    </row>
    <row r="7" spans="2:8" x14ac:dyDescent="0.3">
      <c r="B7" s="1" t="s">
        <v>6</v>
      </c>
      <c r="C7" s="6">
        <v>6053</v>
      </c>
      <c r="D7" s="25">
        <v>90911</v>
      </c>
    </row>
    <row r="8" spans="2:8" x14ac:dyDescent="0.3">
      <c r="B8" s="5" t="s">
        <v>12</v>
      </c>
      <c r="C8" s="7">
        <v>10</v>
      </c>
      <c r="D8" s="25">
        <v>803.56</v>
      </c>
    </row>
    <row r="9" spans="2:8" x14ac:dyDescent="0.3">
      <c r="B9" s="1" t="s">
        <v>7</v>
      </c>
      <c r="C9" s="6">
        <v>13337</v>
      </c>
      <c r="D9" s="25">
        <v>67074.149999999994</v>
      </c>
      <c r="E9" s="14"/>
      <c r="F9" s="7"/>
    </row>
    <row r="10" spans="2:8" x14ac:dyDescent="0.3">
      <c r="B10" s="3" t="s">
        <v>8</v>
      </c>
      <c r="C10" s="8">
        <f>SUM(C5:C9)</f>
        <v>27737</v>
      </c>
      <c r="D10" s="4">
        <f>SUM(D5:D9)</f>
        <v>336536.86</v>
      </c>
      <c r="E10" s="11" t="s">
        <v>14</v>
      </c>
    </row>
    <row r="12" spans="2:8" x14ac:dyDescent="0.3">
      <c r="B12" s="28" t="s">
        <v>9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 s="6">
        <v>259</v>
      </c>
      <c r="D14" s="25">
        <v>20007.990000000002</v>
      </c>
    </row>
    <row r="15" spans="2:8" x14ac:dyDescent="0.3">
      <c r="B15" s="9" t="s">
        <v>5</v>
      </c>
      <c r="C15" s="6">
        <v>2030</v>
      </c>
      <c r="D15" s="25">
        <v>80939.78</v>
      </c>
    </row>
    <row r="16" spans="2:8" x14ac:dyDescent="0.3">
      <c r="B16" s="9" t="s">
        <v>6</v>
      </c>
      <c r="C16" s="6">
        <v>2233</v>
      </c>
      <c r="D16" s="25">
        <v>2381</v>
      </c>
    </row>
    <row r="17" spans="2:11" x14ac:dyDescent="0.3">
      <c r="B17" s="9" t="s">
        <v>7</v>
      </c>
      <c r="C17" s="6">
        <v>4232</v>
      </c>
      <c r="D17" s="25">
        <v>0</v>
      </c>
    </row>
    <row r="18" spans="2:11" x14ac:dyDescent="0.3">
      <c r="B18" s="10" t="s">
        <v>8</v>
      </c>
      <c r="C18" s="8">
        <f>SUM(C14:C17)</f>
        <v>8754</v>
      </c>
      <c r="D18" s="4">
        <f>SUM(D14:D17)</f>
        <v>103328.77</v>
      </c>
    </row>
    <row r="20" spans="2:11" x14ac:dyDescent="0.3">
      <c r="B20" s="27" t="s">
        <v>10</v>
      </c>
      <c r="C20" s="27"/>
      <c r="D20" s="27"/>
    </row>
    <row r="21" spans="2:11" x14ac:dyDescent="0.3">
      <c r="B21" s="4" t="s">
        <v>1</v>
      </c>
      <c r="C21" s="4" t="s">
        <v>2</v>
      </c>
      <c r="D21" s="4" t="s">
        <v>3</v>
      </c>
    </row>
    <row r="22" spans="2:11" x14ac:dyDescent="0.3">
      <c r="B22" s="9" t="s">
        <v>4</v>
      </c>
      <c r="C22" s="6">
        <v>3082</v>
      </c>
      <c r="D22" s="25">
        <v>15564.77</v>
      </c>
    </row>
    <row r="23" spans="2:11" x14ac:dyDescent="0.3">
      <c r="B23" s="9" t="s">
        <v>5</v>
      </c>
      <c r="C23" s="6">
        <v>1955</v>
      </c>
      <c r="D23" s="25">
        <v>20449</v>
      </c>
    </row>
    <row r="24" spans="2:11" x14ac:dyDescent="0.3">
      <c r="B24" s="9" t="s">
        <v>6</v>
      </c>
      <c r="C24" s="6">
        <v>2249</v>
      </c>
      <c r="D24" s="25">
        <v>12968</v>
      </c>
    </row>
    <row r="25" spans="2:11" x14ac:dyDescent="0.3">
      <c r="B25" s="9" t="s">
        <v>7</v>
      </c>
      <c r="C25" s="6">
        <v>9845</v>
      </c>
      <c r="D25" s="25">
        <v>8052</v>
      </c>
    </row>
    <row r="26" spans="2:11" x14ac:dyDescent="0.3">
      <c r="B26" s="10" t="s">
        <v>8</v>
      </c>
      <c r="C26" s="8">
        <f>SUM(C22:C25)</f>
        <v>17131</v>
      </c>
      <c r="D26" s="4">
        <f>SUM(D22:D25)</f>
        <v>57033.770000000004</v>
      </c>
    </row>
    <row r="27" spans="2:11" x14ac:dyDescent="0.3">
      <c r="K27" s="7"/>
    </row>
    <row r="28" spans="2:11" x14ac:dyDescent="0.3">
      <c r="B28" s="28" t="s">
        <v>30</v>
      </c>
      <c r="C28" s="28"/>
      <c r="D28" s="28"/>
    </row>
    <row r="29" spans="2:11" x14ac:dyDescent="0.3">
      <c r="B29" s="2" t="s">
        <v>1</v>
      </c>
      <c r="C29" s="2" t="s">
        <v>2</v>
      </c>
      <c r="D29" s="2" t="s">
        <v>3</v>
      </c>
    </row>
    <row r="30" spans="2:11" x14ac:dyDescent="0.3">
      <c r="B30" s="1" t="s">
        <v>4</v>
      </c>
      <c r="C30" s="6">
        <v>1921</v>
      </c>
      <c r="D30" s="25">
        <v>16811</v>
      </c>
    </row>
    <row r="31" spans="2:11" x14ac:dyDescent="0.3">
      <c r="B31" s="1" t="s">
        <v>5</v>
      </c>
      <c r="C31" s="6">
        <v>1833</v>
      </c>
      <c r="D31" s="25">
        <v>18115</v>
      </c>
    </row>
    <row r="32" spans="2:11" x14ac:dyDescent="0.3">
      <c r="B32" s="1" t="s">
        <v>6</v>
      </c>
      <c r="C32" s="6">
        <v>3131</v>
      </c>
      <c r="D32" s="25">
        <v>8420</v>
      </c>
    </row>
    <row r="33" spans="2:4" x14ac:dyDescent="0.3">
      <c r="B33" s="5" t="s">
        <v>12</v>
      </c>
      <c r="C33" s="7">
        <v>2</v>
      </c>
      <c r="D33" s="26">
        <v>0</v>
      </c>
    </row>
    <row r="34" spans="2:4" x14ac:dyDescent="0.3">
      <c r="B34" s="1" t="s">
        <v>7</v>
      </c>
      <c r="C34" s="6">
        <v>20831</v>
      </c>
      <c r="D34" s="25">
        <v>11655</v>
      </c>
    </row>
    <row r="35" spans="2:4" x14ac:dyDescent="0.3">
      <c r="B35" s="3" t="s">
        <v>8</v>
      </c>
      <c r="C35" s="8">
        <f>SUM(C30:C34)</f>
        <v>27718</v>
      </c>
      <c r="D35" s="4">
        <f>SUM(D30:D34)</f>
        <v>55001</v>
      </c>
    </row>
    <row r="37" spans="2:4" x14ac:dyDescent="0.3">
      <c r="B37" s="27" t="s">
        <v>11</v>
      </c>
      <c r="C37" s="27"/>
      <c r="D37" s="27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2040</v>
      </c>
      <c r="D39" s="25">
        <v>10957</v>
      </c>
    </row>
    <row r="40" spans="2:4" x14ac:dyDescent="0.3">
      <c r="B40" s="10" t="s">
        <v>8</v>
      </c>
      <c r="C40" s="8">
        <f>SUM(C39:C39)</f>
        <v>2040</v>
      </c>
      <c r="D40" s="4">
        <f>SUM(D39:D39)</f>
        <v>10957</v>
      </c>
    </row>
    <row r="42" spans="2:4" x14ac:dyDescent="0.3">
      <c r="B42" s="28" t="s">
        <v>31</v>
      </c>
      <c r="C42" s="28"/>
      <c r="D42" s="28"/>
    </row>
    <row r="43" spans="2:4" x14ac:dyDescent="0.3">
      <c r="B43" s="2" t="s">
        <v>1</v>
      </c>
      <c r="C43" s="2" t="s">
        <v>2</v>
      </c>
      <c r="D43" s="2" t="s">
        <v>3</v>
      </c>
    </row>
    <row r="44" spans="2:4" x14ac:dyDescent="0.3">
      <c r="B44" s="9" t="s">
        <v>4</v>
      </c>
      <c r="C44" s="6">
        <v>191</v>
      </c>
      <c r="D44" s="25">
        <v>3456</v>
      </c>
    </row>
    <row r="45" spans="2:4" x14ac:dyDescent="0.3">
      <c r="B45" s="1" t="s">
        <v>5</v>
      </c>
      <c r="C45" s="6">
        <v>645</v>
      </c>
      <c r="D45" s="25">
        <v>100</v>
      </c>
    </row>
    <row r="46" spans="2:4" x14ac:dyDescent="0.3">
      <c r="B46" s="1" t="s">
        <v>6</v>
      </c>
      <c r="C46" s="6">
        <v>523</v>
      </c>
      <c r="D46" s="25">
        <v>500</v>
      </c>
    </row>
    <row r="47" spans="2:4" x14ac:dyDescent="0.3">
      <c r="B47" s="1" t="s">
        <v>7</v>
      </c>
      <c r="C47" s="6">
        <v>2202</v>
      </c>
      <c r="D47" s="25">
        <v>1783</v>
      </c>
    </row>
    <row r="48" spans="2:4" x14ac:dyDescent="0.3">
      <c r="B48" s="3" t="s">
        <v>8</v>
      </c>
      <c r="C48" s="8">
        <f>SUM(C44:C47)</f>
        <v>3561</v>
      </c>
      <c r="D48" s="4">
        <f>SUM(D44:D47)</f>
        <v>5839</v>
      </c>
    </row>
    <row r="50" spans="2:4" x14ac:dyDescent="0.3">
      <c r="B50" s="28" t="s">
        <v>32</v>
      </c>
      <c r="C50" s="28"/>
      <c r="D50" s="28"/>
    </row>
    <row r="51" spans="2:4" x14ac:dyDescent="0.3">
      <c r="B51" s="2" t="s">
        <v>1</v>
      </c>
      <c r="C51" s="2" t="s">
        <v>2</v>
      </c>
      <c r="D51" s="2" t="s">
        <v>3</v>
      </c>
    </row>
    <row r="52" spans="2:4" x14ac:dyDescent="0.3">
      <c r="B52" s="9" t="s">
        <v>4</v>
      </c>
      <c r="C52" s="6">
        <v>233</v>
      </c>
      <c r="D52" s="26">
        <v>0</v>
      </c>
    </row>
    <row r="53" spans="2:4" x14ac:dyDescent="0.3">
      <c r="B53" s="1" t="s">
        <v>5</v>
      </c>
      <c r="C53" s="6">
        <v>472</v>
      </c>
      <c r="D53" s="25">
        <v>1500</v>
      </c>
    </row>
    <row r="54" spans="2:4" x14ac:dyDescent="0.3">
      <c r="B54" s="1" t="s">
        <v>6</v>
      </c>
      <c r="C54" s="6">
        <v>836</v>
      </c>
      <c r="D54" s="26">
        <v>0</v>
      </c>
    </row>
    <row r="55" spans="2:4" x14ac:dyDescent="0.3">
      <c r="B55" s="1" t="s">
        <v>7</v>
      </c>
      <c r="C55" s="6">
        <v>1109</v>
      </c>
      <c r="D55" s="25">
        <v>428</v>
      </c>
    </row>
    <row r="56" spans="2:4" x14ac:dyDescent="0.3">
      <c r="B56" s="3" t="s">
        <v>8</v>
      </c>
      <c r="C56" s="8">
        <f>SUM(C52:C55)</f>
        <v>2650</v>
      </c>
      <c r="D56" s="4">
        <f>SUM(D52:D55)</f>
        <v>1928</v>
      </c>
    </row>
    <row r="58" spans="2:4" x14ac:dyDescent="0.3">
      <c r="B58" s="12" t="s">
        <v>13</v>
      </c>
      <c r="C58" s="13">
        <f>SUM(C10+C26+C18+C40+C35+C48+C56)</f>
        <v>89591</v>
      </c>
      <c r="D58" s="13">
        <f>SUM(D10+D26+D18+D40+D35+D48+D56)</f>
        <v>570624.4</v>
      </c>
    </row>
  </sheetData>
  <mergeCells count="7">
    <mergeCell ref="B37:D37"/>
    <mergeCell ref="B50:D50"/>
    <mergeCell ref="B28:D28"/>
    <mergeCell ref="B42:D42"/>
    <mergeCell ref="B3:D3"/>
    <mergeCell ref="B20:D20"/>
    <mergeCell ref="B12:D12"/>
  </mergeCells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topLeftCell="C4" zoomScale="145" zoomScaleNormal="145" workbookViewId="0">
      <selection activeCell="B2" sqref="B2:K14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36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34</v>
      </c>
      <c r="C6" s="16" t="s">
        <v>4</v>
      </c>
      <c r="D6" s="23">
        <f>SUMIF('REPORTE DIARIO'!B:B,'EPR 13 MAYO'!C6, 'REPORTE DIARIO'!C:C)</f>
        <v>11768</v>
      </c>
      <c r="E6" s="16">
        <f>SUMIF('REPORTE DIARIO'!B:B,'EPR 13 MAYO'!C6, 'REPORTE DIARIO'!D:D)</f>
        <v>185934.87999999998</v>
      </c>
      <c r="F6" s="16">
        <f>J6*D6</f>
        <v>739702.85714285716</v>
      </c>
      <c r="G6" s="16">
        <f>+E6-F6</f>
        <v>-553767.97714285715</v>
      </c>
      <c r="H6" s="15">
        <f>ABS(G6/F6)</f>
        <v>0.74863571472714907</v>
      </c>
      <c r="I6" s="16">
        <f>E6/D6</f>
        <v>15.800040788579196</v>
      </c>
      <c r="J6" s="16">
        <f>(220/7)*2</f>
        <v>62.857142857142854</v>
      </c>
      <c r="K6" s="16">
        <f>+I6-J6</f>
        <v>-47.057102068563658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13 MAYO'!C7, 'REPORTE DIARIO'!C:C)</f>
        <v>11230</v>
      </c>
      <c r="E7" s="16">
        <f>SUMIF('REPORTE DIARIO'!B:B,'EPR 13 MAYO'!C7, 'REPORTE DIARIO'!D:D)</f>
        <v>179713.81</v>
      </c>
      <c r="F7" s="16">
        <f>J7*D7</f>
        <v>352942.8571428571</v>
      </c>
      <c r="G7" s="16">
        <f>+E7-F7</f>
        <v>-173229.0471428571</v>
      </c>
      <c r="H7" s="15">
        <f>ABS(G7/F7)</f>
        <v>0.49081329636525534</v>
      </c>
      <c r="I7" s="16">
        <f>E7/D7</f>
        <v>16.003010685663401</v>
      </c>
      <c r="J7" s="16">
        <f>(110/7)*2</f>
        <v>31.428571428571427</v>
      </c>
      <c r="K7" s="16">
        <f t="shared" ref="K7:K9" si="0">+I7-J7</f>
        <v>-15.425560742908026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13 MAYO'!C8, 'REPORTE DIARIO'!C:C)</f>
        <v>15025</v>
      </c>
      <c r="E8" s="16">
        <f>SUMIF('REPORTE DIARIO'!B:B,'EPR 13 MAYO'!C8, 'REPORTE DIARIO'!D:D)</f>
        <v>115180</v>
      </c>
      <c r="F8" s="16">
        <f>J8*D8</f>
        <v>193178.57142857145</v>
      </c>
      <c r="G8" s="16">
        <f>+E8-F8</f>
        <v>-77998.571428571449</v>
      </c>
      <c r="H8" s="15">
        <f>ABS(G8/F8)</f>
        <v>0.40376409687557779</v>
      </c>
      <c r="I8" s="16">
        <f>E8/D8</f>
        <v>7.665890183028286</v>
      </c>
      <c r="J8" s="16">
        <f>(45/7)*2</f>
        <v>12.857142857142858</v>
      </c>
      <c r="K8" s="16">
        <f t="shared" si="0"/>
        <v>-5.1912526741145717</v>
      </c>
      <c r="L8" s="15"/>
    </row>
    <row r="9" spans="2:12" x14ac:dyDescent="0.3">
      <c r="B9" s="16" t="s">
        <v>35</v>
      </c>
      <c r="C9" s="16" t="s">
        <v>7</v>
      </c>
      <c r="D9" s="23">
        <f>SUMIF('REPORTE DIARIO'!B:B,'EPR 13 MAYO'!C9, 'REPORTE DIARIO'!C:C)</f>
        <v>51556</v>
      </c>
      <c r="E9" s="16">
        <f>SUMIF('REPORTE DIARIO'!B:B,'EPR 13 MAYO'!C9, 'REPORTE DIARIO'!D:D)</f>
        <v>88992.15</v>
      </c>
      <c r="F9" s="16">
        <f>J9*D9</f>
        <v>220954.28571428571</v>
      </c>
      <c r="G9" s="16">
        <f>+E9-F9</f>
        <v>-131962.13571428572</v>
      </c>
      <c r="H9" s="15">
        <f>ABS(G9/F9)</f>
        <v>0.59723727597175891</v>
      </c>
      <c r="I9" s="16">
        <f>E9/D9</f>
        <v>1.7261259601210333</v>
      </c>
      <c r="J9" s="16">
        <f>(15/7)*2</f>
        <v>4.2857142857142856</v>
      </c>
      <c r="K9" s="16">
        <f t="shared" si="0"/>
        <v>-2.5595883255932526</v>
      </c>
    </row>
    <row r="10" spans="2:12" x14ac:dyDescent="0.3">
      <c r="B10" s="16"/>
      <c r="C10" s="19" t="s">
        <v>17</v>
      </c>
      <c r="D10" s="24">
        <f>SUM(D6:D9)</f>
        <v>89579</v>
      </c>
      <c r="E10" s="20">
        <f>SUM(E6:E9)</f>
        <v>569820.84</v>
      </c>
      <c r="F10" s="20">
        <f>SUM(F6:F9)</f>
        <v>1506778.5714285714</v>
      </c>
      <c r="G10" s="20">
        <f>+E10-F10</f>
        <v>-936957.73142857139</v>
      </c>
      <c r="H10" s="21">
        <f>ABS(G10/F10)</f>
        <v>0.6218284153989827</v>
      </c>
      <c r="I10" s="20">
        <f>E10/D10</f>
        <v>6.3610984717400276</v>
      </c>
      <c r="J10" s="20">
        <f>F10/D10</f>
        <v>16.820667471489649</v>
      </c>
      <c r="K10" s="20">
        <f>I10-J10</f>
        <v>-10.459568999749621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13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2025-05-13T14:18:57Z</cp:lastPrinted>
  <dcterms:created xsi:type="dcterms:W3CDTF">2025-01-27T15:11:28Z</dcterms:created>
  <dcterms:modified xsi:type="dcterms:W3CDTF">2025-05-13T14:19:00Z</dcterms:modified>
</cp:coreProperties>
</file>