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7 JUL\NOCHE\"/>
    </mc:Choice>
  </mc:AlternateContent>
  <xr:revisionPtr revIDLastSave="0" documentId="13_ncr:1_{48D03C83-0091-4D02-9313-97DE29FF20E3}" xr6:coauthVersionLast="47" xr6:coauthVersionMax="47" xr10:uidLastSave="{00000000-0000-0000-0000-000000000000}"/>
  <bookViews>
    <workbookView xWindow="14040" yWindow="138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19" i="1"/>
  <c r="C19" i="1"/>
  <c r="D6" i="3"/>
  <c r="D44" i="1"/>
  <c r="C44" i="1"/>
  <c r="D52" i="1"/>
  <c r="D57" i="1" l="1"/>
  <c r="C57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<sst xmlns="http://schemas.openxmlformats.org/spreadsheetml/2006/main" count="89" uniqueCount="37">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</sst>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4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3419</v>
      </c>
      <c r="D5" s="25">
        <v>459650.94</v>
      </c>
    </row>
    <row r="6" spans="2:8" x14ac:dyDescent="0.25">
      <c r="B6" s="1" t="s">
        <v>5</v>
      </c>
      <c r="C6" s="6">
        <v>2952</v>
      </c>
      <c r="D6" s="25">
        <v>178816.1</v>
      </c>
    </row>
    <row r="7" spans="2:8" x14ac:dyDescent="0.25">
      <c r="B7" s="1" t="s">
        <v>6</v>
      </c>
      <c r="C7" s="6">
        <v>4958</v>
      </c>
      <c r="D7" s="25">
        <v>200279.22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18316</v>
      </c>
      <c r="D9" s="25">
        <v>217127.81</v>
      </c>
      <c r="E9" s="14"/>
      <c r="F9" s="7"/>
    </row>
    <row r="10" spans="2:8" x14ac:dyDescent="0.25">
      <c r="B10" s="3" t="s">
        <v>8</v>
      </c>
      <c r="C10" s="8">
        <f>SUM(C5:C9)</f>
        <v>29656</v>
      </c>
      <c r="D10" s="4">
        <f>SUM(D5:D9)</f>
        <v>1055874.07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2510</v>
      </c>
      <c r="D14" s="25">
        <v>193506.96000000002</v>
      </c>
    </row>
    <row r="15" spans="2:8" x14ac:dyDescent="0.25">
      <c r="B15" s="9" t="s">
        <v>5</v>
      </c>
      <c r="C15" s="6">
        <v>837</v>
      </c>
      <c r="D15" s="25">
        <v>35465.089999999997</v>
      </c>
    </row>
    <row r="16" spans="2:8" x14ac:dyDescent="0.25">
      <c r="B16" s="9" t="s">
        <v>6</v>
      </c>
      <c r="C16" s="6">
        <v>1961</v>
      </c>
      <c r="D16" s="25">
        <v>50134.81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17237</v>
      </c>
      <c r="D18" s="25">
        <v>33796.699999999997</v>
      </c>
    </row>
    <row r="19" spans="2:4" x14ac:dyDescent="0.25">
      <c r="B19" s="10" t="s">
        <v>8</v>
      </c>
      <c r="C19" s="8">
        <f>SUM(C14:C18)</f>
        <v>22546</v>
      </c>
      <c r="D19" s="4">
        <f>SUM(D14:D18)</f>
        <v>312903.56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661</v>
      </c>
      <c r="D23" s="25">
        <v>96285.710000000021</v>
      </c>
    </row>
    <row r="24" spans="2:4" x14ac:dyDescent="0.25">
      <c r="B24" s="9" t="s">
        <v>5</v>
      </c>
      <c r="C24" s="6">
        <v>1559</v>
      </c>
      <c r="D24" s="25">
        <v>102443.49</v>
      </c>
    </row>
    <row r="25" spans="2:4" x14ac:dyDescent="0.25">
      <c r="B25" s="9" t="s">
        <v>6</v>
      </c>
      <c r="C25" s="6">
        <v>810</v>
      </c>
      <c r="D25" s="25">
        <v>67973.869999999981</v>
      </c>
    </row>
    <row r="26" spans="2:4" x14ac:dyDescent="0.25">
      <c r="B26" s="9" t="s">
        <v>7</v>
      </c>
      <c r="C26" s="6">
        <v>4323</v>
      </c>
      <c r="D26" s="25">
        <v>19818</v>
      </c>
    </row>
    <row r="27" spans="2:4" x14ac:dyDescent="0.25">
      <c r="B27" s="10" t="s">
        <v>8</v>
      </c>
      <c r="C27" s="8">
        <f>SUM(C23:C26)</f>
        <v>7353</v>
      </c>
      <c r="D27" s="4">
        <f>SUM(D23:D26)</f>
        <v>286521.07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3648</v>
      </c>
      <c r="D31" s="25">
        <v>133779.32999999999</v>
      </c>
    </row>
    <row r="32" spans="2:4" x14ac:dyDescent="0.25">
      <c r="B32" s="1" t="s">
        <v>5</v>
      </c>
      <c r="C32" s="6">
        <v>2370</v>
      </c>
      <c r="D32" s="25">
        <v>40985</v>
      </c>
    </row>
    <row r="33" spans="2:4" x14ac:dyDescent="0.25">
      <c r="B33" s="1" t="s">
        <v>6</v>
      </c>
      <c r="C33" s="6">
        <v>3374</v>
      </c>
      <c r="D33" s="25">
        <v>44092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14070</v>
      </c>
      <c r="D35" s="25">
        <v>62419.87</v>
      </c>
    </row>
    <row r="36" spans="2:4" x14ac:dyDescent="0.25">
      <c r="B36" s="3" t="s">
        <v>8</v>
      </c>
      <c r="C36" s="8">
        <f>SUM(C31:C35)</f>
        <v>23462</v>
      </c>
      <c r="D36" s="4">
        <f>SUM(D31:D35)</f>
        <v>281276.2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719</v>
      </c>
      <c r="D40" s="25">
        <v>80185.179999999993</v>
      </c>
    </row>
    <row r="41" spans="2:4" x14ac:dyDescent="0.25">
      <c r="B41" s="1" t="s">
        <v>5</v>
      </c>
      <c r="C41" s="6">
        <v>700</v>
      </c>
      <c r="D41" s="25">
        <v>9847</v>
      </c>
    </row>
    <row r="42" spans="2:4" x14ac:dyDescent="0.25">
      <c r="B42" s="1" t="s">
        <v>6</v>
      </c>
      <c r="C42" s="6">
        <v>1005</v>
      </c>
      <c r="D42" s="25">
        <v>12977</v>
      </c>
    </row>
    <row r="43" spans="2:4" x14ac:dyDescent="0.25">
      <c r="B43" s="1" t="s">
        <v>7</v>
      </c>
      <c r="C43" s="6">
        <v>418</v>
      </c>
      <c r="D43" s="25">
        <v>10031</v>
      </c>
    </row>
    <row r="44" spans="2:4" x14ac:dyDescent="0.25">
      <c r="B44" s="3" t="s">
        <v>8</v>
      </c>
      <c r="C44" s="8">
        <f>SUM(C40:C43)</f>
        <v>2842</v>
      </c>
      <c r="D44" s="4">
        <f>SUM(D40:D43)</f>
        <v>113040.18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989</v>
      </c>
      <c r="D48" s="25">
        <v>23264.04</v>
      </c>
    </row>
    <row r="49" spans="2:4" x14ac:dyDescent="0.25">
      <c r="B49" s="1" t="s">
        <v>5</v>
      </c>
      <c r="C49" s="6">
        <v>123</v>
      </c>
      <c r="D49" s="25">
        <v>3643</v>
      </c>
    </row>
    <row r="50" spans="2:4" x14ac:dyDescent="0.25">
      <c r="B50" s="1" t="s">
        <v>6</v>
      </c>
      <c r="C50" s="6">
        <v>546</v>
      </c>
      <c r="D50" s="25">
        <v>4088</v>
      </c>
    </row>
    <row r="51" spans="2:4" x14ac:dyDescent="0.25">
      <c r="B51" s="1" t="s">
        <v>7</v>
      </c>
      <c r="C51" s="6">
        <v>2302</v>
      </c>
      <c r="D51" s="25">
        <v>2981</v>
      </c>
    </row>
    <row r="52" spans="2:4" x14ac:dyDescent="0.25">
      <c r="B52" s="3" t="s">
        <v>8</v>
      </c>
      <c r="C52" s="8">
        <f>SUM(C48:C51)</f>
        <v>3960</v>
      </c>
      <c r="D52" s="4">
        <f>SUM(D48:D51)</f>
        <v>33976.04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1631</v>
      </c>
      <c r="D56" s="25">
        <v>42757</v>
      </c>
    </row>
    <row r="57" spans="2:4" x14ac:dyDescent="0.25">
      <c r="B57" s="10" t="s">
        <v>8</v>
      </c>
      <c r="C57" s="8">
        <f>SUM(C56:C56)</f>
        <v>1631</v>
      </c>
      <c r="D57" s="4">
        <f>SUM(D56:D56)</f>
        <v>42757</v>
      </c>
    </row>
    <row r="59" spans="2:4" x14ac:dyDescent="0.25">
      <c r="B59" s="12" t="s">
        <v>13</v>
      </c>
      <c r="C59" s="13">
        <f>SUMIF(B:B, "Total general", C:C)</f>
        <v>91450</v>
      </c>
      <c r="D59" s="13">
        <f>SUMIF(B:B, "Total general", D:D)</f>
        <v>2126348.12</v>
      </c>
    </row>
  </sheetData>
  <mergeCells count="7">
    <mergeCell ref="B54:D54"/>
    <mergeCell ref="B38:D38"/>
    <mergeCell ref="B29:D29"/>
    <mergeCell ref="B46:D46"/>
    <mergeCell ref="B3:D3"/>
    <mergeCell ref="B12:D12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13577</v>
      </c>
      <c r="E6" s="16">
        <f>SUMIF('REPORTE DIARIO'!B:B,'EPR 26 JUN'!C6, 'REPORTE DIARIO'!D:D)</f>
        <v>1029429.1600000001</v>
      </c>
      <c r="F6" s="16">
        <f>J6*D6</f>
        <v>853411.42857142852</v>
      </c>
      <c r="G6" s="16">
        <f>+E6-F6</f>
        <v>176017.73142857163</v>
      </c>
      <c r="H6" s="15">
        <f>ABS(G6/F6)</f>
        <v>0.20625190328563706</v>
      </c>
      <c r="I6" s="16">
        <f>E6/D6</f>
        <v>75.821548206525748</v>
      </c>
      <c r="J6" s="16">
        <f>(220/7)*2</f>
        <v>62.857142857142854</v>
      </c>
      <c r="K6" s="16">
        <f>+I6-J6</f>
        <v>12.964405349382893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8541</v>
      </c>
      <c r="E7" s="16">
        <f>SUMIF('REPORTE DIARIO'!B:B,'EPR 26 JUN'!C7, 'REPORTE DIARIO'!D:D)</f>
        <v>371199.68</v>
      </c>
      <c r="F7" s="16">
        <f>J7*D7</f>
        <v>268431.42857142858</v>
      </c>
      <c r="G7" s="16">
        <f>+E7-F7</f>
        <v>102768.25142857141</v>
      </c>
      <c r="H7" s="15">
        <f>ABS(G7/F7)</f>
        <v>0.38284731402539612</v>
      </c>
      <c r="I7" s="16">
        <f>E7/D7</f>
        <v>43.460915583655307</v>
      </c>
      <c r="J7" s="16">
        <f>(110/7)*2</f>
        <v>31.428571428571427</v>
      </c>
      <c r="K7" s="16">
        <f t="shared" ref="K7:K9" si="0">+I7-J7</f>
        <v>12.03234415508388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12654</v>
      </c>
      <c r="E8" s="16">
        <f>SUMIF('REPORTE DIARIO'!B:B,'EPR 26 JUN'!C8, 'REPORTE DIARIO'!D:D)</f>
        <v>379544.89999999997</v>
      </c>
      <c r="F8" s="16">
        <f>J8*D8</f>
        <v>162694.28571428571</v>
      </c>
      <c r="G8" s="16">
        <f>+E8-F8</f>
        <v>216850.61428571425</v>
      </c>
      <c r="H8" s="15">
        <f>ABS(G8/F8)</f>
        <v>1.3328717313805032</v>
      </c>
      <c r="I8" s="16">
        <f>E8/D8</f>
        <v>29.994065117749326</v>
      </c>
      <c r="J8" s="16">
        <f>(45/7)*2</f>
        <v>12.857142857142858</v>
      </c>
      <c r="K8" s="16">
        <f t="shared" si="0"/>
        <v>17.136922260606468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56666</v>
      </c>
      <c r="E9" s="16">
        <f>SUMIF('REPORTE DIARIO'!B:B,'EPR 26 JUN'!C9, 'REPORTE DIARIO'!D:D)</f>
        <v>346174.38</v>
      </c>
      <c r="F9" s="16">
        <f>J9*D9</f>
        <v>242854.28571428571</v>
      </c>
      <c r="G9" s="16">
        <f>+E9-F9</f>
        <v>103320.09428571429</v>
      </c>
      <c r="H9" s="15">
        <f>ABS(G9/F9)</f>
        <v>0.42544068753750047</v>
      </c>
      <c r="I9" s="16">
        <f>E9/D9</f>
        <v>6.1090315180178587</v>
      </c>
      <c r="J9" s="16">
        <f>(15/7)*2</f>
        <v>4.2857142857142856</v>
      </c>
      <c r="K9" s="16">
        <f t="shared" si="0"/>
        <v>1.8233172323035731</v>
      </c>
    </row>
    <row r="10" spans="2:12" x14ac:dyDescent="0.25">
      <c r="B10" s="16"/>
      <c r="C10" s="19" t="s">
        <v>17</v>
      </c>
      <c r="D10" s="24">
        <f>SUM(D6:D9)</f>
        <v>91438</v>
      </c>
      <c r="E10" s="20">
        <f>SUM(E6:E9)</f>
        <v>2126348.12</v>
      </c>
      <c r="F10" s="20">
        <f>SUM(F6:F9)</f>
        <v>1527391.4285714284</v>
      </c>
      <c r="G10" s="20">
        <f>+E10-F10</f>
        <v>598956.69142857171</v>
      </c>
      <c r="H10" s="21">
        <f>ABS(G10/F10)</f>
        <v>0.39214354632641668</v>
      </c>
      <c r="I10" s="20">
        <f>E10/D10</f>
        <v>23.254534438636018</v>
      </c>
      <c r="J10" s="20">
        <f>F10/D10</f>
        <v>16.704121137507691</v>
      </c>
      <c r="K10" s="20">
        <f>I10-J10</f>
        <v>6.5504133011283265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2025-07-18T05:18:03Z</dcterms:modified>
</cp:coreProperties>
</file>