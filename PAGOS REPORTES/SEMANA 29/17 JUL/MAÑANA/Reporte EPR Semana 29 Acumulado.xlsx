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7 JUL\MAÑANA\"/>
    </mc:Choice>
  </mc:AlternateContent>
  <xr:revisionPtr revIDLastSave="0" documentId="13_ncr:1_{9CD20002-D600-434B-A753-EB1F15AC69BD}" xr6:coauthVersionLast="47" xr6:coauthVersionMax="47" xr10:uidLastSave="{00000000-0000-0000-0000-000000000000}"/>
  <bookViews>
    <workbookView xWindow="3540" yWindow="3540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36" i="1" l="1"/>
  <c r="D36" i="1"/>
  <c r="D27" i="1"/>
  <c r="C27" i="1"/>
  <c r="D6" i="3"/>
  <c r="D44" i="1"/>
  <c r="C44" i="1"/>
  <c r="D57" i="1"/>
  <c r="D49" i="1" l="1"/>
  <c r="C49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<sst xmlns="http://schemas.openxmlformats.org/spreadsheetml/2006/main" count="89" uniqueCount="37">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</sst>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4322</v>
      </c>
      <c r="D5" s="25">
        <v>414626.47000000003</v>
      </c>
    </row>
    <row r="6" spans="2:8" x14ac:dyDescent="0.25">
      <c r="B6" s="1" t="s">
        <v>5</v>
      </c>
      <c r="C6" s="6">
        <v>4000</v>
      </c>
      <c r="D6" s="25">
        <v>158453.02000000002</v>
      </c>
    </row>
    <row r="7" spans="2:8" x14ac:dyDescent="0.25">
      <c r="B7" s="1" t="s">
        <v>6</v>
      </c>
      <c r="C7" s="6">
        <v>6781</v>
      </c>
      <c r="D7" s="25">
        <v>165695.22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17449</v>
      </c>
      <c r="D9" s="25">
        <v>184806.81</v>
      </c>
      <c r="E9" s="14"/>
      <c r="F9" s="7"/>
    </row>
    <row r="10" spans="2:8" x14ac:dyDescent="0.25">
      <c r="B10" s="3" t="s">
        <v>8</v>
      </c>
      <c r="C10" s="8">
        <f>SUM(C5:C9)</f>
        <v>32563</v>
      </c>
      <c r="D10" s="4">
        <f>SUM(D5:D9)</f>
        <v>923581.52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655</v>
      </c>
      <c r="D14" s="25">
        <v>79228.810000000012</v>
      </c>
    </row>
    <row r="15" spans="2:8" x14ac:dyDescent="0.25">
      <c r="B15" s="9" t="s">
        <v>5</v>
      </c>
      <c r="C15" s="6">
        <v>1543</v>
      </c>
      <c r="D15" s="25">
        <v>89527.49</v>
      </c>
    </row>
    <row r="16" spans="2:8" x14ac:dyDescent="0.25">
      <c r="B16" s="9" t="s">
        <v>6</v>
      </c>
      <c r="C16" s="6">
        <v>817</v>
      </c>
      <c r="D16" s="25">
        <v>65674.469999999987</v>
      </c>
    </row>
    <row r="17" spans="2:4" x14ac:dyDescent="0.25">
      <c r="B17" s="9" t="s">
        <v>7</v>
      </c>
      <c r="C17" s="6">
        <v>4323</v>
      </c>
      <c r="D17" s="25">
        <v>19818</v>
      </c>
    </row>
    <row r="18" spans="2:4" x14ac:dyDescent="0.25">
      <c r="B18" s="10" t="s">
        <v>8</v>
      </c>
      <c r="C18" s="8">
        <f>SUM(C14:C17)</f>
        <v>7338</v>
      </c>
      <c r="D18" s="4">
        <f>SUM(D14:D17)</f>
        <v>254248.77000000002</v>
      </c>
    </row>
    <row r="20" spans="2:4" x14ac:dyDescent="0.25">
      <c r="B20" s="27" t="s">
        <v>10</v>
      </c>
      <c r="C20" s="27"/>
      <c r="D20" s="27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2529</v>
      </c>
      <c r="D22" s="25">
        <v>151470.28</v>
      </c>
    </row>
    <row r="23" spans="2:4" x14ac:dyDescent="0.25">
      <c r="B23" s="9" t="s">
        <v>5</v>
      </c>
      <c r="C23" s="6">
        <v>840</v>
      </c>
      <c r="D23" s="25">
        <v>28429.07</v>
      </c>
    </row>
    <row r="24" spans="2:4" x14ac:dyDescent="0.25">
      <c r="B24" s="9" t="s">
        <v>6</v>
      </c>
      <c r="C24" s="6">
        <v>2352</v>
      </c>
      <c r="D24" s="25">
        <v>41275.81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9" t="s">
        <v>7</v>
      </c>
      <c r="C26" s="6">
        <v>16831</v>
      </c>
      <c r="D26" s="25">
        <v>28885.269999999997</v>
      </c>
    </row>
    <row r="27" spans="2:4" x14ac:dyDescent="0.25">
      <c r="B27" s="10" t="s">
        <v>8</v>
      </c>
      <c r="C27" s="8">
        <f>SUM(C22:C26)</f>
        <v>22553</v>
      </c>
      <c r="D27" s="4">
        <f>SUM(D22:D26)</f>
        <v>250060.43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3871</v>
      </c>
      <c r="D31" s="25">
        <v>117179.26</v>
      </c>
    </row>
    <row r="32" spans="2:4" x14ac:dyDescent="0.25">
      <c r="B32" s="1" t="s">
        <v>5</v>
      </c>
      <c r="C32" s="6">
        <v>2503</v>
      </c>
      <c r="D32" s="25">
        <v>35120</v>
      </c>
    </row>
    <row r="33" spans="2:4" x14ac:dyDescent="0.25">
      <c r="B33" s="1" t="s">
        <v>6</v>
      </c>
      <c r="C33" s="6">
        <v>3814</v>
      </c>
      <c r="D33" s="25">
        <v>39601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14101</v>
      </c>
      <c r="D35" s="25">
        <v>50355</v>
      </c>
    </row>
    <row r="36" spans="2:4" x14ac:dyDescent="0.25">
      <c r="B36" s="3" t="s">
        <v>8</v>
      </c>
      <c r="C36" s="8">
        <f>SUM(C31:C35)</f>
        <v>24289</v>
      </c>
      <c r="D36" s="4">
        <f>SUM(D31:D35)</f>
        <v>242255.26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73889.179999999993</v>
      </c>
    </row>
    <row r="41" spans="2:4" x14ac:dyDescent="0.25">
      <c r="B41" s="1" t="s">
        <v>5</v>
      </c>
      <c r="C41" s="6">
        <v>701</v>
      </c>
      <c r="D41" s="25">
        <v>8947</v>
      </c>
    </row>
    <row r="42" spans="2:4" x14ac:dyDescent="0.25">
      <c r="B42" s="1" t="s">
        <v>6</v>
      </c>
      <c r="C42" s="6">
        <v>1005</v>
      </c>
      <c r="D42" s="25">
        <v>10561</v>
      </c>
    </row>
    <row r="43" spans="2:4" x14ac:dyDescent="0.25">
      <c r="B43" s="1" t="s">
        <v>7</v>
      </c>
      <c r="C43" s="6">
        <v>418</v>
      </c>
      <c r="D43" s="25">
        <v>9932</v>
      </c>
    </row>
    <row r="44" spans="2:4" x14ac:dyDescent="0.25">
      <c r="B44" s="3" t="s">
        <v>8</v>
      </c>
      <c r="C44" s="8">
        <f>SUM(C40:C43)</f>
        <v>2844</v>
      </c>
      <c r="D44" s="4">
        <f>SUM(D40:D43)</f>
        <v>103329.18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1641</v>
      </c>
      <c r="D48" s="25">
        <v>27669</v>
      </c>
    </row>
    <row r="49" spans="2:4" x14ac:dyDescent="0.25">
      <c r="B49" s="10" t="s">
        <v>8</v>
      </c>
      <c r="C49" s="8">
        <f>SUM(C48:C48)</f>
        <v>1641</v>
      </c>
      <c r="D49" s="4">
        <f>SUM(D48:D48)</f>
        <v>27669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1002</v>
      </c>
      <c r="D53" s="25">
        <v>18905</v>
      </c>
    </row>
    <row r="54" spans="2:4" x14ac:dyDescent="0.25">
      <c r="B54" s="1" t="s">
        <v>5</v>
      </c>
      <c r="C54" s="6">
        <v>135</v>
      </c>
      <c r="D54" s="25">
        <v>3143</v>
      </c>
    </row>
    <row r="55" spans="2:4" x14ac:dyDescent="0.25">
      <c r="B55" s="1" t="s">
        <v>6</v>
      </c>
      <c r="C55" s="6">
        <v>578</v>
      </c>
      <c r="D55" s="25">
        <v>2120</v>
      </c>
    </row>
    <row r="56" spans="2:4" x14ac:dyDescent="0.25">
      <c r="B56" s="1" t="s">
        <v>7</v>
      </c>
      <c r="C56" s="6">
        <v>2308</v>
      </c>
      <c r="D56" s="25">
        <v>2981</v>
      </c>
    </row>
    <row r="57" spans="2:4" x14ac:dyDescent="0.25">
      <c r="B57" s="3" t="s">
        <v>8</v>
      </c>
      <c r="C57" s="8">
        <f>SUM(C53:C56)</f>
        <v>4023</v>
      </c>
      <c r="D57" s="4">
        <f>SUM(D53:D56)</f>
        <v>27149</v>
      </c>
    </row>
    <row r="59" spans="2:4" x14ac:dyDescent="0.25">
      <c r="B59" s="12" t="s">
        <v>13</v>
      </c>
      <c r="C59" s="13">
        <f>SUMIF(B:B, "Total general", C:C)</f>
        <v>95251</v>
      </c>
      <c r="D59" s="13">
        <f>SUMIF(B:B, "Total general", D:D)</f>
        <v>1828293.16</v>
      </c>
    </row>
  </sheetData>
  <mergeCells count="7">
    <mergeCell ref="B46:D46"/>
    <mergeCell ref="B38:D38"/>
    <mergeCell ref="B29:D29"/>
    <mergeCell ref="B51:D51"/>
    <mergeCell ref="B3:D3"/>
    <mergeCell ref="B20:D20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14740</v>
      </c>
      <c r="E6" s="16">
        <f>SUMIF('REPORTE DIARIO'!B:B,'EPR 26 JUN'!C6, 'REPORTE DIARIO'!D:D)</f>
        <v>882968</v>
      </c>
      <c r="F6" s="16">
        <f>J6*D6</f>
        <v>926514.28571428568</v>
      </c>
      <c r="G6" s="16">
        <f>+E6-F6</f>
        <v>-43546.285714285681</v>
      </c>
      <c r="H6" s="15">
        <f>ABS(G6/F6)</f>
        <v>4.7000123350191159E-2</v>
      </c>
      <c r="I6" s="16">
        <f>E6/D6</f>
        <v>59.902849389416552</v>
      </c>
      <c r="J6" s="16">
        <f>(220/7)*2</f>
        <v>62.857142857142854</v>
      </c>
      <c r="K6" s="16">
        <f>+I6-J6</f>
        <v>-2.954293467726302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9722</v>
      </c>
      <c r="E7" s="16">
        <f>SUMIF('REPORTE DIARIO'!B:B,'EPR 26 JUN'!C7, 'REPORTE DIARIO'!D:D)</f>
        <v>323619.58</v>
      </c>
      <c r="F7" s="16">
        <f>J7*D7</f>
        <v>305548.57142857142</v>
      </c>
      <c r="G7" s="16">
        <f>+E7-F7</f>
        <v>18071.008571428596</v>
      </c>
      <c r="H7" s="15">
        <f>ABS(G7/F7)</f>
        <v>5.9142834433618306E-2</v>
      </c>
      <c r="I7" s="16">
        <f>E7/D7</f>
        <v>33.287346225056574</v>
      </c>
      <c r="J7" s="16">
        <f>(110/7)*2</f>
        <v>31.428571428571427</v>
      </c>
      <c r="K7" s="16">
        <f t="shared" ref="K7:K9" si="0">+I7-J7</f>
        <v>1.8587747964851467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15347</v>
      </c>
      <c r="E8" s="16">
        <f>SUMIF('REPORTE DIARIO'!B:B,'EPR 26 JUN'!C8, 'REPORTE DIARIO'!D:D)</f>
        <v>324927.5</v>
      </c>
      <c r="F8" s="16">
        <f>J8*D8</f>
        <v>197318.57142857145</v>
      </c>
      <c r="G8" s="16">
        <f>+E8-F8</f>
        <v>127608.92857142855</v>
      </c>
      <c r="H8" s="15">
        <f>ABS(G8/F8)</f>
        <v>0.64671524655560608</v>
      </c>
      <c r="I8" s="16">
        <f>E8/D8</f>
        <v>21.172053170000652</v>
      </c>
      <c r="J8" s="16">
        <f>(45/7)*2</f>
        <v>12.857142857142858</v>
      </c>
      <c r="K8" s="16">
        <f t="shared" si="0"/>
        <v>8.3149103128577941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55430</v>
      </c>
      <c r="E9" s="16">
        <f>SUMIF('REPORTE DIARIO'!B:B,'EPR 26 JUN'!C9, 'REPORTE DIARIO'!D:D)</f>
        <v>296778.07999999996</v>
      </c>
      <c r="F9" s="16">
        <f>J9*D9</f>
        <v>237557.14285714284</v>
      </c>
      <c r="G9" s="16">
        <f>+E9-F9</f>
        <v>59220.937142857118</v>
      </c>
      <c r="H9" s="15">
        <f>ABS(G9/F9)</f>
        <v>0.24929133441577958</v>
      </c>
      <c r="I9" s="16">
        <f>E9/D9</f>
        <v>5.3541057189247692</v>
      </c>
      <c r="J9" s="16">
        <f>(15/7)*2</f>
        <v>4.2857142857142856</v>
      </c>
      <c r="K9" s="16">
        <f t="shared" si="0"/>
        <v>1.0683914332104836</v>
      </c>
    </row>
    <row r="10" spans="2:12" x14ac:dyDescent="0.25">
      <c r="B10" s="16"/>
      <c r="C10" s="19" t="s">
        <v>17</v>
      </c>
      <c r="D10" s="24">
        <f>SUM(D6:D9)</f>
        <v>95239</v>
      </c>
      <c r="E10" s="20">
        <f>SUM(E6:E9)</f>
        <v>1828293.1600000001</v>
      </c>
      <c r="F10" s="20">
        <f>SUM(F6:F9)</f>
        <v>1666938.5714285714</v>
      </c>
      <c r="G10" s="20">
        <f>+E10-F10</f>
        <v>161354.58857142879</v>
      </c>
      <c r="H10" s="21">
        <f>ABS(G10/F10)</f>
        <v>9.6796961410010096E-2</v>
      </c>
      <c r="I10" s="20">
        <f>E10/D10</f>
        <v>19.19689580948981</v>
      </c>
      <c r="J10" s="20">
        <f>F10/D10</f>
        <v>17.502688724457116</v>
      </c>
      <c r="K10" s="20">
        <f>I10-J10</f>
        <v>1.6942070850326942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2025-07-17T16:13:24Z</dcterms:modified>
</cp:coreProperties>
</file>