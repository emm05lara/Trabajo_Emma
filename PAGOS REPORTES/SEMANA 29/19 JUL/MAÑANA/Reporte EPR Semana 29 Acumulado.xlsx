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9 JUL\MAÑANA\"/>
    </mc:Choice>
  </mc:AlternateContent>
  <xr:revisionPtr revIDLastSave="0" documentId="13_ncr:1_{2058DC22-8C58-4AB1-AF82-E2AF19CD77D5}" xr6:coauthVersionLast="47" xr6:coauthVersionMax="47" xr10:uidLastSave="{00000000-0000-0000-0000-000000000000}"/>
  <bookViews>
    <workbookView xWindow="0" yWindow="241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<sst xmlns="http://schemas.openxmlformats.org/spreadsheetml/2006/main" count="89" uniqueCount="37">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</sst>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3437</v>
      </c>
      <c r="D5" s="25">
        <v>593182.46</v>
      </c>
    </row>
    <row r="6" spans="2:8" x14ac:dyDescent="0.25">
      <c r="B6" s="1" t="s">
        <v>5</v>
      </c>
      <c r="C6" s="6">
        <v>2943</v>
      </c>
      <c r="D6" s="25">
        <v>217418.02000000002</v>
      </c>
    </row>
    <row r="7" spans="2:8" x14ac:dyDescent="0.25">
      <c r="B7" s="1" t="s">
        <v>6</v>
      </c>
      <c r="C7" s="6">
        <v>4959</v>
      </c>
      <c r="D7" s="25">
        <v>239519.97000000003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18380</v>
      </c>
      <c r="D9" s="25">
        <v>394948.20999999996</v>
      </c>
      <c r="E9" s="14"/>
      <c r="F9" s="7"/>
    </row>
    <row r="10" spans="2:8" x14ac:dyDescent="0.25">
      <c r="B10" s="3" t="s">
        <v>8</v>
      </c>
      <c r="C10" s="8">
        <f>SUM(C5:C9)</f>
        <v>29730</v>
      </c>
      <c r="D10" s="4">
        <f>SUM(D5:D9)</f>
        <v>1445068.66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3647</v>
      </c>
      <c r="D14" s="25">
        <v>193861.33</v>
      </c>
    </row>
    <row r="15" spans="2:8" x14ac:dyDescent="0.25">
      <c r="B15" s="1" t="s">
        <v>5</v>
      </c>
      <c r="C15" s="6">
        <v>2357</v>
      </c>
      <c r="D15" s="25">
        <v>67522</v>
      </c>
    </row>
    <row r="16" spans="2:8" x14ac:dyDescent="0.25">
      <c r="B16" s="1" t="s">
        <v>6</v>
      </c>
      <c r="C16" s="6">
        <v>3446</v>
      </c>
      <c r="D16" s="25">
        <v>63925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14068</v>
      </c>
      <c r="D18" s="25">
        <v>85583</v>
      </c>
    </row>
    <row r="19" spans="2:4" x14ac:dyDescent="0.25">
      <c r="B19" s="3" t="s">
        <v>8</v>
      </c>
      <c r="C19" s="8">
        <f>SUM(C14:C18)</f>
        <v>23518</v>
      </c>
      <c r="D19" s="4">
        <f>SUM(D14:D18)</f>
        <v>410891.32999999996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2512</v>
      </c>
      <c r="D23" s="25">
        <v>227826.33999999991</v>
      </c>
    </row>
    <row r="24" spans="2:4" x14ac:dyDescent="0.25">
      <c r="B24" s="9" t="s">
        <v>5</v>
      </c>
      <c r="C24" s="6">
        <v>836</v>
      </c>
      <c r="D24" s="25">
        <v>37140.090000000004</v>
      </c>
    </row>
    <row r="25" spans="2:4" x14ac:dyDescent="0.25">
      <c r="B25" s="9" t="s">
        <v>6</v>
      </c>
      <c r="C25" s="6">
        <v>1958</v>
      </c>
      <c r="D25" s="25">
        <v>75724.81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17241</v>
      </c>
      <c r="D27" s="25">
        <v>69263.7</v>
      </c>
    </row>
    <row r="28" spans="2:4" x14ac:dyDescent="0.25">
      <c r="B28" s="10" t="s">
        <v>8</v>
      </c>
      <c r="C28" s="8">
        <f>SUM(C23:C27)</f>
        <v>22548</v>
      </c>
      <c r="D28" s="4">
        <f>SUM(D23:D27)</f>
        <v>409954.93999999994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670</v>
      </c>
      <c r="D32" s="25">
        <v>103640.11000000002</v>
      </c>
    </row>
    <row r="33" spans="2:4" x14ac:dyDescent="0.25">
      <c r="B33" s="9" t="s">
        <v>5</v>
      </c>
      <c r="C33" s="6">
        <v>1493</v>
      </c>
      <c r="D33" s="25">
        <v>143481.45000000004</v>
      </c>
    </row>
    <row r="34" spans="2:4" x14ac:dyDescent="0.25">
      <c r="B34" s="9" t="s">
        <v>6</v>
      </c>
      <c r="C34" s="6">
        <v>810</v>
      </c>
      <c r="D34" s="25">
        <v>82856.36</v>
      </c>
    </row>
    <row r="35" spans="2:4" x14ac:dyDescent="0.25">
      <c r="B35" s="9" t="s">
        <v>7</v>
      </c>
      <c r="C35" s="6">
        <v>4323</v>
      </c>
      <c r="D35" s="25">
        <v>28192</v>
      </c>
    </row>
    <row r="36" spans="2:4" x14ac:dyDescent="0.25">
      <c r="B36" s="10" t="s">
        <v>8</v>
      </c>
      <c r="C36" s="8">
        <f>SUM(C32:C35)</f>
        <v>7296</v>
      </c>
      <c r="D36" s="4">
        <f>SUM(D32:D35)</f>
        <v>358169.92000000004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716</v>
      </c>
      <c r="D40" s="25">
        <v>124487.69</v>
      </c>
    </row>
    <row r="41" spans="2:4" x14ac:dyDescent="0.25">
      <c r="B41" s="1" t="s">
        <v>5</v>
      </c>
      <c r="C41" s="6">
        <v>700</v>
      </c>
      <c r="D41" s="25">
        <v>10803</v>
      </c>
    </row>
    <row r="42" spans="2:4" x14ac:dyDescent="0.25">
      <c r="B42" s="1" t="s">
        <v>6</v>
      </c>
      <c r="C42" s="6">
        <v>1004</v>
      </c>
      <c r="D42" s="25">
        <v>15902</v>
      </c>
    </row>
    <row r="43" spans="2:4" x14ac:dyDescent="0.25">
      <c r="B43" s="1" t="s">
        <v>7</v>
      </c>
      <c r="C43" s="6">
        <v>418</v>
      </c>
      <c r="D43" s="25">
        <v>10031</v>
      </c>
    </row>
    <row r="44" spans="2:4" x14ac:dyDescent="0.25">
      <c r="B44" s="3" t="s">
        <v>8</v>
      </c>
      <c r="C44" s="8">
        <f>SUM(C40:C43)</f>
        <v>2838</v>
      </c>
      <c r="D44" s="4">
        <f>SUM(D40:D43)</f>
        <v>161223.69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1628</v>
      </c>
      <c r="D48" s="25">
        <v>51084</v>
      </c>
    </row>
    <row r="49" spans="2:4" x14ac:dyDescent="0.25">
      <c r="B49" s="10" t="s">
        <v>8</v>
      </c>
      <c r="C49" s="8">
        <f>SUM(C48:C48)</f>
        <v>1628</v>
      </c>
      <c r="D49" s="4">
        <f>SUM(D48:D48)</f>
        <v>51084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988</v>
      </c>
      <c r="D53" s="25">
        <v>28637.040000000001</v>
      </c>
    </row>
    <row r="54" spans="2:4" x14ac:dyDescent="0.25">
      <c r="B54" s="1" t="s">
        <v>5</v>
      </c>
      <c r="C54" s="6">
        <v>120</v>
      </c>
      <c r="D54" s="25">
        <v>5098</v>
      </c>
    </row>
    <row r="55" spans="2:4" x14ac:dyDescent="0.25">
      <c r="B55" s="1" t="s">
        <v>6</v>
      </c>
      <c r="C55" s="6">
        <v>546</v>
      </c>
      <c r="D55" s="25">
        <v>4088</v>
      </c>
    </row>
    <row r="56" spans="2:4" x14ac:dyDescent="0.25">
      <c r="B56" s="1" t="s">
        <v>7</v>
      </c>
      <c r="C56" s="6">
        <v>2302</v>
      </c>
      <c r="D56" s="25">
        <v>5022</v>
      </c>
    </row>
    <row r="57" spans="2:4" x14ac:dyDescent="0.25">
      <c r="B57" s="3" t="s">
        <v>8</v>
      </c>
      <c r="C57" s="8">
        <f>SUM(C53:C56)</f>
        <v>3956</v>
      </c>
      <c r="D57" s="4">
        <f>SUM(D53:D56)</f>
        <v>42845.04</v>
      </c>
    </row>
    <row r="59" spans="2:4" x14ac:dyDescent="0.25">
      <c r="B59" s="12" t="s">
        <v>13</v>
      </c>
      <c r="C59" s="13">
        <f>SUMIF(B:B, "Total general", C:C)</f>
        <v>91514</v>
      </c>
      <c r="D59" s="13">
        <f>SUMIF(B:B, "Total general", D:D)</f>
        <v>2879237.5799999996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13598</v>
      </c>
      <c r="E6" s="16">
        <f>SUMIF('REPORTE DIARIO'!B:B,'EPR 26 JUN'!C6, 'REPORTE DIARIO'!D:D)</f>
        <v>1322718.97</v>
      </c>
      <c r="F6" s="16">
        <f>J6*D6</f>
        <v>854731.42857142852</v>
      </c>
      <c r="G6" s="16">
        <f>+E6-F6</f>
        <v>467987.54142857145</v>
      </c>
      <c r="H6" s="15">
        <f>ABS(G6/F6)</f>
        <v>0.54752583769003471</v>
      </c>
      <c r="I6" s="16">
        <f>E6/D6</f>
        <v>97.273052654802171</v>
      </c>
      <c r="J6" s="16">
        <f>(220/7)*2</f>
        <v>62.857142857142854</v>
      </c>
      <c r="K6" s="16">
        <f>+I6-J6</f>
        <v>34.415909797659317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8449</v>
      </c>
      <c r="E7" s="16">
        <f>SUMIF('REPORTE DIARIO'!B:B,'EPR 26 JUN'!C7, 'REPORTE DIARIO'!D:D)</f>
        <v>481462.56000000006</v>
      </c>
      <c r="F7" s="16">
        <f>J7*D7</f>
        <v>265540</v>
      </c>
      <c r="G7" s="16">
        <f>+E7-F7</f>
        <v>215922.56000000006</v>
      </c>
      <c r="H7" s="15">
        <f>ABS(G7/F7)</f>
        <v>0.81314513820893297</v>
      </c>
      <c r="I7" s="16">
        <f>E7/D7</f>
        <v>56.984561486566463</v>
      </c>
      <c r="J7" s="16">
        <f>(110/7)*2</f>
        <v>31.428571428571427</v>
      </c>
      <c r="K7" s="16">
        <f t="shared" ref="K7:K9" si="0">+I7-J7</f>
        <v>25.555990057995036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12723</v>
      </c>
      <c r="E8" s="16">
        <f>SUMIF('REPORTE DIARIO'!B:B,'EPR 26 JUN'!C8, 'REPORTE DIARIO'!D:D)</f>
        <v>482016.14</v>
      </c>
      <c r="F8" s="16">
        <f>J8*D8</f>
        <v>163581.42857142858</v>
      </c>
      <c r="G8" s="16">
        <f>+E8-F8</f>
        <v>318434.71142857143</v>
      </c>
      <c r="H8" s="15">
        <f>ABS(G8/F8)</f>
        <v>1.9466434191796134</v>
      </c>
      <c r="I8" s="16">
        <f>E8/D8</f>
        <v>37.885415389452177</v>
      </c>
      <c r="J8" s="16">
        <f>(45/7)*2</f>
        <v>12.857142857142858</v>
      </c>
      <c r="K8" s="16">
        <f t="shared" si="0"/>
        <v>25.02827253230932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56732</v>
      </c>
      <c r="E9" s="16">
        <f>SUMIF('REPORTE DIARIO'!B:B,'EPR 26 JUN'!C9, 'REPORTE DIARIO'!D:D)</f>
        <v>593039.90999999992</v>
      </c>
      <c r="F9" s="16">
        <f>J9*D9</f>
        <v>243137.14285714284</v>
      </c>
      <c r="G9" s="16">
        <f>+E9-F9</f>
        <v>349902.76714285708</v>
      </c>
      <c r="H9" s="15">
        <f>ABS(G9/F9)</f>
        <v>1.4391168828879644</v>
      </c>
      <c r="I9" s="16">
        <f>E9/D9</f>
        <v>10.453358069519846</v>
      </c>
      <c r="J9" s="16">
        <f>(15/7)*2</f>
        <v>4.2857142857142856</v>
      </c>
      <c r="K9" s="16">
        <f t="shared" si="0"/>
        <v>6.16764378380556</v>
      </c>
    </row>
    <row r="10" spans="2:12" x14ac:dyDescent="0.25">
      <c r="B10" s="16"/>
      <c r="C10" s="19" t="s">
        <v>17</v>
      </c>
      <c r="D10" s="24">
        <f>SUM(D6:D9)</f>
        <v>91502</v>
      </c>
      <c r="E10" s="20">
        <f>SUM(E6:E9)</f>
        <v>2879237.58</v>
      </c>
      <c r="F10" s="20">
        <f>SUM(F6:F9)</f>
        <v>1526990</v>
      </c>
      <c r="G10" s="20">
        <f>+E10-F10</f>
        <v>1352247.58</v>
      </c>
      <c r="H10" s="21">
        <f>ABS(G10/F10)</f>
        <v>0.88556413597993444</v>
      </c>
      <c r="I10" s="20">
        <f>E10/D10</f>
        <v>31.46638958711285</v>
      </c>
      <c r="J10" s="20">
        <f>F10/D10</f>
        <v>16.688050534414547</v>
      </c>
      <c r="K10" s="20">
        <f>I10-J10</f>
        <v>14.778339052698303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2025-07-19T16:40:37Z</dcterms:modified>
</cp:coreProperties>
</file>