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20 JUL\NOCHE\"/>
    </mc:Choice>
  </mc:AlternateContent>
  <xr:revisionPtr revIDLastSave="0" documentId="13_ncr:1_{96C7D135-CA67-4B39-9799-115A776F4594}" xr6:coauthVersionLast="47" xr6:coauthVersionMax="47" xr10:uidLastSave="{00000000-0000-0000-0000-000000000000}"/>
  <bookViews>
    <workbookView xWindow="6210" yWindow="8625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<sst xmlns="http://schemas.openxmlformats.org/spreadsheetml/2006/main" count="89" uniqueCount="37">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</sst>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0" zoomScaleNormal="100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3348</v>
      </c>
      <c r="D5" s="25">
        <v>778523.13</v>
      </c>
    </row>
    <row r="6" spans="2:8" x14ac:dyDescent="0.25">
      <c r="B6" s="1" t="s">
        <v>5</v>
      </c>
      <c r="C6" s="6">
        <v>3059</v>
      </c>
      <c r="D6" s="25">
        <v>322017.02</v>
      </c>
    </row>
    <row r="7" spans="2:8" x14ac:dyDescent="0.25">
      <c r="B7" s="1" t="s">
        <v>6</v>
      </c>
      <c r="C7" s="6">
        <v>4944</v>
      </c>
      <c r="D7" s="25">
        <v>344510.97000000003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18558</v>
      </c>
      <c r="D9" s="25">
        <v>538407.56999999995</v>
      </c>
      <c r="E9" s="14"/>
      <c r="F9" s="7"/>
    </row>
    <row r="10" spans="2:8" x14ac:dyDescent="0.25">
      <c r="B10" s="3" t="s">
        <v>8</v>
      </c>
      <c r="C10" s="8">
        <f>SUM(C5:C9)</f>
        <v>29920</v>
      </c>
      <c r="D10" s="4">
        <f>SUM(D5:D9)</f>
        <v>1983458.69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3545</v>
      </c>
      <c r="D14" s="25">
        <v>327247.07</v>
      </c>
    </row>
    <row r="15" spans="2:8" x14ac:dyDescent="0.25">
      <c r="B15" s="1" t="s">
        <v>5</v>
      </c>
      <c r="C15" s="6">
        <v>2329</v>
      </c>
      <c r="D15" s="25">
        <v>94690</v>
      </c>
    </row>
    <row r="16" spans="2:8" x14ac:dyDescent="0.25">
      <c r="B16" s="1" t="s">
        <v>6</v>
      </c>
      <c r="C16" s="6">
        <v>3619</v>
      </c>
      <c r="D16" s="25">
        <v>102054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18173</v>
      </c>
      <c r="D18" s="25">
        <v>122563</v>
      </c>
    </row>
    <row r="19" spans="2:4" x14ac:dyDescent="0.25">
      <c r="B19" s="3" t="s">
        <v>8</v>
      </c>
      <c r="C19" s="8">
        <f>SUM(C14:C18)</f>
        <v>27666</v>
      </c>
      <c r="D19" s="4">
        <f>SUM(D14:D18)</f>
        <v>646554.07000000007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2269</v>
      </c>
      <c r="D23" s="25">
        <v>315929.60999999987</v>
      </c>
    </row>
    <row r="24" spans="2:4" x14ac:dyDescent="0.25">
      <c r="B24" s="9" t="s">
        <v>5</v>
      </c>
      <c r="C24" s="6">
        <v>835</v>
      </c>
      <c r="D24" s="25">
        <v>56363.09</v>
      </c>
    </row>
    <row r="25" spans="2:4" x14ac:dyDescent="0.25">
      <c r="B25" s="9" t="s">
        <v>6</v>
      </c>
      <c r="C25" s="6">
        <v>1939</v>
      </c>
      <c r="D25" s="25">
        <v>89000.81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17233</v>
      </c>
      <c r="D27" s="25">
        <v>85143.459999999992</v>
      </c>
    </row>
    <row r="28" spans="2:4" x14ac:dyDescent="0.25">
      <c r="B28" s="10" t="s">
        <v>8</v>
      </c>
      <c r="C28" s="8">
        <f>SUM(C23:C27)</f>
        <v>22277</v>
      </c>
      <c r="D28" s="4">
        <f>SUM(D23:D27)</f>
        <v>546436.96999999986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636</v>
      </c>
      <c r="D32" s="25">
        <v>155971.74000000005</v>
      </c>
    </row>
    <row r="33" spans="2:4" x14ac:dyDescent="0.25">
      <c r="B33" s="9" t="s">
        <v>5</v>
      </c>
      <c r="C33" s="6">
        <v>1486</v>
      </c>
      <c r="D33" s="25">
        <v>180877.64</v>
      </c>
    </row>
    <row r="34" spans="2:4" x14ac:dyDescent="0.25">
      <c r="B34" s="9" t="s">
        <v>6</v>
      </c>
      <c r="C34" s="6">
        <v>802</v>
      </c>
      <c r="D34" s="25">
        <v>90804.36</v>
      </c>
    </row>
    <row r="35" spans="2:4" x14ac:dyDescent="0.25">
      <c r="B35" s="9" t="s">
        <v>7</v>
      </c>
      <c r="C35" s="6">
        <v>4323</v>
      </c>
      <c r="D35" s="25">
        <v>31152</v>
      </c>
    </row>
    <row r="36" spans="2:4" x14ac:dyDescent="0.25">
      <c r="B36" s="10" t="s">
        <v>8</v>
      </c>
      <c r="C36" s="8">
        <f>SUM(C32:C35)</f>
        <v>7247</v>
      </c>
      <c r="D36" s="4">
        <f>SUM(D32:D35)</f>
        <v>458805.74000000005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706</v>
      </c>
      <c r="D40" s="25">
        <v>144579.69</v>
      </c>
    </row>
    <row r="41" spans="2:4" x14ac:dyDescent="0.25">
      <c r="B41" s="1" t="s">
        <v>5</v>
      </c>
      <c r="C41" s="6">
        <v>700</v>
      </c>
      <c r="D41" s="25">
        <v>14489</v>
      </c>
    </row>
    <row r="42" spans="2:4" x14ac:dyDescent="0.25">
      <c r="B42" s="1" t="s">
        <v>6</v>
      </c>
      <c r="C42" s="6">
        <v>1003</v>
      </c>
      <c r="D42" s="25">
        <v>20248</v>
      </c>
    </row>
    <row r="43" spans="2:4" x14ac:dyDescent="0.25">
      <c r="B43" s="1" t="s">
        <v>7</v>
      </c>
      <c r="C43" s="6">
        <v>418</v>
      </c>
      <c r="D43" s="25">
        <v>11031</v>
      </c>
    </row>
    <row r="44" spans="2:4" x14ac:dyDescent="0.25">
      <c r="B44" s="3" t="s">
        <v>8</v>
      </c>
      <c r="C44" s="8">
        <f>SUM(C40:C43)</f>
        <v>2827</v>
      </c>
      <c r="D44" s="4">
        <f>SUM(D40:D43)</f>
        <v>190347.69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976</v>
      </c>
      <c r="D48" s="25">
        <v>52683.040000000001</v>
      </c>
    </row>
    <row r="49" spans="2:4" x14ac:dyDescent="0.25">
      <c r="B49" s="1" t="s">
        <v>5</v>
      </c>
      <c r="C49" s="6">
        <v>110</v>
      </c>
      <c r="D49" s="25">
        <v>5098</v>
      </c>
    </row>
    <row r="50" spans="2:4" x14ac:dyDescent="0.25">
      <c r="B50" s="1" t="s">
        <v>6</v>
      </c>
      <c r="C50" s="6">
        <v>546</v>
      </c>
      <c r="D50" s="25">
        <v>4400</v>
      </c>
    </row>
    <row r="51" spans="2:4" x14ac:dyDescent="0.25">
      <c r="B51" s="1" t="s">
        <v>7</v>
      </c>
      <c r="C51" s="6">
        <v>2300</v>
      </c>
      <c r="D51" s="25">
        <v>11513</v>
      </c>
    </row>
    <row r="52" spans="2:4" x14ac:dyDescent="0.25">
      <c r="B52" s="3" t="s">
        <v>8</v>
      </c>
      <c r="C52" s="8">
        <f>SUM(C48:C51)</f>
        <v>3932</v>
      </c>
      <c r="D52" s="4">
        <f>SUM(D48:D51)</f>
        <v>73694.040000000008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1566</v>
      </c>
      <c r="D56" s="25">
        <v>62679</v>
      </c>
    </row>
    <row r="57" spans="2:4" x14ac:dyDescent="0.25">
      <c r="B57" s="10" t="s">
        <v>8</v>
      </c>
      <c r="C57" s="8">
        <f>SUM(C56:C56)</f>
        <v>1566</v>
      </c>
      <c r="D57" s="4">
        <f>SUM(D56:D56)</f>
        <v>62679</v>
      </c>
    </row>
    <row r="59" spans="2:4" x14ac:dyDescent="0.25">
      <c r="B59" s="12" t="s">
        <v>13</v>
      </c>
      <c r="C59" s="13">
        <f>SUMIF(B:B, "Total general", C:C)</f>
        <v>95435</v>
      </c>
      <c r="D59" s="13">
        <f>SUMIF(B:B, "Total general", D:D)</f>
        <v>3961976.1999999997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13046</v>
      </c>
      <c r="E6" s="16">
        <f>SUMIF('REPORTE DIARIO'!B:B,'EPR 26 JUN'!C6, 'REPORTE DIARIO'!D:D)</f>
        <v>1837613.2799999998</v>
      </c>
      <c r="F6" s="16">
        <f>J6*D6</f>
        <v>820034.28571428568</v>
      </c>
      <c r="G6" s="16">
        <f>+E6-F6</f>
        <v>1017578.9942857141</v>
      </c>
      <c r="H6" s="15">
        <f>ABS(G6/F6)</f>
        <v>1.2408981087898763</v>
      </c>
      <c r="I6" s="16">
        <f>E6/D6</f>
        <v>140.85645255250651</v>
      </c>
      <c r="J6" s="16">
        <f>(220/7)*2</f>
        <v>62.857142857142854</v>
      </c>
      <c r="K6" s="16">
        <f>+I6-J6</f>
        <v>77.99930969536365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8519</v>
      </c>
      <c r="E7" s="16">
        <f>SUMIF('REPORTE DIARIO'!B:B,'EPR 26 JUN'!C7, 'REPORTE DIARIO'!D:D)</f>
        <v>673534.75</v>
      </c>
      <c r="F7" s="16">
        <f>J7*D7</f>
        <v>267740</v>
      </c>
      <c r="G7" s="16">
        <f>+E7-F7</f>
        <v>405794.75</v>
      </c>
      <c r="H7" s="15">
        <f>ABS(G7/F7)</f>
        <v>1.5156299021438708</v>
      </c>
      <c r="I7" s="16">
        <f>E7/D7</f>
        <v>79.062654067378801</v>
      </c>
      <c r="J7" s="16">
        <f>(110/7)*2</f>
        <v>31.428571428571427</v>
      </c>
      <c r="K7" s="16">
        <f t="shared" ref="K7:K9" si="0">+I7-J7</f>
        <v>47.634082638807371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12853</v>
      </c>
      <c r="E8" s="16">
        <f>SUMIF('REPORTE DIARIO'!B:B,'EPR 26 JUN'!C8, 'REPORTE DIARIO'!D:D)</f>
        <v>651018.14</v>
      </c>
      <c r="F8" s="16">
        <f>J8*D8</f>
        <v>165252.85714285716</v>
      </c>
      <c r="G8" s="16">
        <f>+E8-F8</f>
        <v>485765.28285714285</v>
      </c>
      <c r="H8" s="15">
        <f>ABS(G8/F8)</f>
        <v>2.9395272871875995</v>
      </c>
      <c r="I8" s="16">
        <f>E8/D8</f>
        <v>50.651065120983432</v>
      </c>
      <c r="J8" s="16">
        <f>(45/7)*2</f>
        <v>12.857142857142858</v>
      </c>
      <c r="K8" s="16">
        <f t="shared" si="0"/>
        <v>37.793922263840571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61005</v>
      </c>
      <c r="E9" s="16">
        <f>SUMIF('REPORTE DIARIO'!B:B,'EPR 26 JUN'!C9, 'REPORTE DIARIO'!D:D)</f>
        <v>799810.02999999991</v>
      </c>
      <c r="F9" s="16">
        <f>J9*D9</f>
        <v>261450</v>
      </c>
      <c r="G9" s="16">
        <f>+E9-F9</f>
        <v>538360.02999999991</v>
      </c>
      <c r="H9" s="15">
        <f>ABS(G9/F9)</f>
        <v>2.0591318799005545</v>
      </c>
      <c r="I9" s="16">
        <f>E9/D9</f>
        <v>13.110565199573804</v>
      </c>
      <c r="J9" s="16">
        <f>(15/7)*2</f>
        <v>4.2857142857142856</v>
      </c>
      <c r="K9" s="16">
        <f t="shared" si="0"/>
        <v>8.8248509138595175</v>
      </c>
    </row>
    <row r="10" spans="2:12" x14ac:dyDescent="0.25">
      <c r="B10" s="16"/>
      <c r="C10" s="19" t="s">
        <v>17</v>
      </c>
      <c r="D10" s="24">
        <f>SUM(D6:D9)</f>
        <v>95423</v>
      </c>
      <c r="E10" s="20">
        <f>SUM(E6:E9)</f>
        <v>3961976.1999999997</v>
      </c>
      <c r="F10" s="20">
        <f>SUM(F6:F9)</f>
        <v>1514477.1428571427</v>
      </c>
      <c r="G10" s="20">
        <f>+E10-F10</f>
        <v>2447499.057142857</v>
      </c>
      <c r="H10" s="21">
        <f>ABS(G10/F10)</f>
        <v>1.6160686667911792</v>
      </c>
      <c r="I10" s="20">
        <f>E10/D10</f>
        <v>41.520138750615679</v>
      </c>
      <c r="J10" s="20">
        <f>F10/D10</f>
        <v>15.87119607282461</v>
      </c>
      <c r="K10" s="20">
        <f>I10-J10</f>
        <v>25.648942677791069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2025-07-21T02:02:03Z</dcterms:modified>
</cp:coreProperties>
</file>