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9\20 JUL\NOCHE\"/>
    </mc:Choice>
  </mc:AlternateContent>
  <xr:revisionPtr revIDLastSave="0" documentId="8_{BE4DCAFF-A2D0-4B26-90F0-41D22AF52661}" xr6:coauthVersionLast="47" xr6:coauthVersionMax="47" xr10:uidLastSave="{00000000-0000-0000-0000-000000000000}"/>
  <bookViews>
    <workbookView xWindow="-120" yWindow="-120" windowWidth="51840" windowHeight="21120" xr2:uid="{038D67DB-4B96-4C5E-84F2-B344A104BBC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<sst xmlns="http://schemas.openxmlformats.org/spreadsheetml/2006/main" count="91" uniqueCount="18">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</sst>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37E71-C584-4C6C-9CB6-FDEE020B78DC}">
  <dimension ref="B2:D50"/>
  <sheetViews>
    <sheetView tabSelected="1" workbookViewId="0">
      <selection activeCell="B2" sqref="B2:D50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72960.3</v>
      </c>
    </row>
    <row r="5" spans="2:4" x14ac:dyDescent="0.25">
      <c r="B5" s="2" t="s">
        <v>2</v>
      </c>
      <c r="C5" s="3">
        <v>37789</v>
      </c>
    </row>
    <row r="6" spans="2:4" x14ac:dyDescent="0.25">
      <c r="B6" s="2" t="s">
        <v>3</v>
      </c>
      <c r="C6" s="3">
        <v>48292</v>
      </c>
    </row>
    <row r="7" spans="2:4" ht="16.5" thickBot="1" x14ac:dyDescent="0.3">
      <c r="B7" s="2" t="s">
        <v>4</v>
      </c>
      <c r="C7" s="3">
        <v>54794.35</v>
      </c>
      <c r="D7" s="1" t="s">
        <v>13</v>
      </c>
    </row>
    <row r="8" spans="2:4" ht="16.5" thickTop="1" x14ac:dyDescent="0.25">
      <c r="B8" s="4" t="s">
        <v>5</v>
      </c>
      <c r="C8" s="5">
        <v>213835.65</v>
      </c>
      <c r="D8" s="5">
        <f>SUMIF(B:B, "Total general", C:C)</f>
        <v>434550.08999999997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82329.27</v>
      </c>
    </row>
    <row r="13" spans="2:4" x14ac:dyDescent="0.25">
      <c r="B13" s="2" t="s">
        <v>2</v>
      </c>
      <c r="C13" s="3">
        <v>2353</v>
      </c>
    </row>
    <row r="14" spans="2:4" x14ac:dyDescent="0.25">
      <c r="B14" s="2" t="s">
        <v>3</v>
      </c>
      <c r="C14" s="3">
        <v>8075</v>
      </c>
    </row>
    <row r="15" spans="2:4" ht="15.75" thickBot="1" x14ac:dyDescent="0.3">
      <c r="B15" s="2" t="s">
        <v>4</v>
      </c>
      <c r="C15" s="3">
        <v>4256</v>
      </c>
    </row>
    <row r="16" spans="2:4" ht="16.5" thickTop="1" x14ac:dyDescent="0.25">
      <c r="B16" s="4" t="s">
        <v>5</v>
      </c>
      <c r="C16" s="5">
        <v>97013.27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21560</v>
      </c>
    </row>
    <row r="21" spans="2:3" x14ac:dyDescent="0.25">
      <c r="B21" s="2" t="s">
        <v>2</v>
      </c>
      <c r="C21" s="3">
        <v>18159</v>
      </c>
    </row>
    <row r="22" spans="2:3" x14ac:dyDescent="0.25">
      <c r="B22" s="2" t="s">
        <v>3</v>
      </c>
      <c r="C22" s="3">
        <v>15200</v>
      </c>
    </row>
    <row r="23" spans="2:3" ht="15.75" thickBot="1" x14ac:dyDescent="0.3">
      <c r="B23" s="2" t="s">
        <v>4</v>
      </c>
      <c r="C23" s="3">
        <v>14411</v>
      </c>
    </row>
    <row r="24" spans="2:3" ht="16.5" thickTop="1" x14ac:dyDescent="0.25">
      <c r="B24" s="4" t="s">
        <v>5</v>
      </c>
      <c r="C24" s="5">
        <v>69330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8674.2999999999993</v>
      </c>
    </row>
    <row r="29" spans="2:3" x14ac:dyDescent="0.25">
      <c r="B29" s="2" t="s">
        <v>2</v>
      </c>
      <c r="C29" s="3">
        <v>16688.870000000003</v>
      </c>
    </row>
    <row r="30" spans="2:3" x14ac:dyDescent="0.25">
      <c r="B30" s="2" t="s">
        <v>3</v>
      </c>
      <c r="C30" s="3">
        <v>5911</v>
      </c>
    </row>
    <row r="31" spans="2:3" ht="15.75" thickBot="1" x14ac:dyDescent="0.3">
      <c r="B31" s="2" t="s">
        <v>4</v>
      </c>
      <c r="C31" s="3">
        <v>200</v>
      </c>
    </row>
    <row r="32" spans="2:3" ht="16.5" thickTop="1" x14ac:dyDescent="0.25">
      <c r="B32" s="4" t="s">
        <v>5</v>
      </c>
      <c r="C32" s="5">
        <v>31474.170000000002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6585</v>
      </c>
    </row>
    <row r="37" spans="2:3" x14ac:dyDescent="0.25">
      <c r="B37" s="2" t="s">
        <v>2</v>
      </c>
      <c r="C37" s="3">
        <v>1597</v>
      </c>
    </row>
    <row r="38" spans="2:3" ht="15.75" thickBot="1" x14ac:dyDescent="0.3">
      <c r="B38" s="2" t="s">
        <v>3</v>
      </c>
      <c r="C38" s="3">
        <v>3146</v>
      </c>
    </row>
    <row r="39" spans="2:3" ht="16.5" thickTop="1" x14ac:dyDescent="0.25">
      <c r="B39" s="4" t="s">
        <v>5</v>
      </c>
      <c r="C39" s="5">
        <v>11328</v>
      </c>
    </row>
    <row r="41" spans="2:3" ht="15.75" x14ac:dyDescent="0.25">
      <c r="B41" s="6" t="s">
        <v>9</v>
      </c>
      <c r="C41" s="6"/>
    </row>
    <row r="42" spans="2:3" ht="15.75" x14ac:dyDescent="0.25">
      <c r="B42" s="1" t="s">
        <v>14</v>
      </c>
      <c r="C42" s="1" t="s">
        <v>0</v>
      </c>
    </row>
    <row r="43" spans="2:3" x14ac:dyDescent="0.25">
      <c r="B43" s="2" t="s">
        <v>1</v>
      </c>
      <c r="C43" s="3">
        <v>9015</v>
      </c>
    </row>
    <row r="44" spans="2:3" ht="15.75" thickBot="1" x14ac:dyDescent="0.3">
      <c r="B44" s="2" t="s">
        <v>4</v>
      </c>
      <c r="C44" s="3">
        <v>742</v>
      </c>
    </row>
    <row r="45" spans="2:3" ht="16.5" thickTop="1" x14ac:dyDescent="0.25">
      <c r="B45" s="4" t="s">
        <v>5</v>
      </c>
      <c r="C45" s="5">
        <v>9757</v>
      </c>
    </row>
    <row r="47" spans="2:3" ht="15.75" x14ac:dyDescent="0.25">
      <c r="B47" s="6" t="s">
        <v>10</v>
      </c>
      <c r="C47" s="6"/>
    </row>
    <row r="48" spans="2:3" ht="15.75" x14ac:dyDescent="0.25">
      <c r="B48" s="1" t="s">
        <v>14</v>
      </c>
      <c r="C48" s="1" t="s">
        <v>0</v>
      </c>
    </row>
    <row r="49" spans="2:3" ht="15.75" thickBot="1" x14ac:dyDescent="0.3">
      <c r="B49" s="2" t="s">
        <v>1</v>
      </c>
      <c r="C49" s="3">
        <v>1812</v>
      </c>
    </row>
    <row r="50" spans="2:3" ht="16.5" thickTop="1" x14ac:dyDescent="0.25">
      <c r="B50" s="4" t="s">
        <v>5</v>
      </c>
      <c r="C50" s="5">
        <v>1812</v>
      </c>
    </row>
  </sheetData>
  <mergeCells count="7">
    <mergeCell ref="B26:C26"/>
    <mergeCell ref="B2:C2"/>
    <mergeCell ref="B18:C18"/>
    <mergeCell ref="B10:C10"/>
    <mergeCell ref="B41:C41"/>
    <mergeCell ref="B47:C47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8BDB2-01AE-4E3A-AEB4-37DF0D00E973}">
  <dimension ref="B2:D39"/>
  <sheetViews>
    <sheetView workbookViewId="0">
      <selection activeCell="B3" sqref="B3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34938</v>
      </c>
      <c r="D4" s="7"/>
    </row>
    <row r="5" spans="2:4" ht="16.5" thickBot="1" x14ac:dyDescent="0.3">
      <c r="B5" s="2" t="s">
        <v>16</v>
      </c>
      <c r="C5" s="3">
        <v>178897.65</v>
      </c>
      <c r="D5" s="1" t="s">
        <v>13</v>
      </c>
    </row>
    <row r="6" spans="2:4" ht="16.5" thickTop="1" x14ac:dyDescent="0.25">
      <c r="B6" s="4" t="s">
        <v>5</v>
      </c>
      <c r="C6" s="5">
        <v>213835.65</v>
      </c>
      <c r="D6" s="5">
        <f>SUMIF(B:B, "Total general", C:C)</f>
        <v>434550.08999999997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97013.27</v>
      </c>
    </row>
    <row r="11" spans="2:4" ht="16.5" thickTop="1" x14ac:dyDescent="0.25">
      <c r="B11" s="4" t="s">
        <v>5</v>
      </c>
      <c r="C11" s="5">
        <v>97013.27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7">
        <v>17633</v>
      </c>
      <c r="D15" s="7"/>
    </row>
    <row r="16" spans="2:4" ht="15.75" thickBot="1" x14ac:dyDescent="0.3">
      <c r="B16" s="2" t="s">
        <v>16</v>
      </c>
      <c r="C16" s="3">
        <v>51697</v>
      </c>
    </row>
    <row r="17" spans="2:4" ht="16.5" thickTop="1" x14ac:dyDescent="0.25">
      <c r="B17" s="4" t="s">
        <v>5</v>
      </c>
      <c r="C17" s="5">
        <v>69330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31474.17</v>
      </c>
    </row>
    <row r="22" spans="2:4" ht="16.5" thickTop="1" x14ac:dyDescent="0.25">
      <c r="B22" s="4" t="s">
        <v>5</v>
      </c>
      <c r="C22" s="5">
        <v>31474.17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7">
        <v>6852</v>
      </c>
      <c r="D26" s="7"/>
    </row>
    <row r="27" spans="2:4" ht="15.75" thickBot="1" x14ac:dyDescent="0.3">
      <c r="B27" s="2" t="s">
        <v>16</v>
      </c>
      <c r="C27" s="3">
        <v>4476</v>
      </c>
    </row>
    <row r="28" spans="2:4" ht="16.5" thickTop="1" x14ac:dyDescent="0.25">
      <c r="B28" s="4" t="s">
        <v>5</v>
      </c>
      <c r="C28" s="5">
        <v>11328</v>
      </c>
    </row>
    <row r="30" spans="2:4" ht="15.75" x14ac:dyDescent="0.25">
      <c r="B30" s="6" t="s">
        <v>9</v>
      </c>
      <c r="C30" s="6"/>
    </row>
    <row r="31" spans="2:4" ht="15.75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3">
        <v>2500</v>
      </c>
    </row>
    <row r="33" spans="2:4" ht="15.75" thickBot="1" x14ac:dyDescent="0.3">
      <c r="B33" s="2" t="s">
        <v>16</v>
      </c>
      <c r="C33" s="3">
        <v>7257</v>
      </c>
    </row>
    <row r="34" spans="2:4" ht="16.5" thickTop="1" x14ac:dyDescent="0.25">
      <c r="B34" s="4" t="s">
        <v>5</v>
      </c>
      <c r="C34" s="5">
        <v>9757</v>
      </c>
    </row>
    <row r="36" spans="2:4" ht="15.75" x14ac:dyDescent="0.25">
      <c r="B36" s="6" t="s">
        <v>10</v>
      </c>
      <c r="C36" s="6"/>
    </row>
    <row r="37" spans="2:4" ht="15.75" x14ac:dyDescent="0.25">
      <c r="B37" s="1" t="s">
        <v>17</v>
      </c>
      <c r="C37" s="1" t="s">
        <v>0</v>
      </c>
    </row>
    <row r="38" spans="2:4" ht="15.75" thickBot="1" x14ac:dyDescent="0.3">
      <c r="B38" s="2" t="s">
        <v>15</v>
      </c>
      <c r="C38" s="7">
        <v>1812</v>
      </c>
      <c r="D38" s="7"/>
    </row>
    <row r="39" spans="2:4" ht="16.5" thickTop="1" x14ac:dyDescent="0.25">
      <c r="B39" s="4" t="s">
        <v>5</v>
      </c>
      <c r="C39" s="5">
        <v>1812</v>
      </c>
    </row>
  </sheetData>
  <mergeCells count="7">
    <mergeCell ref="B36:C36"/>
    <mergeCell ref="B2:C2"/>
    <mergeCell ref="B8:C8"/>
    <mergeCell ref="B13:C13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2025-07-21T01:51:59Z</dcterms:created>
  <dcterms:modified xsi:type="dcterms:W3CDTF">2025-07-21T01:56:36Z</dcterms:modified>
</cp:coreProperties>
</file>