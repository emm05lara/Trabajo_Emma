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20 JUL\MAÑANA\"/>
    </mc:Choice>
  </mc:AlternateContent>
  <xr:revisionPtr revIDLastSave="0" documentId="13_ncr:1_{04FACE45-427F-47F1-8347-1D4A21E4F767}" xr6:coauthVersionLast="47" xr6:coauthVersionMax="47" xr10:uidLastSave="{00000000-0000-0000-0000-000000000000}"/>
  <bookViews>
    <workbookView xWindow="2415" yWindow="483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<sst xmlns="http://schemas.openxmlformats.org/spreadsheetml/2006/main" count="89" uniqueCount="37">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</sst>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3475</v>
      </c>
      <c r="D5" s="25">
        <v>713114.16</v>
      </c>
    </row>
    <row r="6" spans="2:8" x14ac:dyDescent="0.25">
      <c r="B6" s="1" t="s">
        <v>5</v>
      </c>
      <c r="C6" s="6">
        <v>2942</v>
      </c>
      <c r="D6" s="25">
        <v>289758.02</v>
      </c>
    </row>
    <row r="7" spans="2:8" x14ac:dyDescent="0.25">
      <c r="B7" s="1" t="s">
        <v>6</v>
      </c>
      <c r="C7" s="6">
        <v>4958</v>
      </c>
      <c r="D7" s="25">
        <v>301776.97000000003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18484</v>
      </c>
      <c r="D9" s="25">
        <v>491313.23</v>
      </c>
      <c r="E9" s="14"/>
      <c r="F9" s="7"/>
    </row>
    <row r="10" spans="2:8" x14ac:dyDescent="0.25">
      <c r="B10" s="3" t="s">
        <v>8</v>
      </c>
      <c r="C10" s="8">
        <f>SUM(C5:C9)</f>
        <v>29870</v>
      </c>
      <c r="D10" s="4">
        <f>SUM(D5:D9)</f>
        <v>1795962.3800000001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3645</v>
      </c>
      <c r="D14" s="25">
        <v>313882.07</v>
      </c>
    </row>
    <row r="15" spans="2:8" x14ac:dyDescent="0.25">
      <c r="B15" s="1" t="s">
        <v>5</v>
      </c>
      <c r="C15" s="6">
        <v>2351</v>
      </c>
      <c r="D15" s="25">
        <v>77135</v>
      </c>
    </row>
    <row r="16" spans="2:8" x14ac:dyDescent="0.25">
      <c r="B16" s="1" t="s">
        <v>6</v>
      </c>
      <c r="C16" s="6">
        <v>3480</v>
      </c>
      <c r="D16" s="25">
        <v>88253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14067</v>
      </c>
      <c r="D18" s="25">
        <v>110317</v>
      </c>
    </row>
    <row r="19" spans="2:4" x14ac:dyDescent="0.25">
      <c r="B19" s="3" t="s">
        <v>8</v>
      </c>
      <c r="C19" s="8">
        <f>SUM(C14:C18)</f>
        <v>23543</v>
      </c>
      <c r="D19" s="4">
        <f>SUM(D14:D18)</f>
        <v>589587.07000000007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2496</v>
      </c>
      <c r="D23" s="25">
        <v>233903.3899999999</v>
      </c>
    </row>
    <row r="24" spans="2:4" x14ac:dyDescent="0.25">
      <c r="B24" s="9" t="s">
        <v>5</v>
      </c>
      <c r="C24" s="6">
        <v>835</v>
      </c>
      <c r="D24" s="25">
        <v>54010.09</v>
      </c>
    </row>
    <row r="25" spans="2:4" x14ac:dyDescent="0.25">
      <c r="B25" s="9" t="s">
        <v>6</v>
      </c>
      <c r="C25" s="6">
        <v>1953</v>
      </c>
      <c r="D25" s="25">
        <v>81710.81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17246</v>
      </c>
      <c r="D27" s="25">
        <v>81757.459999999992</v>
      </c>
    </row>
    <row r="28" spans="2:4" x14ac:dyDescent="0.25">
      <c r="B28" s="10" t="s">
        <v>8</v>
      </c>
      <c r="C28" s="8">
        <f>SUM(C23:C27)</f>
        <v>22531</v>
      </c>
      <c r="D28" s="4">
        <f>SUM(D23:D27)</f>
        <v>451381.74999999988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670</v>
      </c>
      <c r="D32" s="25">
        <v>147581.45000000004</v>
      </c>
    </row>
    <row r="33" spans="2:4" x14ac:dyDescent="0.25">
      <c r="B33" s="9" t="s">
        <v>5</v>
      </c>
      <c r="C33" s="6">
        <v>1489</v>
      </c>
      <c r="D33" s="25">
        <v>165095.06000000003</v>
      </c>
    </row>
    <row r="34" spans="2:4" x14ac:dyDescent="0.25">
      <c r="B34" s="9" t="s">
        <v>6</v>
      </c>
      <c r="C34" s="6">
        <v>809</v>
      </c>
      <c r="D34" s="25">
        <v>87312.36</v>
      </c>
    </row>
    <row r="35" spans="2:4" x14ac:dyDescent="0.25">
      <c r="B35" s="9" t="s">
        <v>7</v>
      </c>
      <c r="C35" s="6">
        <v>4323</v>
      </c>
      <c r="D35" s="25">
        <v>30952</v>
      </c>
    </row>
    <row r="36" spans="2:4" x14ac:dyDescent="0.25">
      <c r="B36" s="10" t="s">
        <v>8</v>
      </c>
      <c r="C36" s="8">
        <f>SUM(C32:C35)</f>
        <v>7291</v>
      </c>
      <c r="D36" s="4">
        <f>SUM(D32:D35)</f>
        <v>430940.87000000005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714</v>
      </c>
      <c r="D40" s="25">
        <v>139082.69</v>
      </c>
    </row>
    <row r="41" spans="2:4" x14ac:dyDescent="0.25">
      <c r="B41" s="1" t="s">
        <v>5</v>
      </c>
      <c r="C41" s="6">
        <v>700</v>
      </c>
      <c r="D41" s="25">
        <v>12892</v>
      </c>
    </row>
    <row r="42" spans="2:4" x14ac:dyDescent="0.25">
      <c r="B42" s="1" t="s">
        <v>6</v>
      </c>
      <c r="C42" s="6">
        <v>1004</v>
      </c>
      <c r="D42" s="25">
        <v>17102</v>
      </c>
    </row>
    <row r="43" spans="2:4" x14ac:dyDescent="0.25">
      <c r="B43" s="1" t="s">
        <v>7</v>
      </c>
      <c r="C43" s="6">
        <v>418</v>
      </c>
      <c r="D43" s="25">
        <v>11031</v>
      </c>
    </row>
    <row r="44" spans="2:4" x14ac:dyDescent="0.25">
      <c r="B44" s="3" t="s">
        <v>8</v>
      </c>
      <c r="C44" s="8">
        <f>SUM(C40:C43)</f>
        <v>2836</v>
      </c>
      <c r="D44" s="4">
        <f>SUM(D40:D43)</f>
        <v>180107.69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988</v>
      </c>
      <c r="D48" s="25">
        <v>45212.04</v>
      </c>
    </row>
    <row r="49" spans="2:4" x14ac:dyDescent="0.25">
      <c r="B49" s="1" t="s">
        <v>5</v>
      </c>
      <c r="C49" s="6">
        <v>118</v>
      </c>
      <c r="D49" s="25">
        <v>5098</v>
      </c>
    </row>
    <row r="50" spans="2:4" x14ac:dyDescent="0.25">
      <c r="B50" s="1" t="s">
        <v>6</v>
      </c>
      <c r="C50" s="6">
        <v>546</v>
      </c>
      <c r="D50" s="25">
        <v>4400</v>
      </c>
    </row>
    <row r="51" spans="2:4" x14ac:dyDescent="0.25">
      <c r="B51" s="1" t="s">
        <v>7</v>
      </c>
      <c r="C51" s="6">
        <v>2302</v>
      </c>
      <c r="D51" s="25">
        <v>10771</v>
      </c>
    </row>
    <row r="52" spans="2:4" x14ac:dyDescent="0.25">
      <c r="B52" s="3" t="s">
        <v>8</v>
      </c>
      <c r="C52" s="8">
        <f>SUM(C48:C51)</f>
        <v>3954</v>
      </c>
      <c r="D52" s="4">
        <f>SUM(D48:D51)</f>
        <v>65481.04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1626</v>
      </c>
      <c r="D56" s="25">
        <v>62136</v>
      </c>
    </row>
    <row r="57" spans="2:4" x14ac:dyDescent="0.25">
      <c r="B57" s="10" t="s">
        <v>8</v>
      </c>
      <c r="C57" s="8">
        <f>SUM(C56:C56)</f>
        <v>1626</v>
      </c>
      <c r="D57" s="4">
        <f>SUM(D56:D56)</f>
        <v>62136</v>
      </c>
    </row>
    <row r="59" spans="2:4" x14ac:dyDescent="0.25">
      <c r="B59" s="12" t="s">
        <v>13</v>
      </c>
      <c r="C59" s="13">
        <f>SUMIF(B:B, "Total general", C:C)</f>
        <v>91651</v>
      </c>
      <c r="D59" s="13">
        <f>SUMIF(B:B, "Total general", D:D)</f>
        <v>3575596.8000000003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13614</v>
      </c>
      <c r="E6" s="16">
        <f>SUMIF('REPORTE DIARIO'!B:B,'EPR 26 JUN'!C6, 'REPORTE DIARIO'!D:D)</f>
        <v>1654911.7999999998</v>
      </c>
      <c r="F6" s="16">
        <f>J6*D6</f>
        <v>855737.14285714284</v>
      </c>
      <c r="G6" s="16">
        <f>+E6-F6</f>
        <v>799174.65714285697</v>
      </c>
      <c r="H6" s="15">
        <f>ABS(G6/F6)</f>
        <v>0.93390203266690686</v>
      </c>
      <c r="I6" s="16">
        <f>E6/D6</f>
        <v>121.55955633906271</v>
      </c>
      <c r="J6" s="16">
        <f>(220/7)*2</f>
        <v>62.857142857142854</v>
      </c>
      <c r="K6" s="16">
        <f>+I6-J6</f>
        <v>58.702413481919855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8435</v>
      </c>
      <c r="E7" s="16">
        <f>SUMIF('REPORTE DIARIO'!B:B,'EPR 26 JUN'!C7, 'REPORTE DIARIO'!D:D)</f>
        <v>603988.17000000004</v>
      </c>
      <c r="F7" s="16">
        <f>J7*D7</f>
        <v>265100</v>
      </c>
      <c r="G7" s="16">
        <f>+E7-F7</f>
        <v>338888.17000000004</v>
      </c>
      <c r="H7" s="15">
        <f>ABS(G7/F7)</f>
        <v>1.2783408902301021</v>
      </c>
      <c r="I7" s="16">
        <f>E7/D7</f>
        <v>71.604999407231773</v>
      </c>
      <c r="J7" s="16">
        <f>(110/7)*2</f>
        <v>31.428571428571427</v>
      </c>
      <c r="K7" s="16">
        <f t="shared" ref="K7:K9" si="0">+I7-J7</f>
        <v>40.176427978660342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12750</v>
      </c>
      <c r="E8" s="16">
        <f>SUMIF('REPORTE DIARIO'!B:B,'EPR 26 JUN'!C8, 'REPORTE DIARIO'!D:D)</f>
        <v>580555.14</v>
      </c>
      <c r="F8" s="16">
        <f>J8*D8</f>
        <v>163928.57142857145</v>
      </c>
      <c r="G8" s="16">
        <f>+E8-F8</f>
        <v>416626.56857142854</v>
      </c>
      <c r="H8" s="15">
        <f>ABS(G8/F8)</f>
        <v>2.5415128366013064</v>
      </c>
      <c r="I8" s="16">
        <f>E8/D8</f>
        <v>45.533736470588238</v>
      </c>
      <c r="J8" s="16">
        <f>(45/7)*2</f>
        <v>12.857142857142858</v>
      </c>
      <c r="K8" s="16">
        <f t="shared" si="0"/>
        <v>32.676593613445377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56840</v>
      </c>
      <c r="E9" s="16">
        <f>SUMIF('REPORTE DIARIO'!B:B,'EPR 26 JUN'!C9, 'REPORTE DIARIO'!D:D)</f>
        <v>736141.69</v>
      </c>
      <c r="F9" s="16">
        <f>J9*D9</f>
        <v>243600</v>
      </c>
      <c r="G9" s="16">
        <f>+E9-F9</f>
        <v>492541.68999999994</v>
      </c>
      <c r="H9" s="15">
        <f>ABS(G9/F9)</f>
        <v>2.0219281198686367</v>
      </c>
      <c r="I9" s="16">
        <f>E9/D9</f>
        <v>12.95112051372273</v>
      </c>
      <c r="J9" s="16">
        <f>(15/7)*2</f>
        <v>4.2857142857142856</v>
      </c>
      <c r="K9" s="16">
        <f t="shared" si="0"/>
        <v>8.6654062280084432</v>
      </c>
    </row>
    <row r="10" spans="2:12" x14ac:dyDescent="0.25">
      <c r="B10" s="16"/>
      <c r="C10" s="19" t="s">
        <v>17</v>
      </c>
      <c r="D10" s="24">
        <f>SUM(D6:D9)</f>
        <v>91639</v>
      </c>
      <c r="E10" s="20">
        <f>SUM(E6:E9)</f>
        <v>3575596.8</v>
      </c>
      <c r="F10" s="20">
        <f>SUM(F6:F9)</f>
        <v>1528365.7142857141</v>
      </c>
      <c r="G10" s="20">
        <f>+E10-F10</f>
        <v>2047231.0857142857</v>
      </c>
      <c r="H10" s="21">
        <f>ABS(G10/F10)</f>
        <v>1.3394903239314451</v>
      </c>
      <c r="I10" s="20">
        <f>E10/D10</f>
        <v>39.01828697388666</v>
      </c>
      <c r="J10" s="20">
        <f>F10/D10</f>
        <v>16.678114277607939</v>
      </c>
      <c r="K10" s="20">
        <f>I10-J10</f>
        <v>22.340172696278721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2025-07-20T16:34:12Z</dcterms:modified>
</cp:coreProperties>
</file>