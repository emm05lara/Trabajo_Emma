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6 JUL\MAÑANA\"/>
    </mc:Choice>
  </mc:AlternateContent>
  <xr:revisionPtr revIDLastSave="0" documentId="13_ncr:1_{5847EE78-DEC1-4856-8852-7E5CC6A04D11}" xr6:coauthVersionLast="47" xr6:coauthVersionMax="47" xr10:uidLastSave="{00000000-0000-0000-0000-000000000000}"/>
  <bookViews>
    <workbookView xWindow="1470" yWindow="1470" windowWidth="13590" windowHeight="945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36" i="1" l="1"/>
  <c r="D36" i="1"/>
  <c r="D27" i="1"/>
  <c r="C27" i="1"/>
  <c r="D6" i="3"/>
  <c r="D44" i="1"/>
  <c r="C44" i="1"/>
  <c r="D52" i="1"/>
  <c r="D57" i="1" l="1"/>
  <c r="C57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<sst xmlns="http://schemas.openxmlformats.org/spreadsheetml/2006/main" count="89" uniqueCount="37">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</sst>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4297</v>
      </c>
      <c r="D5" s="25">
        <v>297596.03000000003</v>
      </c>
    </row>
    <row r="6" spans="2:8" x14ac:dyDescent="0.25">
      <c r="B6" s="1" t="s">
        <v>5</v>
      </c>
      <c r="C6" s="6">
        <v>4009</v>
      </c>
      <c r="D6" s="25">
        <v>115793</v>
      </c>
    </row>
    <row r="7" spans="2:8" x14ac:dyDescent="0.25">
      <c r="B7" s="1" t="s">
        <v>6</v>
      </c>
      <c r="C7" s="6">
        <v>6793</v>
      </c>
      <c r="D7" s="25">
        <v>143934.22</v>
      </c>
    </row>
    <row r="8" spans="2:8" x14ac:dyDescent="0.25">
      <c r="B8" s="5" t="s">
        <v>12</v>
      </c>
      <c r="C8" s="7">
        <v>12</v>
      </c>
      <c r="D8" s="26">
        <v>0</v>
      </c>
    </row>
    <row r="9" spans="2:8" x14ac:dyDescent="0.25">
      <c r="B9" s="1" t="s">
        <v>7</v>
      </c>
      <c r="C9" s="6">
        <v>17144</v>
      </c>
      <c r="D9" s="25">
        <v>142941.74000000002</v>
      </c>
      <c r="E9" s="14"/>
      <c r="F9" s="7"/>
    </row>
    <row r="10" spans="2:8" x14ac:dyDescent="0.25">
      <c r="B10" s="3" t="s">
        <v>8</v>
      </c>
      <c r="C10" s="8">
        <f>SUM(C5:C9)</f>
        <v>32255</v>
      </c>
      <c r="D10" s="4">
        <f>SUM(D5:D9)</f>
        <v>700264.99</v>
      </c>
      <c r="E10" s="11" t="s">
        <v>14</v>
      </c>
    </row>
    <row r="12" spans="2:8" x14ac:dyDescent="0.25">
      <c r="B12" s="28" t="s">
        <v>9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656</v>
      </c>
      <c r="D14" s="25">
        <v>60246.66</v>
      </c>
    </row>
    <row r="15" spans="2:8" x14ac:dyDescent="0.25">
      <c r="B15" s="9" t="s">
        <v>5</v>
      </c>
      <c r="C15" s="6">
        <v>1544</v>
      </c>
      <c r="D15" s="25">
        <v>80376.439999999988</v>
      </c>
    </row>
    <row r="16" spans="2:8" x14ac:dyDescent="0.25">
      <c r="B16" s="9" t="s">
        <v>6</v>
      </c>
      <c r="C16" s="6">
        <v>819</v>
      </c>
      <c r="D16" s="25">
        <v>62216.47</v>
      </c>
    </row>
    <row r="17" spans="2:4" x14ac:dyDescent="0.25">
      <c r="B17" s="9" t="s">
        <v>7</v>
      </c>
      <c r="C17" s="6">
        <v>4323</v>
      </c>
      <c r="D17" s="25">
        <v>18818</v>
      </c>
    </row>
    <row r="18" spans="2:4" x14ac:dyDescent="0.25">
      <c r="B18" s="10" t="s">
        <v>8</v>
      </c>
      <c r="C18" s="8">
        <f>SUM(C14:C17)</f>
        <v>7342</v>
      </c>
      <c r="D18" s="4">
        <f>SUM(D14:D17)</f>
        <v>221657.56999999998</v>
      </c>
    </row>
    <row r="20" spans="2:4" x14ac:dyDescent="0.25">
      <c r="B20" s="27" t="s">
        <v>10</v>
      </c>
      <c r="C20" s="27"/>
      <c r="D20" s="27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2528</v>
      </c>
      <c r="D22" s="25">
        <v>110817.31999999999</v>
      </c>
    </row>
    <row r="23" spans="2:4" x14ac:dyDescent="0.25">
      <c r="B23" s="9" t="s">
        <v>5</v>
      </c>
      <c r="C23" s="6">
        <v>840</v>
      </c>
      <c r="D23" s="25">
        <v>11201.6</v>
      </c>
    </row>
    <row r="24" spans="2:4" x14ac:dyDescent="0.25">
      <c r="B24" s="9" t="s">
        <v>6</v>
      </c>
      <c r="C24" s="6">
        <v>2366</v>
      </c>
      <c r="D24" s="25">
        <v>29294.45</v>
      </c>
    </row>
    <row r="25" spans="2:4" x14ac:dyDescent="0.25">
      <c r="B25" s="5" t="s">
        <v>12</v>
      </c>
      <c r="C25" s="7">
        <v>1</v>
      </c>
      <c r="D25" s="26">
        <v>0</v>
      </c>
    </row>
    <row r="26" spans="2:4" x14ac:dyDescent="0.25">
      <c r="B26" s="9" t="s">
        <v>7</v>
      </c>
      <c r="C26" s="6">
        <v>16818</v>
      </c>
      <c r="D26" s="25">
        <v>22213.43</v>
      </c>
    </row>
    <row r="27" spans="2:4" x14ac:dyDescent="0.25">
      <c r="B27" s="10" t="s">
        <v>8</v>
      </c>
      <c r="C27" s="8">
        <f>SUM(C22:C26)</f>
        <v>22553</v>
      </c>
      <c r="D27" s="4">
        <f>SUM(D22:D26)</f>
        <v>173526.8</v>
      </c>
    </row>
    <row r="29" spans="2:4" x14ac:dyDescent="0.25">
      <c r="B29" s="28" t="s">
        <v>36</v>
      </c>
      <c r="C29" s="28"/>
      <c r="D29" s="28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1" t="s">
        <v>4</v>
      </c>
      <c r="C31" s="6">
        <v>3879</v>
      </c>
      <c r="D31" s="25">
        <v>72344.2</v>
      </c>
    </row>
    <row r="32" spans="2:4" x14ac:dyDescent="0.25">
      <c r="B32" s="1" t="s">
        <v>5</v>
      </c>
      <c r="C32" s="6">
        <v>2514</v>
      </c>
      <c r="D32" s="25">
        <v>30238</v>
      </c>
    </row>
    <row r="33" spans="2:4" x14ac:dyDescent="0.25">
      <c r="B33" s="1" t="s">
        <v>6</v>
      </c>
      <c r="C33" s="6">
        <v>3762</v>
      </c>
      <c r="D33" s="25">
        <v>27077</v>
      </c>
    </row>
    <row r="34" spans="2:4" x14ac:dyDescent="0.25">
      <c r="B34" s="5" t="s">
        <v>12</v>
      </c>
      <c r="C34" s="6">
        <v>0</v>
      </c>
      <c r="D34" s="26">
        <v>0</v>
      </c>
    </row>
    <row r="35" spans="2:4" x14ac:dyDescent="0.25">
      <c r="B35" s="1" t="s">
        <v>7</v>
      </c>
      <c r="C35" s="7">
        <v>14106</v>
      </c>
      <c r="D35" s="25">
        <v>35680</v>
      </c>
    </row>
    <row r="36" spans="2:4" x14ac:dyDescent="0.25">
      <c r="B36" s="3" t="s">
        <v>8</v>
      </c>
      <c r="C36" s="8">
        <f>SUM(C31:C35)</f>
        <v>24261</v>
      </c>
      <c r="D36" s="4">
        <f>SUM(D31:D35)</f>
        <v>165339.20000000001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720</v>
      </c>
      <c r="D40" s="25">
        <v>46378</v>
      </c>
    </row>
    <row r="41" spans="2:4" x14ac:dyDescent="0.25">
      <c r="B41" s="1" t="s">
        <v>5</v>
      </c>
      <c r="C41" s="6">
        <v>701</v>
      </c>
      <c r="D41" s="25">
        <v>6247</v>
      </c>
    </row>
    <row r="42" spans="2:4" x14ac:dyDescent="0.25">
      <c r="B42" s="1" t="s">
        <v>6</v>
      </c>
      <c r="C42" s="6">
        <v>1006</v>
      </c>
      <c r="D42" s="25">
        <v>9333</v>
      </c>
    </row>
    <row r="43" spans="2:4" x14ac:dyDescent="0.25">
      <c r="B43" s="1" t="s">
        <v>7</v>
      </c>
      <c r="C43" s="6">
        <v>418</v>
      </c>
      <c r="D43" s="25">
        <v>9732</v>
      </c>
    </row>
    <row r="44" spans="2:4" x14ac:dyDescent="0.25">
      <c r="B44" s="3" t="s">
        <v>8</v>
      </c>
      <c r="C44" s="8">
        <f>SUM(C40:C43)</f>
        <v>2845</v>
      </c>
      <c r="D44" s="4">
        <f>SUM(D40:D43)</f>
        <v>71690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1004</v>
      </c>
      <c r="D48" s="25">
        <v>18791</v>
      </c>
    </row>
    <row r="49" spans="2:4" x14ac:dyDescent="0.25">
      <c r="B49" s="1" t="s">
        <v>5</v>
      </c>
      <c r="C49" s="6">
        <v>138</v>
      </c>
      <c r="D49" s="25">
        <v>1100</v>
      </c>
    </row>
    <row r="50" spans="2:4" x14ac:dyDescent="0.25">
      <c r="B50" s="1" t="s">
        <v>6</v>
      </c>
      <c r="C50" s="6">
        <v>578</v>
      </c>
      <c r="D50" s="25">
        <v>800</v>
      </c>
    </row>
    <row r="51" spans="2:4" x14ac:dyDescent="0.25">
      <c r="B51" s="1" t="s">
        <v>7</v>
      </c>
      <c r="C51" s="6">
        <v>2309</v>
      </c>
      <c r="D51" s="25">
        <v>2083</v>
      </c>
    </row>
    <row r="52" spans="2:4" x14ac:dyDescent="0.25">
      <c r="B52" s="3" t="s">
        <v>8</v>
      </c>
      <c r="C52" s="8">
        <f>SUM(C48:C51)</f>
        <v>4029</v>
      </c>
      <c r="D52" s="4">
        <f>SUM(D48:D51)</f>
        <v>22774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1711</v>
      </c>
      <c r="D56" s="25">
        <v>20456</v>
      </c>
    </row>
    <row r="57" spans="2:4" x14ac:dyDescent="0.25">
      <c r="B57" s="10" t="s">
        <v>8</v>
      </c>
      <c r="C57" s="8">
        <f>SUM(C56:C56)</f>
        <v>1711</v>
      </c>
      <c r="D57" s="4">
        <f>SUM(D56:D56)</f>
        <v>20456</v>
      </c>
    </row>
    <row r="59" spans="2:4" x14ac:dyDescent="0.25">
      <c r="B59" s="12" t="s">
        <v>13</v>
      </c>
      <c r="C59" s="13">
        <f>SUMIF(B:B, "Total general", C:C)</f>
        <v>94996</v>
      </c>
      <c r="D59" s="13">
        <f>SUMIF(B:B, "Total general", D:D)</f>
        <v>1375708.5599999998</v>
      </c>
    </row>
  </sheetData>
  <mergeCells count="7">
    <mergeCell ref="B54:D54"/>
    <mergeCell ref="B38:D38"/>
    <mergeCell ref="B29:D29"/>
    <mergeCell ref="B46:D46"/>
    <mergeCell ref="B3:D3"/>
    <mergeCell ref="B20:D20"/>
    <mergeCell ref="B12:D12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14795</v>
      </c>
      <c r="E6" s="16">
        <f>SUMIF('REPORTE DIARIO'!B:B,'EPR 26 JUN'!C6, 'REPORTE DIARIO'!D:D)</f>
        <v>626629.21000000008</v>
      </c>
      <c r="F6" s="16">
        <f>J6*D6</f>
        <v>929971.42857142852</v>
      </c>
      <c r="G6" s="16">
        <f>+E6-F6</f>
        <v>-303342.21857142844</v>
      </c>
      <c r="H6" s="15">
        <f>ABS(G6/F6)</f>
        <v>0.3261844495990659</v>
      </c>
      <c r="I6" s="16">
        <f>E6/D6</f>
        <v>42.354120310915853</v>
      </c>
      <c r="J6" s="16">
        <f>(220/7)*2</f>
        <v>62.857142857142854</v>
      </c>
      <c r="K6" s="16">
        <f>+I6-J6</f>
        <v>-20.503022546227001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9746</v>
      </c>
      <c r="E7" s="16">
        <f>SUMIF('REPORTE DIARIO'!B:B,'EPR 26 JUN'!C7, 'REPORTE DIARIO'!D:D)</f>
        <v>244956.04</v>
      </c>
      <c r="F7" s="16">
        <f>J7*D7</f>
        <v>306302.8571428571</v>
      </c>
      <c r="G7" s="16">
        <f>+E7-F7</f>
        <v>-61346.817142857093</v>
      </c>
      <c r="H7" s="15">
        <f>ABS(G7/F7)</f>
        <v>0.20028157006137703</v>
      </c>
      <c r="I7" s="16">
        <f>E7/D7</f>
        <v>25.134007798071003</v>
      </c>
      <c r="J7" s="16">
        <f>(110/7)*2</f>
        <v>31.428571428571427</v>
      </c>
      <c r="K7" s="16">
        <f t="shared" ref="K7:K9" si="0">+I7-J7</f>
        <v>-6.2945636305004236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15324</v>
      </c>
      <c r="E8" s="16">
        <f>SUMIF('REPORTE DIARIO'!B:B,'EPR 26 JUN'!C8, 'REPORTE DIARIO'!D:D)</f>
        <v>272655.14</v>
      </c>
      <c r="F8" s="16">
        <f>J8*D8</f>
        <v>197022.85714285716</v>
      </c>
      <c r="G8" s="16">
        <f>+E8-F8</f>
        <v>75632.282857142854</v>
      </c>
      <c r="H8" s="15">
        <f>ABS(G8/F8)</f>
        <v>0.38387567794889638</v>
      </c>
      <c r="I8" s="16">
        <f>E8/D8</f>
        <v>17.792687287914383</v>
      </c>
      <c r="J8" s="16">
        <f>(45/7)*2</f>
        <v>12.857142857142858</v>
      </c>
      <c r="K8" s="16">
        <f t="shared" si="0"/>
        <v>4.9355444307715253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55118</v>
      </c>
      <c r="E9" s="16">
        <f>SUMIF('REPORTE DIARIO'!B:B,'EPR 26 JUN'!C9, 'REPORTE DIARIO'!D:D)</f>
        <v>231468.17</v>
      </c>
      <c r="F9" s="16">
        <f>J9*D9</f>
        <v>236220</v>
      </c>
      <c r="G9" s="16">
        <f>+E9-F9</f>
        <v>-4751.8299999999872</v>
      </c>
      <c r="H9" s="15">
        <f>ABS(G9/F9)</f>
        <v>2.0116120565574411E-2</v>
      </c>
      <c r="I9" s="16">
        <f>E9/D9</f>
        <v>4.1995023404332521</v>
      </c>
      <c r="J9" s="16">
        <f>(15/7)*2</f>
        <v>4.2857142857142856</v>
      </c>
      <c r="K9" s="16">
        <f t="shared" si="0"/>
        <v>-8.6211945281033486E-2</v>
      </c>
    </row>
    <row r="10" spans="2:12" x14ac:dyDescent="0.25">
      <c r="B10" s="16"/>
      <c r="C10" s="19" t="s">
        <v>17</v>
      </c>
      <c r="D10" s="24">
        <f>SUM(D6:D9)</f>
        <v>94983</v>
      </c>
      <c r="E10" s="20">
        <f>SUM(E6:E9)</f>
        <v>1375708.56</v>
      </c>
      <c r="F10" s="20">
        <f>SUM(F6:F9)</f>
        <v>1669517.1428571427</v>
      </c>
      <c r="G10" s="20">
        <f>+E10-F10</f>
        <v>-293808.58285714267</v>
      </c>
      <c r="H10" s="21">
        <f>ABS(G10/F10)</f>
        <v>0.17598416650836587</v>
      </c>
      <c r="I10" s="20">
        <f>E10/D10</f>
        <v>14.483734563027069</v>
      </c>
      <c r="J10" s="20">
        <f>F10/D10</f>
        <v>17.577010021342165</v>
      </c>
      <c r="K10" s="20">
        <f>I10-J10</f>
        <v>-3.0932754583150963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2025-07-16T15:42:47Z</dcterms:modified>
</cp:coreProperties>
</file>