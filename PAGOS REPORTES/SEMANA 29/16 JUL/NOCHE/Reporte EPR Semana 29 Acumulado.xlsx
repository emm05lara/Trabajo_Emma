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6 JUL\NOCHE\"/>
    </mc:Choice>
  </mc:AlternateContent>
  <xr:revisionPtr revIDLastSave="0" documentId="13_ncr:1_{1F6D195C-6462-46C9-87E6-4C144F3DCC3C}" xr6:coauthVersionLast="47" xr6:coauthVersionMax="47" xr10:uidLastSave="{00000000-0000-0000-0000-000000000000}"/>
  <bookViews>
    <workbookView xWindow="3540" yWindow="354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27" i="1"/>
  <c r="C27" i="1"/>
  <c r="D6" i="3"/>
  <c r="D44" i="1"/>
  <c r="C44" i="1"/>
  <c r="D52" i="1"/>
  <c r="D57" i="1" l="1"/>
  <c r="C57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<sst xmlns="http://schemas.openxmlformats.org/spreadsheetml/2006/main" count="89" uniqueCount="37">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</sst>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3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4322</v>
      </c>
      <c r="D5" s="25">
        <v>344373.71</v>
      </c>
    </row>
    <row r="6" spans="2:8" x14ac:dyDescent="0.25">
      <c r="B6" s="1" t="s">
        <v>5</v>
      </c>
      <c r="C6" s="6">
        <v>4000</v>
      </c>
      <c r="D6" s="25">
        <v>147392.07</v>
      </c>
    </row>
    <row r="7" spans="2:8" x14ac:dyDescent="0.25">
      <c r="B7" s="1" t="s">
        <v>6</v>
      </c>
      <c r="C7" s="6">
        <v>6781</v>
      </c>
      <c r="D7" s="25">
        <v>162472.22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17449</v>
      </c>
      <c r="D9" s="25">
        <v>173872.15000000002</v>
      </c>
      <c r="E9" s="14"/>
      <c r="F9" s="7"/>
    </row>
    <row r="10" spans="2:8" x14ac:dyDescent="0.25">
      <c r="B10" s="3" t="s">
        <v>8</v>
      </c>
      <c r="C10" s="8">
        <f>SUM(C5:C9)</f>
        <v>32563</v>
      </c>
      <c r="D10" s="4">
        <f>SUM(D5:D9)</f>
        <v>828110.15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655</v>
      </c>
      <c r="D14" s="25">
        <v>80350.37</v>
      </c>
    </row>
    <row r="15" spans="2:8" x14ac:dyDescent="0.25">
      <c r="B15" s="9" t="s">
        <v>5</v>
      </c>
      <c r="C15" s="6">
        <v>1543</v>
      </c>
      <c r="D15" s="25">
        <v>88115.439999999988</v>
      </c>
    </row>
    <row r="16" spans="2:8" x14ac:dyDescent="0.25">
      <c r="B16" s="9" t="s">
        <v>6</v>
      </c>
      <c r="C16" s="6">
        <v>817</v>
      </c>
      <c r="D16" s="25">
        <v>65391.47</v>
      </c>
    </row>
    <row r="17" spans="2:4" x14ac:dyDescent="0.25">
      <c r="B17" s="9" t="s">
        <v>7</v>
      </c>
      <c r="C17" s="6">
        <v>4323</v>
      </c>
      <c r="D17" s="25">
        <v>19818</v>
      </c>
    </row>
    <row r="18" spans="2:4" x14ac:dyDescent="0.25">
      <c r="B18" s="10" t="s">
        <v>8</v>
      </c>
      <c r="C18" s="8">
        <f>SUM(C14:C17)</f>
        <v>7338</v>
      </c>
      <c r="D18" s="4">
        <f>SUM(D14:D17)</f>
        <v>253675.28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2529</v>
      </c>
      <c r="D22" s="25">
        <v>147855.77000000002</v>
      </c>
    </row>
    <row r="23" spans="2:4" x14ac:dyDescent="0.25">
      <c r="B23" s="9" t="s">
        <v>5</v>
      </c>
      <c r="C23" s="6">
        <v>840</v>
      </c>
      <c r="D23" s="25">
        <v>21507.07</v>
      </c>
    </row>
    <row r="24" spans="2:4" x14ac:dyDescent="0.25">
      <c r="B24" s="9" t="s">
        <v>6</v>
      </c>
      <c r="C24" s="6">
        <v>2352</v>
      </c>
      <c r="D24" s="25">
        <v>35022.449999999997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16831</v>
      </c>
      <c r="D26" s="25">
        <v>26638.27</v>
      </c>
    </row>
    <row r="27" spans="2:4" x14ac:dyDescent="0.25">
      <c r="B27" s="10" t="s">
        <v>8</v>
      </c>
      <c r="C27" s="8">
        <f>SUM(C22:C26)</f>
        <v>22553</v>
      </c>
      <c r="D27" s="4">
        <f>SUM(D22:D26)</f>
        <v>231023.56000000003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3871</v>
      </c>
      <c r="D31" s="25">
        <v>108017.2</v>
      </c>
    </row>
    <row r="32" spans="2:4" x14ac:dyDescent="0.25">
      <c r="B32" s="1" t="s">
        <v>5</v>
      </c>
      <c r="C32" s="6">
        <v>2503</v>
      </c>
      <c r="D32" s="25">
        <v>34053</v>
      </c>
    </row>
    <row r="33" spans="2:4" x14ac:dyDescent="0.25">
      <c r="B33" s="1" t="s">
        <v>6</v>
      </c>
      <c r="C33" s="6">
        <v>3814</v>
      </c>
      <c r="D33" s="25">
        <v>29441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14101</v>
      </c>
      <c r="D35" s="25">
        <v>47438</v>
      </c>
    </row>
    <row r="36" spans="2:4" x14ac:dyDescent="0.25">
      <c r="B36" s="3" t="s">
        <v>8</v>
      </c>
      <c r="C36" s="8">
        <f>SUM(C31:C35)</f>
        <v>24289</v>
      </c>
      <c r="D36" s="4">
        <f>SUM(D31:D35)</f>
        <v>218949.2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62142.879999999997</v>
      </c>
    </row>
    <row r="41" spans="2:4" x14ac:dyDescent="0.25">
      <c r="B41" s="1" t="s">
        <v>5</v>
      </c>
      <c r="C41" s="6">
        <v>701</v>
      </c>
      <c r="D41" s="25">
        <v>8747</v>
      </c>
    </row>
    <row r="42" spans="2:4" x14ac:dyDescent="0.25">
      <c r="B42" s="1" t="s">
        <v>6</v>
      </c>
      <c r="C42" s="6">
        <v>1005</v>
      </c>
      <c r="D42" s="25">
        <v>9853</v>
      </c>
    </row>
    <row r="43" spans="2:4" x14ac:dyDescent="0.25">
      <c r="B43" s="1" t="s">
        <v>7</v>
      </c>
      <c r="C43" s="6">
        <v>418</v>
      </c>
      <c r="D43" s="25">
        <v>9932</v>
      </c>
    </row>
    <row r="44" spans="2:4" x14ac:dyDescent="0.25">
      <c r="B44" s="3" t="s">
        <v>8</v>
      </c>
      <c r="C44" s="8">
        <f>SUM(C40:C43)</f>
        <v>2844</v>
      </c>
      <c r="D44" s="4">
        <f>SUM(D40:D43)</f>
        <v>90674.880000000005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1002</v>
      </c>
      <c r="D48" s="25">
        <v>18905</v>
      </c>
    </row>
    <row r="49" spans="2:4" x14ac:dyDescent="0.25">
      <c r="B49" s="1" t="s">
        <v>5</v>
      </c>
      <c r="C49" s="6">
        <v>135</v>
      </c>
      <c r="D49" s="25">
        <v>3143</v>
      </c>
    </row>
    <row r="50" spans="2:4" x14ac:dyDescent="0.25">
      <c r="B50" s="1" t="s">
        <v>6</v>
      </c>
      <c r="C50" s="6">
        <v>578</v>
      </c>
      <c r="D50" s="25">
        <v>2120</v>
      </c>
    </row>
    <row r="51" spans="2:4" x14ac:dyDescent="0.25">
      <c r="B51" s="1" t="s">
        <v>7</v>
      </c>
      <c r="C51" s="6">
        <v>2308</v>
      </c>
      <c r="D51" s="25">
        <v>2083</v>
      </c>
    </row>
    <row r="52" spans="2:4" x14ac:dyDescent="0.25">
      <c r="B52" s="3" t="s">
        <v>8</v>
      </c>
      <c r="C52" s="8">
        <f>SUM(C48:C51)</f>
        <v>4023</v>
      </c>
      <c r="D52" s="4">
        <f>SUM(D48:D51)</f>
        <v>26251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1641</v>
      </c>
      <c r="D56" s="25">
        <v>22997</v>
      </c>
    </row>
    <row r="57" spans="2:4" x14ac:dyDescent="0.25">
      <c r="B57" s="10" t="s">
        <v>8</v>
      </c>
      <c r="C57" s="8">
        <f>SUM(C56:C56)</f>
        <v>1641</v>
      </c>
      <c r="D57" s="4">
        <f>SUM(D56:D56)</f>
        <v>22997</v>
      </c>
    </row>
    <row r="59" spans="2:4" x14ac:dyDescent="0.25">
      <c r="B59" s="12" t="s">
        <v>13</v>
      </c>
      <c r="C59" s="13">
        <f>SUMIF(B:B, "Total general", C:C)</f>
        <v>95251</v>
      </c>
      <c r="D59" s="13">
        <f>SUMIF(B:B, "Total general", D:D)</f>
        <v>1671681.0699999998</v>
      </c>
    </row>
  </sheetData>
  <mergeCells count="7">
    <mergeCell ref="B54:D54"/>
    <mergeCell ref="B38:D38"/>
    <mergeCell ref="B29:D29"/>
    <mergeCell ref="B46:D46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14740</v>
      </c>
      <c r="E6" s="16">
        <f>SUMIF('REPORTE DIARIO'!B:B,'EPR 26 JUN'!C6, 'REPORTE DIARIO'!D:D)</f>
        <v>784641.93</v>
      </c>
      <c r="F6" s="16">
        <f>J6*D6</f>
        <v>926514.28571428568</v>
      </c>
      <c r="G6" s="16">
        <f>+E6-F6</f>
        <v>-141872.35571428563</v>
      </c>
      <c r="H6" s="15">
        <f>ABS(G6/F6)</f>
        <v>0.15312484427038353</v>
      </c>
      <c r="I6" s="16">
        <f>E6/D6</f>
        <v>53.232152645861603</v>
      </c>
      <c r="J6" s="16">
        <f>(220/7)*2</f>
        <v>62.857142857142854</v>
      </c>
      <c r="K6" s="16">
        <f>+I6-J6</f>
        <v>-9.6249902112812507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9722</v>
      </c>
      <c r="E7" s="16">
        <f>SUMIF('REPORTE DIARIO'!B:B,'EPR 26 JUN'!C7, 'REPORTE DIARIO'!D:D)</f>
        <v>302957.58</v>
      </c>
      <c r="F7" s="16">
        <f>J7*D7</f>
        <v>305548.57142857142</v>
      </c>
      <c r="G7" s="16">
        <f>+E7-F7</f>
        <v>-2590.991428571404</v>
      </c>
      <c r="H7" s="15">
        <f>ABS(G7/F7)</f>
        <v>8.4798021357370482E-3</v>
      </c>
      <c r="I7" s="16">
        <f>E7/D7</f>
        <v>31.162063361448265</v>
      </c>
      <c r="J7" s="16">
        <f>(110/7)*2</f>
        <v>31.428571428571427</v>
      </c>
      <c r="K7" s="16">
        <f t="shared" ref="K7:K9" si="0">+I7-J7</f>
        <v>-0.26650806712316211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15347</v>
      </c>
      <c r="E8" s="16">
        <f>SUMIF('REPORTE DIARIO'!B:B,'EPR 26 JUN'!C8, 'REPORTE DIARIO'!D:D)</f>
        <v>304300.14</v>
      </c>
      <c r="F8" s="16">
        <f>J8*D8</f>
        <v>197318.57142857145</v>
      </c>
      <c r="G8" s="16">
        <f>+E8-F8</f>
        <v>106981.56857142856</v>
      </c>
      <c r="H8" s="15">
        <f>ABS(G8/F8)</f>
        <v>0.54217688581916113</v>
      </c>
      <c r="I8" s="16">
        <f>E8/D8</f>
        <v>19.827988531960646</v>
      </c>
      <c r="J8" s="16">
        <f>(45/7)*2</f>
        <v>12.857142857142858</v>
      </c>
      <c r="K8" s="16">
        <f t="shared" si="0"/>
        <v>6.9708456748177881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55430</v>
      </c>
      <c r="E9" s="16">
        <f>SUMIF('REPORTE DIARIO'!B:B,'EPR 26 JUN'!C9, 'REPORTE DIARIO'!D:D)</f>
        <v>279781.42000000004</v>
      </c>
      <c r="F9" s="16">
        <f>J9*D9</f>
        <v>237557.14285714284</v>
      </c>
      <c r="G9" s="16">
        <f>+E9-F9</f>
        <v>42224.277142857201</v>
      </c>
      <c r="H9" s="15">
        <f>ABS(G9/F9)</f>
        <v>0.177743664682182</v>
      </c>
      <c r="I9" s="16">
        <f>E9/D9</f>
        <v>5.0474728486379226</v>
      </c>
      <c r="J9" s="16">
        <f>(15/7)*2</f>
        <v>4.2857142857142856</v>
      </c>
      <c r="K9" s="16">
        <f t="shared" si="0"/>
        <v>0.76175856292363697</v>
      </c>
    </row>
    <row r="10" spans="2:12" x14ac:dyDescent="0.25">
      <c r="B10" s="16"/>
      <c r="C10" s="19" t="s">
        <v>17</v>
      </c>
      <c r="D10" s="24">
        <f>SUM(D6:D9)</f>
        <v>95239</v>
      </c>
      <c r="E10" s="20">
        <f>SUM(E6:E9)</f>
        <v>1671681.0699999998</v>
      </c>
      <c r="F10" s="20">
        <f>SUM(F6:F9)</f>
        <v>1666938.5714285714</v>
      </c>
      <c r="G10" s="20">
        <f>+E10-F10</f>
        <v>4742.4985714284703</v>
      </c>
      <c r="H10" s="21">
        <f>ABS(G10/F10)</f>
        <v>2.8450349957192091E-3</v>
      </c>
      <c r="I10" s="20">
        <f>E10/D10</f>
        <v>17.552484486397379</v>
      </c>
      <c r="J10" s="20">
        <f>F10/D10</f>
        <v>17.502688724457116</v>
      </c>
      <c r="K10" s="20">
        <f>I10-J10</f>
        <v>4.9795761940263361E-2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2025-07-17T02:03:24Z</dcterms:modified>
</cp:coreProperties>
</file>