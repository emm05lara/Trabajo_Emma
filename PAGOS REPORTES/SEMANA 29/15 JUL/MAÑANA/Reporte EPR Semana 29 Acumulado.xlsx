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5 JUL\MAÑANA\"/>
    </mc:Choice>
  </mc:AlternateContent>
  <xr:revisionPtr revIDLastSave="0" documentId="8_{6D16CBDA-08A3-47BB-BE58-40A452CB4AA6}" xr6:coauthVersionLast="47" xr6:coauthVersionMax="47" xr10:uidLastSave="{00000000-0000-0000-0000-000000000000}"/>
  <bookViews>
    <workbookView xWindow="5220" yWindow="4800" windowWidth="13590" windowHeight="945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36" i="1" l="1"/>
  <c r="D36" i="1"/>
  <c r="D27" i="1"/>
  <c r="C27" i="1"/>
  <c r="D6" i="3"/>
  <c r="D44" i="1"/>
  <c r="C44" i="1"/>
  <c r="D52" i="1"/>
  <c r="D57" i="1" l="1"/>
  <c r="C57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<sst xmlns="http://schemas.openxmlformats.org/spreadsheetml/2006/main" count="89" uniqueCount="37">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</sst>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59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4248</v>
      </c>
      <c r="D5" s="25">
        <v>217596.37</v>
      </c>
    </row>
    <row r="6" spans="2:8" x14ac:dyDescent="0.25">
      <c r="B6" s="1" t="s">
        <v>5</v>
      </c>
      <c r="C6" s="6">
        <v>4008</v>
      </c>
      <c r="D6" s="25">
        <v>68381</v>
      </c>
    </row>
    <row r="7" spans="2:8" x14ac:dyDescent="0.25">
      <c r="B7" s="1" t="s">
        <v>6</v>
      </c>
      <c r="C7" s="6">
        <v>6800</v>
      </c>
      <c r="D7" s="25">
        <v>87673.65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17044</v>
      </c>
      <c r="D9" s="25">
        <v>90895.579999999987</v>
      </c>
      <c r="E9" s="14"/>
      <c r="F9" s="7"/>
    </row>
    <row r="10" spans="2:8" x14ac:dyDescent="0.25">
      <c r="B10" s="3" t="s">
        <v>8</v>
      </c>
      <c r="C10" s="8">
        <f>SUM(C5:C9)</f>
        <v>32111</v>
      </c>
      <c r="D10" s="4">
        <f>SUM(D5:D9)</f>
        <v>464546.6</v>
      </c>
      <c r="E10" s="11" t="s">
        <v>14</v>
      </c>
    </row>
    <row r="12" spans="2:8" x14ac:dyDescent="0.25">
      <c r="B12" s="28" t="s">
        <v>9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649</v>
      </c>
      <c r="D14" s="25">
        <v>40907.899999999994</v>
      </c>
    </row>
    <row r="15" spans="2:8" x14ac:dyDescent="0.25">
      <c r="B15" s="9" t="s">
        <v>5</v>
      </c>
      <c r="C15" s="6">
        <v>1541</v>
      </c>
      <c r="D15" s="25">
        <v>37075.590000000004</v>
      </c>
    </row>
    <row r="16" spans="2:8" x14ac:dyDescent="0.25">
      <c r="B16" s="9" t="s">
        <v>6</v>
      </c>
      <c r="C16" s="6">
        <v>819</v>
      </c>
      <c r="D16" s="25">
        <v>50276.270000000004</v>
      </c>
    </row>
    <row r="17" spans="2:4" x14ac:dyDescent="0.25">
      <c r="B17" s="9" t="s">
        <v>7</v>
      </c>
      <c r="C17" s="6">
        <v>4323</v>
      </c>
      <c r="D17" s="25">
        <v>2000</v>
      </c>
    </row>
    <row r="18" spans="2:4" x14ac:dyDescent="0.25">
      <c r="B18" s="10" t="s">
        <v>8</v>
      </c>
      <c r="C18" s="8">
        <f>SUM(C14:C17)</f>
        <v>7332</v>
      </c>
      <c r="D18" s="4">
        <f>SUM(D14:D17)</f>
        <v>130259.76</v>
      </c>
    </row>
    <row r="20" spans="2:4" x14ac:dyDescent="0.25">
      <c r="B20" s="27" t="s">
        <v>10</v>
      </c>
      <c r="C20" s="27"/>
      <c r="D20" s="27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2527</v>
      </c>
      <c r="D22" s="25">
        <v>60435.600000000006</v>
      </c>
    </row>
    <row r="23" spans="2:4" x14ac:dyDescent="0.25">
      <c r="B23" s="9" t="s">
        <v>5</v>
      </c>
      <c r="C23" s="6">
        <v>841</v>
      </c>
      <c r="D23" s="25">
        <v>5341</v>
      </c>
    </row>
    <row r="24" spans="2:4" x14ac:dyDescent="0.25">
      <c r="B24" s="9" t="s">
        <v>6</v>
      </c>
      <c r="C24" s="6">
        <v>2367</v>
      </c>
      <c r="D24" s="25">
        <v>23011.45</v>
      </c>
    </row>
    <row r="25" spans="2:4" x14ac:dyDescent="0.25">
      <c r="B25" s="5" t="s">
        <v>12</v>
      </c>
      <c r="C25" s="7">
        <v>1</v>
      </c>
      <c r="D25" s="26">
        <v>0</v>
      </c>
    </row>
    <row r="26" spans="2:4" x14ac:dyDescent="0.25">
      <c r="B26" s="9" t="s">
        <v>7</v>
      </c>
      <c r="C26" s="6">
        <v>16927</v>
      </c>
      <c r="D26" s="25">
        <v>17835.43</v>
      </c>
    </row>
    <row r="27" spans="2:4" x14ac:dyDescent="0.25">
      <c r="B27" s="10" t="s">
        <v>8</v>
      </c>
      <c r="C27" s="8">
        <f>SUM(C22:C26)</f>
        <v>22663</v>
      </c>
      <c r="D27" s="4">
        <f>SUM(D22:D26)</f>
        <v>106623.48000000001</v>
      </c>
    </row>
    <row r="29" spans="2:4" x14ac:dyDescent="0.25">
      <c r="B29" s="28" t="s">
        <v>36</v>
      </c>
      <c r="C29" s="28"/>
      <c r="D29" s="28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1" t="s">
        <v>4</v>
      </c>
      <c r="C31" s="6">
        <v>3892</v>
      </c>
      <c r="D31" s="25">
        <v>50882.98</v>
      </c>
    </row>
    <row r="32" spans="2:4" x14ac:dyDescent="0.25">
      <c r="B32" s="1" t="s">
        <v>5</v>
      </c>
      <c r="C32" s="6">
        <v>2519</v>
      </c>
      <c r="D32" s="25">
        <v>12953</v>
      </c>
    </row>
    <row r="33" spans="2:4" x14ac:dyDescent="0.25">
      <c r="B33" s="1" t="s">
        <v>6</v>
      </c>
      <c r="C33" s="6">
        <v>3698</v>
      </c>
      <c r="D33" s="25">
        <v>22030</v>
      </c>
    </row>
    <row r="34" spans="2:4" x14ac:dyDescent="0.25">
      <c r="B34" s="5" t="s">
        <v>12</v>
      </c>
      <c r="C34" s="6">
        <v>0</v>
      </c>
      <c r="D34" s="26">
        <v>0</v>
      </c>
    </row>
    <row r="35" spans="2:4" x14ac:dyDescent="0.25">
      <c r="B35" s="1" t="s">
        <v>7</v>
      </c>
      <c r="C35" s="7">
        <v>14183</v>
      </c>
      <c r="D35" s="25">
        <v>20596</v>
      </c>
    </row>
    <row r="36" spans="2:4" x14ac:dyDescent="0.25">
      <c r="B36" s="3" t="s">
        <v>8</v>
      </c>
      <c r="C36" s="8">
        <f>SUM(C31:C35)</f>
        <v>24292</v>
      </c>
      <c r="D36" s="4">
        <f>SUM(D31:D35)</f>
        <v>106461.98000000001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721</v>
      </c>
      <c r="D40" s="25">
        <v>12364</v>
      </c>
    </row>
    <row r="41" spans="2:4" x14ac:dyDescent="0.25">
      <c r="B41" s="1" t="s">
        <v>5</v>
      </c>
      <c r="C41" s="6">
        <v>703</v>
      </c>
      <c r="D41" s="25">
        <v>5057</v>
      </c>
    </row>
    <row r="42" spans="2:4" x14ac:dyDescent="0.25">
      <c r="B42" s="1" t="s">
        <v>6</v>
      </c>
      <c r="C42" s="6">
        <v>1008</v>
      </c>
      <c r="D42" s="25">
        <v>2950</v>
      </c>
    </row>
    <row r="43" spans="2:4" x14ac:dyDescent="0.25">
      <c r="B43" s="1" t="s">
        <v>7</v>
      </c>
      <c r="C43" s="6">
        <v>418</v>
      </c>
      <c r="D43" s="25">
        <v>4432</v>
      </c>
    </row>
    <row r="44" spans="2:4" x14ac:dyDescent="0.25">
      <c r="B44" s="3" t="s">
        <v>8</v>
      </c>
      <c r="C44" s="8">
        <f>SUM(C40:C43)</f>
        <v>2850</v>
      </c>
      <c r="D44" s="4">
        <f>SUM(D40:D43)</f>
        <v>24803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1011</v>
      </c>
      <c r="D48" s="25">
        <v>12840</v>
      </c>
    </row>
    <row r="49" spans="2:4" x14ac:dyDescent="0.25">
      <c r="B49" s="1" t="s">
        <v>5</v>
      </c>
      <c r="C49" s="6">
        <v>139</v>
      </c>
      <c r="D49" s="25">
        <v>1000</v>
      </c>
    </row>
    <row r="50" spans="2:4" x14ac:dyDescent="0.25">
      <c r="B50" s="1" t="s">
        <v>6</v>
      </c>
      <c r="C50" s="6">
        <v>578</v>
      </c>
      <c r="D50" s="25">
        <v>800</v>
      </c>
    </row>
    <row r="51" spans="2:4" x14ac:dyDescent="0.25">
      <c r="B51" s="1" t="s">
        <v>7</v>
      </c>
      <c r="C51" s="6">
        <v>2313</v>
      </c>
      <c r="D51" s="25">
        <v>1812</v>
      </c>
    </row>
    <row r="52" spans="2:4" x14ac:dyDescent="0.25">
      <c r="B52" s="3" t="s">
        <v>8</v>
      </c>
      <c r="C52" s="8">
        <f>SUM(C48:C51)</f>
        <v>4041</v>
      </c>
      <c r="D52" s="4">
        <f>SUM(D48:D51)</f>
        <v>16452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1716</v>
      </c>
      <c r="D56" s="25">
        <v>15520</v>
      </c>
    </row>
    <row r="57" spans="2:4" x14ac:dyDescent="0.25">
      <c r="B57" s="10" t="s">
        <v>8</v>
      </c>
      <c r="C57" s="8">
        <f>SUM(C56:C56)</f>
        <v>1716</v>
      </c>
      <c r="D57" s="4">
        <f>SUM(D56:D56)</f>
        <v>15520</v>
      </c>
    </row>
    <row r="59" spans="2:4" x14ac:dyDescent="0.25">
      <c r="B59" s="12" t="s">
        <v>13</v>
      </c>
      <c r="C59" s="13">
        <f>SUMIF(B:B, "Total general", C:C)</f>
        <v>95005</v>
      </c>
      <c r="D59" s="13">
        <f>SUMIF(B:B, "Total general", D:D)</f>
        <v>864666.82</v>
      </c>
    </row>
  </sheetData>
  <mergeCells count="7">
    <mergeCell ref="B54:D54"/>
    <mergeCell ref="B38:D38"/>
    <mergeCell ref="B29:D29"/>
    <mergeCell ref="B46:D46"/>
    <mergeCell ref="B3:D3"/>
    <mergeCell ref="B20:D20"/>
    <mergeCell ref="B12:D12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14764</v>
      </c>
      <c r="E6" s="16">
        <f>SUMIF('REPORTE DIARIO'!B:B,'EPR 26 JUN'!C6, 'REPORTE DIARIO'!D:D)</f>
        <v>410546.85</v>
      </c>
      <c r="F6" s="16">
        <f>J6*D6</f>
        <v>928022.85714285704</v>
      </c>
      <c r="G6" s="16">
        <f>+E6-F6</f>
        <v>-517476.00714285707</v>
      </c>
      <c r="H6" s="15">
        <f>ABS(G6/F6)</f>
        <v>0.5576112734292259</v>
      </c>
      <c r="I6" s="16">
        <f>E6/D6</f>
        <v>27.807291384448657</v>
      </c>
      <c r="J6" s="16">
        <f>(220/7)*2</f>
        <v>62.857142857142854</v>
      </c>
      <c r="K6" s="16">
        <f>+I6-J6</f>
        <v>-35.049851472694201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9751</v>
      </c>
      <c r="E7" s="16">
        <f>SUMIF('REPORTE DIARIO'!B:B,'EPR 26 JUN'!C7, 'REPORTE DIARIO'!D:D)</f>
        <v>129807.59</v>
      </c>
      <c r="F7" s="16">
        <f>J7*D7</f>
        <v>306460</v>
      </c>
      <c r="G7" s="16">
        <f>+E7-F7</f>
        <v>-176652.41</v>
      </c>
      <c r="H7" s="15">
        <f>ABS(G7/F7)</f>
        <v>0.57642893036611631</v>
      </c>
      <c r="I7" s="16">
        <f>E7/D7</f>
        <v>13.312233617064916</v>
      </c>
      <c r="J7" s="16">
        <f>(110/7)*2</f>
        <v>31.428571428571427</v>
      </c>
      <c r="K7" s="16">
        <f t="shared" ref="K7:K9" si="0">+I7-J7</f>
        <v>-18.116337811506511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15270</v>
      </c>
      <c r="E8" s="16">
        <f>SUMIF('REPORTE DIARIO'!B:B,'EPR 26 JUN'!C8, 'REPORTE DIARIO'!D:D)</f>
        <v>186741.37</v>
      </c>
      <c r="F8" s="16">
        <f>J8*D8</f>
        <v>196328.57142857145</v>
      </c>
      <c r="G8" s="16">
        <f>+E8-F8</f>
        <v>-9587.201428571454</v>
      </c>
      <c r="H8" s="15">
        <f>ABS(G8/F8)</f>
        <v>4.8832431055810352E-2</v>
      </c>
      <c r="I8" s="16">
        <f>E8/D8</f>
        <v>12.229297314996725</v>
      </c>
      <c r="J8" s="16">
        <f>(45/7)*2</f>
        <v>12.857142857142858</v>
      </c>
      <c r="K8" s="16">
        <f t="shared" si="0"/>
        <v>-0.62784554214613308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55208</v>
      </c>
      <c r="E9" s="16">
        <f>SUMIF('REPORTE DIARIO'!B:B,'EPR 26 JUN'!C9, 'REPORTE DIARIO'!D:D)</f>
        <v>137571.00999999998</v>
      </c>
      <c r="F9" s="16">
        <f>J9*D9</f>
        <v>236605.71428571429</v>
      </c>
      <c r="G9" s="16">
        <f>+E9-F9</f>
        <v>-99034.70428571431</v>
      </c>
      <c r="H9" s="15">
        <f>ABS(G9/F9)</f>
        <v>0.41856429623726038</v>
      </c>
      <c r="I9" s="16">
        <f>E9/D9</f>
        <v>2.4918673018403128</v>
      </c>
      <c r="J9" s="16">
        <f>(15/7)*2</f>
        <v>4.2857142857142856</v>
      </c>
      <c r="K9" s="16">
        <f t="shared" si="0"/>
        <v>-1.7938469838739728</v>
      </c>
    </row>
    <row r="10" spans="2:12" x14ac:dyDescent="0.25">
      <c r="B10" s="16"/>
      <c r="C10" s="19" t="s">
        <v>17</v>
      </c>
      <c r="D10" s="24">
        <f>SUM(D6:D9)</f>
        <v>94993</v>
      </c>
      <c r="E10" s="20">
        <f>SUM(E6:E9)</f>
        <v>864666.82</v>
      </c>
      <c r="F10" s="20">
        <f>SUM(F6:F9)</f>
        <v>1667417.1428571427</v>
      </c>
      <c r="G10" s="20">
        <f>+E10-F10</f>
        <v>-802750.32285714278</v>
      </c>
      <c r="H10" s="21">
        <f>ABS(G10/F10)</f>
        <v>0.48143341112687543</v>
      </c>
      <c r="I10" s="20">
        <f>E10/D10</f>
        <v>9.1024267051256409</v>
      </c>
      <c r="J10" s="20">
        <f>F10/D10</f>
        <v>17.553052781332759</v>
      </c>
      <c r="K10" s="20">
        <f>I10-J10</f>
        <v>-8.4506260762071186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2025-07-15T16:37:14Z</dcterms:modified>
</cp:coreProperties>
</file>