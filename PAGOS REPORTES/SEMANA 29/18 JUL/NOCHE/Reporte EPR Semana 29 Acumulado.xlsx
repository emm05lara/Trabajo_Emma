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8 JUL\NOCHE\"/>
    </mc:Choice>
  </mc:AlternateContent>
  <xr:revisionPtr revIDLastSave="0" documentId="13_ncr:1_{6C43C30D-C702-4017-B8C8-0AC6F3ECADE8}" xr6:coauthVersionLast="47" xr6:coauthVersionMax="47" xr10:uidLastSave="{00000000-0000-0000-0000-000000000000}"/>
  <bookViews>
    <workbookView xWindow="15075" yWindow="241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<sst xmlns="http://schemas.openxmlformats.org/spreadsheetml/2006/main" count="89" uniqueCount="37">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</sst>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3437</v>
      </c>
      <c r="D5" s="25">
        <v>569756.46000000008</v>
      </c>
    </row>
    <row r="6" spans="2:8" x14ac:dyDescent="0.25">
      <c r="B6" s="1" t="s">
        <v>5</v>
      </c>
      <c r="C6" s="6">
        <v>2943</v>
      </c>
      <c r="D6" s="25">
        <v>202810.02000000002</v>
      </c>
    </row>
    <row r="7" spans="2:8" x14ac:dyDescent="0.25">
      <c r="B7" s="1" t="s">
        <v>6</v>
      </c>
      <c r="C7" s="6">
        <v>4959</v>
      </c>
      <c r="D7" s="25">
        <v>221592.97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18380</v>
      </c>
      <c r="D9" s="25">
        <v>298811.20999999996</v>
      </c>
      <c r="E9" s="14"/>
      <c r="F9" s="7"/>
    </row>
    <row r="10" spans="2:8" x14ac:dyDescent="0.25">
      <c r="B10" s="3" t="s">
        <v>8</v>
      </c>
      <c r="C10" s="8">
        <f>SUM(C5:C9)</f>
        <v>29730</v>
      </c>
      <c r="D10" s="4">
        <f>SUM(D5:D9)</f>
        <v>1292970.6600000001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2512</v>
      </c>
      <c r="D14" s="25">
        <v>222863.34</v>
      </c>
    </row>
    <row r="15" spans="2:8" x14ac:dyDescent="0.25">
      <c r="B15" s="9" t="s">
        <v>5</v>
      </c>
      <c r="C15" s="6">
        <v>836</v>
      </c>
      <c r="D15" s="25">
        <v>35862.090000000004</v>
      </c>
    </row>
    <row r="16" spans="2:8" x14ac:dyDescent="0.25">
      <c r="B16" s="9" t="s">
        <v>6</v>
      </c>
      <c r="C16" s="6">
        <v>1958</v>
      </c>
      <c r="D16" s="25">
        <v>71906.81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17241</v>
      </c>
      <c r="D18" s="25">
        <v>94298.7</v>
      </c>
    </row>
    <row r="19" spans="2:4" x14ac:dyDescent="0.25">
      <c r="B19" s="10" t="s">
        <v>8</v>
      </c>
      <c r="C19" s="8">
        <f>SUM(C14:C18)</f>
        <v>22548</v>
      </c>
      <c r="D19" s="4">
        <f>SUM(D14:D18)</f>
        <v>424930.94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3647</v>
      </c>
      <c r="D23" s="25">
        <v>185797.33</v>
      </c>
    </row>
    <row r="24" spans="2:4" x14ac:dyDescent="0.25">
      <c r="B24" s="1" t="s">
        <v>5</v>
      </c>
      <c r="C24" s="6">
        <v>2357</v>
      </c>
      <c r="D24" s="25">
        <v>66048</v>
      </c>
    </row>
    <row r="25" spans="2:4" x14ac:dyDescent="0.25">
      <c r="B25" s="1" t="s">
        <v>6</v>
      </c>
      <c r="C25" s="6">
        <v>3446</v>
      </c>
      <c r="D25" s="25">
        <v>62068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14068</v>
      </c>
      <c r="D27" s="25">
        <v>80343.87</v>
      </c>
    </row>
    <row r="28" spans="2:4" x14ac:dyDescent="0.25">
      <c r="B28" s="3" t="s">
        <v>8</v>
      </c>
      <c r="C28" s="8">
        <f>SUM(C23:C27)</f>
        <v>23518</v>
      </c>
      <c r="D28" s="4">
        <f>SUM(D23:D27)</f>
        <v>394257.19999999995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670</v>
      </c>
      <c r="D32" s="25">
        <v>100413.11</v>
      </c>
    </row>
    <row r="33" spans="2:4" x14ac:dyDescent="0.25">
      <c r="B33" s="9" t="s">
        <v>5</v>
      </c>
      <c r="C33" s="6">
        <v>1493</v>
      </c>
      <c r="D33" s="25">
        <v>137952.49</v>
      </c>
    </row>
    <row r="34" spans="2:4" x14ac:dyDescent="0.25">
      <c r="B34" s="9" t="s">
        <v>6</v>
      </c>
      <c r="C34" s="6">
        <v>810</v>
      </c>
      <c r="D34" s="25">
        <v>76378.36</v>
      </c>
    </row>
    <row r="35" spans="2:4" x14ac:dyDescent="0.25">
      <c r="B35" s="9" t="s">
        <v>7</v>
      </c>
      <c r="C35" s="6">
        <v>4323</v>
      </c>
      <c r="D35" s="25">
        <v>25312</v>
      </c>
    </row>
    <row r="36" spans="2:4" x14ac:dyDescent="0.25">
      <c r="B36" s="10" t="s">
        <v>8</v>
      </c>
      <c r="C36" s="8">
        <f>SUM(C32:C35)</f>
        <v>7296</v>
      </c>
      <c r="D36" s="4">
        <f>SUM(D32:D35)</f>
        <v>340055.95999999996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716</v>
      </c>
      <c r="D40" s="25">
        <v>97950.38</v>
      </c>
    </row>
    <row r="41" spans="2:4" x14ac:dyDescent="0.25">
      <c r="B41" s="1" t="s">
        <v>5</v>
      </c>
      <c r="C41" s="6">
        <v>700</v>
      </c>
      <c r="D41" s="25">
        <v>10102</v>
      </c>
    </row>
    <row r="42" spans="2:4" x14ac:dyDescent="0.25">
      <c r="B42" s="1" t="s">
        <v>6</v>
      </c>
      <c r="C42" s="6">
        <v>1004</v>
      </c>
      <c r="D42" s="25">
        <v>15727</v>
      </c>
    </row>
    <row r="43" spans="2:4" x14ac:dyDescent="0.25">
      <c r="B43" s="1" t="s">
        <v>7</v>
      </c>
      <c r="C43" s="6">
        <v>418</v>
      </c>
      <c r="D43" s="25">
        <v>10031</v>
      </c>
    </row>
    <row r="44" spans="2:4" x14ac:dyDescent="0.25">
      <c r="B44" s="3" t="s">
        <v>8</v>
      </c>
      <c r="C44" s="8">
        <f>SUM(C40:C43)</f>
        <v>2838</v>
      </c>
      <c r="D44" s="4">
        <f>SUM(D40:D43)</f>
        <v>133810.38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1628</v>
      </c>
      <c r="D48" s="25">
        <v>48366</v>
      </c>
    </row>
    <row r="49" spans="2:4" x14ac:dyDescent="0.25">
      <c r="B49" s="10" t="s">
        <v>8</v>
      </c>
      <c r="C49" s="8">
        <f>SUM(C48:C48)</f>
        <v>1628</v>
      </c>
      <c r="D49" s="4">
        <f>SUM(D48:D48)</f>
        <v>48366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988</v>
      </c>
      <c r="D53" s="25">
        <v>26347.040000000001</v>
      </c>
    </row>
    <row r="54" spans="2:4" x14ac:dyDescent="0.25">
      <c r="B54" s="1" t="s">
        <v>5</v>
      </c>
      <c r="C54" s="6">
        <v>120</v>
      </c>
      <c r="D54" s="25">
        <v>5098</v>
      </c>
    </row>
    <row r="55" spans="2:4" x14ac:dyDescent="0.25">
      <c r="B55" s="1" t="s">
        <v>6</v>
      </c>
      <c r="C55" s="6">
        <v>546</v>
      </c>
      <c r="D55" s="25">
        <v>4088</v>
      </c>
    </row>
    <row r="56" spans="2:4" x14ac:dyDescent="0.25">
      <c r="B56" s="1" t="s">
        <v>7</v>
      </c>
      <c r="C56" s="6">
        <v>2302</v>
      </c>
      <c r="D56" s="25">
        <v>4389</v>
      </c>
    </row>
    <row r="57" spans="2:4" x14ac:dyDescent="0.25">
      <c r="B57" s="3" t="s">
        <v>8</v>
      </c>
      <c r="C57" s="8">
        <f>SUM(C53:C56)</f>
        <v>3956</v>
      </c>
      <c r="D57" s="4">
        <f>SUM(D53:D56)</f>
        <v>39922.04</v>
      </c>
    </row>
    <row r="59" spans="2:4" x14ac:dyDescent="0.25">
      <c r="B59" s="12" t="s">
        <v>13</v>
      </c>
      <c r="C59" s="13">
        <f>SUMIF(B:B, "Total general", C:C)</f>
        <v>91514</v>
      </c>
      <c r="D59" s="13">
        <f>SUMIF(B:B, "Total general", D:D)</f>
        <v>2674313.1799999997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13598</v>
      </c>
      <c r="E6" s="16">
        <f>SUMIF('REPORTE DIARIO'!B:B,'EPR 26 JUN'!C6, 'REPORTE DIARIO'!D:D)</f>
        <v>1251493.6600000001</v>
      </c>
      <c r="F6" s="16">
        <f>J6*D6</f>
        <v>854731.42857142852</v>
      </c>
      <c r="G6" s="16">
        <f>+E6-F6</f>
        <v>396762.23142857163</v>
      </c>
      <c r="H6" s="15">
        <f>ABS(G6/F6)</f>
        <v>0.46419520584577972</v>
      </c>
      <c r="I6" s="16">
        <f>E6/D6</f>
        <v>92.035127224591861</v>
      </c>
      <c r="J6" s="16">
        <f>(220/7)*2</f>
        <v>62.857142857142854</v>
      </c>
      <c r="K6" s="16">
        <f>+I6-J6</f>
        <v>29.177984367449007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8449</v>
      </c>
      <c r="E7" s="16">
        <f>SUMIF('REPORTE DIARIO'!B:B,'EPR 26 JUN'!C7, 'REPORTE DIARIO'!D:D)</f>
        <v>457872.6</v>
      </c>
      <c r="F7" s="16">
        <f>J7*D7</f>
        <v>265540</v>
      </c>
      <c r="G7" s="16">
        <f>+E7-F7</f>
        <v>192332.59999999998</v>
      </c>
      <c r="H7" s="15">
        <f>ABS(G7/F7)</f>
        <v>0.72430744897190624</v>
      </c>
      <c r="I7" s="16">
        <f>E7/D7</f>
        <v>54.192519824831336</v>
      </c>
      <c r="J7" s="16">
        <f>(110/7)*2</f>
        <v>31.428571428571427</v>
      </c>
      <c r="K7" s="16">
        <f t="shared" ref="K7:K9" si="0">+I7-J7</f>
        <v>22.763948396259909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12723</v>
      </c>
      <c r="E8" s="16">
        <f>SUMIF('REPORTE DIARIO'!B:B,'EPR 26 JUN'!C8, 'REPORTE DIARIO'!D:D)</f>
        <v>451761.14</v>
      </c>
      <c r="F8" s="16">
        <f>J8*D8</f>
        <v>163581.42857142858</v>
      </c>
      <c r="G8" s="16">
        <f>+E8-F8</f>
        <v>288179.71142857143</v>
      </c>
      <c r="H8" s="15">
        <f>ABS(G8/F8)</f>
        <v>1.7616896608940937</v>
      </c>
      <c r="I8" s="16">
        <f>E8/D8</f>
        <v>35.507438497209776</v>
      </c>
      <c r="J8" s="16">
        <f>(45/7)*2</f>
        <v>12.857142857142858</v>
      </c>
      <c r="K8" s="16">
        <f t="shared" si="0"/>
        <v>22.650295640066918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56732</v>
      </c>
      <c r="E9" s="16">
        <f>SUMIF('REPORTE DIARIO'!B:B,'EPR 26 JUN'!C9, 'REPORTE DIARIO'!D:D)</f>
        <v>513185.77999999997</v>
      </c>
      <c r="F9" s="16">
        <f>J9*D9</f>
        <v>243137.14285714284</v>
      </c>
      <c r="G9" s="16">
        <f>+E9-F9</f>
        <v>270048.63714285713</v>
      </c>
      <c r="H9" s="15">
        <f>ABS(G9/F9)</f>
        <v>1.1106844226656325</v>
      </c>
      <c r="I9" s="16">
        <f>E9/D9</f>
        <v>9.0457903828527098</v>
      </c>
      <c r="J9" s="16">
        <f>(15/7)*2</f>
        <v>4.2857142857142856</v>
      </c>
      <c r="K9" s="16">
        <f t="shared" si="0"/>
        <v>4.7600760971384242</v>
      </c>
    </row>
    <row r="10" spans="2:12" x14ac:dyDescent="0.25">
      <c r="B10" s="16"/>
      <c r="C10" s="19" t="s">
        <v>17</v>
      </c>
      <c r="D10" s="24">
        <f>SUM(D6:D9)</f>
        <v>91502</v>
      </c>
      <c r="E10" s="20">
        <f>SUM(E6:E9)</f>
        <v>2674313.1800000002</v>
      </c>
      <c r="F10" s="20">
        <f>SUM(F6:F9)</f>
        <v>1526990</v>
      </c>
      <c r="G10" s="20">
        <f>+E10-F10</f>
        <v>1147323.1800000002</v>
      </c>
      <c r="H10" s="21">
        <f>ABS(G10/F10)</f>
        <v>0.75136260224362972</v>
      </c>
      <c r="I10" s="20">
        <f>E10/D10</f>
        <v>29.226827610325458</v>
      </c>
      <c r="J10" s="20">
        <f>F10/D10</f>
        <v>16.688050534414547</v>
      </c>
      <c r="K10" s="20">
        <f>I10-J10</f>
        <v>12.538777075910911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2025-07-19T02:09:52Z</dcterms:modified>
</cp:coreProperties>
</file>