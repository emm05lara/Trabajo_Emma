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8 MAYO\NOCHE\"/>
    </mc:Choice>
  </mc:AlternateContent>
  <xr:revisionPtr revIDLastSave="0" documentId="13_ncr:1_{B73E37F5-27EC-42F3-A233-FA67A59A79EC}" xr6:coauthVersionLast="47" xr6:coauthVersionMax="47" xr10:uidLastSave="{00000000-0000-0000-0000-000000000000}"/>
  <bookViews>
    <workbookView xWindow="9900" yWindow="9900" windowWidth="10005" windowHeight="5445" xr2:uid="{4DC6C92A-CD8A-4966-829B-0B6A986E825B}"/>
  </bookViews>
  <sheets>
    <sheet name="REPORTE DIARIO" sheetId="1" r:id="rId1"/>
    <sheet name="DATA" sheetId="4" r:id="rId2"/>
    <sheet name="EPR 08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D35" i="1"/>
  <c r="D56" i="1"/>
  <c r="C56" i="1"/>
  <c r="C35" i="1"/>
  <c r="D18" i="1" l="1"/>
  <c r="C18" i="1"/>
  <c r="J9" i="3"/>
  <c r="J8" i="3"/>
  <c r="J7" i="3"/>
  <c r="D6" i="3"/>
  <c r="F6" i="3" s="1"/>
  <c r="D48" i="1"/>
  <c r="C48" i="1"/>
  <c r="D9" i="1"/>
  <c r="C9" i="1"/>
  <c r="D43" i="1"/>
  <c r="C43" i="1"/>
  <c r="D27" i="1"/>
  <c r="C27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<sst xmlns="http://schemas.openxmlformats.org/spreadsheetml/2006/main" count="87" uniqueCount="36">
  <si>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</si>
  <si>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</si>
  <si>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</si>
  <si>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</si>
  <si>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</si>
  <si>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</si>
  <si>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</si>
  <si>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</si>
  <si>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</si>
  <si>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</si>
  <si>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</si>
  <si>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</si>
  <si>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</si>
  <si>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</si>
  <si>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</si>
  <si>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</si>
  <si>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</si>
  <si>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</si>
  <si>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</si>
  <si>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</si>
  <si>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</si>
  <si>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</si>
  <si>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</si>
  <si>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</si>
  <si>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</si>
  <si>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</si>
  <si>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</si>
  <si>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</si>
  <si>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</si>
  <si>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</si>
  <si>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</si>
  <si>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</si>
  <si>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</si>
  <si>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</si>
  <si>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</si>
  <si>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08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</si>
</sst>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2" workbookViewId="0">
      <selection activeCell="C54" sqref="C5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10</v>
      </c>
      <c r="C3" s="28"/>
      <c r="D3" s="28"/>
      <c r="H3" s="8"/>
    </row>
    <row r="4" spans="2:8" x14ac:dyDescent="0.25">
      <c r="B4" s="4" t="s">
        <v>1</v>
      </c>
      <c r="C4" s="4" t="s">
        <v>2</v>
      </c>
      <c r="D4" s="4" t="s">
        <v>3</v>
      </c>
    </row>
    <row r="5" spans="2:8" x14ac:dyDescent="0.25">
      <c r="B5" s="9" t="s">
        <v>4</v>
      </c>
      <c r="C5" s="6">
        <v>3665</v>
      </c>
      <c r="D5" s="25">
        <v>69312.430000000008</v>
      </c>
    </row>
    <row r="6" spans="2:8" x14ac:dyDescent="0.25">
      <c r="B6" s="9" t="s">
        <v>5</v>
      </c>
      <c r="C6" s="6">
        <v>1963</v>
      </c>
      <c r="D6" s="25">
        <v>4238</v>
      </c>
    </row>
    <row r="7" spans="2:8" x14ac:dyDescent="0.25">
      <c r="B7" s="9" t="s">
        <v>6</v>
      </c>
      <c r="C7" s="6">
        <v>2221</v>
      </c>
      <c r="D7" s="25">
        <v>2968.48</v>
      </c>
    </row>
    <row r="8" spans="2:8" x14ac:dyDescent="0.25">
      <c r="B8" s="9" t="s">
        <v>7</v>
      </c>
      <c r="C8" s="6">
        <v>9734</v>
      </c>
      <c r="D8" s="25">
        <v>64063</v>
      </c>
    </row>
    <row r="9" spans="2:8" x14ac:dyDescent="0.25">
      <c r="B9" s="10" t="s">
        <v>8</v>
      </c>
      <c r="C9" s="8">
        <f>SUM(C5:C8)</f>
        <v>17583</v>
      </c>
      <c r="D9" s="4">
        <f>SUM(D5:D8)</f>
        <v>140581.91</v>
      </c>
    </row>
    <row r="11" spans="2:8" x14ac:dyDescent="0.25">
      <c r="B11" s="27" t="s">
        <v>29</v>
      </c>
      <c r="C11" s="27"/>
      <c r="D11" s="27"/>
    </row>
    <row r="12" spans="2:8" x14ac:dyDescent="0.25">
      <c r="B12" s="2" t="s">
        <v>1</v>
      </c>
      <c r="C12" s="2" t="s">
        <v>2</v>
      </c>
      <c r="D12" s="2" t="s">
        <v>3</v>
      </c>
    </row>
    <row r="13" spans="2:8" x14ac:dyDescent="0.25">
      <c r="B13" s="1" t="s">
        <v>4</v>
      </c>
      <c r="C13" s="6">
        <v>1930</v>
      </c>
      <c r="D13" s="25">
        <v>14662.24</v>
      </c>
    </row>
    <row r="14" spans="2:8" x14ac:dyDescent="0.25">
      <c r="B14" s="1" t="s">
        <v>5</v>
      </c>
      <c r="C14" s="6">
        <v>1797</v>
      </c>
      <c r="D14" s="25">
        <v>21731</v>
      </c>
    </row>
    <row r="15" spans="2:8" x14ac:dyDescent="0.25">
      <c r="B15" s="1" t="s">
        <v>6</v>
      </c>
      <c r="C15" s="6">
        <v>3080</v>
      </c>
      <c r="D15" s="25">
        <v>63884</v>
      </c>
    </row>
    <row r="16" spans="2:8" x14ac:dyDescent="0.25">
      <c r="B16" s="5" t="s">
        <v>12</v>
      </c>
      <c r="C16" s="7">
        <v>2</v>
      </c>
      <c r="D16" s="24">
        <v>0</v>
      </c>
    </row>
    <row r="17" spans="2:11" x14ac:dyDescent="0.25">
      <c r="B17" s="1" t="s">
        <v>7</v>
      </c>
      <c r="C17" s="6">
        <v>20751</v>
      </c>
      <c r="D17" s="25">
        <v>18347</v>
      </c>
    </row>
    <row r="18" spans="2:11" x14ac:dyDescent="0.25">
      <c r="B18" s="3" t="s">
        <v>8</v>
      </c>
      <c r="C18" s="8">
        <f>SUM(C13:C17)</f>
        <v>27560</v>
      </c>
      <c r="D18" s="4">
        <f>SUM(D13:D17)</f>
        <v>118624.23999999999</v>
      </c>
    </row>
    <row r="20" spans="2:11" x14ac:dyDescent="0.25">
      <c r="B20" s="27" t="s">
        <v>0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4201</v>
      </c>
      <c r="D22" s="25">
        <v>45044.78</v>
      </c>
    </row>
    <row r="23" spans="2:11" x14ac:dyDescent="0.25">
      <c r="B23" s="1" t="s">
        <v>5</v>
      </c>
      <c r="C23" s="6">
        <v>4314</v>
      </c>
      <c r="D23" s="25">
        <v>40816.25</v>
      </c>
    </row>
    <row r="24" spans="2:11" x14ac:dyDescent="0.25">
      <c r="B24" s="1" t="s">
        <v>6</v>
      </c>
      <c r="C24" s="6">
        <v>6057</v>
      </c>
      <c r="D24" s="25">
        <v>11736</v>
      </c>
    </row>
    <row r="25" spans="2:11" x14ac:dyDescent="0.25">
      <c r="B25" s="5" t="s">
        <v>12</v>
      </c>
      <c r="C25" s="7">
        <v>10</v>
      </c>
      <c r="D25" s="26">
        <v>0</v>
      </c>
    </row>
    <row r="26" spans="2:11" x14ac:dyDescent="0.25">
      <c r="B26" s="1" t="s">
        <v>7</v>
      </c>
      <c r="C26" s="6">
        <v>13193</v>
      </c>
      <c r="D26" s="25">
        <v>10194</v>
      </c>
      <c r="K26" s="7"/>
    </row>
    <row r="27" spans="2:11" x14ac:dyDescent="0.25">
      <c r="B27" s="3" t="s">
        <v>8</v>
      </c>
      <c r="C27" s="8">
        <f>SUM(C22:C26)</f>
        <v>27775</v>
      </c>
      <c r="D27" s="4">
        <f>SUM(D22:D26)</f>
        <v>107791.03</v>
      </c>
    </row>
    <row r="29" spans="2:11" x14ac:dyDescent="0.25">
      <c r="B29" s="27" t="s">
        <v>30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110</v>
      </c>
      <c r="D31" s="26">
        <v>0</v>
      </c>
    </row>
    <row r="32" spans="2:11" x14ac:dyDescent="0.25">
      <c r="B32" s="1" t="s">
        <v>5</v>
      </c>
      <c r="C32" s="6">
        <v>618</v>
      </c>
      <c r="D32" s="25">
        <v>500</v>
      </c>
    </row>
    <row r="33" spans="2:4" x14ac:dyDescent="0.25">
      <c r="B33" s="1" t="s">
        <v>6</v>
      </c>
      <c r="C33" s="6">
        <v>462</v>
      </c>
      <c r="D33" s="25">
        <v>1320</v>
      </c>
    </row>
    <row r="34" spans="2:4" x14ac:dyDescent="0.25">
      <c r="B34" s="1" t="s">
        <v>7</v>
      </c>
      <c r="C34" s="6">
        <v>2106</v>
      </c>
      <c r="D34" s="25">
        <v>19726</v>
      </c>
    </row>
    <row r="35" spans="2:4" x14ac:dyDescent="0.25">
      <c r="B35" s="3" t="s">
        <v>8</v>
      </c>
      <c r="C35" s="8">
        <f>SUM(C31:C34)</f>
        <v>3296</v>
      </c>
      <c r="D35" s="4">
        <f>SUM(D31:D34)</f>
        <v>21546</v>
      </c>
    </row>
    <row r="37" spans="2:4" x14ac:dyDescent="0.25">
      <c r="B37" s="27" t="s">
        <v>9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293</v>
      </c>
      <c r="D39" s="25">
        <v>7490.16</v>
      </c>
    </row>
    <row r="40" spans="2:4" x14ac:dyDescent="0.25">
      <c r="B40" s="9" t="s">
        <v>5</v>
      </c>
      <c r="C40" s="6">
        <v>1534</v>
      </c>
      <c r="D40" s="25">
        <v>10306.459999999999</v>
      </c>
    </row>
    <row r="41" spans="2:4" x14ac:dyDescent="0.25">
      <c r="B41" s="9" t="s">
        <v>6</v>
      </c>
      <c r="C41" s="6">
        <v>2304</v>
      </c>
      <c r="D41" s="25">
        <v>551</v>
      </c>
    </row>
    <row r="42" spans="2:4" x14ac:dyDescent="0.25">
      <c r="B42" s="9" t="s">
        <v>7</v>
      </c>
      <c r="C42" s="6">
        <v>4229</v>
      </c>
      <c r="D42" s="26">
        <v>0</v>
      </c>
    </row>
    <row r="43" spans="2:4" x14ac:dyDescent="0.25">
      <c r="B43" s="10" t="s">
        <v>8</v>
      </c>
      <c r="C43" s="8">
        <f>SUM(C39:C42)</f>
        <v>8360</v>
      </c>
      <c r="D43" s="4">
        <f>SUM(D39:D42)</f>
        <v>18347.62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2012</v>
      </c>
      <c r="D47" s="25">
        <v>2538</v>
      </c>
    </row>
    <row r="48" spans="2:4" x14ac:dyDescent="0.25">
      <c r="B48" s="10" t="s">
        <v>8</v>
      </c>
      <c r="C48" s="8">
        <f>SUM(C47:C47)</f>
        <v>2012</v>
      </c>
      <c r="D48" s="4">
        <f>SUM(D47:D47)</f>
        <v>2538</v>
      </c>
    </row>
    <row r="50" spans="2:4" x14ac:dyDescent="0.25">
      <c r="B50" s="27" t="s">
        <v>31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150</v>
      </c>
      <c r="D52" s="26">
        <v>0</v>
      </c>
    </row>
    <row r="53" spans="2:4" x14ac:dyDescent="0.25">
      <c r="B53" s="1" t="s">
        <v>5</v>
      </c>
      <c r="C53" s="6">
        <v>444</v>
      </c>
      <c r="D53" s="26">
        <v>0</v>
      </c>
    </row>
    <row r="54" spans="2:4" x14ac:dyDescent="0.25">
      <c r="B54" s="1" t="s">
        <v>6</v>
      </c>
      <c r="C54" s="6">
        <v>773</v>
      </c>
      <c r="D54" s="26">
        <v>0</v>
      </c>
    </row>
    <row r="55" spans="2:4" x14ac:dyDescent="0.25">
      <c r="B55" s="1" t="s">
        <v>7</v>
      </c>
      <c r="C55" s="6">
        <v>1014</v>
      </c>
      <c r="D55" s="26">
        <v>0</v>
      </c>
    </row>
    <row r="56" spans="2:4" x14ac:dyDescent="0.25">
      <c r="B56" s="3" t="s">
        <v>8</v>
      </c>
      <c r="C56" s="8">
        <f>SUM(C52:C55)</f>
        <v>2381</v>
      </c>
      <c r="D56" s="4">
        <f>SUM(D52:D55)</f>
        <v>0</v>
      </c>
    </row>
    <row r="58" spans="2:4" x14ac:dyDescent="0.25">
      <c r="B58" s="11" t="s">
        <v>13</v>
      </c>
      <c r="C58" s="12">
        <f>SUM(C27+C43+C9+C48+C18+C35+C56)</f>
        <v>88967</v>
      </c>
      <c r="D58" s="12">
        <f>SUM(D27+D43+D9+D48+D18+D35+D56)</f>
        <v>409428.8</v>
      </c>
    </row>
  </sheetData>
  <mergeCells count="7">
    <mergeCell ref="B50:D50"/>
    <mergeCell ref="B20:D20"/>
    <mergeCell ref="B37:D37"/>
    <mergeCell ref="B45:D45"/>
    <mergeCell ref="B29:D29"/>
    <mergeCell ref="B11:D11"/>
    <mergeCell ref="B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J9" sqref="J9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08 MAYO'!C6, 'REPORTE DIARIO'!C:C)</f>
        <v>12361</v>
      </c>
      <c r="E6" s="15">
        <f>SUMIF('REPORTE DIARIO'!B:B,'EPR 08 MAYO'!C6, 'REPORTE DIARIO'!D:D)</f>
        <v>139047.61000000002</v>
      </c>
      <c r="F6" s="15">
        <f>J6*D6</f>
        <v>388488.57142857142</v>
      </c>
      <c r="G6" s="15">
        <f>+E6-F6</f>
        <v>-249440.96142857141</v>
      </c>
      <c r="H6" s="14">
        <f>ABS(G6/F6)</f>
        <v>0.64208056497341337</v>
      </c>
      <c r="I6" s="15">
        <f>E6/D6</f>
        <v>11.248896529407007</v>
      </c>
      <c r="J6" s="15">
        <f>220/7</f>
        <v>31.428571428571427</v>
      </c>
      <c r="K6" s="15">
        <f>+I6-J6</f>
        <v>-20.179674899164418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08 MAYO'!C7, 'REPORTE DIARIO'!C:C)</f>
        <v>10670</v>
      </c>
      <c r="E7" s="15">
        <f>SUMIF('REPORTE DIARIO'!B:B,'EPR 08 MAYO'!C7, 'REPORTE DIARIO'!D:D)</f>
        <v>77591.709999999992</v>
      </c>
      <c r="F7" s="15">
        <f>J7*D7</f>
        <v>167671.42857142855</v>
      </c>
      <c r="G7" s="15">
        <f>+E7-F7</f>
        <v>-90079.718571428559</v>
      </c>
      <c r="H7" s="14">
        <f>ABS(G7/F7)</f>
        <v>0.53723952458038682</v>
      </c>
      <c r="I7" s="15">
        <f>E7/D7</f>
        <v>7.2719503280224922</v>
      </c>
      <c r="J7" s="15">
        <f>110/7</f>
        <v>15.714285714285714</v>
      </c>
      <c r="K7" s="15">
        <f t="shared" ref="K7:K9" si="0">+I7-J7</f>
        <v>-8.4423353862632204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08 MAYO'!C8, 'REPORTE DIARIO'!C:C)</f>
        <v>14897</v>
      </c>
      <c r="E8" s="15">
        <f>SUMIF('REPORTE DIARIO'!B:B,'EPR 08 MAYO'!C8, 'REPORTE DIARIO'!D:D)</f>
        <v>80459.48</v>
      </c>
      <c r="F8" s="15">
        <f>J8*D8</f>
        <v>95766.42857142858</v>
      </c>
      <c r="G8" s="15">
        <f>+E8-F8</f>
        <v>-15306.948571428584</v>
      </c>
      <c r="H8" s="14">
        <f>ABS(G8/F8)</f>
        <v>0.159836268301597</v>
      </c>
      <c r="I8" s="15">
        <f>E8/D8</f>
        <v>5.4010525609183055</v>
      </c>
      <c r="J8" s="15">
        <f>45/7</f>
        <v>6.4285714285714288</v>
      </c>
      <c r="K8" s="15">
        <f t="shared" si="0"/>
        <v>-1.0275188676531233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08 MAYO'!C9, 'REPORTE DIARIO'!C:C)</f>
        <v>51027</v>
      </c>
      <c r="E9" s="15">
        <f>SUMIF('REPORTE DIARIO'!B:B,'EPR 08 MAYO'!C9, 'REPORTE DIARIO'!D:D)</f>
        <v>112330</v>
      </c>
      <c r="F9" s="15">
        <f>J9*D9</f>
        <v>109343.57142857142</v>
      </c>
      <c r="G9" s="15">
        <f>+E9-F9</f>
        <v>2986.4285714285797</v>
      </c>
      <c r="H9" s="14">
        <f>ABS(G9/F9)</f>
        <v>2.7312337912608436E-2</v>
      </c>
      <c r="I9" s="15">
        <f>E9/D9</f>
        <v>2.2013835812413038</v>
      </c>
      <c r="J9" s="15">
        <f>15/7</f>
        <v>2.1428571428571428</v>
      </c>
      <c r="K9" s="15">
        <f t="shared" si="0"/>
        <v>5.852643838416105E-2</v>
      </c>
    </row>
    <row r="10" spans="2:12" x14ac:dyDescent="0.25">
      <c r="B10" s="15"/>
      <c r="C10" s="18" t="s">
        <v>16</v>
      </c>
      <c r="D10" s="23">
        <f>SUM(D6:D9)</f>
        <v>88955</v>
      </c>
      <c r="E10" s="19">
        <f>SUM(E6:E9)</f>
        <v>409428.8</v>
      </c>
      <c r="F10" s="19">
        <f>SUM(F6:F9)</f>
        <v>761270</v>
      </c>
      <c r="G10" s="19">
        <f>+E10-F10</f>
        <v>-351841.2</v>
      </c>
      <c r="H10" s="20">
        <f>ABS(G10/F10)</f>
        <v>0.46217662590145414</v>
      </c>
      <c r="I10" s="19">
        <f>E10/D10</f>
        <v>4.6026507784835031</v>
      </c>
      <c r="J10" s="19">
        <f>F10/D10</f>
        <v>8.5579225451070773</v>
      </c>
      <c r="K10" s="19">
        <f>I10-J10</f>
        <v>-3.9552717666235742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08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2025-05-09T01:49:30Z</dcterms:modified>
</cp:coreProperties>
</file>