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7 MAYO\NOCHE\"/>
    </mc:Choice>
  </mc:AlternateContent>
  <xr:revisionPtr revIDLastSave="0" documentId="13_ncr:1_{BEE25A9E-D38A-4B48-AE2D-13901C3BCC43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0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56" i="1"/>
  <c r="D27" i="1"/>
  <c r="C27" i="1"/>
  <c r="C56" i="1"/>
  <c r="D19" i="1" l="1"/>
  <c r="C19" i="1"/>
  <c r="J9" i="3"/>
  <c r="J8" i="3"/>
  <c r="J7" i="3"/>
  <c r="D6" i="3"/>
  <c r="F6" i="3" s="1"/>
  <c r="D48" i="1"/>
  <c r="C48" i="1"/>
  <c r="D35" i="1"/>
  <c r="C35" i="1"/>
  <c r="D43" i="1"/>
  <c r="C43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<sst xmlns="http://schemas.openxmlformats.org/spreadsheetml/2006/main" count="87" uniqueCount="36">
  <si>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</si>
  <si>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</si>
  <si>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</si>
  <si>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</si>
  <si>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</si>
  <si>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</si>
  <si>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</si>
  <si>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</si>
  <si>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</si>
  <si>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</si>
  <si>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</si>
  <si>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</si>
  <si>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</si>
  <si>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</si>
  <si>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</si>
  <si>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</si>
  <si>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</si>
  <si>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</si>
  <si>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</si>
  <si>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</si>
  <si>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</si>
  <si>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</si>
  <si>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</si>
  <si>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</si>
  <si>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</si>
  <si>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</si>
  <si>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</si>
  <si>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</si>
  <si>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</si>
  <si>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</si>
  <si>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</si>
  <si>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</si>
  <si>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</si>
  <si>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</si>
  <si>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</si>
  <si>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07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</si>
</sst>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workbookViewId="0">
      <selection activeCell="B1" sqref="B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4236</v>
      </c>
      <c r="D5" s="25">
        <v>28732</v>
      </c>
    </row>
    <row r="6" spans="2:8" x14ac:dyDescent="0.25">
      <c r="B6" s="1" t="s">
        <v>5</v>
      </c>
      <c r="C6" s="6">
        <v>4290</v>
      </c>
      <c r="D6" s="25">
        <v>15399</v>
      </c>
    </row>
    <row r="7" spans="2:8" x14ac:dyDescent="0.25">
      <c r="B7" s="1" t="s">
        <v>6</v>
      </c>
      <c r="C7" s="6">
        <v>6045</v>
      </c>
      <c r="D7" s="25">
        <v>82983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13146</v>
      </c>
      <c r="D9" s="25">
        <v>23697.71</v>
      </c>
    </row>
    <row r="10" spans="2:8" x14ac:dyDescent="0.25">
      <c r="B10" s="3" t="s">
        <v>8</v>
      </c>
      <c r="C10" s="8">
        <f>SUM(C5:C9)</f>
        <v>27727</v>
      </c>
      <c r="D10" s="4">
        <f>SUM(D5:D9)</f>
        <v>150811.71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1965</v>
      </c>
      <c r="D14" s="25">
        <v>63804.1</v>
      </c>
    </row>
    <row r="15" spans="2:8" x14ac:dyDescent="0.25">
      <c r="B15" s="1" t="s">
        <v>5</v>
      </c>
      <c r="C15" s="6">
        <v>1739</v>
      </c>
      <c r="D15" s="25">
        <v>1622</v>
      </c>
    </row>
    <row r="16" spans="2:8" x14ac:dyDescent="0.25">
      <c r="B16" s="1" t="s">
        <v>6</v>
      </c>
      <c r="C16" s="6">
        <v>3033</v>
      </c>
      <c r="D16" s="25">
        <v>2212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20753</v>
      </c>
      <c r="D18" s="25">
        <v>47149</v>
      </c>
    </row>
    <row r="19" spans="2:11" x14ac:dyDescent="0.25">
      <c r="B19" s="3" t="s">
        <v>8</v>
      </c>
      <c r="C19" s="8">
        <f>SUM(C14:C18)</f>
        <v>27492</v>
      </c>
      <c r="D19" s="4">
        <f>SUM(D14:D18)</f>
        <v>114787.1</v>
      </c>
    </row>
    <row r="21" spans="2:11" x14ac:dyDescent="0.25">
      <c r="B21" s="27" t="s">
        <v>31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150</v>
      </c>
      <c r="D23" s="25">
        <v>14872</v>
      </c>
    </row>
    <row r="24" spans="2:11" x14ac:dyDescent="0.25">
      <c r="B24" s="1" t="s">
        <v>5</v>
      </c>
      <c r="C24" s="6">
        <v>385</v>
      </c>
      <c r="D24" s="25">
        <v>73314</v>
      </c>
    </row>
    <row r="25" spans="2:11" x14ac:dyDescent="0.25">
      <c r="B25" s="1" t="s">
        <v>6</v>
      </c>
      <c r="C25" s="6">
        <v>725</v>
      </c>
      <c r="D25" s="26">
        <v>0</v>
      </c>
    </row>
    <row r="26" spans="2:11" x14ac:dyDescent="0.25">
      <c r="B26" s="1" t="s">
        <v>7</v>
      </c>
      <c r="C26" s="6">
        <v>1008</v>
      </c>
      <c r="D26" s="26">
        <v>0</v>
      </c>
      <c r="K26" s="7"/>
    </row>
    <row r="27" spans="2:11" x14ac:dyDescent="0.25">
      <c r="B27" s="3" t="s">
        <v>8</v>
      </c>
      <c r="C27" s="8">
        <f>SUM(C23:C26)</f>
        <v>2268</v>
      </c>
      <c r="D27" s="4">
        <f>SUM(D23:D26)</f>
        <v>88186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3749</v>
      </c>
      <c r="D31" s="25">
        <v>13069.47</v>
      </c>
    </row>
    <row r="32" spans="2:11" x14ac:dyDescent="0.25">
      <c r="B32" s="9" t="s">
        <v>5</v>
      </c>
      <c r="C32" s="6">
        <v>1968</v>
      </c>
      <c r="D32" s="25">
        <v>2152</v>
      </c>
    </row>
    <row r="33" spans="2:4" x14ac:dyDescent="0.25">
      <c r="B33" s="9" t="s">
        <v>6</v>
      </c>
      <c r="C33" s="6">
        <v>2198</v>
      </c>
      <c r="D33" s="25">
        <v>1415</v>
      </c>
    </row>
    <row r="34" spans="2:4" x14ac:dyDescent="0.25">
      <c r="B34" s="9" t="s">
        <v>7</v>
      </c>
      <c r="C34" s="6">
        <v>9704</v>
      </c>
      <c r="D34" s="25">
        <v>9687</v>
      </c>
    </row>
    <row r="35" spans="2:4" x14ac:dyDescent="0.25">
      <c r="B35" s="10" t="s">
        <v>8</v>
      </c>
      <c r="C35" s="8">
        <f>SUM(C31:C34)</f>
        <v>17619</v>
      </c>
      <c r="D35" s="4">
        <f>SUM(D31:D34)</f>
        <v>26323.47</v>
      </c>
    </row>
    <row r="37" spans="2:4" x14ac:dyDescent="0.25">
      <c r="B37" s="27" t="s">
        <v>9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294</v>
      </c>
      <c r="D39" s="25">
        <v>3255.49</v>
      </c>
    </row>
    <row r="40" spans="2:4" x14ac:dyDescent="0.25">
      <c r="B40" s="9" t="s">
        <v>5</v>
      </c>
      <c r="C40" s="6">
        <v>1402</v>
      </c>
      <c r="D40" s="25">
        <v>1294</v>
      </c>
    </row>
    <row r="41" spans="2:4" x14ac:dyDescent="0.25">
      <c r="B41" s="9" t="s">
        <v>6</v>
      </c>
      <c r="C41" s="6">
        <v>2318</v>
      </c>
      <c r="D41" s="25">
        <v>280</v>
      </c>
    </row>
    <row r="42" spans="2:4" x14ac:dyDescent="0.25">
      <c r="B42" s="9" t="s">
        <v>7</v>
      </c>
      <c r="C42" s="6">
        <v>4229</v>
      </c>
      <c r="D42" s="26">
        <v>0</v>
      </c>
    </row>
    <row r="43" spans="2:4" x14ac:dyDescent="0.25">
      <c r="B43" s="10" t="s">
        <v>8</v>
      </c>
      <c r="C43" s="8">
        <f>SUM(C39:C42)</f>
        <v>8243</v>
      </c>
      <c r="D43" s="4">
        <f>SUM(D39:D42)</f>
        <v>4829.49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2072</v>
      </c>
      <c r="D47" s="25">
        <v>400</v>
      </c>
    </row>
    <row r="48" spans="2:4" x14ac:dyDescent="0.25">
      <c r="B48" s="10" t="s">
        <v>8</v>
      </c>
      <c r="C48" s="8">
        <f>SUM(C47:C47)</f>
        <v>2072</v>
      </c>
      <c r="D48" s="4">
        <f>SUM(D47:D47)</f>
        <v>400</v>
      </c>
    </row>
    <row r="50" spans="2:4" x14ac:dyDescent="0.25">
      <c r="B50" s="27" t="s">
        <v>30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110</v>
      </c>
      <c r="D52" s="26">
        <v>0</v>
      </c>
    </row>
    <row r="53" spans="2:4" x14ac:dyDescent="0.25">
      <c r="B53" s="1" t="s">
        <v>5</v>
      </c>
      <c r="C53" s="6">
        <v>560</v>
      </c>
      <c r="D53" s="26">
        <v>0</v>
      </c>
    </row>
    <row r="54" spans="2:4" x14ac:dyDescent="0.25">
      <c r="B54" s="1" t="s">
        <v>6</v>
      </c>
      <c r="C54" s="6">
        <v>414</v>
      </c>
      <c r="D54" s="26">
        <v>0</v>
      </c>
    </row>
    <row r="55" spans="2:4" x14ac:dyDescent="0.25">
      <c r="B55" s="1" t="s">
        <v>7</v>
      </c>
      <c r="C55" s="6">
        <v>2099</v>
      </c>
      <c r="D55" s="26">
        <v>0</v>
      </c>
    </row>
    <row r="56" spans="2:4" x14ac:dyDescent="0.25">
      <c r="B56" s="3" t="s">
        <v>8</v>
      </c>
      <c r="C56" s="8">
        <f>SUM(C52:C55)</f>
        <v>3183</v>
      </c>
      <c r="D56" s="4">
        <f>SUM(D52:D55)</f>
        <v>0</v>
      </c>
    </row>
    <row r="58" spans="2:4" x14ac:dyDescent="0.25">
      <c r="B58" s="11" t="s">
        <v>13</v>
      </c>
      <c r="C58" s="12">
        <f>SUM(C10+C43+C35+C48+C19+C56+C27)</f>
        <v>88604</v>
      </c>
      <c r="D58" s="12">
        <f>SUM(D10+D43+D35+D48+D19+D56+D27)</f>
        <v>385337.77</v>
      </c>
    </row>
  </sheetData>
  <mergeCells count="7">
    <mergeCell ref="B21:D21"/>
    <mergeCell ref="B3:D3"/>
    <mergeCell ref="B37:D37"/>
    <mergeCell ref="B45:D45"/>
    <mergeCell ref="B50:D50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C8" sqref="C8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07 MAYO'!C6, 'REPORTE DIARIO'!C:C)</f>
        <v>12576</v>
      </c>
      <c r="E6" s="15">
        <f>SUMIF('REPORTE DIARIO'!B:B,'EPR 07 MAYO'!C6, 'REPORTE DIARIO'!D:D)</f>
        <v>124133.06000000001</v>
      </c>
      <c r="F6" s="15">
        <f>J6*D6</f>
        <v>395245.71428571426</v>
      </c>
      <c r="G6" s="15">
        <f>+E6-F6</f>
        <v>-271112.65428571426</v>
      </c>
      <c r="H6" s="14">
        <f>ABS(G6/F6)</f>
        <v>0.68593445668517228</v>
      </c>
      <c r="I6" s="15">
        <f>E6/D6</f>
        <v>9.8706313613231558</v>
      </c>
      <c r="J6" s="15">
        <f>220/7</f>
        <v>31.428571428571427</v>
      </c>
      <c r="K6" s="15">
        <f>+I6-J6</f>
        <v>-21.557940067248271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07 MAYO'!C7, 'REPORTE DIARIO'!C:C)</f>
        <v>10344</v>
      </c>
      <c r="E7" s="15">
        <f>SUMIF('REPORTE DIARIO'!B:B,'EPR 07 MAYO'!C7, 'REPORTE DIARIO'!D:D)</f>
        <v>93781</v>
      </c>
      <c r="F7" s="15">
        <f>J7*D7</f>
        <v>162548.57142857142</v>
      </c>
      <c r="G7" s="15">
        <f>+E7-F7</f>
        <v>-68767.57142857142</v>
      </c>
      <c r="H7" s="14">
        <f>ABS(G7/F7)</f>
        <v>0.42305860226393865</v>
      </c>
      <c r="I7" s="15">
        <f>E7/D7</f>
        <v>9.0662219644238213</v>
      </c>
      <c r="J7" s="15">
        <f>110/7</f>
        <v>15.714285714285714</v>
      </c>
      <c r="K7" s="15">
        <f t="shared" ref="K7:K9" si="0">+I7-J7</f>
        <v>-6.6480637498618922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07 MAYO'!C8, 'REPORTE DIARIO'!C:C)</f>
        <v>14733</v>
      </c>
      <c r="E8" s="15">
        <f>SUMIF('REPORTE DIARIO'!B:B,'EPR 07 MAYO'!C8, 'REPORTE DIARIO'!D:D)</f>
        <v>86890</v>
      </c>
      <c r="F8" s="15">
        <f>J8*D8</f>
        <v>94712.142857142855</v>
      </c>
      <c r="G8" s="15">
        <f>+E8-F8</f>
        <v>-7822.1428571428551</v>
      </c>
      <c r="H8" s="14">
        <f>ABS(G8/F8)</f>
        <v>8.2588595518752292E-2</v>
      </c>
      <c r="I8" s="15">
        <f>E8/D8</f>
        <v>5.8976447430937355</v>
      </c>
      <c r="J8" s="15">
        <f>45/7</f>
        <v>6.4285714285714288</v>
      </c>
      <c r="K8" s="15">
        <f t="shared" si="0"/>
        <v>-0.53092668547769328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07 MAYO'!C9, 'REPORTE DIARIO'!C:C)</f>
        <v>50939</v>
      </c>
      <c r="E9" s="15">
        <f>SUMIF('REPORTE DIARIO'!B:B,'EPR 07 MAYO'!C9, 'REPORTE DIARIO'!D:D)</f>
        <v>80533.709999999992</v>
      </c>
      <c r="F9" s="15">
        <f>J9*D9</f>
        <v>109155</v>
      </c>
      <c r="G9" s="15">
        <f>+E9-F9</f>
        <v>-28621.290000000008</v>
      </c>
      <c r="H9" s="14">
        <f>ABS(G9/F9)</f>
        <v>0.2622077779304659</v>
      </c>
      <c r="I9" s="15">
        <f>E9/D9</f>
        <v>1.5809833330061445</v>
      </c>
      <c r="J9" s="15">
        <f>15/7</f>
        <v>2.1428571428571428</v>
      </c>
      <c r="K9" s="15">
        <f t="shared" si="0"/>
        <v>-0.56187380985099833</v>
      </c>
    </row>
    <row r="10" spans="2:12" x14ac:dyDescent="0.25">
      <c r="B10" s="15"/>
      <c r="C10" s="18" t="s">
        <v>16</v>
      </c>
      <c r="D10" s="23">
        <f>SUM(D6:D9)</f>
        <v>88592</v>
      </c>
      <c r="E10" s="19">
        <f>SUM(E6:E9)</f>
        <v>385337.77</v>
      </c>
      <c r="F10" s="19">
        <f>SUM(F6:F9)</f>
        <v>761661.42857142852</v>
      </c>
      <c r="G10" s="19">
        <f>+E10-F10</f>
        <v>-376323.6585714285</v>
      </c>
      <c r="H10" s="20">
        <f>ABS(G10/F10)</f>
        <v>0.49408259950521694</v>
      </c>
      <c r="I10" s="19">
        <f>E10/D10</f>
        <v>4.3495775013545241</v>
      </c>
      <c r="J10" s="19">
        <f>F10/D10</f>
        <v>8.5974064088340771</v>
      </c>
      <c r="K10" s="19">
        <f>I10-J10</f>
        <v>-4.247828907479553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2025-05-08T01:55:16Z</dcterms:modified>
</cp:coreProperties>
</file>