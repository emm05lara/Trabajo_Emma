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AGOS REPORTES\SEMANA 19\9 MAYO\MAÑANA\"/>
    </mc:Choice>
  </mc:AlternateContent>
  <xr:revisionPtr revIDLastSave="0" documentId="13_ncr:1_{E5C1C768-E0E9-461F-A0BA-333AE5B37B7F}" xr6:coauthVersionLast="47" xr6:coauthVersionMax="47" xr10:uidLastSave="{00000000-0000-0000-0000-000000000000}"/>
  <bookViews>
    <workbookView xWindow="-108" yWindow="-108" windowWidth="23256" windowHeight="12456" activeTab="2" xr2:uid="{4DC6C92A-CD8A-4966-829B-0B6A986E825B}"/>
  </bookViews>
  <sheets>
    <sheet name="REPORTE DIARIO" sheetId="1" r:id="rId1"/>
    <sheet name="DATA" sheetId="4" r:id="rId2"/>
    <sheet name="EPR 09 MAY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3" l="1"/>
  <c r="J6" i="3"/>
  <c r="J9" i="3"/>
  <c r="J8" i="3"/>
  <c r="D6" i="3"/>
  <c r="D43" i="1"/>
  <c r="C43" i="1"/>
  <c r="D51" i="1"/>
  <c r="C51" i="1"/>
  <c r="D19" i="1"/>
  <c r="C19" i="1"/>
  <c r="D56" i="1" l="1"/>
  <c r="C56" i="1"/>
  <c r="D35" i="1"/>
  <c r="C35" i="1"/>
  <c r="D27" i="1"/>
  <c r="C27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D58" i="1" l="1"/>
  <c r="C58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<sst xmlns="http://schemas.openxmlformats.org/spreadsheetml/2006/main" count="88" uniqueCount="37">
  <si>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</si>
  <si>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</si>
  <si>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</si>
  <si>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</si>
  <si>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</si>
  <si>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</si>
  <si>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</si>
  <si>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</si>
  <si>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</si>
  <si>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</si>
  <si>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</si>
  <si>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</si>
  <si>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</si>
  <si>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</si>
  <si>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</si>
  <si>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</si>
  <si>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</si>
  <si>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</si>
  <si>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</si>
  <si>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</si>
  <si>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</si>
  <si>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</si>
  <si>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</si>
  <si>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</si>
  <si>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</si>
  <si>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</si>
  <si>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</si>
  <si>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</si>
  <si>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</si>
  <si>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</si>
  <si>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</si>
  <si>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</si>
  <si>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</si>
  <si>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</si>
  <si>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SALDO ACUMULADO SEMANA 19</t>
  </si>
  <si>
    <t>Zareth</t>
  </si>
  <si>
    <t>Fernando (Naucalpan)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</si>
</sst>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K58"/>
  <sheetViews>
    <sheetView showGridLines="0" topLeftCell="A40" zoomScaleNormal="100" workbookViewId="0">
      <selection activeCell="E55" sqref="E55"/>
    </sheetView>
  </sheetViews>
  <sheetFormatPr baseColWidth="10" defaultRowHeight="14.4" x14ac:dyDescent="0.3"/>
  <cols>
    <col min="2" max="2" width="36.88671875" customWidth="1"/>
    <col min="4" max="4" width="13.109375" bestFit="1" customWidth="1"/>
    <col min="6" max="6" width="13.109375" bestFit="1" customWidth="1"/>
  </cols>
  <sheetData>
    <row r="3" spans="2:8" x14ac:dyDescent="0.3">
      <c r="B3" s="28" t="s">
        <v>0</v>
      </c>
      <c r="C3" s="28"/>
      <c r="D3" s="28"/>
      <c r="H3" s="8"/>
    </row>
    <row r="4" spans="2:8" x14ac:dyDescent="0.3">
      <c r="B4" s="2" t="s">
        <v>1</v>
      </c>
      <c r="C4" s="2" t="s">
        <v>2</v>
      </c>
      <c r="D4" s="2" t="s">
        <v>3</v>
      </c>
    </row>
    <row r="5" spans="2:8" x14ac:dyDescent="0.3">
      <c r="B5" s="1" t="s">
        <v>4</v>
      </c>
      <c r="C5" s="6">
        <v>4201</v>
      </c>
      <c r="D5" s="25">
        <v>372633.65</v>
      </c>
    </row>
    <row r="6" spans="2:8" x14ac:dyDescent="0.3">
      <c r="B6" s="1" t="s">
        <v>5</v>
      </c>
      <c r="C6" s="6">
        <v>4314</v>
      </c>
      <c r="D6" s="25">
        <v>128497.25</v>
      </c>
    </row>
    <row r="7" spans="2:8" x14ac:dyDescent="0.3">
      <c r="B7" s="1" t="s">
        <v>6</v>
      </c>
      <c r="C7" s="6">
        <v>6057</v>
      </c>
      <c r="D7" s="25">
        <v>174165.62</v>
      </c>
    </row>
    <row r="8" spans="2:8" x14ac:dyDescent="0.3">
      <c r="B8" s="5" t="s">
        <v>12</v>
      </c>
      <c r="C8" s="7">
        <v>10</v>
      </c>
      <c r="D8" s="26">
        <v>0</v>
      </c>
    </row>
    <row r="9" spans="2:8" x14ac:dyDescent="0.3">
      <c r="B9" s="1" t="s">
        <v>7</v>
      </c>
      <c r="C9" s="6">
        <v>13193</v>
      </c>
      <c r="D9" s="25">
        <v>170290.58000000002</v>
      </c>
      <c r="E9" s="14"/>
      <c r="F9" s="7"/>
    </row>
    <row r="10" spans="2:8" x14ac:dyDescent="0.3">
      <c r="B10" s="3" t="s">
        <v>8</v>
      </c>
      <c r="C10" s="8">
        <f>SUM(C5:C9)</f>
        <v>27775</v>
      </c>
      <c r="D10" s="4">
        <f>SUM(D5:D9)</f>
        <v>845587.10000000009</v>
      </c>
      <c r="E10" s="11" t="s">
        <v>14</v>
      </c>
    </row>
    <row r="12" spans="2:8" x14ac:dyDescent="0.3">
      <c r="B12" s="28" t="s">
        <v>30</v>
      </c>
      <c r="C12" s="28"/>
      <c r="D12" s="28"/>
    </row>
    <row r="13" spans="2:8" x14ac:dyDescent="0.3">
      <c r="B13" s="2" t="s">
        <v>1</v>
      </c>
      <c r="C13" s="2" t="s">
        <v>2</v>
      </c>
      <c r="D13" s="2" t="s">
        <v>3</v>
      </c>
    </row>
    <row r="14" spans="2:8" x14ac:dyDescent="0.3">
      <c r="B14" s="1" t="s">
        <v>4</v>
      </c>
      <c r="C14" s="6">
        <v>1930</v>
      </c>
      <c r="D14" s="25">
        <v>132096.34</v>
      </c>
    </row>
    <row r="15" spans="2:8" x14ac:dyDescent="0.3">
      <c r="B15" s="1" t="s">
        <v>5</v>
      </c>
      <c r="C15" s="6">
        <v>1797</v>
      </c>
      <c r="D15" s="25">
        <v>52662</v>
      </c>
    </row>
    <row r="16" spans="2:8" x14ac:dyDescent="0.3">
      <c r="B16" s="1" t="s">
        <v>6</v>
      </c>
      <c r="C16" s="6">
        <v>3080</v>
      </c>
      <c r="D16" s="25">
        <v>86641</v>
      </c>
    </row>
    <row r="17" spans="2:11" x14ac:dyDescent="0.3">
      <c r="B17" s="5" t="s">
        <v>12</v>
      </c>
      <c r="C17" s="7">
        <v>2</v>
      </c>
      <c r="D17" s="26">
        <v>0</v>
      </c>
    </row>
    <row r="18" spans="2:11" x14ac:dyDescent="0.3">
      <c r="B18" s="1" t="s">
        <v>7</v>
      </c>
      <c r="C18" s="6">
        <v>20751</v>
      </c>
      <c r="D18" s="25">
        <v>114238.04000000001</v>
      </c>
    </row>
    <row r="19" spans="2:11" x14ac:dyDescent="0.3">
      <c r="B19" s="3" t="s">
        <v>8</v>
      </c>
      <c r="C19" s="8">
        <f>SUM(C14:C18)</f>
        <v>27560</v>
      </c>
      <c r="D19" s="4">
        <f>SUM(D14:D18)</f>
        <v>385637.38</v>
      </c>
    </row>
    <row r="21" spans="2:11" x14ac:dyDescent="0.3">
      <c r="B21" s="27" t="s">
        <v>10</v>
      </c>
      <c r="C21" s="27"/>
      <c r="D21" s="27"/>
    </row>
    <row r="22" spans="2:11" x14ac:dyDescent="0.3">
      <c r="B22" s="4" t="s">
        <v>1</v>
      </c>
      <c r="C22" s="4" t="s">
        <v>2</v>
      </c>
      <c r="D22" s="4" t="s">
        <v>3</v>
      </c>
    </row>
    <row r="23" spans="2:11" x14ac:dyDescent="0.3">
      <c r="B23" s="9" t="s">
        <v>4</v>
      </c>
      <c r="C23" s="6">
        <v>3665</v>
      </c>
      <c r="D23" s="25">
        <v>192112.37999999998</v>
      </c>
    </row>
    <row r="24" spans="2:11" x14ac:dyDescent="0.3">
      <c r="B24" s="9" t="s">
        <v>5</v>
      </c>
      <c r="C24" s="6">
        <v>1963</v>
      </c>
      <c r="D24" s="25">
        <v>32493.69</v>
      </c>
    </row>
    <row r="25" spans="2:11" x14ac:dyDescent="0.3">
      <c r="B25" s="9" t="s">
        <v>6</v>
      </c>
      <c r="C25" s="6">
        <v>2221</v>
      </c>
      <c r="D25" s="25">
        <v>20203.48</v>
      </c>
    </row>
    <row r="26" spans="2:11" x14ac:dyDescent="0.3">
      <c r="B26" s="9" t="s">
        <v>7</v>
      </c>
      <c r="C26" s="6">
        <v>9734</v>
      </c>
      <c r="D26" s="25">
        <v>68536.800000000003</v>
      </c>
    </row>
    <row r="27" spans="2:11" x14ac:dyDescent="0.3">
      <c r="B27" s="10" t="s">
        <v>8</v>
      </c>
      <c r="C27" s="8">
        <f>SUM(C23:C26)</f>
        <v>17583</v>
      </c>
      <c r="D27" s="4">
        <f>SUM(D23:D26)</f>
        <v>313346.34999999998</v>
      </c>
      <c r="K27" s="7"/>
    </row>
    <row r="29" spans="2:11" x14ac:dyDescent="0.3">
      <c r="B29" s="28" t="s">
        <v>9</v>
      </c>
      <c r="C29" s="28"/>
      <c r="D29" s="28"/>
    </row>
    <row r="30" spans="2:11" x14ac:dyDescent="0.3">
      <c r="B30" s="2" t="s">
        <v>1</v>
      </c>
      <c r="C30" s="2" t="s">
        <v>2</v>
      </c>
      <c r="D30" s="2" t="s">
        <v>3</v>
      </c>
    </row>
    <row r="31" spans="2:11" x14ac:dyDescent="0.3">
      <c r="B31" s="9" t="s">
        <v>4</v>
      </c>
      <c r="C31" s="6">
        <v>293</v>
      </c>
      <c r="D31" s="25">
        <v>38359.969999999994</v>
      </c>
    </row>
    <row r="32" spans="2:11" x14ac:dyDescent="0.3">
      <c r="B32" s="9" t="s">
        <v>5</v>
      </c>
      <c r="C32" s="6">
        <v>1534</v>
      </c>
      <c r="D32" s="25">
        <v>46073.1</v>
      </c>
    </row>
    <row r="33" spans="2:4" x14ac:dyDescent="0.3">
      <c r="B33" s="9" t="s">
        <v>6</v>
      </c>
      <c r="C33" s="6">
        <v>2304</v>
      </c>
      <c r="D33" s="25">
        <v>20361.78</v>
      </c>
    </row>
    <row r="34" spans="2:4" x14ac:dyDescent="0.3">
      <c r="B34" s="9" t="s">
        <v>7</v>
      </c>
      <c r="C34" s="6">
        <v>4229</v>
      </c>
      <c r="D34" s="25">
        <v>2157</v>
      </c>
    </row>
    <row r="35" spans="2:4" x14ac:dyDescent="0.3">
      <c r="B35" s="10" t="s">
        <v>8</v>
      </c>
      <c r="C35" s="8">
        <f>SUM(C31:C34)</f>
        <v>8360</v>
      </c>
      <c r="D35" s="4">
        <f>SUM(D31:D34)</f>
        <v>106951.84999999999</v>
      </c>
    </row>
    <row r="37" spans="2:4" x14ac:dyDescent="0.3">
      <c r="B37" s="28" t="s">
        <v>32</v>
      </c>
      <c r="C37" s="28"/>
      <c r="D37" s="28"/>
    </row>
    <row r="38" spans="2:4" x14ac:dyDescent="0.3">
      <c r="B38" s="2" t="s">
        <v>1</v>
      </c>
      <c r="C38" s="2" t="s">
        <v>2</v>
      </c>
      <c r="D38" s="2" t="s">
        <v>3</v>
      </c>
    </row>
    <row r="39" spans="2:4" x14ac:dyDescent="0.3">
      <c r="B39" s="9" t="s">
        <v>4</v>
      </c>
      <c r="C39" s="6">
        <v>150</v>
      </c>
      <c r="D39" s="25">
        <v>14872</v>
      </c>
    </row>
    <row r="40" spans="2:4" x14ac:dyDescent="0.3">
      <c r="B40" s="1" t="s">
        <v>5</v>
      </c>
      <c r="C40" s="6">
        <v>444</v>
      </c>
      <c r="D40" s="25">
        <v>76054</v>
      </c>
    </row>
    <row r="41" spans="2:4" x14ac:dyDescent="0.3">
      <c r="B41" s="1" t="s">
        <v>6</v>
      </c>
      <c r="C41" s="6">
        <v>773</v>
      </c>
      <c r="D41" s="25">
        <v>1589</v>
      </c>
    </row>
    <row r="42" spans="2:4" x14ac:dyDescent="0.3">
      <c r="B42" s="1" t="s">
        <v>7</v>
      </c>
      <c r="C42" s="6">
        <v>1014</v>
      </c>
      <c r="D42" s="25">
        <v>3261</v>
      </c>
    </row>
    <row r="43" spans="2:4" x14ac:dyDescent="0.3">
      <c r="B43" s="3" t="s">
        <v>8</v>
      </c>
      <c r="C43" s="8">
        <f>SUM(C39:C42)</f>
        <v>2381</v>
      </c>
      <c r="D43" s="4">
        <f>SUM(D39:D42)</f>
        <v>95776</v>
      </c>
    </row>
    <row r="45" spans="2:4" x14ac:dyDescent="0.3">
      <c r="B45" s="28" t="s">
        <v>31</v>
      </c>
      <c r="C45" s="28"/>
      <c r="D45" s="28"/>
    </row>
    <row r="46" spans="2:4" x14ac:dyDescent="0.3">
      <c r="B46" s="2" t="s">
        <v>1</v>
      </c>
      <c r="C46" s="2" t="s">
        <v>2</v>
      </c>
      <c r="D46" s="2" t="s">
        <v>3</v>
      </c>
    </row>
    <row r="47" spans="2:4" x14ac:dyDescent="0.3">
      <c r="B47" s="9" t="s">
        <v>4</v>
      </c>
      <c r="C47" s="6">
        <v>110</v>
      </c>
      <c r="D47" s="25">
        <v>2323</v>
      </c>
    </row>
    <row r="48" spans="2:4" x14ac:dyDescent="0.3">
      <c r="B48" s="1" t="s">
        <v>5</v>
      </c>
      <c r="C48" s="6">
        <v>618</v>
      </c>
      <c r="D48" s="25">
        <v>2423</v>
      </c>
    </row>
    <row r="49" spans="2:4" x14ac:dyDescent="0.3">
      <c r="B49" s="1" t="s">
        <v>6</v>
      </c>
      <c r="C49" s="6">
        <v>462</v>
      </c>
      <c r="D49" s="25">
        <v>1320</v>
      </c>
    </row>
    <row r="50" spans="2:4" x14ac:dyDescent="0.3">
      <c r="B50" s="1" t="s">
        <v>7</v>
      </c>
      <c r="C50" s="6">
        <v>2106</v>
      </c>
      <c r="D50" s="25">
        <v>24232</v>
      </c>
    </row>
    <row r="51" spans="2:4" x14ac:dyDescent="0.3">
      <c r="B51" s="3" t="s">
        <v>8</v>
      </c>
      <c r="C51" s="8">
        <f>SUM(C47:C50)</f>
        <v>3296</v>
      </c>
      <c r="D51" s="4">
        <f>SUM(D47:D50)</f>
        <v>30298</v>
      </c>
    </row>
    <row r="53" spans="2:4" x14ac:dyDescent="0.3">
      <c r="B53" s="27" t="s">
        <v>11</v>
      </c>
      <c r="C53" s="27"/>
      <c r="D53" s="27"/>
    </row>
    <row r="54" spans="2:4" x14ac:dyDescent="0.3">
      <c r="B54" s="4" t="s">
        <v>1</v>
      </c>
      <c r="C54" s="4" t="s">
        <v>2</v>
      </c>
      <c r="D54" s="4" t="s">
        <v>3</v>
      </c>
    </row>
    <row r="55" spans="2:4" x14ac:dyDescent="0.3">
      <c r="B55" s="9" t="s">
        <v>4</v>
      </c>
      <c r="C55" s="6">
        <v>2012</v>
      </c>
      <c r="D55" s="25">
        <v>23763</v>
      </c>
    </row>
    <row r="56" spans="2:4" x14ac:dyDescent="0.3">
      <c r="B56" s="10" t="s">
        <v>8</v>
      </c>
      <c r="C56" s="8">
        <f>SUM(C55:C55)</f>
        <v>2012</v>
      </c>
      <c r="D56" s="4">
        <f>SUM(D55:D55)</f>
        <v>23763</v>
      </c>
    </row>
    <row r="58" spans="2:4" x14ac:dyDescent="0.3">
      <c r="B58" s="12" t="s">
        <v>13</v>
      </c>
      <c r="C58" s="13">
        <f>SUM(C10+C27+C35+C56+C19+C51+C43)</f>
        <v>88967</v>
      </c>
      <c r="D58" s="13">
        <f>SUM(D10+D27+D35+D56+D19+D51+D43)</f>
        <v>1801359.6800000002</v>
      </c>
    </row>
  </sheetData>
  <mergeCells count="7">
    <mergeCell ref="B53:D53"/>
    <mergeCell ref="B37:D37"/>
    <mergeCell ref="B12:D12"/>
    <mergeCell ref="B45:D45"/>
    <mergeCell ref="B3:D3"/>
    <mergeCell ref="B21:D21"/>
    <mergeCell ref="B29:D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topLeftCell="B1" zoomScale="145" zoomScaleNormal="145" workbookViewId="0">
      <selection activeCell="J10" sqref="J10"/>
    </sheetView>
  </sheetViews>
  <sheetFormatPr baseColWidth="10" defaultRowHeight="14.4" x14ac:dyDescent="0.3"/>
  <cols>
    <col min="2" max="2" width="19.88671875" customWidth="1"/>
    <col min="3" max="3" width="36.6640625" bestFit="1" customWidth="1"/>
    <col min="4" max="4" width="9" bestFit="1" customWidth="1"/>
    <col min="5" max="5" width="15.109375" bestFit="1" customWidth="1"/>
    <col min="6" max="6" width="12.33203125" bestFit="1" customWidth="1"/>
    <col min="7" max="7" width="11.88671875" bestFit="1" customWidth="1"/>
    <col min="8" max="8" width="7.33203125" bestFit="1" customWidth="1"/>
    <col min="9" max="9" width="5" bestFit="1" customWidth="1"/>
    <col min="10" max="10" width="9.5546875" bestFit="1" customWidth="1"/>
    <col min="11" max="11" width="8.33203125" bestFit="1" customWidth="1"/>
    <col min="12" max="12" width="15.6640625" bestFit="1" customWidth="1"/>
  </cols>
  <sheetData>
    <row r="2" spans="2:12" ht="15.6" x14ac:dyDescent="0.3">
      <c r="B2" s="18" t="s">
        <v>21</v>
      </c>
    </row>
    <row r="3" spans="2:12" x14ac:dyDescent="0.3">
      <c r="B3" s="17" t="s">
        <v>34</v>
      </c>
    </row>
    <row r="5" spans="2:12" x14ac:dyDescent="0.3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3">
      <c r="B6" s="16" t="s">
        <v>35</v>
      </c>
      <c r="C6" s="16" t="s">
        <v>4</v>
      </c>
      <c r="D6" s="23">
        <f>SUMIF('REPORTE DIARIO'!B:B,'EPR 09 MAYO'!C6, 'REPORTE DIARIO'!C:C)</f>
        <v>12361</v>
      </c>
      <c r="E6" s="16">
        <f>SUMIF('REPORTE DIARIO'!B:B,'EPR 09 MAYO'!C6, 'REPORTE DIARIO'!D:D)</f>
        <v>776160.34</v>
      </c>
      <c r="F6" s="16">
        <f>J6*D6</f>
        <v>1942442.857142857</v>
      </c>
      <c r="G6" s="16">
        <f>+E6-F6</f>
        <v>-1166282.517142857</v>
      </c>
      <c r="H6" s="15">
        <f>ABS(G6/F6)</f>
        <v>0.60042050290135385</v>
      </c>
      <c r="I6" s="16">
        <f>E6/D6</f>
        <v>62.791063829787234</v>
      </c>
      <c r="J6" s="16">
        <f>(220/7)*5</f>
        <v>157.14285714285714</v>
      </c>
      <c r="K6" s="16">
        <f>+I6-J6</f>
        <v>-94.351793313069905</v>
      </c>
      <c r="L6" s="15"/>
    </row>
    <row r="7" spans="2:12" x14ac:dyDescent="0.3">
      <c r="B7" s="16" t="s">
        <v>29</v>
      </c>
      <c r="C7" s="16" t="s">
        <v>5</v>
      </c>
      <c r="D7" s="23">
        <f>SUMIF('REPORTE DIARIO'!B:B,'EPR 09 MAYO'!C7, 'REPORTE DIARIO'!C:C)</f>
        <v>10670</v>
      </c>
      <c r="E7" s="16">
        <f>SUMIF('REPORTE DIARIO'!B:B,'EPR 09 MAYO'!C7, 'REPORTE DIARIO'!D:D)</f>
        <v>338203.04000000004</v>
      </c>
      <c r="F7" s="16">
        <f>J7*D7</f>
        <v>838357.14285714284</v>
      </c>
      <c r="G7" s="16">
        <f>+E7-F7</f>
        <v>-500154.1028571428</v>
      </c>
      <c r="H7" s="15">
        <f>ABS(G7/F7)</f>
        <v>0.59658834795944449</v>
      </c>
      <c r="I7" s="16">
        <f>E7/D7</f>
        <v>31.696629803186507</v>
      </c>
      <c r="J7" s="16">
        <f>(110/7)*5</f>
        <v>78.571428571428569</v>
      </c>
      <c r="K7" s="16">
        <f t="shared" ref="K7:K9" si="0">+I7-J7</f>
        <v>-46.874798768242059</v>
      </c>
      <c r="L7" s="15"/>
    </row>
    <row r="8" spans="2:12" x14ac:dyDescent="0.3">
      <c r="B8" s="16" t="s">
        <v>29</v>
      </c>
      <c r="C8" s="16" t="s">
        <v>6</v>
      </c>
      <c r="D8" s="23">
        <f>SUMIF('REPORTE DIARIO'!B:B,'EPR 09 MAYO'!C8, 'REPORTE DIARIO'!C:C)</f>
        <v>14897</v>
      </c>
      <c r="E8" s="16">
        <f>SUMIF('REPORTE DIARIO'!B:B,'EPR 09 MAYO'!C8, 'REPORTE DIARIO'!D:D)</f>
        <v>304280.88</v>
      </c>
      <c r="F8" s="16">
        <f>J8*D8</f>
        <v>478832.1428571429</v>
      </c>
      <c r="G8" s="16">
        <f>+E8-F8</f>
        <v>-174551.26285714289</v>
      </c>
      <c r="H8" s="15">
        <f>ABS(G8/F8)</f>
        <v>0.36453539191336065</v>
      </c>
      <c r="I8" s="16">
        <f>E8/D8</f>
        <v>20.425648117070551</v>
      </c>
      <c r="J8" s="16">
        <f>(45/7)*5</f>
        <v>32.142857142857146</v>
      </c>
      <c r="K8" s="16">
        <f t="shared" si="0"/>
        <v>-11.717209025786595</v>
      </c>
      <c r="L8" s="15"/>
    </row>
    <row r="9" spans="2:12" x14ac:dyDescent="0.3">
      <c r="B9" s="16" t="s">
        <v>36</v>
      </c>
      <c r="C9" s="16" t="s">
        <v>7</v>
      </c>
      <c r="D9" s="23">
        <f>SUMIF('REPORTE DIARIO'!B:B,'EPR 09 MAYO'!C9, 'REPORTE DIARIO'!C:C)</f>
        <v>51027</v>
      </c>
      <c r="E9" s="16">
        <f>SUMIF('REPORTE DIARIO'!B:B,'EPR 09 MAYO'!C9, 'REPORTE DIARIO'!D:D)</f>
        <v>382715.42</v>
      </c>
      <c r="F9" s="16">
        <f>J9*D9</f>
        <v>546717.85714285716</v>
      </c>
      <c r="G9" s="16">
        <f>+E9-F9</f>
        <v>-164002.43714285718</v>
      </c>
      <c r="H9" s="15">
        <f>ABS(G9/F9)</f>
        <v>0.29997636806657918</v>
      </c>
      <c r="I9" s="16">
        <f>E9/D9</f>
        <v>7.5002531992866519</v>
      </c>
      <c r="J9" s="16">
        <f>(15/7)*5</f>
        <v>10.714285714285714</v>
      </c>
      <c r="K9" s="16">
        <f t="shared" si="0"/>
        <v>-3.2140325149990616</v>
      </c>
    </row>
    <row r="10" spans="2:12" x14ac:dyDescent="0.3">
      <c r="B10" s="16"/>
      <c r="C10" s="19" t="s">
        <v>17</v>
      </c>
      <c r="D10" s="24">
        <f>SUM(D6:D9)</f>
        <v>88955</v>
      </c>
      <c r="E10" s="20">
        <f>SUM(E6:E9)</f>
        <v>1801359.6799999997</v>
      </c>
      <c r="F10" s="20">
        <f>SUM(F6:F9)</f>
        <v>3806350</v>
      </c>
      <c r="G10" s="20">
        <f>+E10-F10</f>
        <v>-2004990.3200000003</v>
      </c>
      <c r="H10" s="21">
        <f>ABS(G10/F10)</f>
        <v>0.5267488065994983</v>
      </c>
      <c r="I10" s="20">
        <f>E10/D10</f>
        <v>20.250235287504914</v>
      </c>
      <c r="J10" s="20">
        <f>F10/D10</f>
        <v>42.789612725535385</v>
      </c>
      <c r="K10" s="20">
        <f>I10-J10</f>
        <v>-22.539377438030471</v>
      </c>
    </row>
    <row r="12" spans="2:12" x14ac:dyDescent="0.3">
      <c r="B12" s="22" t="s">
        <v>24</v>
      </c>
      <c r="I12" s="14"/>
    </row>
    <row r="13" spans="2:12" x14ac:dyDescent="0.3">
      <c r="B13" t="s">
        <v>25</v>
      </c>
    </row>
    <row r="14" spans="2:12" x14ac:dyDescent="0.3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09 MAYO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Emmanuel Lara Hernández</cp:lastModifiedBy>
  <cp:lastPrinted>2025-04-13T02:12:51Z</cp:lastPrinted>
  <dcterms:created xsi:type="dcterms:W3CDTF">2025-01-27T15:11:28Z</dcterms:created>
  <dcterms:modified xsi:type="dcterms:W3CDTF">2025-05-09T14:56:31Z</dcterms:modified>
</cp:coreProperties>
</file>