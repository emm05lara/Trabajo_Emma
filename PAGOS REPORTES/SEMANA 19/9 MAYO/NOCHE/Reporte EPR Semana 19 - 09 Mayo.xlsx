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9 MAYO\NOCHE\"/>
    </mc:Choice>
  </mc:AlternateContent>
  <xr:revisionPtr revIDLastSave="0" documentId="13_ncr:1_{B9E577FA-A934-4121-AB3F-B81624BB62C4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09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D43" i="1"/>
  <c r="D56" i="1"/>
  <c r="C56" i="1"/>
  <c r="C43" i="1"/>
  <c r="D35" i="1" l="1"/>
  <c r="C35" i="1"/>
  <c r="J9" i="3"/>
  <c r="J8" i="3"/>
  <c r="J7" i="3"/>
  <c r="D6" i="3"/>
  <c r="F6" i="3" s="1"/>
  <c r="D48" i="1"/>
  <c r="C48" i="1"/>
  <c r="D18" i="1"/>
  <c r="C18" i="1"/>
  <c r="D26" i="1"/>
  <c r="C26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<sst xmlns="http://schemas.openxmlformats.org/spreadsheetml/2006/main" count="87" uniqueCount="36">
  <si>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</si>
  <si>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</si>
  <si>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</si>
  <si>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</si>
  <si>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</si>
  <si>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</si>
  <si>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</si>
  <si>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</si>
  <si>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</si>
  <si>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</si>
  <si>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</si>
  <si>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</si>
  <si>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</si>
  <si>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</si>
  <si>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</si>
  <si>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</si>
  <si>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</si>
  <si>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</si>
  <si>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</si>
  <si>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</si>
  <si>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</si>
  <si>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</si>
  <si>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</si>
  <si>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</si>
  <si>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</si>
  <si>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</si>
  <si>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</si>
  <si>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</si>
  <si>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</si>
  <si>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</si>
  <si>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</si>
  <si>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</si>
  <si>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</si>
  <si>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</si>
  <si>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</si>
  <si>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09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</si>
</sst>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4198</v>
      </c>
      <c r="D5" s="25">
        <v>92378.11</v>
      </c>
    </row>
    <row r="6" spans="2:8" x14ac:dyDescent="0.25">
      <c r="B6" s="1" t="s">
        <v>5</v>
      </c>
      <c r="C6" s="6">
        <v>4308</v>
      </c>
      <c r="D6" s="25">
        <v>42891.32</v>
      </c>
    </row>
    <row r="7" spans="2:8" x14ac:dyDescent="0.25">
      <c r="B7" s="1" t="s">
        <v>6</v>
      </c>
      <c r="C7" s="6">
        <v>6016</v>
      </c>
      <c r="D7" s="25">
        <v>24723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13282</v>
      </c>
      <c r="D9" s="25">
        <v>34995</v>
      </c>
    </row>
    <row r="10" spans="2:8" x14ac:dyDescent="0.25">
      <c r="B10" s="3" t="s">
        <v>8</v>
      </c>
      <c r="C10" s="8">
        <f>SUM(C5:C9)</f>
        <v>27814</v>
      </c>
      <c r="D10" s="4">
        <f>SUM(D5:D9)</f>
        <v>194987.43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3658</v>
      </c>
      <c r="D14" s="25">
        <v>92895.31</v>
      </c>
    </row>
    <row r="15" spans="2:8" x14ac:dyDescent="0.25">
      <c r="B15" s="9" t="s">
        <v>5</v>
      </c>
      <c r="C15" s="6">
        <v>1961</v>
      </c>
      <c r="D15" s="25">
        <v>53821.31</v>
      </c>
    </row>
    <row r="16" spans="2:8" x14ac:dyDescent="0.25">
      <c r="B16" s="9" t="s">
        <v>6</v>
      </c>
      <c r="C16" s="6">
        <v>2222</v>
      </c>
      <c r="D16" s="25">
        <v>5051</v>
      </c>
    </row>
    <row r="17" spans="2:11" x14ac:dyDescent="0.25">
      <c r="B17" s="9" t="s">
        <v>7</v>
      </c>
      <c r="C17" s="6">
        <v>9811</v>
      </c>
      <c r="D17" s="25">
        <v>2146</v>
      </c>
    </row>
    <row r="18" spans="2:11" x14ac:dyDescent="0.25">
      <c r="B18" s="10" t="s">
        <v>8</v>
      </c>
      <c r="C18" s="8">
        <f>SUM(C14:C17)</f>
        <v>17652</v>
      </c>
      <c r="D18" s="4">
        <f>SUM(D14:D17)</f>
        <v>153913.62</v>
      </c>
    </row>
    <row r="20" spans="2:11" x14ac:dyDescent="0.25">
      <c r="B20" s="27" t="s">
        <v>9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9" t="s">
        <v>4</v>
      </c>
      <c r="C22" s="6">
        <v>293</v>
      </c>
      <c r="D22" s="25">
        <v>5060</v>
      </c>
    </row>
    <row r="23" spans="2:11" x14ac:dyDescent="0.25">
      <c r="B23" s="9" t="s">
        <v>5</v>
      </c>
      <c r="C23" s="6">
        <v>1540</v>
      </c>
      <c r="D23" s="25">
        <v>43917.41</v>
      </c>
    </row>
    <row r="24" spans="2:11" x14ac:dyDescent="0.25">
      <c r="B24" s="9" t="s">
        <v>6</v>
      </c>
      <c r="C24" s="6">
        <v>2258</v>
      </c>
      <c r="D24" s="25">
        <v>12709.21</v>
      </c>
    </row>
    <row r="25" spans="2:11" x14ac:dyDescent="0.25">
      <c r="B25" s="9" t="s">
        <v>7</v>
      </c>
      <c r="C25" s="6">
        <v>4229</v>
      </c>
      <c r="D25" s="25">
        <v>942</v>
      </c>
    </row>
    <row r="26" spans="2:11" x14ac:dyDescent="0.25">
      <c r="B26" s="10" t="s">
        <v>8</v>
      </c>
      <c r="C26" s="8">
        <f>SUM(C22:C25)</f>
        <v>8320</v>
      </c>
      <c r="D26" s="4">
        <f>SUM(D22:D25)</f>
        <v>62628.62</v>
      </c>
      <c r="K26" s="7"/>
    </row>
    <row r="28" spans="2:11" x14ac:dyDescent="0.25">
      <c r="B28" s="27" t="s">
        <v>29</v>
      </c>
      <c r="C28" s="27"/>
      <c r="D28" s="27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1" t="s">
        <v>4</v>
      </c>
      <c r="C30" s="6">
        <v>1928</v>
      </c>
      <c r="D30" s="25">
        <v>16073</v>
      </c>
    </row>
    <row r="31" spans="2:11" x14ac:dyDescent="0.25">
      <c r="B31" s="1" t="s">
        <v>5</v>
      </c>
      <c r="C31" s="6">
        <v>1804</v>
      </c>
      <c r="D31" s="25">
        <v>2476</v>
      </c>
    </row>
    <row r="32" spans="2:11" x14ac:dyDescent="0.25">
      <c r="B32" s="1" t="s">
        <v>6</v>
      </c>
      <c r="C32" s="6">
        <v>3083</v>
      </c>
      <c r="D32" s="25">
        <v>3875</v>
      </c>
    </row>
    <row r="33" spans="2:4" x14ac:dyDescent="0.25">
      <c r="B33" s="5" t="s">
        <v>12</v>
      </c>
      <c r="C33" s="7">
        <v>2</v>
      </c>
      <c r="D33" s="24">
        <v>0</v>
      </c>
    </row>
    <row r="34" spans="2:4" x14ac:dyDescent="0.25">
      <c r="B34" s="1" t="s">
        <v>7</v>
      </c>
      <c r="C34" s="6">
        <v>20770</v>
      </c>
      <c r="D34" s="25">
        <v>12034</v>
      </c>
    </row>
    <row r="35" spans="2:4" x14ac:dyDescent="0.25">
      <c r="B35" s="3" t="s">
        <v>8</v>
      </c>
      <c r="C35" s="8">
        <f>SUM(C30:C34)</f>
        <v>27587</v>
      </c>
      <c r="D35" s="4">
        <f>SUM(D30:D34)</f>
        <v>34458</v>
      </c>
    </row>
    <row r="37" spans="2:4" x14ac:dyDescent="0.25">
      <c r="B37" s="27" t="s">
        <v>30</v>
      </c>
      <c r="C37" s="27"/>
      <c r="D37" s="27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6">
        <v>110</v>
      </c>
      <c r="D39" s="26">
        <v>0</v>
      </c>
    </row>
    <row r="40" spans="2:4" x14ac:dyDescent="0.25">
      <c r="B40" s="1" t="s">
        <v>5</v>
      </c>
      <c r="C40" s="6">
        <v>624</v>
      </c>
      <c r="D40" s="25">
        <v>1000</v>
      </c>
    </row>
    <row r="41" spans="2:4" x14ac:dyDescent="0.25">
      <c r="B41" s="1" t="s">
        <v>6</v>
      </c>
      <c r="C41" s="6">
        <v>470</v>
      </c>
      <c r="D41" s="26">
        <v>0</v>
      </c>
    </row>
    <row r="42" spans="2:4" x14ac:dyDescent="0.25">
      <c r="B42" s="1" t="s">
        <v>7</v>
      </c>
      <c r="C42" s="6">
        <v>2130</v>
      </c>
      <c r="D42" s="25">
        <v>4742</v>
      </c>
    </row>
    <row r="43" spans="2:4" x14ac:dyDescent="0.25">
      <c r="B43" s="3" t="s">
        <v>8</v>
      </c>
      <c r="C43" s="8">
        <f>SUM(C39:C42)</f>
        <v>3334</v>
      </c>
      <c r="D43" s="4">
        <f>SUM(D39:D42)</f>
        <v>5742</v>
      </c>
    </row>
    <row r="45" spans="2:4" x14ac:dyDescent="0.25">
      <c r="B45" s="28" t="s">
        <v>11</v>
      </c>
      <c r="C45" s="28"/>
      <c r="D45" s="28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6">
        <v>2005</v>
      </c>
      <c r="D47" s="25">
        <v>1660</v>
      </c>
    </row>
    <row r="48" spans="2:4" x14ac:dyDescent="0.25">
      <c r="B48" s="10" t="s">
        <v>8</v>
      </c>
      <c r="C48" s="8">
        <f>SUM(C47:C47)</f>
        <v>2005</v>
      </c>
      <c r="D48" s="4">
        <f>SUM(D47:D47)</f>
        <v>1660</v>
      </c>
    </row>
    <row r="50" spans="2:4" x14ac:dyDescent="0.25">
      <c r="B50" s="27" t="s">
        <v>31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150</v>
      </c>
      <c r="D52" s="26">
        <v>0</v>
      </c>
    </row>
    <row r="53" spans="2:4" x14ac:dyDescent="0.25">
      <c r="B53" s="1" t="s">
        <v>5</v>
      </c>
      <c r="C53" s="6">
        <v>449</v>
      </c>
      <c r="D53" s="26">
        <v>0</v>
      </c>
    </row>
    <row r="54" spans="2:4" x14ac:dyDescent="0.25">
      <c r="B54" s="1" t="s">
        <v>6</v>
      </c>
      <c r="C54" s="6">
        <v>781</v>
      </c>
      <c r="D54" s="26">
        <v>0</v>
      </c>
    </row>
    <row r="55" spans="2:4" x14ac:dyDescent="0.25">
      <c r="B55" s="1" t="s">
        <v>7</v>
      </c>
      <c r="C55" s="6">
        <v>1037</v>
      </c>
      <c r="D55" s="26">
        <v>0</v>
      </c>
    </row>
    <row r="56" spans="2:4" x14ac:dyDescent="0.25">
      <c r="B56" s="3" t="s">
        <v>8</v>
      </c>
      <c r="C56" s="8">
        <f>SUM(C52:C55)</f>
        <v>2417</v>
      </c>
      <c r="D56" s="4">
        <f>SUM(D52:D55)</f>
        <v>0</v>
      </c>
    </row>
    <row r="58" spans="2:4" x14ac:dyDescent="0.25">
      <c r="B58" s="11" t="s">
        <v>13</v>
      </c>
      <c r="C58" s="12">
        <f>SUM(C10+C26+C18+C48+C35+C43+C56)</f>
        <v>89129</v>
      </c>
      <c r="D58" s="12">
        <f>SUM(D10+D26+D18+D48+D35+D43+D56)</f>
        <v>453389.67</v>
      </c>
    </row>
  </sheetData>
  <mergeCells count="7">
    <mergeCell ref="B28:D28"/>
    <mergeCell ref="B12:D12"/>
    <mergeCell ref="B50:D50"/>
    <mergeCell ref="B3:D3"/>
    <mergeCell ref="B20:D20"/>
    <mergeCell ref="B45:D45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09 MAYO'!C6, 'REPORTE DIARIO'!C:C)</f>
        <v>12342</v>
      </c>
      <c r="E6" s="15">
        <f>SUMIF('REPORTE DIARIO'!B:B,'EPR 09 MAYO'!C6, 'REPORTE DIARIO'!D:D)</f>
        <v>208066.41999999998</v>
      </c>
      <c r="F6" s="15">
        <f>J6*D6</f>
        <v>387891.42857142858</v>
      </c>
      <c r="G6" s="15">
        <f>+E6-F6</f>
        <v>-179825.0085714286</v>
      </c>
      <c r="H6" s="14">
        <f>ABS(G6/F6)</f>
        <v>0.46359624195282928</v>
      </c>
      <c r="I6" s="15">
        <f>E6/D6</f>
        <v>16.858403824339653</v>
      </c>
      <c r="J6" s="15">
        <f>220/7</f>
        <v>31.428571428571427</v>
      </c>
      <c r="K6" s="15">
        <f>+I6-J6</f>
        <v>-14.570167604231774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09 MAYO'!C7, 'REPORTE DIARIO'!C:C)</f>
        <v>10686</v>
      </c>
      <c r="E7" s="15">
        <f>SUMIF('REPORTE DIARIO'!B:B,'EPR 09 MAYO'!C7, 'REPORTE DIARIO'!D:D)</f>
        <v>144106.04</v>
      </c>
      <c r="F7" s="15">
        <f>J7*D7</f>
        <v>167922.85714285713</v>
      </c>
      <c r="G7" s="15">
        <f>+E7-F7</f>
        <v>-23816.817142857122</v>
      </c>
      <c r="H7" s="14">
        <f>ABS(G7/F7)</f>
        <v>0.14183189559831885</v>
      </c>
      <c r="I7" s="15">
        <f>E7/D7</f>
        <v>13.485498783454988</v>
      </c>
      <c r="J7" s="15">
        <f>110/7</f>
        <v>15.714285714285714</v>
      </c>
      <c r="K7" s="15">
        <f t="shared" ref="K7:K9" si="0">+I7-J7</f>
        <v>-2.2287869308307258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09 MAYO'!C8, 'REPORTE DIARIO'!C:C)</f>
        <v>14830</v>
      </c>
      <c r="E8" s="15">
        <f>SUMIF('REPORTE DIARIO'!B:B,'EPR 09 MAYO'!C8, 'REPORTE DIARIO'!D:D)</f>
        <v>46358.21</v>
      </c>
      <c r="F8" s="15">
        <f>J8*D8</f>
        <v>95335.71428571429</v>
      </c>
      <c r="G8" s="15">
        <f>+E8-F8</f>
        <v>-48977.504285714291</v>
      </c>
      <c r="H8" s="14">
        <f>ABS(G8/F8)</f>
        <v>0.51373721435528585</v>
      </c>
      <c r="I8" s="15">
        <f>E8/D8</f>
        <v>3.1259750505731625</v>
      </c>
      <c r="J8" s="15">
        <f>45/7</f>
        <v>6.4285714285714288</v>
      </c>
      <c r="K8" s="15">
        <f t="shared" si="0"/>
        <v>-3.3025963779982663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09 MAYO'!C9, 'REPORTE DIARIO'!C:C)</f>
        <v>51259</v>
      </c>
      <c r="E9" s="15">
        <f>SUMIF('REPORTE DIARIO'!B:B,'EPR 09 MAYO'!C9, 'REPORTE DIARIO'!D:D)</f>
        <v>54859</v>
      </c>
      <c r="F9" s="15">
        <f>J9*D9</f>
        <v>109840.71428571428</v>
      </c>
      <c r="G9" s="15">
        <f>+E9-F9</f>
        <v>-54981.714285714275</v>
      </c>
      <c r="H9" s="14">
        <f>ABS(G9/F9)</f>
        <v>0.50055860109119044</v>
      </c>
      <c r="I9" s="15">
        <f>E9/D9</f>
        <v>1.0702315690903061</v>
      </c>
      <c r="J9" s="15">
        <f>15/7</f>
        <v>2.1428571428571428</v>
      </c>
      <c r="K9" s="15">
        <f t="shared" si="0"/>
        <v>-1.0726255737668366</v>
      </c>
    </row>
    <row r="10" spans="2:12" x14ac:dyDescent="0.25">
      <c r="B10" s="15"/>
      <c r="C10" s="18" t="s">
        <v>16</v>
      </c>
      <c r="D10" s="23">
        <f>SUM(D6:D9)</f>
        <v>89117</v>
      </c>
      <c r="E10" s="19">
        <f>SUM(E6:E9)</f>
        <v>453389.67</v>
      </c>
      <c r="F10" s="19">
        <f>SUM(F6:F9)</f>
        <v>760990.71428571432</v>
      </c>
      <c r="G10" s="19">
        <f>+E10-F10</f>
        <v>-307601.04428571434</v>
      </c>
      <c r="H10" s="20">
        <f>ABS(G10/F10)</f>
        <v>0.40421129786640914</v>
      </c>
      <c r="I10" s="19">
        <f>E10/D10</f>
        <v>5.087577790993862</v>
      </c>
      <c r="J10" s="19">
        <f>F10/D10</f>
        <v>8.5392317322813192</v>
      </c>
      <c r="K10" s="19">
        <f>I10-J10</f>
        <v>-3.4516539412874572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09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2025-05-10T01:55:02Z</dcterms:modified>
</cp:coreProperties>
</file>