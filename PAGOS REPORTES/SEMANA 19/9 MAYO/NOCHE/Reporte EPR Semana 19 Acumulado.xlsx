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9 MAYO\NOCHE\"/>
    </mc:Choice>
  </mc:AlternateContent>
  <xr:revisionPtr revIDLastSave="0" documentId="13_ncr:1_{C0CAB51D-5658-43DB-B4B0-9796DF5410FD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09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43" i="1"/>
  <c r="C43" i="1"/>
  <c r="D51" i="1"/>
  <c r="C51" i="1"/>
  <c r="D27" i="1"/>
  <c r="C27" i="1"/>
  <c r="D56" i="1" l="1"/>
  <c r="C56" i="1"/>
  <c r="D35" i="1"/>
  <c r="C35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<sst xmlns="http://schemas.openxmlformats.org/spreadsheetml/2006/main" count="88" uniqueCount="37">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</sst>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zoomScaleNormal="100" workbookViewId="0">
      <selection activeCell="B55" sqref="B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4198</v>
      </c>
      <c r="D5" s="25">
        <v>461804.76</v>
      </c>
    </row>
    <row r="6" spans="2:8" x14ac:dyDescent="0.25">
      <c r="B6" s="1" t="s">
        <v>5</v>
      </c>
      <c r="C6" s="6">
        <v>4308</v>
      </c>
      <c r="D6" s="25">
        <v>171388.57</v>
      </c>
    </row>
    <row r="7" spans="2:8" x14ac:dyDescent="0.25">
      <c r="B7" s="1" t="s">
        <v>6</v>
      </c>
      <c r="C7" s="6">
        <v>6016</v>
      </c>
      <c r="D7" s="25">
        <v>198445.62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13282</v>
      </c>
      <c r="D9" s="25">
        <v>205273.58000000002</v>
      </c>
      <c r="E9" s="14"/>
      <c r="F9" s="7"/>
    </row>
    <row r="10" spans="2:8" x14ac:dyDescent="0.25">
      <c r="B10" s="3" t="s">
        <v>8</v>
      </c>
      <c r="C10" s="8">
        <f>SUM(C5:C9)</f>
        <v>27814</v>
      </c>
      <c r="D10" s="4">
        <f>SUM(D5:D9)</f>
        <v>1036912.53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3658</v>
      </c>
      <c r="D14" s="25">
        <v>281621.69</v>
      </c>
    </row>
    <row r="15" spans="2:8" x14ac:dyDescent="0.25">
      <c r="B15" s="9" t="s">
        <v>5</v>
      </c>
      <c r="C15" s="6">
        <v>1961</v>
      </c>
      <c r="D15" s="25">
        <v>86008</v>
      </c>
    </row>
    <row r="16" spans="2:8" x14ac:dyDescent="0.25">
      <c r="B16" s="9" t="s">
        <v>6</v>
      </c>
      <c r="C16" s="6">
        <v>2222</v>
      </c>
      <c r="D16" s="25">
        <v>25254.48</v>
      </c>
    </row>
    <row r="17" spans="2:11" x14ac:dyDescent="0.25">
      <c r="B17" s="9" t="s">
        <v>7</v>
      </c>
      <c r="C17" s="6">
        <v>9811</v>
      </c>
      <c r="D17" s="25">
        <v>70682.8</v>
      </c>
    </row>
    <row r="18" spans="2:11" x14ac:dyDescent="0.25">
      <c r="B18" s="10" t="s">
        <v>8</v>
      </c>
      <c r="C18" s="8">
        <f>SUM(C14:C17)</f>
        <v>17652</v>
      </c>
      <c r="D18" s="4">
        <f>SUM(D14:D17)</f>
        <v>463566.97</v>
      </c>
    </row>
    <row r="20" spans="2:11" x14ac:dyDescent="0.25">
      <c r="B20" s="27" t="s">
        <v>30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1928</v>
      </c>
      <c r="D22" s="25">
        <v>147622.34</v>
      </c>
    </row>
    <row r="23" spans="2:11" x14ac:dyDescent="0.25">
      <c r="B23" s="1" t="s">
        <v>5</v>
      </c>
      <c r="C23" s="6">
        <v>1804</v>
      </c>
      <c r="D23" s="25">
        <v>55138</v>
      </c>
    </row>
    <row r="24" spans="2:11" x14ac:dyDescent="0.25">
      <c r="B24" s="1" t="s">
        <v>6</v>
      </c>
      <c r="C24" s="6">
        <v>3083</v>
      </c>
      <c r="D24" s="25">
        <v>90516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20770</v>
      </c>
      <c r="D26" s="25">
        <v>125272.04000000001</v>
      </c>
    </row>
    <row r="27" spans="2:11" x14ac:dyDescent="0.25">
      <c r="B27" s="3" t="s">
        <v>8</v>
      </c>
      <c r="C27" s="8">
        <f>SUM(C22:C26)</f>
        <v>27587</v>
      </c>
      <c r="D27" s="4">
        <f>SUM(D22:D26)</f>
        <v>418548.38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293</v>
      </c>
      <c r="D31" s="25">
        <v>43419.969999999994</v>
      </c>
    </row>
    <row r="32" spans="2:11" x14ac:dyDescent="0.25">
      <c r="B32" s="9" t="s">
        <v>5</v>
      </c>
      <c r="C32" s="6">
        <v>1540</v>
      </c>
      <c r="D32" s="25">
        <v>89986.75</v>
      </c>
    </row>
    <row r="33" spans="2:4" x14ac:dyDescent="0.25">
      <c r="B33" s="9" t="s">
        <v>6</v>
      </c>
      <c r="C33" s="6">
        <v>2258</v>
      </c>
      <c r="D33" s="25">
        <v>33070.99</v>
      </c>
    </row>
    <row r="34" spans="2:4" x14ac:dyDescent="0.25">
      <c r="B34" s="9" t="s">
        <v>7</v>
      </c>
      <c r="C34" s="6">
        <v>4229</v>
      </c>
      <c r="D34" s="25">
        <v>3099</v>
      </c>
    </row>
    <row r="35" spans="2:4" x14ac:dyDescent="0.25">
      <c r="B35" s="10" t="s">
        <v>8</v>
      </c>
      <c r="C35" s="8">
        <f>SUM(C31:C34)</f>
        <v>8320</v>
      </c>
      <c r="D35" s="4">
        <f>SUM(D31:D34)</f>
        <v>169576.71</v>
      </c>
    </row>
    <row r="37" spans="2:4" x14ac:dyDescent="0.25">
      <c r="B37" s="27" t="s">
        <v>32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150</v>
      </c>
      <c r="D39" s="25">
        <v>14872</v>
      </c>
    </row>
    <row r="40" spans="2:4" x14ac:dyDescent="0.25">
      <c r="B40" s="1" t="s">
        <v>5</v>
      </c>
      <c r="C40" s="6">
        <v>449</v>
      </c>
      <c r="D40" s="25">
        <v>76054</v>
      </c>
    </row>
    <row r="41" spans="2:4" x14ac:dyDescent="0.25">
      <c r="B41" s="1" t="s">
        <v>6</v>
      </c>
      <c r="C41" s="6">
        <v>781</v>
      </c>
      <c r="D41" s="25">
        <v>1589</v>
      </c>
    </row>
    <row r="42" spans="2:4" x14ac:dyDescent="0.25">
      <c r="B42" s="1" t="s">
        <v>7</v>
      </c>
      <c r="C42" s="6">
        <v>1037</v>
      </c>
      <c r="D42" s="25">
        <v>3261</v>
      </c>
    </row>
    <row r="43" spans="2:4" x14ac:dyDescent="0.25">
      <c r="B43" s="3" t="s">
        <v>8</v>
      </c>
      <c r="C43" s="8">
        <f>SUM(C39:C42)</f>
        <v>2417</v>
      </c>
      <c r="D43" s="4">
        <f>SUM(D39:D42)</f>
        <v>95776</v>
      </c>
    </row>
    <row r="45" spans="2:4" x14ac:dyDescent="0.25">
      <c r="B45" s="27" t="s">
        <v>31</v>
      </c>
      <c r="C45" s="27"/>
      <c r="D45" s="27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9" t="s">
        <v>4</v>
      </c>
      <c r="C47" s="6">
        <v>110</v>
      </c>
      <c r="D47" s="25">
        <v>2323</v>
      </c>
    </row>
    <row r="48" spans="2:4" x14ac:dyDescent="0.25">
      <c r="B48" s="1" t="s">
        <v>5</v>
      </c>
      <c r="C48" s="6">
        <v>624</v>
      </c>
      <c r="D48" s="25">
        <v>3423</v>
      </c>
    </row>
    <row r="49" spans="2:4" x14ac:dyDescent="0.25">
      <c r="B49" s="1" t="s">
        <v>6</v>
      </c>
      <c r="C49" s="6">
        <v>470</v>
      </c>
      <c r="D49" s="25">
        <v>1320</v>
      </c>
    </row>
    <row r="50" spans="2:4" x14ac:dyDescent="0.25">
      <c r="B50" s="1" t="s">
        <v>7</v>
      </c>
      <c r="C50" s="6">
        <v>2130</v>
      </c>
      <c r="D50" s="25">
        <v>28974</v>
      </c>
    </row>
    <row r="51" spans="2:4" x14ac:dyDescent="0.25">
      <c r="B51" s="3" t="s">
        <v>8</v>
      </c>
      <c r="C51" s="8">
        <f>SUM(C47:C50)</f>
        <v>3334</v>
      </c>
      <c r="D51" s="4">
        <f>SUM(D47:D50)</f>
        <v>36040</v>
      </c>
    </row>
    <row r="53" spans="2:4" x14ac:dyDescent="0.25">
      <c r="B53" s="28" t="s">
        <v>11</v>
      </c>
      <c r="C53" s="28"/>
      <c r="D53" s="28"/>
    </row>
    <row r="54" spans="2:4" x14ac:dyDescent="0.25">
      <c r="B54" s="4" t="s">
        <v>1</v>
      </c>
      <c r="C54" s="4" t="s">
        <v>2</v>
      </c>
      <c r="D54" s="4" t="s">
        <v>3</v>
      </c>
    </row>
    <row r="55" spans="2:4" x14ac:dyDescent="0.25">
      <c r="B55" s="9" t="s">
        <v>4</v>
      </c>
      <c r="C55" s="6">
        <v>2005</v>
      </c>
      <c r="D55" s="25">
        <v>25423</v>
      </c>
    </row>
    <row r="56" spans="2:4" x14ac:dyDescent="0.25">
      <c r="B56" s="10" t="s">
        <v>8</v>
      </c>
      <c r="C56" s="8">
        <f>SUM(C55:C55)</f>
        <v>2005</v>
      </c>
      <c r="D56" s="4">
        <f>SUM(D55:D55)</f>
        <v>25423</v>
      </c>
    </row>
    <row r="58" spans="2:4" x14ac:dyDescent="0.25">
      <c r="B58" s="12" t="s">
        <v>13</v>
      </c>
      <c r="C58" s="13">
        <f>SUM(C10+C18+C35+C56+C27+C51+C43)</f>
        <v>89129</v>
      </c>
      <c r="D58" s="13">
        <f>SUM(D10+D18+D35+D56+D27+D51+D43)</f>
        <v>2245843.59</v>
      </c>
    </row>
  </sheetData>
  <mergeCells count="7">
    <mergeCell ref="B53:D53"/>
    <mergeCell ref="B37:D37"/>
    <mergeCell ref="B20:D20"/>
    <mergeCell ref="B45:D45"/>
    <mergeCell ref="B3:D3"/>
    <mergeCell ref="B12:D12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35</v>
      </c>
      <c r="C6" s="16" t="s">
        <v>4</v>
      </c>
      <c r="D6" s="23">
        <f>SUMIF('REPORTE DIARIO'!B:B,'EPR 09 MAYO'!C6, 'REPORTE DIARIO'!C:C)</f>
        <v>12342</v>
      </c>
      <c r="E6" s="16">
        <f>SUMIF('REPORTE DIARIO'!B:B,'EPR 09 MAYO'!C6, 'REPORTE DIARIO'!D:D)</f>
        <v>977086.75999999989</v>
      </c>
      <c r="F6" s="16">
        <f>J6*D6</f>
        <v>1939457.1428571427</v>
      </c>
      <c r="G6" s="16">
        <f>+E6-F6</f>
        <v>-962370.38285714283</v>
      </c>
      <c r="H6" s="15">
        <f>ABS(G6/F6)</f>
        <v>0.49620605765972808</v>
      </c>
      <c r="I6" s="16">
        <f>E6/D6</f>
        <v>79.167619510614159</v>
      </c>
      <c r="J6" s="16">
        <f>(220/7)*5</f>
        <v>157.14285714285714</v>
      </c>
      <c r="K6" s="16">
        <f>+I6-J6</f>
        <v>-77.97523763224298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09 MAYO'!C7, 'REPORTE DIARIO'!C:C)</f>
        <v>10686</v>
      </c>
      <c r="E7" s="16">
        <f>SUMIF('REPORTE DIARIO'!B:B,'EPR 09 MAYO'!C7, 'REPORTE DIARIO'!D:D)</f>
        <v>481998.32</v>
      </c>
      <c r="F7" s="16">
        <f>J7*D7</f>
        <v>839614.28571428568</v>
      </c>
      <c r="G7" s="16">
        <f>+E7-F7</f>
        <v>-357615.96571428567</v>
      </c>
      <c r="H7" s="15">
        <f>ABS(G7/F7)</f>
        <v>0.42592887210113484</v>
      </c>
      <c r="I7" s="16">
        <f>E7/D7</f>
        <v>45.10558862062512</v>
      </c>
      <c r="J7" s="16">
        <f>(110/7)*5</f>
        <v>78.571428571428569</v>
      </c>
      <c r="K7" s="16">
        <f t="shared" ref="K7:K9" si="0">+I7-J7</f>
        <v>-33.465839950803449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09 MAYO'!C8, 'REPORTE DIARIO'!C:C)</f>
        <v>14830</v>
      </c>
      <c r="E8" s="16">
        <f>SUMIF('REPORTE DIARIO'!B:B,'EPR 09 MAYO'!C8, 'REPORTE DIARIO'!D:D)</f>
        <v>350196.08999999997</v>
      </c>
      <c r="F8" s="16">
        <f>J8*D8</f>
        <v>476678.57142857148</v>
      </c>
      <c r="G8" s="16">
        <f>+E8-F8</f>
        <v>-126482.48142857151</v>
      </c>
      <c r="H8" s="15">
        <f>ABS(G8/F8)</f>
        <v>0.26534123623286149</v>
      </c>
      <c r="I8" s="16">
        <f>E8/D8</f>
        <v>23.614031692515169</v>
      </c>
      <c r="J8" s="16">
        <f>(45/7)*5</f>
        <v>32.142857142857146</v>
      </c>
      <c r="K8" s="16">
        <f t="shared" si="0"/>
        <v>-8.5288254503419765</v>
      </c>
      <c r="L8" s="15"/>
    </row>
    <row r="9" spans="2:12" x14ac:dyDescent="0.25">
      <c r="B9" s="16" t="s">
        <v>36</v>
      </c>
      <c r="C9" s="16" t="s">
        <v>7</v>
      </c>
      <c r="D9" s="23">
        <f>SUMIF('REPORTE DIARIO'!B:B,'EPR 09 MAYO'!C9, 'REPORTE DIARIO'!C:C)</f>
        <v>51259</v>
      </c>
      <c r="E9" s="16">
        <f>SUMIF('REPORTE DIARIO'!B:B,'EPR 09 MAYO'!C9, 'REPORTE DIARIO'!D:D)</f>
        <v>436562.42000000004</v>
      </c>
      <c r="F9" s="16">
        <f>J9*D9</f>
        <v>549203.57142857136</v>
      </c>
      <c r="G9" s="16">
        <f>+E9-F9</f>
        <v>-112641.15142857132</v>
      </c>
      <c r="H9" s="15">
        <f>ABS(G9/F9)</f>
        <v>0.20509908763989396</v>
      </c>
      <c r="I9" s="16">
        <f>E9/D9</f>
        <v>8.5167954895725639</v>
      </c>
      <c r="J9" s="16">
        <f>(15/7)*5</f>
        <v>10.714285714285714</v>
      </c>
      <c r="K9" s="16">
        <f t="shared" si="0"/>
        <v>-2.1974902247131496</v>
      </c>
    </row>
    <row r="10" spans="2:12" x14ac:dyDescent="0.25">
      <c r="B10" s="16"/>
      <c r="C10" s="19" t="s">
        <v>17</v>
      </c>
      <c r="D10" s="24">
        <f>SUM(D6:D9)</f>
        <v>89117</v>
      </c>
      <c r="E10" s="20">
        <f>SUM(E6:E9)</f>
        <v>2245843.59</v>
      </c>
      <c r="F10" s="20">
        <f>SUM(F6:F9)</f>
        <v>3804953.5714285709</v>
      </c>
      <c r="G10" s="20">
        <f>+E10-F10</f>
        <v>-1559109.981428571</v>
      </c>
      <c r="H10" s="21">
        <f>ABS(G10/F10)</f>
        <v>0.40975795161758116</v>
      </c>
      <c r="I10" s="20">
        <f>E10/D10</f>
        <v>25.201068146369376</v>
      </c>
      <c r="J10" s="20">
        <f>F10/D10</f>
        <v>42.696158661406585</v>
      </c>
      <c r="K10" s="20">
        <f>I10-J10</f>
        <v>-17.495090515037209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09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2025-05-10T01:58:31Z</dcterms:modified>
</cp:coreProperties>
</file>