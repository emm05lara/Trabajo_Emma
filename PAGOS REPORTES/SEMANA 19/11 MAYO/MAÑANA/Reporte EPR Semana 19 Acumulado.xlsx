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11 MAYO\MAÑANA\"/>
    </mc:Choice>
  </mc:AlternateContent>
  <xr:revisionPtr revIDLastSave="0" documentId="13_ncr:1_{E80AF518-6BD7-4BD6-BEA6-522AC7371E73}" xr6:coauthVersionLast="47" xr6:coauthVersionMax="47" xr10:uidLastSave="{00000000-0000-0000-0000-000000000000}"/>
  <bookViews>
    <workbookView xWindow="2730" yWindow="2730" windowWidth="10005" windowHeight="5445" xr2:uid="{4DC6C92A-CD8A-4966-829B-0B6A986E825B}"/>
  </bookViews>
  <sheets>
    <sheet name="REPORTE DIARIO" sheetId="1" r:id="rId1"/>
    <sheet name="DATA" sheetId="4" r:id="rId2"/>
    <sheet name="EPR 11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D43" i="1"/>
  <c r="C43" i="1"/>
  <c r="D51" i="1"/>
  <c r="C51" i="1"/>
  <c r="D27" i="1"/>
  <c r="C27" i="1"/>
  <c r="D56" i="1" l="1"/>
  <c r="C56" i="1"/>
  <c r="D35" i="1"/>
  <c r="C35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<sst xmlns="http://schemas.openxmlformats.org/spreadsheetml/2006/main" count="88" uniqueCount="37">
  <si>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</si>
  <si>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</si>
  <si>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</si>
  <si>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</si>
  <si>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</si>
  <si>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</si>
  <si>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</si>
  <si>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</si>
  <si>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</si>
  <si>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</si>
  <si>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</si>
  <si>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</si>
  <si>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</si>
  <si>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</si>
  <si>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</si>
  <si>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</si>
  <si>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</si>
  <si>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</si>
  <si>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</si>
  <si>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</si>
  <si>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</si>
  <si>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</si>
  <si>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</si>
  <si>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</si>
  <si>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</si>
  <si>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</si>
  <si>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</si>
  <si>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</si>
  <si>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</si>
  <si>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</si>
  <si>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</si>
  <si>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</si>
  <si>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</si>
  <si>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</si>
  <si>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19</t>
  </si>
  <si>
    <t>Zareth</t>
  </si>
  <si>
    <t>Fernando (Naucalpan)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</si>
</sst>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29" zoomScaleNormal="100" workbookViewId="0">
      <selection activeCell="D48" sqref="D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4231</v>
      </c>
      <c r="D5" s="25">
        <v>549602.02</v>
      </c>
    </row>
    <row r="6" spans="2:8" x14ac:dyDescent="0.25">
      <c r="B6" s="1" t="s">
        <v>5</v>
      </c>
      <c r="C6" s="6">
        <v>4628</v>
      </c>
      <c r="D6" s="25">
        <v>290776.39</v>
      </c>
    </row>
    <row r="7" spans="2:8" x14ac:dyDescent="0.25">
      <c r="B7" s="1" t="s">
        <v>6</v>
      </c>
      <c r="C7" s="6">
        <v>6021</v>
      </c>
      <c r="D7" s="25">
        <v>260264.62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13301</v>
      </c>
      <c r="D9" s="25">
        <v>361452.6</v>
      </c>
      <c r="E9" s="14"/>
      <c r="F9" s="7"/>
    </row>
    <row r="10" spans="2:8" x14ac:dyDescent="0.25">
      <c r="B10" s="3" t="s">
        <v>8</v>
      </c>
      <c r="C10" s="8">
        <f>SUM(C5:C9)</f>
        <v>28191</v>
      </c>
      <c r="D10" s="4">
        <f>SUM(D5:D9)</f>
        <v>1462095.63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3715</v>
      </c>
      <c r="D14" s="25">
        <v>319241.17000000004</v>
      </c>
    </row>
    <row r="15" spans="2:8" x14ac:dyDescent="0.25">
      <c r="B15" s="9" t="s">
        <v>5</v>
      </c>
      <c r="C15" s="6">
        <v>1960</v>
      </c>
      <c r="D15" s="25">
        <v>128676.99999999999</v>
      </c>
    </row>
    <row r="16" spans="2:8" x14ac:dyDescent="0.25">
      <c r="B16" s="9" t="s">
        <v>6</v>
      </c>
      <c r="C16" s="6">
        <v>2230</v>
      </c>
      <c r="D16" s="25">
        <v>36531.479999999996</v>
      </c>
    </row>
    <row r="17" spans="2:11" x14ac:dyDescent="0.25">
      <c r="B17" s="9" t="s">
        <v>7</v>
      </c>
      <c r="C17" s="6">
        <v>9823</v>
      </c>
      <c r="D17" s="25">
        <v>84981.81</v>
      </c>
    </row>
    <row r="18" spans="2:11" x14ac:dyDescent="0.25">
      <c r="B18" s="10" t="s">
        <v>8</v>
      </c>
      <c r="C18" s="8">
        <f>SUM(C14:C17)</f>
        <v>17728</v>
      </c>
      <c r="D18" s="4">
        <f>SUM(D14:D17)</f>
        <v>569431.46</v>
      </c>
    </row>
    <row r="20" spans="2:11" x14ac:dyDescent="0.25">
      <c r="B20" s="28" t="s">
        <v>30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1947</v>
      </c>
      <c r="D22" s="25">
        <v>192990.34</v>
      </c>
    </row>
    <row r="23" spans="2:11" x14ac:dyDescent="0.25">
      <c r="B23" s="1" t="s">
        <v>5</v>
      </c>
      <c r="C23" s="6">
        <v>1803</v>
      </c>
      <c r="D23" s="25">
        <v>81891</v>
      </c>
    </row>
    <row r="24" spans="2:11" x14ac:dyDescent="0.25">
      <c r="B24" s="1" t="s">
        <v>6</v>
      </c>
      <c r="C24" s="6">
        <v>3098</v>
      </c>
      <c r="D24" s="25">
        <v>107603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20789</v>
      </c>
      <c r="D26" s="25">
        <v>148200.04</v>
      </c>
    </row>
    <row r="27" spans="2:11" x14ac:dyDescent="0.25">
      <c r="B27" s="3" t="s">
        <v>8</v>
      </c>
      <c r="C27" s="8">
        <f>SUM(C22:C26)</f>
        <v>27639</v>
      </c>
      <c r="D27" s="4">
        <f>SUM(D22:D26)</f>
        <v>530684.38</v>
      </c>
      <c r="K27" s="7"/>
    </row>
    <row r="29" spans="2:11" x14ac:dyDescent="0.25">
      <c r="B29" s="28" t="s">
        <v>9</v>
      </c>
      <c r="C29" s="28"/>
      <c r="D29" s="28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292</v>
      </c>
      <c r="D31" s="25">
        <v>54111.969999999994</v>
      </c>
    </row>
    <row r="32" spans="2:11" x14ac:dyDescent="0.25">
      <c r="B32" s="9" t="s">
        <v>5</v>
      </c>
      <c r="C32" s="6">
        <v>1540</v>
      </c>
      <c r="D32" s="25">
        <v>101632.83000000002</v>
      </c>
    </row>
    <row r="33" spans="2:4" x14ac:dyDescent="0.25">
      <c r="B33" s="9" t="s">
        <v>6</v>
      </c>
      <c r="C33" s="6">
        <v>2249</v>
      </c>
      <c r="D33" s="25">
        <v>35518.99</v>
      </c>
    </row>
    <row r="34" spans="2:4" x14ac:dyDescent="0.25">
      <c r="B34" s="9" t="s">
        <v>7</v>
      </c>
      <c r="C34" s="6">
        <v>4229</v>
      </c>
      <c r="D34" s="25">
        <v>3967</v>
      </c>
    </row>
    <row r="35" spans="2:4" x14ac:dyDescent="0.25">
      <c r="B35" s="10" t="s">
        <v>8</v>
      </c>
      <c r="C35" s="8">
        <f>SUM(C31:C34)</f>
        <v>8310</v>
      </c>
      <c r="D35" s="4">
        <f>SUM(D31:D34)</f>
        <v>195230.79</v>
      </c>
    </row>
    <row r="37" spans="2:4" x14ac:dyDescent="0.25">
      <c r="B37" s="28" t="s">
        <v>32</v>
      </c>
      <c r="C37" s="28"/>
      <c r="D37" s="28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169</v>
      </c>
      <c r="D39" s="25">
        <v>15372</v>
      </c>
    </row>
    <row r="40" spans="2:4" x14ac:dyDescent="0.25">
      <c r="B40" s="1" t="s">
        <v>5</v>
      </c>
      <c r="C40" s="6">
        <v>449</v>
      </c>
      <c r="D40" s="25">
        <v>76054</v>
      </c>
    </row>
    <row r="41" spans="2:4" x14ac:dyDescent="0.25">
      <c r="B41" s="1" t="s">
        <v>6</v>
      </c>
      <c r="C41" s="6">
        <v>798</v>
      </c>
      <c r="D41" s="25">
        <v>1589</v>
      </c>
    </row>
    <row r="42" spans="2:4" x14ac:dyDescent="0.25">
      <c r="B42" s="1" t="s">
        <v>7</v>
      </c>
      <c r="C42" s="6">
        <v>1061</v>
      </c>
      <c r="D42" s="25">
        <v>4061</v>
      </c>
    </row>
    <row r="43" spans="2:4" x14ac:dyDescent="0.25">
      <c r="B43" s="3" t="s">
        <v>8</v>
      </c>
      <c r="C43" s="8">
        <f>SUM(C39:C42)</f>
        <v>2477</v>
      </c>
      <c r="D43" s="4">
        <f>SUM(D39:D42)</f>
        <v>97076</v>
      </c>
    </row>
    <row r="45" spans="2:4" x14ac:dyDescent="0.25">
      <c r="B45" s="28" t="s">
        <v>31</v>
      </c>
      <c r="C45" s="28"/>
      <c r="D45" s="28"/>
    </row>
    <row r="46" spans="2:4" x14ac:dyDescent="0.25">
      <c r="B46" s="2" t="s">
        <v>1</v>
      </c>
      <c r="C46" s="2" t="s">
        <v>2</v>
      </c>
      <c r="D46" s="2" t="s">
        <v>3</v>
      </c>
    </row>
    <row r="47" spans="2:4" x14ac:dyDescent="0.25">
      <c r="B47" s="9" t="s">
        <v>4</v>
      </c>
      <c r="C47" s="6">
        <v>129</v>
      </c>
      <c r="D47" s="25">
        <v>8752</v>
      </c>
    </row>
    <row r="48" spans="2:4" x14ac:dyDescent="0.25">
      <c r="B48" s="1" t="s">
        <v>5</v>
      </c>
      <c r="C48" s="6">
        <v>623</v>
      </c>
      <c r="D48" s="25">
        <v>7536</v>
      </c>
    </row>
    <row r="49" spans="2:4" x14ac:dyDescent="0.25">
      <c r="B49" s="1" t="s">
        <v>6</v>
      </c>
      <c r="C49" s="6">
        <v>487</v>
      </c>
      <c r="D49" s="25">
        <v>1320</v>
      </c>
    </row>
    <row r="50" spans="2:4" x14ac:dyDescent="0.25">
      <c r="B50" s="1" t="s">
        <v>7</v>
      </c>
      <c r="C50" s="6">
        <v>2154</v>
      </c>
      <c r="D50" s="25">
        <v>29830</v>
      </c>
    </row>
    <row r="51" spans="2:4" x14ac:dyDescent="0.25">
      <c r="B51" s="3" t="s">
        <v>8</v>
      </c>
      <c r="C51" s="8">
        <f>SUM(C47:C50)</f>
        <v>3393</v>
      </c>
      <c r="D51" s="4">
        <f>SUM(D47:D50)</f>
        <v>47438</v>
      </c>
    </row>
    <row r="53" spans="2:4" x14ac:dyDescent="0.25">
      <c r="B53" s="27" t="s">
        <v>11</v>
      </c>
      <c r="C53" s="27"/>
      <c r="D53" s="27"/>
    </row>
    <row r="54" spans="2:4" x14ac:dyDescent="0.25">
      <c r="B54" s="4" t="s">
        <v>1</v>
      </c>
      <c r="C54" s="4" t="s">
        <v>2</v>
      </c>
      <c r="D54" s="4" t="s">
        <v>3</v>
      </c>
    </row>
    <row r="55" spans="2:4" x14ac:dyDescent="0.25">
      <c r="B55" s="9" t="s">
        <v>4</v>
      </c>
      <c r="C55" s="6">
        <v>2036</v>
      </c>
      <c r="D55" s="25">
        <v>34219</v>
      </c>
    </row>
    <row r="56" spans="2:4" x14ac:dyDescent="0.25">
      <c r="B56" s="10" t="s">
        <v>8</v>
      </c>
      <c r="C56" s="8">
        <f>SUM(C55:C55)</f>
        <v>2036</v>
      </c>
      <c r="D56" s="4">
        <f>SUM(D55:D55)</f>
        <v>34219</v>
      </c>
    </row>
    <row r="58" spans="2:4" x14ac:dyDescent="0.25">
      <c r="B58" s="12" t="s">
        <v>13</v>
      </c>
      <c r="C58" s="13">
        <f>SUM(C10+C18+C35+C56+C27+C51+C43)</f>
        <v>89774</v>
      </c>
      <c r="D58" s="13">
        <f>SUM(D10+D18+D35+D56+D27+D51+D43)</f>
        <v>2936175.26</v>
      </c>
    </row>
  </sheetData>
  <mergeCells count="7">
    <mergeCell ref="B53:D53"/>
    <mergeCell ref="B37:D37"/>
    <mergeCell ref="B20:D20"/>
    <mergeCell ref="B45:D45"/>
    <mergeCell ref="B3:D3"/>
    <mergeCell ref="B12:D12"/>
    <mergeCell ref="B29:D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35</v>
      </c>
      <c r="C6" s="16" t="s">
        <v>4</v>
      </c>
      <c r="D6" s="23">
        <f>SUMIF('REPORTE DIARIO'!B:B,'EPR 11 MAYO'!C6, 'REPORTE DIARIO'!C:C)</f>
        <v>12519</v>
      </c>
      <c r="E6" s="16">
        <f>SUMIF('REPORTE DIARIO'!B:B,'EPR 11 MAYO'!C6, 'REPORTE DIARIO'!D:D)</f>
        <v>1174288.5</v>
      </c>
      <c r="F6" s="16">
        <f>J6*D6</f>
        <v>2754180</v>
      </c>
      <c r="G6" s="16">
        <f>+E6-F6</f>
        <v>-1579891.5</v>
      </c>
      <c r="H6" s="15">
        <f>ABS(G6/F6)</f>
        <v>0.57363407620416962</v>
      </c>
      <c r="I6" s="16">
        <f>E6/D6</f>
        <v>93.800503235082672</v>
      </c>
      <c r="J6" s="16">
        <f>(220/7)*7</f>
        <v>220</v>
      </c>
      <c r="K6" s="16">
        <f>+I6-J6</f>
        <v>-126.19949676491733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11 MAYO'!C7, 'REPORTE DIARIO'!C:C)</f>
        <v>11003</v>
      </c>
      <c r="E7" s="16">
        <f>SUMIF('REPORTE DIARIO'!B:B,'EPR 11 MAYO'!C7, 'REPORTE DIARIO'!D:D)</f>
        <v>686567.22</v>
      </c>
      <c r="F7" s="16">
        <f>J7*D7</f>
        <v>1210330</v>
      </c>
      <c r="G7" s="16">
        <f>+E7-F7</f>
        <v>-523762.78</v>
      </c>
      <c r="H7" s="15">
        <f>ABS(G7/F7)</f>
        <v>0.4327437806218139</v>
      </c>
      <c r="I7" s="16">
        <f>E7/D7</f>
        <v>62.398184131600473</v>
      </c>
      <c r="J7" s="16">
        <f>(110/7)*7</f>
        <v>110</v>
      </c>
      <c r="K7" s="16">
        <f t="shared" ref="K7:K9" si="0">+I7-J7</f>
        <v>-47.601815868399527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11 MAYO'!C8, 'REPORTE DIARIO'!C:C)</f>
        <v>14883</v>
      </c>
      <c r="E8" s="16">
        <f>SUMIF('REPORTE DIARIO'!B:B,'EPR 11 MAYO'!C8, 'REPORTE DIARIO'!D:D)</f>
        <v>442827.08999999997</v>
      </c>
      <c r="F8" s="16">
        <f>J8*D8</f>
        <v>669735</v>
      </c>
      <c r="G8" s="16">
        <f>+E8-F8</f>
        <v>-226907.91000000003</v>
      </c>
      <c r="H8" s="15">
        <f>ABS(G8/F8)</f>
        <v>0.33880252637237124</v>
      </c>
      <c r="I8" s="16">
        <f>E8/D8</f>
        <v>29.753886313243296</v>
      </c>
      <c r="J8" s="16">
        <f>(45/7)*7</f>
        <v>45</v>
      </c>
      <c r="K8" s="16">
        <f t="shared" si="0"/>
        <v>-15.246113686756704</v>
      </c>
      <c r="L8" s="15"/>
    </row>
    <row r="9" spans="2:12" x14ac:dyDescent="0.25">
      <c r="B9" s="16" t="s">
        <v>36</v>
      </c>
      <c r="C9" s="16" t="s">
        <v>7</v>
      </c>
      <c r="D9" s="23">
        <f>SUMIF('REPORTE DIARIO'!B:B,'EPR 11 MAYO'!C9, 'REPORTE DIARIO'!C:C)</f>
        <v>51357</v>
      </c>
      <c r="E9" s="16">
        <f>SUMIF('REPORTE DIARIO'!B:B,'EPR 11 MAYO'!C9, 'REPORTE DIARIO'!D:D)</f>
        <v>632492.44999999995</v>
      </c>
      <c r="F9" s="16">
        <f>J9*D9</f>
        <v>770355</v>
      </c>
      <c r="G9" s="16">
        <f>+E9-F9</f>
        <v>-137862.55000000005</v>
      </c>
      <c r="H9" s="15">
        <f>ABS(G9/F9)</f>
        <v>0.17895976530300972</v>
      </c>
      <c r="I9" s="16">
        <f>E9/D9</f>
        <v>12.315603520454854</v>
      </c>
      <c r="J9" s="16">
        <f>(15/7)*7</f>
        <v>15</v>
      </c>
      <c r="K9" s="16">
        <f t="shared" si="0"/>
        <v>-2.6843964795451463</v>
      </c>
    </row>
    <row r="10" spans="2:12" x14ac:dyDescent="0.25">
      <c r="B10" s="16"/>
      <c r="C10" s="19" t="s">
        <v>17</v>
      </c>
      <c r="D10" s="24">
        <f>SUM(D6:D9)</f>
        <v>89762</v>
      </c>
      <c r="E10" s="20">
        <f>SUM(E6:E9)</f>
        <v>2936175.26</v>
      </c>
      <c r="F10" s="20">
        <f>SUM(F6:F9)</f>
        <v>5404600</v>
      </c>
      <c r="G10" s="20">
        <f>+E10-F10</f>
        <v>-2468424.7400000002</v>
      </c>
      <c r="H10" s="21">
        <f>ABS(G10/F10)</f>
        <v>0.45672662916774603</v>
      </c>
      <c r="I10" s="20">
        <f>E10/D10</f>
        <v>32.710671108041261</v>
      </c>
      <c r="J10" s="20">
        <f>F10/D10</f>
        <v>60.210333994340587</v>
      </c>
      <c r="K10" s="20">
        <f>I10-J10</f>
        <v>-27.499662886299326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11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2025-05-11T15:58:35Z</dcterms:modified>
</cp:coreProperties>
</file>