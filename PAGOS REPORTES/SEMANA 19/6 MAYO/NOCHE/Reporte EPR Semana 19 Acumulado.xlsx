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6 MAYO\NOCHE\"/>
    </mc:Choice>
  </mc:AlternateContent>
  <xr:revisionPtr revIDLastSave="0" documentId="13_ncr:1_{FD850CCC-55F2-474E-80AD-64E58AE7ED90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0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<sst xmlns="http://schemas.openxmlformats.org/spreadsheetml/2006/main" count="88" uniqueCount="37">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</sst>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zoomScaleNormal="100" workbookViewId="0">
      <selection activeCell="B38" sqref="B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4292</v>
      </c>
      <c r="D5" s="25">
        <v>257198.59999999998</v>
      </c>
    </row>
    <row r="6" spans="2:8" x14ac:dyDescent="0.25">
      <c r="B6" s="1" t="s">
        <v>5</v>
      </c>
      <c r="C6" s="6">
        <v>4408</v>
      </c>
      <c r="D6" s="25">
        <v>46267</v>
      </c>
    </row>
    <row r="7" spans="2:8" x14ac:dyDescent="0.25">
      <c r="B7" s="1" t="s">
        <v>6</v>
      </c>
      <c r="C7" s="6">
        <v>6300</v>
      </c>
      <c r="D7" s="25">
        <v>68328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13527</v>
      </c>
      <c r="D9" s="25">
        <v>121451</v>
      </c>
      <c r="E9" s="14"/>
      <c r="F9" s="7"/>
    </row>
    <row r="10" spans="2:8" x14ac:dyDescent="0.25">
      <c r="B10" s="3" t="s">
        <v>8</v>
      </c>
      <c r="C10" s="8">
        <f>SUM(C5:C9)</f>
        <v>28537</v>
      </c>
      <c r="D10" s="4">
        <f>SUM(D5:D9)</f>
        <v>493244.6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3764</v>
      </c>
      <c r="D14" s="25">
        <v>103804.96</v>
      </c>
    </row>
    <row r="15" spans="2:8" x14ac:dyDescent="0.25">
      <c r="B15" s="9" t="s">
        <v>5</v>
      </c>
      <c r="C15" s="6">
        <v>2127</v>
      </c>
      <c r="D15" s="25">
        <v>22882.62</v>
      </c>
    </row>
    <row r="16" spans="2:8" x14ac:dyDescent="0.25">
      <c r="B16" s="9" t="s">
        <v>6</v>
      </c>
      <c r="C16" s="6">
        <v>2196</v>
      </c>
      <c r="D16" s="25">
        <v>12488</v>
      </c>
    </row>
    <row r="17" spans="2:11" x14ac:dyDescent="0.25">
      <c r="B17" s="9" t="s">
        <v>7</v>
      </c>
      <c r="C17" s="6">
        <v>9654</v>
      </c>
      <c r="D17" s="25">
        <v>24097.8</v>
      </c>
    </row>
    <row r="18" spans="2:11" x14ac:dyDescent="0.25">
      <c r="B18" s="10" t="s">
        <v>8</v>
      </c>
      <c r="C18" s="8">
        <f>SUM(C14:C17)</f>
        <v>17741</v>
      </c>
      <c r="D18" s="4">
        <f>SUM(D14:D17)</f>
        <v>163273.38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1995</v>
      </c>
      <c r="D22" s="25">
        <v>44091</v>
      </c>
    </row>
    <row r="23" spans="2:11" x14ac:dyDescent="0.25">
      <c r="B23" s="1" t="s">
        <v>5</v>
      </c>
      <c r="C23" s="6">
        <v>1757</v>
      </c>
      <c r="D23" s="25">
        <v>20996</v>
      </c>
    </row>
    <row r="24" spans="2:11" x14ac:dyDescent="0.25">
      <c r="B24" s="1" t="s">
        <v>6</v>
      </c>
      <c r="C24" s="6">
        <v>3100</v>
      </c>
      <c r="D24" s="25">
        <v>19430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21729</v>
      </c>
      <c r="D26" s="25">
        <v>51833.420000000006</v>
      </c>
    </row>
    <row r="27" spans="2:11" x14ac:dyDescent="0.25">
      <c r="B27" s="3" t="s">
        <v>8</v>
      </c>
      <c r="C27" s="8">
        <f>SUM(C22:C26)</f>
        <v>28583</v>
      </c>
      <c r="D27" s="4">
        <f>SUM(D22:D26)</f>
        <v>136350.42000000001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316</v>
      </c>
      <c r="D31" s="25">
        <v>28419.94</v>
      </c>
    </row>
    <row r="32" spans="2:11" x14ac:dyDescent="0.25">
      <c r="B32" s="9" t="s">
        <v>5</v>
      </c>
      <c r="C32" s="6">
        <v>1407</v>
      </c>
      <c r="D32" s="25">
        <v>29205.919999999998</v>
      </c>
    </row>
    <row r="33" spans="2:4" x14ac:dyDescent="0.25">
      <c r="B33" s="9" t="s">
        <v>6</v>
      </c>
      <c r="C33" s="6">
        <v>2361</v>
      </c>
      <c r="D33" s="25">
        <v>6900.78</v>
      </c>
    </row>
    <row r="34" spans="2:4" x14ac:dyDescent="0.25">
      <c r="B34" s="9" t="s">
        <v>7</v>
      </c>
      <c r="C34" s="6">
        <v>4259</v>
      </c>
      <c r="D34" s="25">
        <v>2157</v>
      </c>
    </row>
    <row r="35" spans="2:4" x14ac:dyDescent="0.25">
      <c r="B35" s="10" t="s">
        <v>8</v>
      </c>
      <c r="C35" s="8">
        <f>SUM(C31:C34)</f>
        <v>8343</v>
      </c>
      <c r="D35" s="4">
        <f>SUM(D31:D34)</f>
        <v>66683.64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2087</v>
      </c>
      <c r="D39" s="25">
        <v>20505</v>
      </c>
    </row>
    <row r="40" spans="2:4" x14ac:dyDescent="0.25">
      <c r="B40" s="10" t="s">
        <v>8</v>
      </c>
      <c r="C40" s="8">
        <f>SUM(C39:C39)</f>
        <v>2087</v>
      </c>
      <c r="D40" s="4">
        <f>SUM(D39:D39)</f>
        <v>20505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112</v>
      </c>
      <c r="D44" s="25">
        <v>2323</v>
      </c>
    </row>
    <row r="45" spans="2:4" x14ac:dyDescent="0.25">
      <c r="B45" s="1" t="s">
        <v>5</v>
      </c>
      <c r="C45" s="6">
        <v>559</v>
      </c>
      <c r="D45" s="25">
        <v>1923</v>
      </c>
    </row>
    <row r="46" spans="2:4" x14ac:dyDescent="0.25">
      <c r="B46" s="1" t="s">
        <v>6</v>
      </c>
      <c r="C46" s="6">
        <v>412</v>
      </c>
      <c r="D46" s="26">
        <v>0</v>
      </c>
    </row>
    <row r="47" spans="2:4" x14ac:dyDescent="0.25">
      <c r="B47" s="1" t="s">
        <v>7</v>
      </c>
      <c r="C47" s="6">
        <v>2112</v>
      </c>
      <c r="D47" s="25">
        <v>4506</v>
      </c>
    </row>
    <row r="48" spans="2:4" x14ac:dyDescent="0.25">
      <c r="B48" s="3" t="s">
        <v>8</v>
      </c>
      <c r="C48" s="8">
        <f>SUM(C44:C47)</f>
        <v>3195</v>
      </c>
      <c r="D48" s="4">
        <f>SUM(D44:D47)</f>
        <v>8752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6">
        <v>0</v>
      </c>
    </row>
    <row r="53" spans="2:4" x14ac:dyDescent="0.25">
      <c r="B53" s="1" t="s">
        <v>5</v>
      </c>
      <c r="C53" s="6">
        <v>383</v>
      </c>
      <c r="D53" s="25">
        <v>1240</v>
      </c>
    </row>
    <row r="54" spans="2:4" x14ac:dyDescent="0.25">
      <c r="B54" s="1" t="s">
        <v>6</v>
      </c>
      <c r="C54" s="6">
        <v>722</v>
      </c>
      <c r="D54" s="25">
        <v>1589</v>
      </c>
    </row>
    <row r="55" spans="2:4" x14ac:dyDescent="0.25">
      <c r="B55" s="1" t="s">
        <v>7</v>
      </c>
      <c r="C55" s="6">
        <v>1001</v>
      </c>
      <c r="D55" s="25">
        <v>3261</v>
      </c>
    </row>
    <row r="56" spans="2:4" x14ac:dyDescent="0.25">
      <c r="B56" s="3" t="s">
        <v>8</v>
      </c>
      <c r="C56" s="8">
        <f>SUM(C52:C55)</f>
        <v>2256</v>
      </c>
      <c r="D56" s="4">
        <f>SUM(D52:D55)</f>
        <v>6090</v>
      </c>
    </row>
    <row r="58" spans="2:4" x14ac:dyDescent="0.25">
      <c r="B58" s="12" t="s">
        <v>13</v>
      </c>
      <c r="C58" s="13">
        <f>SUM(C10+C18+C35+C40+C27+C48+C56)</f>
        <v>90742</v>
      </c>
      <c r="D58" s="13">
        <f>SUM(D10+D18+D35+D40+D27+D48+D56)</f>
        <v>894899.04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06 MAYO'!C6, 'REPORTE DIARIO'!C:C)</f>
        <v>12716</v>
      </c>
      <c r="E6" s="16">
        <f>SUMIF('REPORTE DIARIO'!B:B,'EPR 06 MAYO'!C6, 'REPORTE DIARIO'!D:D)</f>
        <v>456342.5</v>
      </c>
      <c r="F6" s="16">
        <f>J6*D6</f>
        <v>799291.42857142852</v>
      </c>
      <c r="G6" s="16">
        <f>+E6-F6</f>
        <v>-342948.92857142852</v>
      </c>
      <c r="H6" s="15">
        <f>ABS(G6/F6)</f>
        <v>0.42906619076896674</v>
      </c>
      <c r="I6" s="16">
        <f>E6/D6</f>
        <v>35.887268008807801</v>
      </c>
      <c r="J6" s="16">
        <f>(220/7)*2</f>
        <v>62.857142857142854</v>
      </c>
      <c r="K6" s="16">
        <f>+I6-J6</f>
        <v>-26.969874848335053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06 MAYO'!C7, 'REPORTE DIARIO'!C:C)</f>
        <v>10641</v>
      </c>
      <c r="E7" s="16">
        <f>SUMIF('REPORTE DIARIO'!B:B,'EPR 06 MAYO'!C7, 'REPORTE DIARIO'!D:D)</f>
        <v>122514.54</v>
      </c>
      <c r="F7" s="16">
        <f>J7*D7</f>
        <v>334431.42857142858</v>
      </c>
      <c r="G7" s="16">
        <f>+E7-F7</f>
        <v>-211916.8885714286</v>
      </c>
      <c r="H7" s="15">
        <f>ABS(G7/F7)</f>
        <v>0.63366319809313898</v>
      </c>
      <c r="I7" s="16">
        <f>E7/D7</f>
        <v>11.513442345644206</v>
      </c>
      <c r="J7" s="16">
        <f>(110/7)*2</f>
        <v>31.428571428571427</v>
      </c>
      <c r="K7" s="16">
        <f t="shared" ref="K7:K9" si="0">+I7-J7</f>
        <v>-19.915129082927223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06 MAYO'!C8, 'REPORTE DIARIO'!C:C)</f>
        <v>15091</v>
      </c>
      <c r="E8" s="16">
        <f>SUMIF('REPORTE DIARIO'!B:B,'EPR 06 MAYO'!C8, 'REPORTE DIARIO'!D:D)</f>
        <v>108735.78</v>
      </c>
      <c r="F8" s="16">
        <f>J8*D8</f>
        <v>194027.14285714287</v>
      </c>
      <c r="G8" s="16">
        <f>+E8-F8</f>
        <v>-85291.362857142871</v>
      </c>
      <c r="H8" s="15">
        <f>ABS(G8/F8)</f>
        <v>0.43958469728094013</v>
      </c>
      <c r="I8" s="16">
        <f>E8/D8</f>
        <v>7.2053396063879136</v>
      </c>
      <c r="J8" s="16">
        <f>(45/7)*2</f>
        <v>12.857142857142858</v>
      </c>
      <c r="K8" s="16">
        <f t="shared" si="0"/>
        <v>-5.6518032507549441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06 MAYO'!C9, 'REPORTE DIARIO'!C:C)</f>
        <v>52282</v>
      </c>
      <c r="E9" s="16">
        <f>SUMIF('REPORTE DIARIO'!B:B,'EPR 06 MAYO'!C9, 'REPORTE DIARIO'!D:D)</f>
        <v>207306.22</v>
      </c>
      <c r="F9" s="16">
        <f>J9*D9</f>
        <v>224065.71428571429</v>
      </c>
      <c r="G9" s="16">
        <f>+E9-F9</f>
        <v>-16759.494285714289</v>
      </c>
      <c r="H9" s="15">
        <f>ABS(G9/F9)</f>
        <v>7.4797227854073431E-2</v>
      </c>
      <c r="I9" s="16">
        <f>E9/D9</f>
        <v>3.9651547377682568</v>
      </c>
      <c r="J9" s="16">
        <f>(15/7)*2</f>
        <v>4.2857142857142856</v>
      </c>
      <c r="K9" s="16">
        <f t="shared" si="0"/>
        <v>-0.32055954794602881</v>
      </c>
    </row>
    <row r="10" spans="2:12" x14ac:dyDescent="0.25">
      <c r="B10" s="16"/>
      <c r="C10" s="19" t="s">
        <v>17</v>
      </c>
      <c r="D10" s="24">
        <f>SUM(D6:D9)</f>
        <v>90730</v>
      </c>
      <c r="E10" s="20">
        <f>SUM(E6:E9)</f>
        <v>894899.04</v>
      </c>
      <c r="F10" s="20">
        <f>SUM(F6:F9)</f>
        <v>1551815.7142857143</v>
      </c>
      <c r="G10" s="20">
        <f>+E10-F10</f>
        <v>-656916.67428571428</v>
      </c>
      <c r="H10" s="21">
        <f>ABS(G10/F10)</f>
        <v>0.42332131852916999</v>
      </c>
      <c r="I10" s="20">
        <f>E10/D10</f>
        <v>9.8633201807560891</v>
      </c>
      <c r="J10" s="20">
        <f>F10/D10</f>
        <v>17.103667081293004</v>
      </c>
      <c r="K10" s="20">
        <f>I10-J10</f>
        <v>-7.240346900536915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2025-05-07T02:07:17Z</dcterms:modified>
</cp:coreProperties>
</file>