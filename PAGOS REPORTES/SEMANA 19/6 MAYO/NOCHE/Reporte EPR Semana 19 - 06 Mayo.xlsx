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6 MAYO\NOCHE\"/>
    </mc:Choice>
  </mc:AlternateContent>
  <xr:revisionPtr revIDLastSave="0" documentId="13_ncr:1_{4FC336F8-7183-4F67-8FEE-E3E00088BD17}" xr6:coauthVersionLast="47" xr6:coauthVersionMax="47" xr10:uidLastSave="{00000000-0000-0000-0000-000000000000}"/>
  <bookViews>
    <workbookView xWindow="29895" yWindow="15435" windowWidth="10005" windowHeight="5445" activeTab="2" xr2:uid="{4DC6C92A-CD8A-4966-829B-0B6A986E825B}"/>
  </bookViews>
  <sheets>
    <sheet name="REPORTE DIARIO" sheetId="1" r:id="rId1"/>
    <sheet name="DATA" sheetId="4" r:id="rId2"/>
    <sheet name="EPR 06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D56" i="1"/>
  <c r="D48" i="1"/>
  <c r="C48" i="1"/>
  <c r="C56" i="1"/>
  <c r="D19" i="1" l="1"/>
  <c r="C19" i="1"/>
  <c r="J9" i="3"/>
  <c r="J8" i="3"/>
  <c r="J7" i="3"/>
  <c r="D6" i="3"/>
  <c r="F6" i="3" s="1"/>
  <c r="D40" i="1"/>
  <c r="C40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<sst xmlns="http://schemas.openxmlformats.org/spreadsheetml/2006/main" count="87" uniqueCount="36">
  <si>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</si>
  <si>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</si>
  <si>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</si>
  <si>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</si>
  <si>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</si>
  <si>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</si>
  <si>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</si>
  <si>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</si>
  <si>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</si>
  <si>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</si>
  <si>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</si>
  <si>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</si>
  <si>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</si>
  <si>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</si>
  <si>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</si>
  <si>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</si>
  <si>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</si>
  <si>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</si>
  <si>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</si>
  <si>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</si>
  <si>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</si>
  <si>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</si>
  <si>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</si>
  <si>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</si>
  <si>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</si>
  <si>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</si>
  <si>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</si>
  <si>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</si>
  <si>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</si>
  <si>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</si>
  <si>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</si>
  <si>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</si>
  <si>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</si>
  <si>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COBRANZA 06 MAYO</t>
  </si>
  <si>
    <t>Zareth</t>
  </si>
  <si>
    <t>Fernando (Naucalpan)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</si>
</sst>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22" workbookViewId="0">
      <selection activeCell="C55" sqref="C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4292</v>
      </c>
      <c r="D5" s="25">
        <v>42085.599999999999</v>
      </c>
    </row>
    <row r="6" spans="2:8" x14ac:dyDescent="0.25">
      <c r="B6" s="1" t="s">
        <v>5</v>
      </c>
      <c r="C6" s="6">
        <v>4408</v>
      </c>
      <c r="D6" s="25">
        <v>8887</v>
      </c>
    </row>
    <row r="7" spans="2:8" x14ac:dyDescent="0.25">
      <c r="B7" s="1" t="s">
        <v>6</v>
      </c>
      <c r="C7" s="6">
        <v>6300</v>
      </c>
      <c r="D7" s="25">
        <v>34044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13527</v>
      </c>
      <c r="D9" s="25">
        <v>48904</v>
      </c>
    </row>
    <row r="10" spans="2:8" x14ac:dyDescent="0.25">
      <c r="B10" s="3" t="s">
        <v>8</v>
      </c>
      <c r="C10" s="8">
        <f>SUM(C5:C9)</f>
        <v>28537</v>
      </c>
      <c r="D10" s="4">
        <f>SUM(D5:D9)</f>
        <v>133920.6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1995</v>
      </c>
      <c r="D14" s="25">
        <v>20891</v>
      </c>
    </row>
    <row r="15" spans="2:8" x14ac:dyDescent="0.25">
      <c r="B15" s="1" t="s">
        <v>5</v>
      </c>
      <c r="C15" s="6">
        <v>1757</v>
      </c>
      <c r="D15" s="25">
        <v>6977</v>
      </c>
    </row>
    <row r="16" spans="2:8" x14ac:dyDescent="0.25">
      <c r="B16" s="1" t="s">
        <v>6</v>
      </c>
      <c r="C16" s="6">
        <v>3100</v>
      </c>
      <c r="D16" s="25">
        <v>5663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21729</v>
      </c>
      <c r="D18" s="25">
        <v>29219.4</v>
      </c>
    </row>
    <row r="19" spans="2:11" x14ac:dyDescent="0.25">
      <c r="B19" s="3" t="s">
        <v>8</v>
      </c>
      <c r="C19" s="8">
        <f>SUM(C14:C18)</f>
        <v>28583</v>
      </c>
      <c r="D19" s="4">
        <f>SUM(D14:D18)</f>
        <v>62750.400000000001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3764</v>
      </c>
      <c r="D23" s="25">
        <v>32804.69</v>
      </c>
    </row>
    <row r="24" spans="2:11" x14ac:dyDescent="0.25">
      <c r="B24" s="9" t="s">
        <v>5</v>
      </c>
      <c r="C24" s="6">
        <v>2127</v>
      </c>
      <c r="D24" s="25">
        <v>5741</v>
      </c>
    </row>
    <row r="25" spans="2:11" x14ac:dyDescent="0.25">
      <c r="B25" s="9" t="s">
        <v>6</v>
      </c>
      <c r="C25" s="6">
        <v>2196</v>
      </c>
      <c r="D25" s="25">
        <v>1596</v>
      </c>
    </row>
    <row r="26" spans="2:11" x14ac:dyDescent="0.25">
      <c r="B26" s="9" t="s">
        <v>7</v>
      </c>
      <c r="C26" s="6">
        <v>9654</v>
      </c>
      <c r="D26" s="25">
        <v>4426.8</v>
      </c>
      <c r="K26" s="7"/>
    </row>
    <row r="27" spans="2:11" x14ac:dyDescent="0.25">
      <c r="B27" s="10" t="s">
        <v>8</v>
      </c>
      <c r="C27" s="8">
        <f>SUM(C23:C26)</f>
        <v>17741</v>
      </c>
      <c r="D27" s="4">
        <f>SUM(D23:D26)</f>
        <v>44568.490000000005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316</v>
      </c>
      <c r="D31" s="25">
        <v>17606.87</v>
      </c>
    </row>
    <row r="32" spans="2:11" x14ac:dyDescent="0.25">
      <c r="B32" s="9" t="s">
        <v>5</v>
      </c>
      <c r="C32" s="6">
        <v>1407</v>
      </c>
      <c r="D32" s="25">
        <v>23548.620000000003</v>
      </c>
    </row>
    <row r="33" spans="2:4" x14ac:dyDescent="0.25">
      <c r="B33" s="9" t="s">
        <v>6</v>
      </c>
      <c r="C33" s="6">
        <v>2361</v>
      </c>
      <c r="D33" s="26">
        <v>0</v>
      </c>
    </row>
    <row r="34" spans="2:4" x14ac:dyDescent="0.25">
      <c r="B34" s="9" t="s">
        <v>7</v>
      </c>
      <c r="C34" s="6">
        <v>4259</v>
      </c>
      <c r="D34" s="26">
        <v>0</v>
      </c>
    </row>
    <row r="35" spans="2:4" x14ac:dyDescent="0.25">
      <c r="B35" s="10" t="s">
        <v>8</v>
      </c>
      <c r="C35" s="8">
        <f>SUM(C31:C34)</f>
        <v>8343</v>
      </c>
      <c r="D35" s="4">
        <f>SUM(D31:D34)</f>
        <v>41155.490000000005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2087</v>
      </c>
      <c r="D39" s="25">
        <v>10524</v>
      </c>
    </row>
    <row r="40" spans="2:4" x14ac:dyDescent="0.25">
      <c r="B40" s="10" t="s">
        <v>8</v>
      </c>
      <c r="C40" s="8">
        <f>SUM(C39:C39)</f>
        <v>2087</v>
      </c>
      <c r="D40" s="4">
        <f>SUM(D39:D39)</f>
        <v>10524</v>
      </c>
    </row>
    <row r="42" spans="2:4" x14ac:dyDescent="0.25">
      <c r="B42" s="27" t="s">
        <v>31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150</v>
      </c>
      <c r="D44" s="26">
        <v>0</v>
      </c>
    </row>
    <row r="45" spans="2:4" x14ac:dyDescent="0.25">
      <c r="B45" s="1" t="s">
        <v>5</v>
      </c>
      <c r="C45" s="6">
        <v>383</v>
      </c>
      <c r="D45" s="25">
        <v>1240</v>
      </c>
    </row>
    <row r="46" spans="2:4" x14ac:dyDescent="0.25">
      <c r="B46" s="1" t="s">
        <v>6</v>
      </c>
      <c r="C46" s="6">
        <v>722</v>
      </c>
      <c r="D46" s="25">
        <v>589</v>
      </c>
    </row>
    <row r="47" spans="2:4" x14ac:dyDescent="0.25">
      <c r="B47" s="1" t="s">
        <v>7</v>
      </c>
      <c r="C47" s="6">
        <v>1001</v>
      </c>
      <c r="D47" s="25">
        <v>1761</v>
      </c>
    </row>
    <row r="48" spans="2:4" x14ac:dyDescent="0.25">
      <c r="B48" s="3" t="s">
        <v>8</v>
      </c>
      <c r="C48" s="8">
        <f>SUM(C44:C47)</f>
        <v>2256</v>
      </c>
      <c r="D48" s="4">
        <f>SUM(D44:D47)</f>
        <v>3590</v>
      </c>
    </row>
    <row r="50" spans="2:4" x14ac:dyDescent="0.25">
      <c r="B50" s="27" t="s">
        <v>30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112</v>
      </c>
      <c r="D52" s="25">
        <v>210</v>
      </c>
    </row>
    <row r="53" spans="2:4" x14ac:dyDescent="0.25">
      <c r="B53" s="1" t="s">
        <v>5</v>
      </c>
      <c r="C53" s="6">
        <v>559</v>
      </c>
      <c r="D53" s="25">
        <v>1923</v>
      </c>
    </row>
    <row r="54" spans="2:4" x14ac:dyDescent="0.25">
      <c r="B54" s="1" t="s">
        <v>6</v>
      </c>
      <c r="C54" s="6">
        <v>412</v>
      </c>
      <c r="D54" s="26">
        <v>0</v>
      </c>
    </row>
    <row r="55" spans="2:4" x14ac:dyDescent="0.25">
      <c r="B55" s="1" t="s">
        <v>7</v>
      </c>
      <c r="C55" s="6">
        <v>2112</v>
      </c>
      <c r="D55" s="25">
        <v>1314</v>
      </c>
    </row>
    <row r="56" spans="2:4" x14ac:dyDescent="0.25">
      <c r="B56" s="3" t="s">
        <v>8</v>
      </c>
      <c r="C56" s="8">
        <f>SUM(C52:C55)</f>
        <v>3195</v>
      </c>
      <c r="D56" s="4">
        <f>SUM(D52:D55)</f>
        <v>3447</v>
      </c>
    </row>
    <row r="58" spans="2:4" x14ac:dyDescent="0.25">
      <c r="B58" s="11" t="s">
        <v>13</v>
      </c>
      <c r="C58" s="12">
        <f>SUM(C10+C35+C27+C40+C19+C56+C48)</f>
        <v>90742</v>
      </c>
      <c r="D58" s="12">
        <f>SUM(D10+D35+D27+D40+D19+D56+D48)</f>
        <v>299955.98000000004</v>
      </c>
    </row>
  </sheetData>
  <mergeCells count="7">
    <mergeCell ref="B42:D42"/>
    <mergeCell ref="B3:D3"/>
    <mergeCell ref="B29:D29"/>
    <mergeCell ref="B37:D37"/>
    <mergeCell ref="B50:D50"/>
    <mergeCell ref="B12:D12"/>
    <mergeCell ref="B21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C12" sqref="C12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33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34</v>
      </c>
      <c r="C6" s="1" t="s">
        <v>4</v>
      </c>
      <c r="D6" s="22">
        <f>SUMIF('REPORTE DIARIO'!B:B,'EPR 06 MAYO'!C6, 'REPORTE DIARIO'!C:C)</f>
        <v>12716</v>
      </c>
      <c r="E6" s="15">
        <f>SUMIF('REPORTE DIARIO'!B:B,'EPR 06 MAYO'!C6, 'REPORTE DIARIO'!D:D)</f>
        <v>124122.16</v>
      </c>
      <c r="F6" s="15">
        <f>J6*D6</f>
        <v>399645.71428571426</v>
      </c>
      <c r="G6" s="15">
        <f>+E6-F6</f>
        <v>-275523.55428571429</v>
      </c>
      <c r="H6" s="14">
        <f>ABS(G6/F6)</f>
        <v>0.68941951442706406</v>
      </c>
      <c r="I6" s="15">
        <f>E6/D6</f>
        <v>9.761100975149418</v>
      </c>
      <c r="J6" s="15">
        <f>220/7</f>
        <v>31.428571428571427</v>
      </c>
      <c r="K6" s="15">
        <f>+I6-J6</f>
        <v>-21.667470453422009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06 MAYO'!C7, 'REPORTE DIARIO'!C:C)</f>
        <v>10641</v>
      </c>
      <c r="E7" s="15">
        <f>SUMIF('REPORTE DIARIO'!B:B,'EPR 06 MAYO'!C7, 'REPORTE DIARIO'!D:D)</f>
        <v>48316.62</v>
      </c>
      <c r="F7" s="15">
        <f>J7*D7</f>
        <v>167215.71428571429</v>
      </c>
      <c r="G7" s="15">
        <f>+E7-F7</f>
        <v>-118899.09428571429</v>
      </c>
      <c r="H7" s="14">
        <f>ABS(G7/F7)</f>
        <v>0.71105215675218503</v>
      </c>
      <c r="I7" s="15">
        <f>E7/D7</f>
        <v>4.5406089653228081</v>
      </c>
      <c r="J7" s="15">
        <f>110/7</f>
        <v>15.714285714285714</v>
      </c>
      <c r="K7" s="15">
        <f t="shared" ref="K7:K9" si="0">+I7-J7</f>
        <v>-11.173676748962905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06 MAYO'!C8, 'REPORTE DIARIO'!C:C)</f>
        <v>15091</v>
      </c>
      <c r="E8" s="15">
        <f>SUMIF('REPORTE DIARIO'!B:B,'EPR 06 MAYO'!C8, 'REPORTE DIARIO'!D:D)</f>
        <v>41892</v>
      </c>
      <c r="F8" s="15">
        <f>J8*D8</f>
        <v>97013.571428571435</v>
      </c>
      <c r="G8" s="15">
        <f>+E8-F8</f>
        <v>-55121.571428571435</v>
      </c>
      <c r="H8" s="14">
        <f>ABS(G8/F8)</f>
        <v>0.56818412740485502</v>
      </c>
      <c r="I8" s="15">
        <f>E8/D8</f>
        <v>2.7759591809687891</v>
      </c>
      <c r="J8" s="15">
        <f>45/7</f>
        <v>6.4285714285714288</v>
      </c>
      <c r="K8" s="15">
        <f t="shared" si="0"/>
        <v>-3.6526122476026397</v>
      </c>
      <c r="L8" s="14"/>
    </row>
    <row r="9" spans="2:12" x14ac:dyDescent="0.25">
      <c r="B9" s="15" t="s">
        <v>35</v>
      </c>
      <c r="C9" s="1" t="s">
        <v>7</v>
      </c>
      <c r="D9" s="22">
        <f>SUMIF('REPORTE DIARIO'!B:B,'EPR 06 MAYO'!C9, 'REPORTE DIARIO'!C:C)</f>
        <v>52282</v>
      </c>
      <c r="E9" s="15">
        <f>SUMIF('REPORTE DIARIO'!B:B,'EPR 06 MAYO'!C9, 'REPORTE DIARIO'!D:D)</f>
        <v>85625.2</v>
      </c>
      <c r="F9" s="15">
        <f>J9*D9</f>
        <v>112032.85714285714</v>
      </c>
      <c r="G9" s="15">
        <f>+E9-F9</f>
        <v>-26407.657142857148</v>
      </c>
      <c r="H9" s="14">
        <f>ABS(G9/F9)</f>
        <v>0.235713502416383</v>
      </c>
      <c r="I9" s="15">
        <f>E9/D9</f>
        <v>1.6377567805363222</v>
      </c>
      <c r="J9" s="15">
        <f>15/7</f>
        <v>2.1428571428571428</v>
      </c>
      <c r="K9" s="15">
        <f t="shared" si="0"/>
        <v>-0.50510036232082056</v>
      </c>
    </row>
    <row r="10" spans="2:12" x14ac:dyDescent="0.25">
      <c r="B10" s="15"/>
      <c r="C10" s="18" t="s">
        <v>16</v>
      </c>
      <c r="D10" s="23">
        <f>SUM(D6:D9)</f>
        <v>90730</v>
      </c>
      <c r="E10" s="19">
        <f>SUM(E6:E9)</f>
        <v>299955.98</v>
      </c>
      <c r="F10" s="19">
        <f>SUM(F6:F9)</f>
        <v>775907.85714285716</v>
      </c>
      <c r="G10" s="19">
        <f>+E10-F10</f>
        <v>-475951.87714285718</v>
      </c>
      <c r="H10" s="20">
        <f>ABS(G10/F10)</f>
        <v>0.61341288499831081</v>
      </c>
      <c r="I10" s="19">
        <f>E10/D10</f>
        <v>3.3060286564532126</v>
      </c>
      <c r="J10" s="19">
        <f>F10/D10</f>
        <v>8.551833540646502</v>
      </c>
      <c r="K10" s="19">
        <f>I10-J10</f>
        <v>-5.2458048841932889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06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2025-05-07T02:02:57Z</dcterms:modified>
</cp:coreProperties>
</file>