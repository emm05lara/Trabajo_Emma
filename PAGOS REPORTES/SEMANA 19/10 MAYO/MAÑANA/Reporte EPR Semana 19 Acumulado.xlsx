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10 MAYO\MAÑANA\"/>
    </mc:Choice>
  </mc:AlternateContent>
  <xr:revisionPtr revIDLastSave="0" documentId="13_ncr:1_{85E3A09D-42EA-4F22-AD0B-89B9E999C2A2}" xr6:coauthVersionLast="47" xr6:coauthVersionMax="47" xr10:uidLastSave="{00000000-0000-0000-0000-000000000000}"/>
  <bookViews>
    <workbookView xWindow="12660" yWindow="12660" windowWidth="10005" windowHeight="5445" activeTab="2" xr2:uid="{4DC6C92A-CD8A-4966-829B-0B6A986E825B}"/>
  </bookViews>
  <sheets>
    <sheet name="REPORTE DIARIO" sheetId="1" r:id="rId1"/>
    <sheet name="DATA" sheetId="4" r:id="rId2"/>
    <sheet name="EPR 10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3" l="1"/>
  <c r="J9" i="3"/>
  <c r="J8" i="3"/>
  <c r="J7" i="3"/>
  <c r="J6" i="3"/>
  <c r="D6" i="3"/>
  <c r="D43" i="1"/>
  <c r="C43" i="1"/>
  <c r="D51" i="1"/>
  <c r="C51" i="1"/>
  <c r="D27" i="1"/>
  <c r="C27" i="1"/>
  <c r="D56" i="1" l="1"/>
  <c r="C56" i="1"/>
  <c r="D35" i="1"/>
  <c r="C35" i="1"/>
  <c r="D18" i="1"/>
  <c r="C18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<sst xmlns="http://schemas.openxmlformats.org/spreadsheetml/2006/main" count="88" uniqueCount="37">
  <si>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</si>
  <si>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</si>
  <si>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</si>
  <si>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</si>
  <si>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</si>
  <si>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</si>
  <si>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</si>
  <si>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</si>
  <si>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</si>
  <si>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</si>
  <si>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</si>
  <si>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</si>
  <si>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</si>
  <si>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</si>
  <si>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</si>
  <si>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</si>
  <si>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</si>
  <si>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</si>
  <si>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</si>
  <si>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</si>
  <si>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</si>
  <si>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</si>
  <si>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</si>
  <si>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</si>
  <si>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</si>
  <si>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</si>
  <si>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</si>
  <si>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</si>
  <si>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</si>
  <si>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</si>
  <si>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</si>
  <si>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</si>
  <si>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</si>
  <si>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</si>
  <si>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19</t>
  </si>
  <si>
    <t>Zareth</t>
  </si>
  <si>
    <t>Fernando (Naucalpan)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</si>
</sst>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zoomScaleNormal="100" workbookViewId="0">
      <selection activeCell="B3" sqref="B3:D5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4198</v>
      </c>
      <c r="D5" s="25">
        <v>476720.76</v>
      </c>
    </row>
    <row r="6" spans="2:8" x14ac:dyDescent="0.25">
      <c r="B6" s="1" t="s">
        <v>5</v>
      </c>
      <c r="C6" s="6">
        <v>4264</v>
      </c>
      <c r="D6" s="25">
        <v>203941.39</v>
      </c>
    </row>
    <row r="7" spans="2:8" x14ac:dyDescent="0.25">
      <c r="B7" s="1" t="s">
        <v>6</v>
      </c>
      <c r="C7" s="6">
        <v>6004</v>
      </c>
      <c r="D7" s="25">
        <v>207794.62</v>
      </c>
    </row>
    <row r="8" spans="2:8" x14ac:dyDescent="0.25">
      <c r="B8" s="5" t="s">
        <v>12</v>
      </c>
      <c r="C8" s="7">
        <v>10</v>
      </c>
      <c r="D8" s="26">
        <v>0</v>
      </c>
    </row>
    <row r="9" spans="2:8" x14ac:dyDescent="0.25">
      <c r="B9" s="1" t="s">
        <v>7</v>
      </c>
      <c r="C9" s="6">
        <v>13280</v>
      </c>
      <c r="D9" s="25">
        <v>276870.59999999998</v>
      </c>
      <c r="E9" s="14"/>
      <c r="F9" s="7"/>
    </row>
    <row r="10" spans="2:8" x14ac:dyDescent="0.25">
      <c r="B10" s="3" t="s">
        <v>8</v>
      </c>
      <c r="C10" s="8">
        <f>SUM(C5:C9)</f>
        <v>27756</v>
      </c>
      <c r="D10" s="4">
        <f>SUM(D5:D9)</f>
        <v>1165327.3700000001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3657</v>
      </c>
      <c r="D14" s="25">
        <v>284286.78000000003</v>
      </c>
    </row>
    <row r="15" spans="2:8" x14ac:dyDescent="0.25">
      <c r="B15" s="9" t="s">
        <v>5</v>
      </c>
      <c r="C15" s="6">
        <v>1960</v>
      </c>
      <c r="D15" s="25">
        <v>89919.999999999985</v>
      </c>
    </row>
    <row r="16" spans="2:8" x14ac:dyDescent="0.25">
      <c r="B16" s="9" t="s">
        <v>6</v>
      </c>
      <c r="C16" s="6">
        <v>2221</v>
      </c>
      <c r="D16" s="25">
        <v>27044.48</v>
      </c>
    </row>
    <row r="17" spans="2:11" x14ac:dyDescent="0.25">
      <c r="B17" s="9" t="s">
        <v>7</v>
      </c>
      <c r="C17" s="6">
        <v>9811</v>
      </c>
      <c r="D17" s="25">
        <v>72756.800000000003</v>
      </c>
    </row>
    <row r="18" spans="2:11" x14ac:dyDescent="0.25">
      <c r="B18" s="10" t="s">
        <v>8</v>
      </c>
      <c r="C18" s="8">
        <f>SUM(C14:C17)</f>
        <v>17649</v>
      </c>
      <c r="D18" s="4">
        <f>SUM(D14:D17)</f>
        <v>474008.06</v>
      </c>
    </row>
    <row r="20" spans="2:11" x14ac:dyDescent="0.25">
      <c r="B20" s="28" t="s">
        <v>30</v>
      </c>
      <c r="C20" s="28"/>
      <c r="D20" s="28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1927</v>
      </c>
      <c r="D22" s="25">
        <v>159942.34</v>
      </c>
    </row>
    <row r="23" spans="2:11" x14ac:dyDescent="0.25">
      <c r="B23" s="1" t="s">
        <v>5</v>
      </c>
      <c r="C23" s="6">
        <v>1802</v>
      </c>
      <c r="D23" s="25">
        <v>58207</v>
      </c>
    </row>
    <row r="24" spans="2:11" x14ac:dyDescent="0.25">
      <c r="B24" s="1" t="s">
        <v>6</v>
      </c>
      <c r="C24" s="6">
        <v>3081</v>
      </c>
      <c r="D24" s="25">
        <v>92828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20762</v>
      </c>
      <c r="D26" s="25">
        <v>127170.04000000001</v>
      </c>
    </row>
    <row r="27" spans="2:11" x14ac:dyDescent="0.25">
      <c r="B27" s="3" t="s">
        <v>8</v>
      </c>
      <c r="C27" s="8">
        <f>SUM(C22:C26)</f>
        <v>27574</v>
      </c>
      <c r="D27" s="4">
        <f>SUM(D22:D26)</f>
        <v>438147.38</v>
      </c>
      <c r="K27" s="7"/>
    </row>
    <row r="29" spans="2:11" x14ac:dyDescent="0.25">
      <c r="B29" s="28" t="s">
        <v>9</v>
      </c>
      <c r="C29" s="28"/>
      <c r="D29" s="28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292</v>
      </c>
      <c r="D31" s="25">
        <v>48125.969999999994</v>
      </c>
    </row>
    <row r="32" spans="2:11" x14ac:dyDescent="0.25">
      <c r="B32" s="9" t="s">
        <v>5</v>
      </c>
      <c r="C32" s="6">
        <v>1538</v>
      </c>
      <c r="D32" s="25">
        <v>92761.99000000002</v>
      </c>
    </row>
    <row r="33" spans="2:4" x14ac:dyDescent="0.25">
      <c r="B33" s="9" t="s">
        <v>6</v>
      </c>
      <c r="C33" s="6">
        <v>2249</v>
      </c>
      <c r="D33" s="25">
        <v>34268.99</v>
      </c>
    </row>
    <row r="34" spans="2:4" x14ac:dyDescent="0.25">
      <c r="B34" s="9" t="s">
        <v>7</v>
      </c>
      <c r="C34" s="6">
        <v>4229</v>
      </c>
      <c r="D34" s="25">
        <v>3238</v>
      </c>
    </row>
    <row r="35" spans="2:4" x14ac:dyDescent="0.25">
      <c r="B35" s="10" t="s">
        <v>8</v>
      </c>
      <c r="C35" s="8">
        <f>SUM(C31:C34)</f>
        <v>8308</v>
      </c>
      <c r="D35" s="4">
        <f>SUM(D31:D34)</f>
        <v>178394.95</v>
      </c>
    </row>
    <row r="37" spans="2:4" x14ac:dyDescent="0.25">
      <c r="B37" s="28" t="s">
        <v>32</v>
      </c>
      <c r="C37" s="28"/>
      <c r="D37" s="28"/>
    </row>
    <row r="38" spans="2:4" x14ac:dyDescent="0.25">
      <c r="B38" s="2" t="s">
        <v>1</v>
      </c>
      <c r="C38" s="2" t="s">
        <v>2</v>
      </c>
      <c r="D38" s="2" t="s">
        <v>3</v>
      </c>
    </row>
    <row r="39" spans="2:4" x14ac:dyDescent="0.25">
      <c r="B39" s="9" t="s">
        <v>4</v>
      </c>
      <c r="C39" s="6">
        <v>150</v>
      </c>
      <c r="D39" s="25">
        <v>14872</v>
      </c>
    </row>
    <row r="40" spans="2:4" x14ac:dyDescent="0.25">
      <c r="B40" s="1" t="s">
        <v>5</v>
      </c>
      <c r="C40" s="6">
        <v>445</v>
      </c>
      <c r="D40" s="25">
        <v>76054</v>
      </c>
    </row>
    <row r="41" spans="2:4" x14ac:dyDescent="0.25">
      <c r="B41" s="1" t="s">
        <v>6</v>
      </c>
      <c r="C41" s="6">
        <v>781</v>
      </c>
      <c r="D41" s="25">
        <v>1589</v>
      </c>
    </row>
    <row r="42" spans="2:4" x14ac:dyDescent="0.25">
      <c r="B42" s="1" t="s">
        <v>7</v>
      </c>
      <c r="C42" s="6">
        <v>1034</v>
      </c>
      <c r="D42" s="25">
        <v>3261</v>
      </c>
    </row>
    <row r="43" spans="2:4" x14ac:dyDescent="0.25">
      <c r="B43" s="3" t="s">
        <v>8</v>
      </c>
      <c r="C43" s="8">
        <f>SUM(C39:C42)</f>
        <v>2410</v>
      </c>
      <c r="D43" s="4">
        <f>SUM(D39:D42)</f>
        <v>95776</v>
      </c>
    </row>
    <row r="45" spans="2:4" x14ac:dyDescent="0.25">
      <c r="B45" s="28" t="s">
        <v>31</v>
      </c>
      <c r="C45" s="28"/>
      <c r="D45" s="28"/>
    </row>
    <row r="46" spans="2:4" x14ac:dyDescent="0.25">
      <c r="B46" s="2" t="s">
        <v>1</v>
      </c>
      <c r="C46" s="2" t="s">
        <v>2</v>
      </c>
      <c r="D46" s="2" t="s">
        <v>3</v>
      </c>
    </row>
    <row r="47" spans="2:4" x14ac:dyDescent="0.25">
      <c r="B47" s="9" t="s">
        <v>4</v>
      </c>
      <c r="C47" s="6">
        <v>110</v>
      </c>
      <c r="D47" s="25">
        <v>2323</v>
      </c>
    </row>
    <row r="48" spans="2:4" x14ac:dyDescent="0.25">
      <c r="B48" s="1" t="s">
        <v>5</v>
      </c>
      <c r="C48" s="6">
        <v>621</v>
      </c>
      <c r="D48" s="25">
        <v>3423</v>
      </c>
    </row>
    <row r="49" spans="2:4" x14ac:dyDescent="0.25">
      <c r="B49" s="1" t="s">
        <v>6</v>
      </c>
      <c r="C49" s="6">
        <v>470</v>
      </c>
      <c r="D49" s="25">
        <v>1320</v>
      </c>
    </row>
    <row r="50" spans="2:4" x14ac:dyDescent="0.25">
      <c r="B50" s="1" t="s">
        <v>7</v>
      </c>
      <c r="C50" s="6">
        <v>2127</v>
      </c>
      <c r="D50" s="25">
        <v>28974</v>
      </c>
    </row>
    <row r="51" spans="2:4" x14ac:dyDescent="0.25">
      <c r="B51" s="3" t="s">
        <v>8</v>
      </c>
      <c r="C51" s="8">
        <f>SUM(C47:C50)</f>
        <v>3328</v>
      </c>
      <c r="D51" s="4">
        <f>SUM(D47:D50)</f>
        <v>36040</v>
      </c>
    </row>
    <row r="53" spans="2:4" x14ac:dyDescent="0.25">
      <c r="B53" s="27" t="s">
        <v>11</v>
      </c>
      <c r="C53" s="27"/>
      <c r="D53" s="27"/>
    </row>
    <row r="54" spans="2:4" x14ac:dyDescent="0.25">
      <c r="B54" s="4" t="s">
        <v>1</v>
      </c>
      <c r="C54" s="4" t="s">
        <v>2</v>
      </c>
      <c r="D54" s="4" t="s">
        <v>3</v>
      </c>
    </row>
    <row r="55" spans="2:4" x14ac:dyDescent="0.25">
      <c r="B55" s="9" t="s">
        <v>4</v>
      </c>
      <c r="C55" s="6">
        <v>2005</v>
      </c>
      <c r="D55" s="25">
        <v>27214</v>
      </c>
    </row>
    <row r="56" spans="2:4" x14ac:dyDescent="0.25">
      <c r="B56" s="10" t="s">
        <v>8</v>
      </c>
      <c r="C56" s="8">
        <f>SUM(C55:C55)</f>
        <v>2005</v>
      </c>
      <c r="D56" s="4">
        <f>SUM(D55:D55)</f>
        <v>27214</v>
      </c>
    </row>
    <row r="58" spans="2:4" x14ac:dyDescent="0.25">
      <c r="B58" s="12" t="s">
        <v>13</v>
      </c>
      <c r="C58" s="13">
        <f>SUM(C10+C18+C35+C56+C27+C51+C43)</f>
        <v>89030</v>
      </c>
      <c r="D58" s="13">
        <f>SUM(D10+D18+D35+D56+D27+D51+D43)</f>
        <v>2414907.7600000002</v>
      </c>
    </row>
  </sheetData>
  <mergeCells count="7">
    <mergeCell ref="B53:D53"/>
    <mergeCell ref="B37:D37"/>
    <mergeCell ref="B20:D20"/>
    <mergeCell ref="B45:D45"/>
    <mergeCell ref="B3:D3"/>
    <mergeCell ref="B12:D12"/>
    <mergeCell ref="B29:D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2" sqref="B2:K14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35</v>
      </c>
      <c r="C6" s="16" t="s">
        <v>4</v>
      </c>
      <c r="D6" s="23">
        <f>SUMIF('REPORTE DIARIO'!B:B,'EPR 10 MAYO'!C6, 'REPORTE DIARIO'!C:C)</f>
        <v>12339</v>
      </c>
      <c r="E6" s="16">
        <f>SUMIF('REPORTE DIARIO'!B:B,'EPR 10 MAYO'!C6, 'REPORTE DIARIO'!D:D)</f>
        <v>1013484.85</v>
      </c>
      <c r="F6" s="16">
        <f>J6*D6</f>
        <v>2326782.8571428568</v>
      </c>
      <c r="G6" s="16">
        <f>+E6-F6</f>
        <v>-1313298.0071428567</v>
      </c>
      <c r="H6" s="15">
        <f>ABS(G6/F6)</f>
        <v>0.56442654419222604</v>
      </c>
      <c r="I6" s="16">
        <f>E6/D6</f>
        <v>82.136708809465915</v>
      </c>
      <c r="J6" s="16">
        <f>(220/7)*6</f>
        <v>188.57142857142856</v>
      </c>
      <c r="K6" s="16">
        <f>+I6-J6</f>
        <v>-106.43471976196264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10 MAYO'!C7, 'REPORTE DIARIO'!C:C)</f>
        <v>10630</v>
      </c>
      <c r="E7" s="16">
        <f>SUMIF('REPORTE DIARIO'!B:B,'EPR 10 MAYO'!C7, 'REPORTE DIARIO'!D:D)</f>
        <v>524307.38</v>
      </c>
      <c r="F7" s="16">
        <f>J7*D7</f>
        <v>1002257.1428571427</v>
      </c>
      <c r="G7" s="16">
        <f>+E7-F7</f>
        <v>-477949.76285714272</v>
      </c>
      <c r="H7" s="15">
        <f>ABS(G7/F7)</f>
        <v>0.47687339148778463</v>
      </c>
      <c r="I7" s="16">
        <f>E7/D7</f>
        <v>49.323365945437445</v>
      </c>
      <c r="J7" s="16">
        <f>(110/7)*6</f>
        <v>94.285714285714278</v>
      </c>
      <c r="K7" s="16">
        <f t="shared" ref="K7:K9" si="0">+I7-J7</f>
        <v>-44.962348340276833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10 MAYO'!C8, 'REPORTE DIARIO'!C:C)</f>
        <v>14806</v>
      </c>
      <c r="E8" s="16">
        <f>SUMIF('REPORTE DIARIO'!B:B,'EPR 10 MAYO'!C8, 'REPORTE DIARIO'!D:D)</f>
        <v>364845.08999999997</v>
      </c>
      <c r="F8" s="16">
        <f>J8*D8</f>
        <v>571088.57142857136</v>
      </c>
      <c r="G8" s="16">
        <f>+E8-F8</f>
        <v>-206243.48142857139</v>
      </c>
      <c r="H8" s="15">
        <f>ABS(G8/F8)</f>
        <v>0.36114097137796985</v>
      </c>
      <c r="I8" s="16">
        <f>E8/D8</f>
        <v>24.641705389706875</v>
      </c>
      <c r="J8" s="16">
        <f>(45/7)*6</f>
        <v>38.571428571428569</v>
      </c>
      <c r="K8" s="16">
        <f t="shared" si="0"/>
        <v>-13.929723181721695</v>
      </c>
      <c r="L8" s="15"/>
    </row>
    <row r="9" spans="2:12" x14ac:dyDescent="0.25">
      <c r="B9" s="16" t="s">
        <v>36</v>
      </c>
      <c r="C9" s="16" t="s">
        <v>7</v>
      </c>
      <c r="D9" s="23">
        <f>SUMIF('REPORTE DIARIO'!B:B,'EPR 10 MAYO'!C9, 'REPORTE DIARIO'!C:C)</f>
        <v>51243</v>
      </c>
      <c r="E9" s="16">
        <f>SUMIF('REPORTE DIARIO'!B:B,'EPR 10 MAYO'!C9, 'REPORTE DIARIO'!D:D)</f>
        <v>512270.43999999994</v>
      </c>
      <c r="F9" s="16">
        <f>J9*D9</f>
        <v>658838.57142857148</v>
      </c>
      <c r="G9" s="16">
        <f>+E9-F9</f>
        <v>-146568.13142857153</v>
      </c>
      <c r="H9" s="15">
        <f>ABS(G9/F9)</f>
        <v>0.2224644059784861</v>
      </c>
      <c r="I9" s="16">
        <f>E9/D9</f>
        <v>9.9968862088480375</v>
      </c>
      <c r="J9" s="16">
        <f>(15/7)*6</f>
        <v>12.857142857142858</v>
      </c>
      <c r="K9" s="16">
        <f t="shared" si="0"/>
        <v>-2.8602566482948202</v>
      </c>
    </row>
    <row r="10" spans="2:12" x14ac:dyDescent="0.25">
      <c r="B10" s="16"/>
      <c r="C10" s="19" t="s">
        <v>17</v>
      </c>
      <c r="D10" s="24">
        <f>SUM(D6:D9)</f>
        <v>89018</v>
      </c>
      <c r="E10" s="20">
        <f>SUM(E6:E9)</f>
        <v>2414907.7599999998</v>
      </c>
      <c r="F10" s="20">
        <f>SUM(F6:F9)</f>
        <v>4558967.1428571427</v>
      </c>
      <c r="G10" s="20">
        <f>+E10-F10</f>
        <v>-2144059.3828571429</v>
      </c>
      <c r="H10" s="21">
        <f>ABS(G10/F10)</f>
        <v>0.47029498473495096</v>
      </c>
      <c r="I10" s="20">
        <f>E10/D10</f>
        <v>27.128308432002513</v>
      </c>
      <c r="J10" s="20">
        <f>F10/D10</f>
        <v>51.213992033713886</v>
      </c>
      <c r="K10" s="20">
        <f>I10-J10</f>
        <v>-24.085683601711374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10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2025-05-10T15:57:06Z</dcterms:modified>
</cp:coreProperties>
</file>