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19\10 MAYO\NOCHE\"/>
    </mc:Choice>
  </mc:AlternateContent>
  <xr:revisionPtr revIDLastSave="0" documentId="13_ncr:1_{9AB83F87-E958-4BB4-A8B9-4187BE28F7BD}" xr6:coauthVersionLast="47" xr6:coauthVersionMax="47" xr10:uidLastSave="{00000000-0000-0000-0000-000000000000}"/>
  <bookViews>
    <workbookView xWindow="-120" yWindow="-120" windowWidth="51840" windowHeight="21120" activeTab="2" xr2:uid="{4DC6C92A-CD8A-4966-829B-0B6A986E825B}"/>
  </bookViews>
  <sheets>
    <sheet name="REPORTE DIARIO" sheetId="1" r:id="rId1"/>
    <sheet name="DATA" sheetId="4" r:id="rId2"/>
    <sheet name="EPR 10 MAYO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3" l="1"/>
  <c r="D43" i="1"/>
  <c r="D56" i="1"/>
  <c r="C56" i="1"/>
  <c r="C43" i="1"/>
  <c r="D27" i="1" l="1"/>
  <c r="C27" i="1"/>
  <c r="J9" i="3"/>
  <c r="J8" i="3"/>
  <c r="J7" i="3"/>
  <c r="D6" i="3"/>
  <c r="F6" i="3" s="1"/>
  <c r="D48" i="1"/>
  <c r="C48" i="1"/>
  <c r="D18" i="1"/>
  <c r="C18" i="1"/>
  <c r="D35" i="1"/>
  <c r="C35" i="1"/>
  <c r="D10" i="1"/>
  <c r="C10" i="1"/>
  <c r="E7" i="3"/>
  <c r="E8" i="3"/>
  <c r="E9" i="3"/>
  <c r="E6" i="3"/>
  <c r="D7" i="3"/>
  <c r="F7" i="3" s="1"/>
  <c r="D8" i="3"/>
  <c r="F8" i="3" s="1"/>
  <c r="D9" i="3"/>
  <c r="F9" i="3" s="1"/>
  <c r="C58" i="1" l="1"/>
  <c r="D58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<sst xmlns="http://schemas.openxmlformats.org/spreadsheetml/2006/main" count="87" uniqueCount="36">
  <si>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</si>
  <si>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</si>
  <si>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</si>
  <si>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</si>
  <si>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</si>
  <si>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</si>
  <si>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</si>
  <si>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</si>
  <si>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</si>
  <si>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</si>
  <si>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</si>
  <si>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</si>
  <si>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</si>
  <si>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</si>
  <si>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</si>
  <si>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</si>
  <si>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</si>
  <si>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</si>
  <si>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</si>
  <si>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</si>
  <si>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</si>
  <si>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</si>
  <si>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</si>
  <si>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</si>
  <si>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</si>
  <si>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</si>
  <si>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</si>
  <si>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</si>
  <si>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</si>
  <si>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SAMANTHA 2</t>
  </si>
  <si>
    <t>COBRANZA GENERAL  FEDERICO</t>
  </si>
  <si>
    <t>COBRANZA GENERAL  OLGUIN</t>
  </si>
  <si>
    <t>Samantha, Samantha 2, Sofia, Edith, Fernando, Olguin y Federico</t>
  </si>
  <si>
    <t>Zareth</t>
  </si>
  <si>
    <t>Fernando (Naucalpan)</t>
  </si>
  <si>
    <t>COBRANZA 10 MAYO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</si>
</sst>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3" fontId="0" fillId="0" borderId="0" xfId="0" applyNumberFormat="1"/>
    <xf numFmtId="4" fontId="0" fillId="0" borderId="2" xfId="0" applyNumberFormat="1" applyBorder="1"/>
    <xf numFmtId="43" fontId="0" fillId="0" borderId="2" xfId="0" applyNumberFormat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K58"/>
  <sheetViews>
    <sheetView showGridLines="0" topLeftCell="A10" workbookViewId="0">
      <selection activeCell="D21" sqref="D21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7" t="s">
        <v>0</v>
      </c>
      <c r="C3" s="27"/>
      <c r="D3" s="27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4231</v>
      </c>
      <c r="D5" s="25">
        <v>63117.56</v>
      </c>
    </row>
    <row r="6" spans="2:8" x14ac:dyDescent="0.25">
      <c r="B6" s="1" t="s">
        <v>5</v>
      </c>
      <c r="C6" s="6">
        <v>4628</v>
      </c>
      <c r="D6" s="25">
        <v>104329.64000000001</v>
      </c>
    </row>
    <row r="7" spans="2:8" x14ac:dyDescent="0.25">
      <c r="B7" s="1" t="s">
        <v>6</v>
      </c>
      <c r="C7" s="6">
        <v>6021</v>
      </c>
      <c r="D7" s="25">
        <v>38809</v>
      </c>
    </row>
    <row r="8" spans="2:8" x14ac:dyDescent="0.25">
      <c r="B8" s="5" t="s">
        <v>12</v>
      </c>
      <c r="C8" s="7">
        <v>10</v>
      </c>
      <c r="D8" s="26">
        <v>0</v>
      </c>
    </row>
    <row r="9" spans="2:8" x14ac:dyDescent="0.25">
      <c r="B9" s="1" t="s">
        <v>7</v>
      </c>
      <c r="C9" s="6">
        <v>13301</v>
      </c>
      <c r="D9" s="25">
        <v>66311</v>
      </c>
    </row>
    <row r="10" spans="2:8" x14ac:dyDescent="0.25">
      <c r="B10" s="3" t="s">
        <v>8</v>
      </c>
      <c r="C10" s="8">
        <f>SUM(C5:C9)</f>
        <v>28191</v>
      </c>
      <c r="D10" s="4">
        <f>SUM(D5:D9)</f>
        <v>272567.2</v>
      </c>
    </row>
    <row r="12" spans="2:8" x14ac:dyDescent="0.25">
      <c r="B12" s="28" t="s">
        <v>10</v>
      </c>
      <c r="C12" s="28"/>
      <c r="D12" s="28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6">
        <v>3715</v>
      </c>
      <c r="D14" s="25">
        <v>32761.39</v>
      </c>
    </row>
    <row r="15" spans="2:8" x14ac:dyDescent="0.25">
      <c r="B15" s="9" t="s">
        <v>5</v>
      </c>
      <c r="C15" s="6">
        <v>1960</v>
      </c>
      <c r="D15" s="25">
        <v>38074</v>
      </c>
    </row>
    <row r="16" spans="2:8" x14ac:dyDescent="0.25">
      <c r="B16" s="9" t="s">
        <v>6</v>
      </c>
      <c r="C16" s="6">
        <v>2230</v>
      </c>
      <c r="D16" s="25">
        <v>8148</v>
      </c>
    </row>
    <row r="17" spans="2:11" x14ac:dyDescent="0.25">
      <c r="B17" s="9" t="s">
        <v>7</v>
      </c>
      <c r="C17" s="6">
        <v>9823</v>
      </c>
      <c r="D17" s="25">
        <v>10393</v>
      </c>
    </row>
    <row r="18" spans="2:11" x14ac:dyDescent="0.25">
      <c r="B18" s="10" t="s">
        <v>8</v>
      </c>
      <c r="C18" s="8">
        <f>SUM(C14:C17)</f>
        <v>17728</v>
      </c>
      <c r="D18" s="4">
        <f>SUM(D14:D17)</f>
        <v>89376.39</v>
      </c>
    </row>
    <row r="20" spans="2:11" x14ac:dyDescent="0.25">
      <c r="B20" s="27" t="s">
        <v>29</v>
      </c>
      <c r="C20" s="27"/>
      <c r="D20" s="27"/>
    </row>
    <row r="21" spans="2:11" x14ac:dyDescent="0.25">
      <c r="B21" s="2" t="s">
        <v>1</v>
      </c>
      <c r="C21" s="2" t="s">
        <v>2</v>
      </c>
      <c r="D21" s="2" t="s">
        <v>3</v>
      </c>
    </row>
    <row r="22" spans="2:11" x14ac:dyDescent="0.25">
      <c r="B22" s="1" t="s">
        <v>4</v>
      </c>
      <c r="C22" s="6">
        <v>1947</v>
      </c>
      <c r="D22" s="25">
        <v>23162</v>
      </c>
    </row>
    <row r="23" spans="2:11" x14ac:dyDescent="0.25">
      <c r="B23" s="1" t="s">
        <v>5</v>
      </c>
      <c r="C23" s="6">
        <v>1803</v>
      </c>
      <c r="D23" s="25">
        <v>19265</v>
      </c>
    </row>
    <row r="24" spans="2:11" x14ac:dyDescent="0.25">
      <c r="B24" s="1" t="s">
        <v>6</v>
      </c>
      <c r="C24" s="6">
        <v>3098</v>
      </c>
      <c r="D24" s="25">
        <v>10477</v>
      </c>
    </row>
    <row r="25" spans="2:11" x14ac:dyDescent="0.25">
      <c r="B25" s="5" t="s">
        <v>12</v>
      </c>
      <c r="C25" s="7">
        <v>2</v>
      </c>
      <c r="D25" s="24">
        <v>0</v>
      </c>
    </row>
    <row r="26" spans="2:11" x14ac:dyDescent="0.25">
      <c r="B26" s="1" t="s">
        <v>7</v>
      </c>
      <c r="C26" s="6">
        <v>20789</v>
      </c>
      <c r="D26" s="25">
        <v>14782</v>
      </c>
      <c r="K26" s="7"/>
    </row>
    <row r="27" spans="2:11" x14ac:dyDescent="0.25">
      <c r="B27" s="3" t="s">
        <v>8</v>
      </c>
      <c r="C27" s="8">
        <f>SUM(C22:C26)</f>
        <v>27639</v>
      </c>
      <c r="D27" s="4">
        <f>SUM(D22:D26)</f>
        <v>67686</v>
      </c>
    </row>
    <row r="29" spans="2:11" x14ac:dyDescent="0.25">
      <c r="B29" s="27" t="s">
        <v>9</v>
      </c>
      <c r="C29" s="27"/>
      <c r="D29" s="27"/>
    </row>
    <row r="30" spans="2:11" x14ac:dyDescent="0.25">
      <c r="B30" s="2" t="s">
        <v>1</v>
      </c>
      <c r="C30" s="2" t="s">
        <v>2</v>
      </c>
      <c r="D30" s="2" t="s">
        <v>3</v>
      </c>
    </row>
    <row r="31" spans="2:11" x14ac:dyDescent="0.25">
      <c r="B31" s="9" t="s">
        <v>4</v>
      </c>
      <c r="C31" s="6">
        <v>292</v>
      </c>
      <c r="D31" s="25">
        <v>5272</v>
      </c>
    </row>
    <row r="32" spans="2:11" x14ac:dyDescent="0.25">
      <c r="B32" s="9" t="s">
        <v>5</v>
      </c>
      <c r="C32" s="6">
        <v>1540</v>
      </c>
      <c r="D32" s="25">
        <v>8339.84</v>
      </c>
    </row>
    <row r="33" spans="2:4" x14ac:dyDescent="0.25">
      <c r="B33" s="9" t="s">
        <v>6</v>
      </c>
      <c r="C33" s="6">
        <v>2249</v>
      </c>
      <c r="D33" s="25">
        <v>845</v>
      </c>
    </row>
    <row r="34" spans="2:4" x14ac:dyDescent="0.25">
      <c r="B34" s="9" t="s">
        <v>7</v>
      </c>
      <c r="C34" s="6">
        <v>4229</v>
      </c>
      <c r="D34" s="25">
        <v>589</v>
      </c>
    </row>
    <row r="35" spans="2:4" x14ac:dyDescent="0.25">
      <c r="B35" s="10" t="s">
        <v>8</v>
      </c>
      <c r="C35" s="8">
        <f>SUM(C31:C34)</f>
        <v>8310</v>
      </c>
      <c r="D35" s="4">
        <f>SUM(D31:D34)</f>
        <v>15045.84</v>
      </c>
    </row>
    <row r="37" spans="2:4" x14ac:dyDescent="0.25">
      <c r="B37" s="27" t="s">
        <v>30</v>
      </c>
      <c r="C37" s="27"/>
      <c r="D37" s="27"/>
    </row>
    <row r="38" spans="2:4" x14ac:dyDescent="0.25">
      <c r="B38" s="2" t="s">
        <v>1</v>
      </c>
      <c r="C38" s="2" t="s">
        <v>2</v>
      </c>
      <c r="D38" s="2" t="s">
        <v>3</v>
      </c>
    </row>
    <row r="39" spans="2:4" x14ac:dyDescent="0.25">
      <c r="B39" s="9" t="s">
        <v>4</v>
      </c>
      <c r="C39" s="6">
        <v>129</v>
      </c>
      <c r="D39" s="25">
        <v>6429</v>
      </c>
    </row>
    <row r="40" spans="2:4" x14ac:dyDescent="0.25">
      <c r="B40" s="1" t="s">
        <v>5</v>
      </c>
      <c r="C40" s="6">
        <v>623</v>
      </c>
      <c r="D40" s="25">
        <v>5113</v>
      </c>
    </row>
    <row r="41" spans="2:4" x14ac:dyDescent="0.25">
      <c r="B41" s="1" t="s">
        <v>6</v>
      </c>
      <c r="C41" s="6">
        <v>487</v>
      </c>
      <c r="D41" s="26">
        <v>0</v>
      </c>
    </row>
    <row r="42" spans="2:4" x14ac:dyDescent="0.25">
      <c r="B42" s="1" t="s">
        <v>7</v>
      </c>
      <c r="C42" s="6">
        <v>2154</v>
      </c>
      <c r="D42" s="25">
        <v>856</v>
      </c>
    </row>
    <row r="43" spans="2:4" x14ac:dyDescent="0.25">
      <c r="B43" s="3" t="s">
        <v>8</v>
      </c>
      <c r="C43" s="8">
        <f>SUM(C39:C42)</f>
        <v>3393</v>
      </c>
      <c r="D43" s="4">
        <f>SUM(D39:D42)</f>
        <v>12398</v>
      </c>
    </row>
    <row r="45" spans="2:4" x14ac:dyDescent="0.25">
      <c r="B45" s="28" t="s">
        <v>11</v>
      </c>
      <c r="C45" s="28"/>
      <c r="D45" s="28"/>
    </row>
    <row r="46" spans="2:4" x14ac:dyDescent="0.25">
      <c r="B46" s="4" t="s">
        <v>1</v>
      </c>
      <c r="C46" s="4" t="s">
        <v>2</v>
      </c>
      <c r="D46" s="4" t="s">
        <v>3</v>
      </c>
    </row>
    <row r="47" spans="2:4" x14ac:dyDescent="0.25">
      <c r="B47" s="9" t="s">
        <v>4</v>
      </c>
      <c r="C47" s="6">
        <v>2036</v>
      </c>
      <c r="D47" s="25">
        <v>6197</v>
      </c>
    </row>
    <row r="48" spans="2:4" x14ac:dyDescent="0.25">
      <c r="B48" s="10" t="s">
        <v>8</v>
      </c>
      <c r="C48" s="8">
        <f>SUM(C47:C47)</f>
        <v>2036</v>
      </c>
      <c r="D48" s="4">
        <f>SUM(D47:D47)</f>
        <v>6197</v>
      </c>
    </row>
    <row r="50" spans="2:4" x14ac:dyDescent="0.25">
      <c r="B50" s="27" t="s">
        <v>31</v>
      </c>
      <c r="C50" s="27"/>
      <c r="D50" s="27"/>
    </row>
    <row r="51" spans="2:4" x14ac:dyDescent="0.25">
      <c r="B51" s="2" t="s">
        <v>1</v>
      </c>
      <c r="C51" s="2" t="s">
        <v>2</v>
      </c>
      <c r="D51" s="2" t="s">
        <v>3</v>
      </c>
    </row>
    <row r="52" spans="2:4" x14ac:dyDescent="0.25">
      <c r="B52" s="9" t="s">
        <v>4</v>
      </c>
      <c r="C52" s="6">
        <v>169</v>
      </c>
      <c r="D52" s="25">
        <v>500</v>
      </c>
    </row>
    <row r="53" spans="2:4" x14ac:dyDescent="0.25">
      <c r="B53" s="1" t="s">
        <v>5</v>
      </c>
      <c r="C53" s="6">
        <v>449</v>
      </c>
      <c r="D53" s="26">
        <v>0</v>
      </c>
    </row>
    <row r="54" spans="2:4" x14ac:dyDescent="0.25">
      <c r="B54" s="1" t="s">
        <v>6</v>
      </c>
      <c r="C54" s="6">
        <v>798</v>
      </c>
      <c r="D54" s="26">
        <v>0</v>
      </c>
    </row>
    <row r="55" spans="2:4" x14ac:dyDescent="0.25">
      <c r="B55" s="1" t="s">
        <v>7</v>
      </c>
      <c r="C55" s="6">
        <v>1061</v>
      </c>
      <c r="D55" s="25">
        <v>800</v>
      </c>
    </row>
    <row r="56" spans="2:4" x14ac:dyDescent="0.25">
      <c r="B56" s="3" t="s">
        <v>8</v>
      </c>
      <c r="C56" s="8">
        <f>SUM(C52:C55)</f>
        <v>2477</v>
      </c>
      <c r="D56" s="4">
        <f>SUM(D52:D55)</f>
        <v>1300</v>
      </c>
    </row>
    <row r="58" spans="2:4" x14ac:dyDescent="0.25">
      <c r="B58" s="11" t="s">
        <v>13</v>
      </c>
      <c r="C58" s="12">
        <f>SUM(C10+C35+C18+C48+C27+C43+C56)</f>
        <v>89774</v>
      </c>
      <c r="D58" s="12">
        <f>SUM(D10+D35+D18+D48+D27+D43+D56)</f>
        <v>464570.43000000005</v>
      </c>
    </row>
  </sheetData>
  <mergeCells count="7">
    <mergeCell ref="B20:D20"/>
    <mergeCell ref="B12:D12"/>
    <mergeCell ref="B50:D50"/>
    <mergeCell ref="B3:D3"/>
    <mergeCell ref="B29:D29"/>
    <mergeCell ref="B45:D45"/>
    <mergeCell ref="B37:D3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tabSelected="1" zoomScale="130" zoomScaleNormal="130" workbookViewId="0">
      <selection activeCell="B2" sqref="B2:K14"/>
    </sheetView>
  </sheetViews>
  <sheetFormatPr baseColWidth="10" defaultRowHeight="15" x14ac:dyDescent="0.25"/>
  <cols>
    <col min="2" max="2" width="20" customWidth="1"/>
    <col min="3" max="3" width="34.4257812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8.5703125" bestFit="1" customWidth="1"/>
    <col min="9" max="9" width="4.2851562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7" t="s">
        <v>20</v>
      </c>
    </row>
    <row r="3" spans="2:12" x14ac:dyDescent="0.25">
      <c r="B3" s="16" t="s">
        <v>35</v>
      </c>
    </row>
    <row r="5" spans="2:12" x14ac:dyDescent="0.25">
      <c r="B5" t="s">
        <v>26</v>
      </c>
      <c r="C5" t="s">
        <v>27</v>
      </c>
      <c r="D5" s="16" t="s">
        <v>14</v>
      </c>
      <c r="E5" s="16" t="s">
        <v>25</v>
      </c>
      <c r="F5" s="16" t="s">
        <v>18</v>
      </c>
      <c r="G5" s="16" t="s">
        <v>19</v>
      </c>
      <c r="H5" s="16" t="s">
        <v>21</v>
      </c>
      <c r="I5" s="16" t="s">
        <v>15</v>
      </c>
      <c r="J5" s="16" t="s">
        <v>17</v>
      </c>
      <c r="K5" s="16" t="s">
        <v>22</v>
      </c>
      <c r="L5" s="14"/>
    </row>
    <row r="6" spans="2:12" x14ac:dyDescent="0.25">
      <c r="B6" s="15" t="s">
        <v>33</v>
      </c>
      <c r="C6" s="1" t="s">
        <v>4</v>
      </c>
      <c r="D6" s="22">
        <f>SUMIF('REPORTE DIARIO'!B:B,'EPR 10 MAYO'!C6, 'REPORTE DIARIO'!C:C)</f>
        <v>12519</v>
      </c>
      <c r="E6" s="15">
        <f>SUMIF('REPORTE DIARIO'!B:B,'EPR 10 MAYO'!C6, 'REPORTE DIARIO'!D:D)</f>
        <v>137438.95000000001</v>
      </c>
      <c r="F6" s="15">
        <f>J6*D6</f>
        <v>393454.28571428568</v>
      </c>
      <c r="G6" s="15">
        <f>+E6-F6</f>
        <v>-256015.33571428567</v>
      </c>
      <c r="H6" s="14">
        <f>ABS(G6/F6)</f>
        <v>0.65068635673775854</v>
      </c>
      <c r="I6" s="15">
        <f>E6/D6</f>
        <v>10.978428788241873</v>
      </c>
      <c r="J6" s="15">
        <f>220/7</f>
        <v>31.428571428571427</v>
      </c>
      <c r="K6" s="15">
        <f>+I6-J6</f>
        <v>-20.450142640329553</v>
      </c>
      <c r="L6" s="14"/>
    </row>
    <row r="7" spans="2:12" x14ac:dyDescent="0.25">
      <c r="B7" s="15" t="s">
        <v>28</v>
      </c>
      <c r="C7" s="1" t="s">
        <v>5</v>
      </c>
      <c r="D7" s="22">
        <f>SUMIF('REPORTE DIARIO'!B:B,'EPR 10 MAYO'!C7, 'REPORTE DIARIO'!C:C)</f>
        <v>11003</v>
      </c>
      <c r="E7" s="15">
        <f>SUMIF('REPORTE DIARIO'!B:B,'EPR 10 MAYO'!C7, 'REPORTE DIARIO'!D:D)</f>
        <v>175121.48</v>
      </c>
      <c r="F7" s="15">
        <f>J7*D7</f>
        <v>172904.28571428571</v>
      </c>
      <c r="G7" s="15">
        <f>+E7-F7</f>
        <v>2217.1942857143003</v>
      </c>
      <c r="H7" s="14">
        <f>ABS(G7/F7)</f>
        <v>1.2823246552593179E-2</v>
      </c>
      <c r="I7" s="15">
        <f>E7/D7</f>
        <v>15.915793874397892</v>
      </c>
      <c r="J7" s="15">
        <f>110/7</f>
        <v>15.714285714285714</v>
      </c>
      <c r="K7" s="15">
        <f t="shared" ref="K7:K9" si="0">+I7-J7</f>
        <v>0.2015081601121782</v>
      </c>
      <c r="L7" s="14"/>
    </row>
    <row r="8" spans="2:12" x14ac:dyDescent="0.25">
      <c r="B8" s="15" t="s">
        <v>28</v>
      </c>
      <c r="C8" s="1" t="s">
        <v>6</v>
      </c>
      <c r="D8" s="22">
        <f>SUMIF('REPORTE DIARIO'!B:B,'EPR 10 MAYO'!C8, 'REPORTE DIARIO'!C:C)</f>
        <v>14883</v>
      </c>
      <c r="E8" s="15">
        <f>SUMIF('REPORTE DIARIO'!B:B,'EPR 10 MAYO'!C8, 'REPORTE DIARIO'!D:D)</f>
        <v>58279</v>
      </c>
      <c r="F8" s="15">
        <f>J8*D8</f>
        <v>95676.42857142858</v>
      </c>
      <c r="G8" s="15">
        <f>+E8-F8</f>
        <v>-37397.42857142858</v>
      </c>
      <c r="H8" s="14">
        <f>ABS(G8/F8)</f>
        <v>0.39087400240393594</v>
      </c>
      <c r="I8" s="15">
        <f>E8/D8</f>
        <v>3.9158099845461263</v>
      </c>
      <c r="J8" s="15">
        <f>45/7</f>
        <v>6.4285714285714288</v>
      </c>
      <c r="K8" s="15">
        <f t="shared" si="0"/>
        <v>-2.5127614440253025</v>
      </c>
      <c r="L8" s="14"/>
    </row>
    <row r="9" spans="2:12" x14ac:dyDescent="0.25">
      <c r="B9" s="15" t="s">
        <v>34</v>
      </c>
      <c r="C9" s="1" t="s">
        <v>7</v>
      </c>
      <c r="D9" s="22">
        <f>SUMIF('REPORTE DIARIO'!B:B,'EPR 10 MAYO'!C9, 'REPORTE DIARIO'!C:C)</f>
        <v>51357</v>
      </c>
      <c r="E9" s="15">
        <f>SUMIF('REPORTE DIARIO'!B:B,'EPR 10 MAYO'!C9, 'REPORTE DIARIO'!D:D)</f>
        <v>93731</v>
      </c>
      <c r="F9" s="15">
        <f>J9*D9</f>
        <v>110050.71428571428</v>
      </c>
      <c r="G9" s="15">
        <f>+E9-F9</f>
        <v>-16319.714285714275</v>
      </c>
      <c r="H9" s="14">
        <f>ABS(G9/F9)</f>
        <v>0.14829267026241141</v>
      </c>
      <c r="I9" s="15">
        <f>E9/D9</f>
        <v>1.8250871351519753</v>
      </c>
      <c r="J9" s="15">
        <f>15/7</f>
        <v>2.1428571428571428</v>
      </c>
      <c r="K9" s="15">
        <f t="shared" si="0"/>
        <v>-0.3177700077051675</v>
      </c>
    </row>
    <row r="10" spans="2:12" x14ac:dyDescent="0.25">
      <c r="B10" s="15"/>
      <c r="C10" s="18" t="s">
        <v>16</v>
      </c>
      <c r="D10" s="23">
        <f>SUM(D6:D9)</f>
        <v>89762</v>
      </c>
      <c r="E10" s="19">
        <f>SUM(E6:E9)</f>
        <v>464570.43000000005</v>
      </c>
      <c r="F10" s="19">
        <f>SUM(F6:F9)</f>
        <v>772085.71428571432</v>
      </c>
      <c r="G10" s="19">
        <f>+E10-F10</f>
        <v>-307515.28428571427</v>
      </c>
      <c r="H10" s="20">
        <f>ABS(G10/F10)</f>
        <v>0.39829163860415195</v>
      </c>
      <c r="I10" s="19">
        <f>E10/D10</f>
        <v>5.1755802009759151</v>
      </c>
      <c r="J10" s="19">
        <f>F10/D10</f>
        <v>8.6014762849057984</v>
      </c>
      <c r="K10" s="19">
        <f>I10-J10</f>
        <v>-3.4258960839298833</v>
      </c>
    </row>
    <row r="12" spans="2:12" x14ac:dyDescent="0.25">
      <c r="B12" s="21" t="s">
        <v>23</v>
      </c>
      <c r="I12" s="13"/>
    </row>
    <row r="13" spans="2:12" x14ac:dyDescent="0.25">
      <c r="B13" t="s">
        <v>24</v>
      </c>
    </row>
    <row r="14" spans="2:12" x14ac:dyDescent="0.25">
      <c r="B14" t="s">
        <v>32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10 MAYO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2025-03-01T19:30:03Z</cp:lastPrinted>
  <dcterms:created xsi:type="dcterms:W3CDTF">2025-01-27T15:11:28Z</dcterms:created>
  <dcterms:modified xsi:type="dcterms:W3CDTF">2025-05-11T02:07:51Z</dcterms:modified>
</cp:coreProperties>
</file>