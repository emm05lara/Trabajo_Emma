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9\5 MAYO\"/>
    </mc:Choice>
  </mc:AlternateContent>
  <xr:revisionPtr revIDLastSave="0" documentId="13_ncr:1_{05032FB5-D567-4DD9-B44F-57B1991831FE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04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D40" i="1"/>
  <c r="D35" i="1"/>
  <c r="J9" i="3"/>
  <c r="J8" i="3"/>
  <c r="J7" i="3"/>
  <c r="J6" i="3"/>
  <c r="D6" i="3"/>
  <c r="D56" i="1"/>
  <c r="C56" i="1"/>
  <c r="D48" i="1"/>
  <c r="C48" i="1"/>
  <c r="D19" i="1"/>
  <c r="C19" i="1"/>
  <c r="C40" i="1" l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<sst xmlns="http://schemas.openxmlformats.org/spreadsheetml/2006/main" count="88" uniqueCount="37">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</sst>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41" zoomScaleNormal="100" workbookViewId="0">
      <selection activeCell="B3" sqref="B3:D5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4308</v>
      </c>
      <c r="D5" s="25">
        <v>497600.99</v>
      </c>
    </row>
    <row r="6" spans="2:8" x14ac:dyDescent="0.3">
      <c r="B6" s="1" t="s">
        <v>5</v>
      </c>
      <c r="C6" s="6">
        <v>4424</v>
      </c>
      <c r="D6" s="25">
        <v>328453.41000000003</v>
      </c>
    </row>
    <row r="7" spans="2:8" x14ac:dyDescent="0.3">
      <c r="B7" s="1" t="s">
        <v>6</v>
      </c>
      <c r="C7" s="6">
        <v>6371</v>
      </c>
      <c r="D7" s="25">
        <v>253215.59000000003</v>
      </c>
    </row>
    <row r="8" spans="2:8" x14ac:dyDescent="0.3">
      <c r="B8" s="5" t="s">
        <v>12</v>
      </c>
      <c r="C8" s="7">
        <v>10</v>
      </c>
      <c r="D8" s="26">
        <v>0</v>
      </c>
    </row>
    <row r="9" spans="2:8" x14ac:dyDescent="0.3">
      <c r="B9" s="1" t="s">
        <v>7</v>
      </c>
      <c r="C9" s="6">
        <v>13443</v>
      </c>
      <c r="D9" s="25">
        <v>399374.97000000003</v>
      </c>
      <c r="E9" s="14"/>
      <c r="F9" s="7"/>
    </row>
    <row r="10" spans="2:8" x14ac:dyDescent="0.3">
      <c r="B10" s="3" t="s">
        <v>8</v>
      </c>
      <c r="C10" s="8">
        <f>SUM(C5:C9)</f>
        <v>28556</v>
      </c>
      <c r="D10" s="4">
        <f>SUM(D5:D9)</f>
        <v>1478644.96</v>
      </c>
      <c r="E10" s="11" t="s">
        <v>14</v>
      </c>
    </row>
    <row r="12" spans="2:8" x14ac:dyDescent="0.3">
      <c r="B12" s="27" t="s">
        <v>30</v>
      </c>
      <c r="C12" s="27"/>
      <c r="D12" s="27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2017</v>
      </c>
      <c r="D14" s="25">
        <v>235903.80999999997</v>
      </c>
    </row>
    <row r="15" spans="2:8" x14ac:dyDescent="0.3">
      <c r="B15" s="1" t="s">
        <v>5</v>
      </c>
      <c r="C15" s="6">
        <v>1706</v>
      </c>
      <c r="D15" s="25">
        <v>201496.8</v>
      </c>
    </row>
    <row r="16" spans="2:8" x14ac:dyDescent="0.3">
      <c r="B16" s="1" t="s">
        <v>6</v>
      </c>
      <c r="C16" s="6">
        <v>3093</v>
      </c>
      <c r="D16" s="25">
        <v>57416.55</v>
      </c>
    </row>
    <row r="17" spans="2:11" x14ac:dyDescent="0.3">
      <c r="B17" s="5" t="s">
        <v>12</v>
      </c>
      <c r="C17" s="7">
        <v>2</v>
      </c>
      <c r="D17" s="26">
        <v>0</v>
      </c>
    </row>
    <row r="18" spans="2:11" x14ac:dyDescent="0.3">
      <c r="B18" s="1" t="s">
        <v>7</v>
      </c>
      <c r="C18" s="6">
        <v>21617</v>
      </c>
      <c r="D18" s="25">
        <v>228450.57</v>
      </c>
    </row>
    <row r="19" spans="2:11" x14ac:dyDescent="0.3">
      <c r="B19" s="3" t="s">
        <v>8</v>
      </c>
      <c r="C19" s="8">
        <f>SUM(C14:C18)</f>
        <v>28435</v>
      </c>
      <c r="D19" s="4">
        <f>SUM(D14:D18)</f>
        <v>723267.73</v>
      </c>
    </row>
    <row r="21" spans="2:11" x14ac:dyDescent="0.3">
      <c r="B21" s="28" t="s">
        <v>10</v>
      </c>
      <c r="C21" s="28"/>
      <c r="D21" s="28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3812</v>
      </c>
      <c r="D23" s="25">
        <v>353985.91</v>
      </c>
    </row>
    <row r="24" spans="2:11" x14ac:dyDescent="0.3">
      <c r="B24" s="9" t="s">
        <v>5</v>
      </c>
      <c r="C24" s="6">
        <v>2137</v>
      </c>
      <c r="D24" s="25">
        <v>145370.84000000003</v>
      </c>
    </row>
    <row r="25" spans="2:11" x14ac:dyDescent="0.3">
      <c r="B25" s="9" t="s">
        <v>6</v>
      </c>
      <c r="C25" s="6">
        <v>2167</v>
      </c>
      <c r="D25" s="25">
        <v>41447.380000000005</v>
      </c>
    </row>
    <row r="26" spans="2:11" x14ac:dyDescent="0.3">
      <c r="B26" s="9" t="s">
        <v>7</v>
      </c>
      <c r="C26" s="6">
        <v>9606</v>
      </c>
      <c r="D26" s="25">
        <v>34557.040000000001</v>
      </c>
    </row>
    <row r="27" spans="2:11" x14ac:dyDescent="0.3">
      <c r="B27" s="10" t="s">
        <v>8</v>
      </c>
      <c r="C27" s="8">
        <f>SUM(C23:C26)</f>
        <v>17722</v>
      </c>
      <c r="D27" s="4">
        <f>SUM(D23:D26)</f>
        <v>575361.17000000004</v>
      </c>
      <c r="K27" s="7"/>
    </row>
    <row r="29" spans="2:11" x14ac:dyDescent="0.3">
      <c r="B29" s="27" t="s">
        <v>9</v>
      </c>
      <c r="C29" s="27"/>
      <c r="D29" s="27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317</v>
      </c>
      <c r="D31" s="25">
        <v>85965.989999999991</v>
      </c>
    </row>
    <row r="32" spans="2:11" x14ac:dyDescent="0.3">
      <c r="B32" s="9" t="s">
        <v>5</v>
      </c>
      <c r="C32" s="6">
        <v>1318</v>
      </c>
      <c r="D32" s="25">
        <v>97680.380000000019</v>
      </c>
    </row>
    <row r="33" spans="2:4" x14ac:dyDescent="0.3">
      <c r="B33" s="9" t="s">
        <v>6</v>
      </c>
      <c r="C33" s="6">
        <v>2373</v>
      </c>
      <c r="D33" s="25">
        <v>13332.15</v>
      </c>
    </row>
    <row r="34" spans="2:4" x14ac:dyDescent="0.3">
      <c r="B34" s="9" t="s">
        <v>7</v>
      </c>
      <c r="C34" s="6">
        <v>4259</v>
      </c>
      <c r="D34" s="25">
        <v>30552</v>
      </c>
    </row>
    <row r="35" spans="2:4" x14ac:dyDescent="0.3">
      <c r="B35" s="10" t="s">
        <v>8</v>
      </c>
      <c r="C35" s="8">
        <f>SUM(C31:C34)</f>
        <v>8267</v>
      </c>
      <c r="D35" s="4">
        <f>SUM(D31:D34)</f>
        <v>227530.52</v>
      </c>
    </row>
    <row r="37" spans="2:4" x14ac:dyDescent="0.3">
      <c r="B37" s="28" t="s">
        <v>11</v>
      </c>
      <c r="C37" s="28"/>
      <c r="D37" s="28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2115</v>
      </c>
      <c r="D39" s="25">
        <v>61120</v>
      </c>
    </row>
    <row r="40" spans="2:4" x14ac:dyDescent="0.3">
      <c r="B40" s="10" t="s">
        <v>8</v>
      </c>
      <c r="C40" s="8">
        <f>SUM(C39:C39)</f>
        <v>2115</v>
      </c>
      <c r="D40" s="4">
        <f>SUM(D39:D39)</f>
        <v>61120</v>
      </c>
    </row>
    <row r="42" spans="2:4" x14ac:dyDescent="0.3">
      <c r="B42" s="27" t="s">
        <v>31</v>
      </c>
      <c r="C42" s="27"/>
      <c r="D42" s="27"/>
    </row>
    <row r="43" spans="2:4" x14ac:dyDescent="0.3">
      <c r="B43" s="2" t="s">
        <v>1</v>
      </c>
      <c r="C43" s="2" t="s">
        <v>2</v>
      </c>
      <c r="D43" s="2" t="s">
        <v>3</v>
      </c>
    </row>
    <row r="44" spans="2:4" x14ac:dyDescent="0.3">
      <c r="B44" s="9" t="s">
        <v>4</v>
      </c>
      <c r="C44" s="6">
        <v>112</v>
      </c>
      <c r="D44" s="25">
        <v>8053.72</v>
      </c>
    </row>
    <row r="45" spans="2:4" x14ac:dyDescent="0.3">
      <c r="B45" s="1" t="s">
        <v>5</v>
      </c>
      <c r="C45" s="6">
        <v>505</v>
      </c>
      <c r="D45" s="25">
        <v>10386</v>
      </c>
    </row>
    <row r="46" spans="2:4" x14ac:dyDescent="0.3">
      <c r="B46" s="1" t="s">
        <v>6</v>
      </c>
      <c r="C46" s="6">
        <v>362</v>
      </c>
      <c r="D46" s="25">
        <v>1920</v>
      </c>
    </row>
    <row r="47" spans="2:4" x14ac:dyDescent="0.3">
      <c r="B47" s="1" t="s">
        <v>7</v>
      </c>
      <c r="C47" s="6">
        <v>1998</v>
      </c>
      <c r="D47" s="25">
        <v>15523</v>
      </c>
    </row>
    <row r="48" spans="2:4" x14ac:dyDescent="0.3">
      <c r="B48" s="3" t="s">
        <v>8</v>
      </c>
      <c r="C48" s="8">
        <f>SUM(C44:C47)</f>
        <v>2977</v>
      </c>
      <c r="D48" s="4">
        <f>SUM(D44:D47)</f>
        <v>35882.720000000001</v>
      </c>
    </row>
    <row r="50" spans="2:4" x14ac:dyDescent="0.3">
      <c r="B50" s="27" t="s">
        <v>32</v>
      </c>
      <c r="C50" s="27"/>
      <c r="D50" s="27"/>
    </row>
    <row r="51" spans="2:4" x14ac:dyDescent="0.3">
      <c r="B51" s="2" t="s">
        <v>1</v>
      </c>
      <c r="C51" s="2" t="s">
        <v>2</v>
      </c>
      <c r="D51" s="2" t="s">
        <v>3</v>
      </c>
    </row>
    <row r="52" spans="2:4" x14ac:dyDescent="0.3">
      <c r="B52" s="9" t="s">
        <v>4</v>
      </c>
      <c r="C52" s="6">
        <v>150</v>
      </c>
      <c r="D52" s="25">
        <v>2637</v>
      </c>
    </row>
    <row r="53" spans="2:4" x14ac:dyDescent="0.3">
      <c r="B53" s="1" t="s">
        <v>5</v>
      </c>
      <c r="C53" s="6">
        <v>329</v>
      </c>
      <c r="D53" s="25">
        <v>4129</v>
      </c>
    </row>
    <row r="54" spans="2:4" x14ac:dyDescent="0.3">
      <c r="B54" s="1" t="s">
        <v>6</v>
      </c>
      <c r="C54" s="6">
        <v>672</v>
      </c>
      <c r="D54" s="25">
        <v>4300</v>
      </c>
    </row>
    <row r="55" spans="2:4" x14ac:dyDescent="0.3">
      <c r="B55" s="1" t="s">
        <v>7</v>
      </c>
      <c r="C55" s="6">
        <v>888</v>
      </c>
      <c r="D55" s="25">
        <v>2785</v>
      </c>
    </row>
    <row r="56" spans="2:4" x14ac:dyDescent="0.3">
      <c r="B56" s="3" t="s">
        <v>8</v>
      </c>
      <c r="C56" s="8">
        <f>SUM(C52:C55)</f>
        <v>2039</v>
      </c>
      <c r="D56" s="4">
        <f>SUM(D52:D55)</f>
        <v>13851</v>
      </c>
    </row>
    <row r="58" spans="2:4" x14ac:dyDescent="0.3">
      <c r="B58" s="12" t="s">
        <v>13</v>
      </c>
      <c r="C58" s="13">
        <f>SUM(C10+C27+C35+C40+C19+C48+C56)</f>
        <v>90111</v>
      </c>
      <c r="D58" s="13">
        <f>SUM(D10+D27+D35+D40+D19+D48+D56)</f>
        <v>3115658.1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C9" sqref="C9"/>
    </sheetView>
  </sheetViews>
  <sheetFormatPr baseColWidth="10" defaultRowHeight="14.4" x14ac:dyDescent="0.3"/>
  <cols>
    <col min="2" max="2" width="21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34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35</v>
      </c>
      <c r="C6" s="16" t="s">
        <v>4</v>
      </c>
      <c r="D6" s="23">
        <f>SUMIF('REPORTE DIARIO'!B:B,'EPR 04 MAYO'!C6, 'REPORTE DIARIO'!C:C)</f>
        <v>12831</v>
      </c>
      <c r="E6" s="16">
        <f>SUMIF('REPORTE DIARIO'!B:B,'EPR 04 MAYO'!C6, 'REPORTE DIARIO'!D:D)</f>
        <v>1245267.42</v>
      </c>
      <c r="F6" s="16">
        <f>J6*D6</f>
        <v>2822820</v>
      </c>
      <c r="G6" s="16">
        <f>+E6-F6</f>
        <v>-1577552.58</v>
      </c>
      <c r="H6" s="15">
        <f>ABS(G6/F6)</f>
        <v>0.55885695155907922</v>
      </c>
      <c r="I6" s="16">
        <f>E6/D6</f>
        <v>97.051470657002568</v>
      </c>
      <c r="J6" s="16">
        <f>(220/7)*7</f>
        <v>220</v>
      </c>
      <c r="K6" s="16">
        <f>+I6-J6</f>
        <v>-122.94852934299743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04 MAYO'!C7, 'REPORTE DIARIO'!C:C)</f>
        <v>10419</v>
      </c>
      <c r="E7" s="16">
        <f>SUMIF('REPORTE DIARIO'!B:B,'EPR 04 MAYO'!C7, 'REPORTE DIARIO'!D:D)</f>
        <v>787516.43</v>
      </c>
      <c r="F7" s="16">
        <f>J7*D7</f>
        <v>1146090</v>
      </c>
      <c r="G7" s="16">
        <f>+E7-F7</f>
        <v>-358573.56999999995</v>
      </c>
      <c r="H7" s="15">
        <f>ABS(G7/F7)</f>
        <v>0.31286685164341366</v>
      </c>
      <c r="I7" s="16">
        <f>E7/D7</f>
        <v>75.584646319224504</v>
      </c>
      <c r="J7" s="16">
        <f>(110/7)*7</f>
        <v>110</v>
      </c>
      <c r="K7" s="16">
        <f t="shared" ref="K7:K9" si="0">+I7-J7</f>
        <v>-34.415353680775496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04 MAYO'!C8, 'REPORTE DIARIO'!C:C)</f>
        <v>15038</v>
      </c>
      <c r="E8" s="16">
        <f>SUMIF('REPORTE DIARIO'!B:B,'EPR 04 MAYO'!C8, 'REPORTE DIARIO'!D:D)</f>
        <v>371631.67000000004</v>
      </c>
      <c r="F8" s="16">
        <f>J8*D8</f>
        <v>676710</v>
      </c>
      <c r="G8" s="16">
        <f>+E8-F8</f>
        <v>-305078.32999999996</v>
      </c>
      <c r="H8" s="15">
        <f>ABS(G8/F8)</f>
        <v>0.4508258042588405</v>
      </c>
      <c r="I8" s="16">
        <f>E8/D8</f>
        <v>24.712838808352178</v>
      </c>
      <c r="J8" s="16">
        <f>(45/7)*7</f>
        <v>45</v>
      </c>
      <c r="K8" s="16">
        <f t="shared" si="0"/>
        <v>-20.287161191647822</v>
      </c>
      <c r="L8" s="15"/>
    </row>
    <row r="9" spans="2:12" x14ac:dyDescent="0.3">
      <c r="B9" s="16" t="s">
        <v>36</v>
      </c>
      <c r="C9" s="16" t="s">
        <v>7</v>
      </c>
      <c r="D9" s="23">
        <f>SUMIF('REPORTE DIARIO'!B:B,'EPR 04 MAYO'!C9, 'REPORTE DIARIO'!C:C)</f>
        <v>51811</v>
      </c>
      <c r="E9" s="16">
        <f>SUMIF('REPORTE DIARIO'!B:B,'EPR 04 MAYO'!C9, 'REPORTE DIARIO'!D:D)</f>
        <v>711242.58000000007</v>
      </c>
      <c r="F9" s="16">
        <f>J9*D9</f>
        <v>777165</v>
      </c>
      <c r="G9" s="16">
        <f>+E9-F9</f>
        <v>-65922.419999999925</v>
      </c>
      <c r="H9" s="15">
        <f>ABS(G9/F9)</f>
        <v>8.48242265156047E-2</v>
      </c>
      <c r="I9" s="16">
        <f>E9/D9</f>
        <v>13.72763660226593</v>
      </c>
      <c r="J9" s="16">
        <f>(15/7)*7</f>
        <v>15</v>
      </c>
      <c r="K9" s="16">
        <f t="shared" si="0"/>
        <v>-1.27236339773407</v>
      </c>
    </row>
    <row r="10" spans="2:12" x14ac:dyDescent="0.3">
      <c r="B10" s="16"/>
      <c r="C10" s="19" t="s">
        <v>17</v>
      </c>
      <c r="D10" s="24">
        <f>SUM(D6:D9)</f>
        <v>90099</v>
      </c>
      <c r="E10" s="20">
        <f>SUM(E6:E9)</f>
        <v>3115658.1</v>
      </c>
      <c r="F10" s="20">
        <f>SUM(F6:F9)</f>
        <v>5422785</v>
      </c>
      <c r="G10" s="20">
        <f>+E10-F10</f>
        <v>-2307126.9</v>
      </c>
      <c r="H10" s="21">
        <f>ABS(G10/F10)</f>
        <v>0.42545055723212333</v>
      </c>
      <c r="I10" s="20">
        <f>E10/D10</f>
        <v>34.580384909932405</v>
      </c>
      <c r="J10" s="20">
        <f>F10/D10</f>
        <v>60.186961009556157</v>
      </c>
      <c r="K10" s="20">
        <f>I10-J10</f>
        <v>-25.606576099623751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04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2025-05-05T13:31:47Z</cp:lastPrinted>
  <dcterms:created xsi:type="dcterms:W3CDTF">2025-01-27T15:11:28Z</dcterms:created>
  <dcterms:modified xsi:type="dcterms:W3CDTF">2025-05-05T13:32:34Z</dcterms:modified>
</cp:coreProperties>
</file>