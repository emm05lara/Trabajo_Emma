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9 ABRIL\NOCHE\"/>
    </mc:Choice>
  </mc:AlternateContent>
  <xr:revisionPtr revIDLastSave="0" documentId="13_ncr:1_{3B5B281C-E13A-49F6-AABC-CD5FF9B2FC65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32" i="1" l="1"/>
  <c r="C32" i="1"/>
  <c r="D40" i="1"/>
  <c r="C40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<sst xmlns="http://schemas.openxmlformats.org/spreadsheetml/2006/main" count="88" uniqueCount="37">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</sst>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workbookViewId="0">
      <selection activeCell="E11" sqref="E1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6049</v>
      </c>
      <c r="D5" s="25">
        <v>214369.45</v>
      </c>
    </row>
    <row r="6" spans="2:8" x14ac:dyDescent="0.25">
      <c r="B6" s="1" t="s">
        <v>5</v>
      </c>
      <c r="C6" s="6">
        <v>6619</v>
      </c>
      <c r="D6" s="25">
        <v>97927.03</v>
      </c>
    </row>
    <row r="7" spans="2:8" x14ac:dyDescent="0.25">
      <c r="B7" s="1" t="s">
        <v>6</v>
      </c>
      <c r="C7" s="6">
        <v>9986</v>
      </c>
      <c r="D7" s="25">
        <v>78053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29008</v>
      </c>
      <c r="D9" s="25">
        <v>85235.839999999997</v>
      </c>
      <c r="F9" s="7"/>
    </row>
    <row r="10" spans="2:8" x14ac:dyDescent="0.25">
      <c r="B10" s="3" t="s">
        <v>8</v>
      </c>
      <c r="C10" s="8">
        <f>SUM(C5:C9)</f>
        <v>51683</v>
      </c>
      <c r="D10" s="4">
        <f>SUM(D5:D9)</f>
        <v>475585.31999999995</v>
      </c>
      <c r="E10" s="11" t="s">
        <v>14</v>
      </c>
    </row>
    <row r="12" spans="2:8" x14ac:dyDescent="0.25">
      <c r="B12" s="27" t="s">
        <v>34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2618</v>
      </c>
      <c r="D14" s="25">
        <v>68858.58</v>
      </c>
    </row>
    <row r="15" spans="2:8" x14ac:dyDescent="0.25">
      <c r="B15" s="1" t="s">
        <v>5</v>
      </c>
      <c r="C15" s="6">
        <v>1412</v>
      </c>
      <c r="D15" s="25">
        <v>60084</v>
      </c>
    </row>
    <row r="16" spans="2:8" x14ac:dyDescent="0.25">
      <c r="B16" s="1" t="s">
        <v>6</v>
      </c>
      <c r="C16" s="6">
        <v>3308</v>
      </c>
      <c r="D16" s="25">
        <v>12984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21168</v>
      </c>
      <c r="D18" s="25">
        <v>47346.009999999995</v>
      </c>
    </row>
    <row r="19" spans="2:11" x14ac:dyDescent="0.25">
      <c r="B19" s="3" t="s">
        <v>8</v>
      </c>
      <c r="C19" s="8">
        <f>SUM(C14:C18)</f>
        <v>28508</v>
      </c>
      <c r="D19" s="4">
        <f>SUM(D14:D18)</f>
        <v>189272.59000000003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1709</v>
      </c>
      <c r="D23" s="25">
        <v>69302.33</v>
      </c>
    </row>
    <row r="24" spans="2:11" x14ac:dyDescent="0.25">
      <c r="B24" s="9" t="s">
        <v>5</v>
      </c>
      <c r="C24" s="6">
        <v>1508</v>
      </c>
      <c r="D24" s="25">
        <v>66143.649999999994</v>
      </c>
    </row>
    <row r="25" spans="2:11" x14ac:dyDescent="0.25">
      <c r="B25" s="9" t="s">
        <v>6</v>
      </c>
      <c r="C25" s="6">
        <v>859</v>
      </c>
      <c r="D25" s="25">
        <v>9637</v>
      </c>
    </row>
    <row r="26" spans="2:11" x14ac:dyDescent="0.25">
      <c r="B26" s="9" t="s">
        <v>7</v>
      </c>
      <c r="C26" s="6">
        <v>8798</v>
      </c>
      <c r="D26" s="25">
        <v>19290.879999999997</v>
      </c>
    </row>
    <row r="27" spans="2:11" x14ac:dyDescent="0.25">
      <c r="B27" s="10" t="s">
        <v>8</v>
      </c>
      <c r="C27" s="8">
        <f>SUM(C23:C26)</f>
        <v>12874</v>
      </c>
      <c r="D27" s="4">
        <f>SUM(D23:D26)</f>
        <v>164373.85999999999</v>
      </c>
      <c r="K27" s="7"/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2765</v>
      </c>
      <c r="D31" s="25">
        <v>115325</v>
      </c>
    </row>
    <row r="32" spans="2:11" x14ac:dyDescent="0.25">
      <c r="B32" s="10" t="s">
        <v>8</v>
      </c>
      <c r="C32" s="8">
        <f>SUM(C31:C31)</f>
        <v>2765</v>
      </c>
      <c r="D32" s="4">
        <f>SUM(D31:D31)</f>
        <v>115325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1407</v>
      </c>
      <c r="D36" s="25">
        <v>48066.8</v>
      </c>
    </row>
    <row r="37" spans="2:4" x14ac:dyDescent="0.25">
      <c r="B37" s="9" t="s">
        <v>5</v>
      </c>
      <c r="C37" s="6">
        <v>1309</v>
      </c>
      <c r="D37" s="25">
        <v>8778</v>
      </c>
    </row>
    <row r="38" spans="2:4" x14ac:dyDescent="0.25">
      <c r="B38" s="9" t="s">
        <v>6</v>
      </c>
      <c r="C38" s="6">
        <v>2889</v>
      </c>
      <c r="D38" s="25">
        <v>3055</v>
      </c>
    </row>
    <row r="39" spans="2:4" x14ac:dyDescent="0.25">
      <c r="B39" s="9" t="s">
        <v>7</v>
      </c>
      <c r="C39" s="6">
        <v>4264</v>
      </c>
      <c r="D39" s="25">
        <v>297</v>
      </c>
    </row>
    <row r="40" spans="2:4" x14ac:dyDescent="0.25">
      <c r="B40" s="10" t="s">
        <v>8</v>
      </c>
      <c r="C40" s="8">
        <f>SUM(C36:C39)</f>
        <v>9869</v>
      </c>
      <c r="D40" s="4">
        <f>SUM(D36:D39)</f>
        <v>60196.800000000003</v>
      </c>
    </row>
    <row r="42" spans="2:4" x14ac:dyDescent="0.25">
      <c r="B42" s="27" t="s">
        <v>35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25603</v>
      </c>
    </row>
    <row r="45" spans="2:4" x14ac:dyDescent="0.25">
      <c r="B45" s="1" t="s">
        <v>5</v>
      </c>
      <c r="C45" s="6">
        <v>189</v>
      </c>
      <c r="D45" s="25">
        <v>600</v>
      </c>
    </row>
    <row r="46" spans="2:4" x14ac:dyDescent="0.25">
      <c r="B46" s="1" t="s">
        <v>6</v>
      </c>
      <c r="C46" s="6">
        <v>200</v>
      </c>
      <c r="D46" s="11">
        <v>0</v>
      </c>
    </row>
    <row r="47" spans="2:4" x14ac:dyDescent="0.25">
      <c r="B47" s="1" t="s">
        <v>7</v>
      </c>
      <c r="C47" s="6">
        <v>1871</v>
      </c>
      <c r="D47" s="25">
        <v>6016</v>
      </c>
    </row>
    <row r="48" spans="2:4" x14ac:dyDescent="0.25">
      <c r="B48" s="3" t="s">
        <v>8</v>
      </c>
      <c r="C48" s="8">
        <f>SUM(C44:C47)</f>
        <v>2299</v>
      </c>
      <c r="D48" s="4">
        <f>SUM(D44:D47)</f>
        <v>32219</v>
      </c>
    </row>
    <row r="50" spans="2:4" x14ac:dyDescent="0.25">
      <c r="B50" s="28" t="s">
        <v>32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2" t="s">
        <v>13</v>
      </c>
      <c r="C58" s="13">
        <f>SUM(C10+C27+C56+C40+C32+C19+C48)</f>
        <v>108001</v>
      </c>
      <c r="D58" s="13">
        <f>SUM(D10+D27+D56+D40+D32+D19+D48)</f>
        <v>1036972.5700000001</v>
      </c>
    </row>
  </sheetData>
  <mergeCells count="7">
    <mergeCell ref="B12:D12"/>
    <mergeCell ref="B42:D42"/>
    <mergeCell ref="B3:D3"/>
    <mergeCell ref="B50:D50"/>
    <mergeCell ref="B21:D21"/>
    <mergeCell ref="B34:D34"/>
    <mergeCell ref="B29:D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9 ABR'!C6, 'REPORTE DIARIO'!C:C)</f>
        <v>14588</v>
      </c>
      <c r="E6" s="16">
        <f>SUMIF('REPORTE DIARIO'!B:B,'EPR 9 ABR'!C6, 'REPORTE DIARIO'!D:D)</f>
        <v>541525.16</v>
      </c>
      <c r="F6" s="16">
        <f>J6*D6</f>
        <v>1250400.0000000002</v>
      </c>
      <c r="G6" s="16">
        <f>+E6-F6</f>
        <v>-708874.8400000002</v>
      </c>
      <c r="H6" s="15">
        <f>ABS(G6/F6)</f>
        <v>0.56691845809341013</v>
      </c>
      <c r="I6" s="16">
        <f>E6/D6</f>
        <v>37.121275020564852</v>
      </c>
      <c r="J6" s="16">
        <f>(200/7)*3</f>
        <v>85.714285714285722</v>
      </c>
      <c r="K6" s="16">
        <f>+I6-J6</f>
        <v>-48.593010693720871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9 ABR'!C7, 'REPORTE DIARIO'!C:C)</f>
        <v>11037</v>
      </c>
      <c r="E7" s="16">
        <f>SUMIF('REPORTE DIARIO'!B:B,'EPR 9 ABR'!C7, 'REPORTE DIARIO'!D:D)</f>
        <v>233532.68</v>
      </c>
      <c r="F7" s="16">
        <f>J7*D7</f>
        <v>520315.71428571426</v>
      </c>
      <c r="G7" s="16">
        <f>+E7-F7</f>
        <v>-286783.03428571427</v>
      </c>
      <c r="H7" s="15">
        <f>ABS(G7/F7)</f>
        <v>0.55117119551041815</v>
      </c>
      <c r="I7" s="16">
        <f>E7/D7</f>
        <v>21.159072211651715</v>
      </c>
      <c r="J7" s="16">
        <f>(110/7)*3</f>
        <v>47.142857142857139</v>
      </c>
      <c r="K7" s="16">
        <f t="shared" ref="K7:K9" si="0">+I7-J7</f>
        <v>-25.983784931205424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9 ABR'!C8, 'REPORTE DIARIO'!C:C)</f>
        <v>17242</v>
      </c>
      <c r="E8" s="16">
        <f>SUMIF('REPORTE DIARIO'!B:B,'EPR 9 ABR'!C8, 'REPORTE DIARIO'!D:D)</f>
        <v>103729</v>
      </c>
      <c r="F8" s="16">
        <f>J8*D8</f>
        <v>332524.28571428568</v>
      </c>
      <c r="G8" s="16">
        <f>+E8-F8</f>
        <v>-228795.28571428568</v>
      </c>
      <c r="H8" s="15">
        <f>ABS(G8/F8)</f>
        <v>0.68805586702582411</v>
      </c>
      <c r="I8" s="16">
        <f>E8/D8</f>
        <v>6.0160654216448206</v>
      </c>
      <c r="J8" s="16">
        <f>(45/7)*3</f>
        <v>19.285714285714285</v>
      </c>
      <c r="K8" s="16">
        <f t="shared" si="0"/>
        <v>-13.269648864069463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9 ABR'!C9, 'REPORTE DIARIO'!C:C)</f>
        <v>65111</v>
      </c>
      <c r="E9" s="16">
        <f>SUMIF('REPORTE DIARIO'!B:B,'EPR 9 ABR'!C9, 'REPORTE DIARIO'!D:D)</f>
        <v>158185.72999999998</v>
      </c>
      <c r="F9" s="16">
        <f>J9*D9</f>
        <v>418570.71428571432</v>
      </c>
      <c r="G9" s="16">
        <f>+E9-F9</f>
        <v>-260384.98428571434</v>
      </c>
      <c r="H9" s="15">
        <f>ABS(G9/F9)</f>
        <v>0.62208122880755778</v>
      </c>
      <c r="I9" s="16">
        <f>E9/D9</f>
        <v>2.4294778148085574</v>
      </c>
      <c r="J9" s="16">
        <f>(15/7)*3</f>
        <v>6.4285714285714288</v>
      </c>
      <c r="K9" s="16">
        <f t="shared" si="0"/>
        <v>-3.9990936137628714</v>
      </c>
    </row>
    <row r="10" spans="2:12" x14ac:dyDescent="0.25">
      <c r="B10" s="16"/>
      <c r="C10" s="19" t="s">
        <v>17</v>
      </c>
      <c r="D10" s="24">
        <f>SUM(D6:D9)</f>
        <v>107978</v>
      </c>
      <c r="E10" s="20">
        <f>SUM(E6:E9)</f>
        <v>1036972.5700000001</v>
      </c>
      <c r="F10" s="20">
        <f>SUM(F6:F9)</f>
        <v>2521810.7142857146</v>
      </c>
      <c r="G10" s="20">
        <f>+E10-F10</f>
        <v>-1484838.1442857145</v>
      </c>
      <c r="H10" s="21">
        <f>ABS(G10/F10)</f>
        <v>0.58879841213867024</v>
      </c>
      <c r="I10" s="20">
        <f>E10/D10</f>
        <v>9.6035541499194288</v>
      </c>
      <c r="J10" s="20">
        <f>F10/D10</f>
        <v>23.354856677153816</v>
      </c>
      <c r="K10" s="20">
        <f>I10-J10</f>
        <v>-13.751302527234387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2025-04-10T02:32:20Z</dcterms:modified>
</cp:coreProperties>
</file>