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9 ABRIL\NOCHE\"/>
    </mc:Choice>
  </mc:AlternateContent>
  <xr:revisionPtr revIDLastSave="0" documentId="13_ncr:1_{21404D34-CEF0-48BE-9CDF-EED38CA4887B}" xr6:coauthVersionLast="47" xr6:coauthVersionMax="47" xr10:uidLastSave="{00000000-0000-0000-0000-000000000000}"/>
  <bookViews>
    <workbookView xWindow="17925" yWindow="6210" windowWidth="10875" windowHeight="7575" activeTab="2" xr2:uid="{4DC6C92A-CD8A-4966-829B-0B6A986E825B}"/>
  </bookViews>
  <sheets>
    <sheet name="REPORTE DIARIO" sheetId="1" r:id="rId1"/>
    <sheet name="DATA" sheetId="4" r:id="rId2"/>
    <sheet name="EPR 9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1" l="1"/>
  <c r="C35" i="1"/>
  <c r="D27" i="1" l="1"/>
  <c r="C27" i="1"/>
  <c r="J9" i="3"/>
  <c r="J8" i="3"/>
  <c r="J7" i="3"/>
  <c r="J6" i="3"/>
  <c r="D6" i="3"/>
  <c r="F6" i="3" s="1"/>
  <c r="D48" i="1"/>
  <c r="C48" i="1"/>
  <c r="D56" i="1"/>
  <c r="C56" i="1"/>
  <c r="D18" i="1"/>
  <c r="C18" i="1"/>
  <c r="D43" i="1"/>
  <c r="C43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<sst xmlns="http://schemas.openxmlformats.org/spreadsheetml/2006/main" count="87" uniqueCount="36">
  <si>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</si>
  <si>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</si>
  <si>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</si>
  <si>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</si>
  <si>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</si>
  <si>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</si>
  <si>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</si>
  <si>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</si>
  <si>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</si>
  <si>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</si>
  <si>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</si>
  <si>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</si>
  <si>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</si>
  <si>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</si>
  <si>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</si>
  <si>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</si>
  <si>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</si>
  <si>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</si>
  <si>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</si>
  <si>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</si>
  <si>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</si>
  <si>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</si>
  <si>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</si>
  <si>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</si>
  <si>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</si>
  <si>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</si>
  <si>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</si>
  <si>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</si>
  <si>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</si>
  <si>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</si>
  <si>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</si>
  <si>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</si>
  <si>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</si>
  <si>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</si>
  <si>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</si>
  <si>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09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</si>
</sst>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6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6049</v>
      </c>
      <c r="D5" s="25">
        <v>109699.37000000001</v>
      </c>
    </row>
    <row r="6" spans="2:8" x14ac:dyDescent="0.25">
      <c r="B6" s="1" t="s">
        <v>5</v>
      </c>
      <c r="C6" s="6">
        <v>6619</v>
      </c>
      <c r="D6" s="25">
        <v>13596.02</v>
      </c>
    </row>
    <row r="7" spans="2:8" x14ac:dyDescent="0.25">
      <c r="B7" s="1" t="s">
        <v>6</v>
      </c>
      <c r="C7" s="6">
        <v>9986</v>
      </c>
      <c r="D7" s="25">
        <v>22526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29008</v>
      </c>
      <c r="D9" s="25">
        <v>-7340</v>
      </c>
    </row>
    <row r="10" spans="2:8" x14ac:dyDescent="0.25">
      <c r="B10" s="3" t="s">
        <v>8</v>
      </c>
      <c r="C10" s="8">
        <f>SUM(C5:C9)</f>
        <v>51683</v>
      </c>
      <c r="D10" s="4">
        <f>SUM(D5:D9)</f>
        <v>138481.39000000001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1709</v>
      </c>
      <c r="D14" s="25">
        <v>16948.080000000002</v>
      </c>
    </row>
    <row r="15" spans="2:8" x14ac:dyDescent="0.25">
      <c r="B15" s="9" t="s">
        <v>5</v>
      </c>
      <c r="C15" s="6">
        <v>1508</v>
      </c>
      <c r="D15" s="25">
        <v>38700.729999999996</v>
      </c>
    </row>
    <row r="16" spans="2:8" x14ac:dyDescent="0.25">
      <c r="B16" s="9" t="s">
        <v>6</v>
      </c>
      <c r="C16" s="6">
        <v>859</v>
      </c>
      <c r="D16" s="25">
        <v>3304</v>
      </c>
    </row>
    <row r="17" spans="2:11" x14ac:dyDescent="0.25">
      <c r="B17" s="9" t="s">
        <v>7</v>
      </c>
      <c r="C17" s="6">
        <v>8798</v>
      </c>
      <c r="D17" s="25">
        <v>5474.01</v>
      </c>
    </row>
    <row r="18" spans="2:11" x14ac:dyDescent="0.25">
      <c r="B18" s="10" t="s">
        <v>8</v>
      </c>
      <c r="C18" s="8">
        <f>SUM(C14:C17)</f>
        <v>12874</v>
      </c>
      <c r="D18" s="4">
        <f>SUM(D14:D17)</f>
        <v>64426.82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2618</v>
      </c>
      <c r="D22" s="25">
        <v>22350</v>
      </c>
    </row>
    <row r="23" spans="2:11" x14ac:dyDescent="0.25">
      <c r="B23" s="1" t="s">
        <v>5</v>
      </c>
      <c r="C23" s="6">
        <v>1412</v>
      </c>
      <c r="D23" s="25">
        <v>4783</v>
      </c>
    </row>
    <row r="24" spans="2:11" x14ac:dyDescent="0.25">
      <c r="B24" s="1" t="s">
        <v>6</v>
      </c>
      <c r="C24" s="6">
        <v>3308</v>
      </c>
      <c r="D24" s="25">
        <v>2159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21168</v>
      </c>
      <c r="D26" s="25">
        <v>13982</v>
      </c>
      <c r="K26" s="7"/>
    </row>
    <row r="27" spans="2:11" x14ac:dyDescent="0.25">
      <c r="B27" s="3" t="s">
        <v>8</v>
      </c>
      <c r="C27" s="8">
        <f>SUM(C22:C26)</f>
        <v>28508</v>
      </c>
      <c r="D27" s="4">
        <f>SUM(D22:D26)</f>
        <v>43274</v>
      </c>
    </row>
    <row r="29" spans="2:11" x14ac:dyDescent="0.25">
      <c r="B29" s="27" t="s">
        <v>33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39</v>
      </c>
      <c r="D31" s="25">
        <v>22759</v>
      </c>
    </row>
    <row r="32" spans="2:11" x14ac:dyDescent="0.25">
      <c r="B32" s="1" t="s">
        <v>5</v>
      </c>
      <c r="C32" s="6">
        <v>189</v>
      </c>
      <c r="D32" s="26">
        <v>0</v>
      </c>
    </row>
    <row r="33" spans="2:4" x14ac:dyDescent="0.25">
      <c r="B33" s="1" t="s">
        <v>6</v>
      </c>
      <c r="C33" s="6">
        <v>200</v>
      </c>
      <c r="D33" s="26">
        <v>0</v>
      </c>
    </row>
    <row r="34" spans="2:4" x14ac:dyDescent="0.25">
      <c r="B34" s="1" t="s">
        <v>7</v>
      </c>
      <c r="C34" s="6">
        <v>1871</v>
      </c>
      <c r="D34" s="25">
        <v>2661</v>
      </c>
    </row>
    <row r="35" spans="2:4" x14ac:dyDescent="0.25">
      <c r="B35" s="3" t="s">
        <v>8</v>
      </c>
      <c r="C35" s="8">
        <f>SUM(C31:C34)</f>
        <v>2299</v>
      </c>
      <c r="D35" s="4">
        <f>SUM(D31:D34)</f>
        <v>25420</v>
      </c>
    </row>
    <row r="37" spans="2:4" x14ac:dyDescent="0.25">
      <c r="B37" s="27" t="s">
        <v>9</v>
      </c>
      <c r="C37" s="27"/>
      <c r="D37" s="27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1407</v>
      </c>
      <c r="D39" s="25">
        <v>9671.5499999999993</v>
      </c>
    </row>
    <row r="40" spans="2:4" x14ac:dyDescent="0.25">
      <c r="B40" s="9" t="s">
        <v>5</v>
      </c>
      <c r="C40" s="6">
        <v>1309</v>
      </c>
      <c r="D40" s="25">
        <v>3266</v>
      </c>
    </row>
    <row r="41" spans="2:4" x14ac:dyDescent="0.25">
      <c r="B41" s="9" t="s">
        <v>6</v>
      </c>
      <c r="C41" s="6">
        <v>2889</v>
      </c>
      <c r="D41" s="25">
        <v>2125</v>
      </c>
    </row>
    <row r="42" spans="2:4" x14ac:dyDescent="0.25">
      <c r="B42" s="9" t="s">
        <v>7</v>
      </c>
      <c r="C42" s="6">
        <v>4264</v>
      </c>
      <c r="D42" s="25">
        <v>200</v>
      </c>
    </row>
    <row r="43" spans="2:4" x14ac:dyDescent="0.25">
      <c r="B43" s="10" t="s">
        <v>8</v>
      </c>
      <c r="C43" s="8">
        <f>SUM(C39:C42)</f>
        <v>9869</v>
      </c>
      <c r="D43" s="4">
        <f>SUM(D39:D42)</f>
        <v>15262.55</v>
      </c>
    </row>
    <row r="45" spans="2:4" x14ac:dyDescent="0.25">
      <c r="B45" s="28" t="s">
        <v>11</v>
      </c>
      <c r="C45" s="28"/>
      <c r="D45" s="28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6">
        <v>2765</v>
      </c>
      <c r="D47" s="25">
        <v>5833</v>
      </c>
    </row>
    <row r="48" spans="2:4" x14ac:dyDescent="0.25">
      <c r="B48" s="10" t="s">
        <v>8</v>
      </c>
      <c r="C48" s="8">
        <f>SUM(C47:C47)</f>
        <v>2765</v>
      </c>
      <c r="D48" s="4">
        <f>SUM(D47:D47)</f>
        <v>5833</v>
      </c>
    </row>
    <row r="50" spans="2:4" x14ac:dyDescent="0.25">
      <c r="B50" s="28" t="s">
        <v>31</v>
      </c>
      <c r="C50" s="28"/>
      <c r="D50" s="28"/>
    </row>
    <row r="51" spans="2:4" x14ac:dyDescent="0.25">
      <c r="B51" s="4" t="s">
        <v>1</v>
      </c>
      <c r="C51" s="4" t="s">
        <v>2</v>
      </c>
      <c r="D51" s="4" t="s">
        <v>3</v>
      </c>
    </row>
    <row r="52" spans="2:4" x14ac:dyDescent="0.25">
      <c r="B52" s="9" t="s">
        <v>4</v>
      </c>
      <c r="C52" s="6">
        <v>1</v>
      </c>
      <c r="D52" s="26">
        <v>0</v>
      </c>
    </row>
    <row r="53" spans="2:4" x14ac:dyDescent="0.25">
      <c r="B53" s="9" t="s">
        <v>5</v>
      </c>
      <c r="C53" s="6">
        <v>0</v>
      </c>
      <c r="D53" s="26">
        <v>0</v>
      </c>
    </row>
    <row r="54" spans="2:4" x14ac:dyDescent="0.25">
      <c r="B54" s="9" t="s">
        <v>6</v>
      </c>
      <c r="C54" s="6">
        <v>0</v>
      </c>
      <c r="D54" s="26">
        <v>0</v>
      </c>
    </row>
    <row r="55" spans="2:4" x14ac:dyDescent="0.25">
      <c r="B55" s="9" t="s">
        <v>7</v>
      </c>
      <c r="C55" s="6">
        <v>2</v>
      </c>
      <c r="D55" s="26">
        <v>0</v>
      </c>
    </row>
    <row r="56" spans="2:4" x14ac:dyDescent="0.25">
      <c r="B56" s="10" t="s">
        <v>8</v>
      </c>
      <c r="C56" s="8">
        <f>SUM(C52:C55)</f>
        <v>3</v>
      </c>
      <c r="D56" s="4">
        <f>SUM(D52:D55)</f>
        <v>0</v>
      </c>
    </row>
    <row r="58" spans="2:4" x14ac:dyDescent="0.25">
      <c r="B58" s="11" t="s">
        <v>13</v>
      </c>
      <c r="C58" s="12">
        <f>SUM(C10+C43+C18+C56+C48+C27+C35)</f>
        <v>108001</v>
      </c>
      <c r="D58" s="12">
        <f>SUM(D10+D43+D18+D56+D48+D27+D35)</f>
        <v>292697.76</v>
      </c>
    </row>
  </sheetData>
  <mergeCells count="7">
    <mergeCell ref="B3:D3"/>
    <mergeCell ref="B37:D37"/>
    <mergeCell ref="B50:D50"/>
    <mergeCell ref="B45:D45"/>
    <mergeCell ref="B29:D29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9 ABR'!C6, 'REPORTE DIARIO'!C:C)</f>
        <v>14588</v>
      </c>
      <c r="E6" s="15">
        <f>SUMIF('REPORTE DIARIO'!B:B,'EPR 9 ABR'!C6, 'REPORTE DIARIO'!D:D)</f>
        <v>187261</v>
      </c>
      <c r="F6" s="15">
        <f>J6*D6</f>
        <v>416800</v>
      </c>
      <c r="G6" s="15">
        <f>+E6-F6</f>
        <v>-229539</v>
      </c>
      <c r="H6" s="14">
        <f>ABS(G6/F6)</f>
        <v>0.55071737044145874</v>
      </c>
      <c r="I6" s="15">
        <f>E6/D6</f>
        <v>12.836646558815465</v>
      </c>
      <c r="J6" s="15">
        <f>200/7</f>
        <v>28.571428571428573</v>
      </c>
      <c r="K6" s="15">
        <f>+I6-J6</f>
        <v>-15.734782012613108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9 ABR'!C7, 'REPORTE DIARIO'!C:C)</f>
        <v>11037</v>
      </c>
      <c r="E7" s="15">
        <f>SUMIF('REPORTE DIARIO'!B:B,'EPR 9 ABR'!C7, 'REPORTE DIARIO'!D:D)</f>
        <v>60345.75</v>
      </c>
      <c r="F7" s="15">
        <f>J7*D7</f>
        <v>173438.57142857142</v>
      </c>
      <c r="G7" s="15">
        <f>+E7-F7</f>
        <v>-113092.82142857142</v>
      </c>
      <c r="H7" s="14">
        <f>ABS(G7/F7)</f>
        <v>0.65206268996021644</v>
      </c>
      <c r="I7" s="15">
        <f>E7/D7</f>
        <v>5.4675863006251699</v>
      </c>
      <c r="J7" s="15">
        <f>110/7</f>
        <v>15.714285714285714</v>
      </c>
      <c r="K7" s="15">
        <f t="shared" ref="K7:K9" si="0">+I7-J7</f>
        <v>-10.246699413660544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9 ABR'!C8, 'REPORTE DIARIO'!C:C)</f>
        <v>17242</v>
      </c>
      <c r="E8" s="15">
        <f>SUMIF('REPORTE DIARIO'!B:B,'EPR 9 ABR'!C8, 'REPORTE DIARIO'!D:D)</f>
        <v>30114</v>
      </c>
      <c r="F8" s="15">
        <f>J8*D8</f>
        <v>110841.42857142858</v>
      </c>
      <c r="G8" s="15">
        <f>+E8-F8</f>
        <v>-80727.42857142858</v>
      </c>
      <c r="H8" s="14">
        <f>ABS(G8/F8)</f>
        <v>0.72831458067509569</v>
      </c>
      <c r="I8" s="15">
        <f>E8/D8</f>
        <v>1.7465491242315276</v>
      </c>
      <c r="J8" s="15">
        <f>45/7</f>
        <v>6.4285714285714288</v>
      </c>
      <c r="K8" s="15">
        <f t="shared" si="0"/>
        <v>-4.6820223043399007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9 ABR'!C9, 'REPORTE DIARIO'!C:C)</f>
        <v>65111</v>
      </c>
      <c r="E9" s="15">
        <f>SUMIF('REPORTE DIARIO'!B:B,'EPR 9 ABR'!C9, 'REPORTE DIARIO'!D:D)</f>
        <v>14977.01</v>
      </c>
      <c r="F9" s="15">
        <f>J9*D9</f>
        <v>139523.57142857142</v>
      </c>
      <c r="G9" s="15">
        <f>+E9-F9</f>
        <v>-124546.56142857143</v>
      </c>
      <c r="H9" s="14">
        <f>ABS(G9/F9)</f>
        <v>0.89265605914003265</v>
      </c>
      <c r="I9" s="15">
        <f>E9/D9</f>
        <v>0.23002273041421573</v>
      </c>
      <c r="J9" s="15">
        <f>15/7</f>
        <v>2.1428571428571428</v>
      </c>
      <c r="K9" s="15">
        <f t="shared" si="0"/>
        <v>-1.9128344124429271</v>
      </c>
    </row>
    <row r="10" spans="2:12" x14ac:dyDescent="0.25">
      <c r="B10" s="15"/>
      <c r="C10" s="18" t="s">
        <v>16</v>
      </c>
      <c r="D10" s="23">
        <f>SUM(D6:D9)</f>
        <v>107978</v>
      </c>
      <c r="E10" s="19">
        <f>SUM(E6:E9)</f>
        <v>292697.76</v>
      </c>
      <c r="F10" s="19">
        <f>SUM(F6:F9)</f>
        <v>840603.57142857136</v>
      </c>
      <c r="G10" s="19">
        <f>+E10-F10</f>
        <v>-547905.81142857135</v>
      </c>
      <c r="H10" s="20">
        <f>ABS(G10/F10)</f>
        <v>0.65180048009720903</v>
      </c>
      <c r="I10" s="19">
        <f>E10/D10</f>
        <v>2.7107166274611494</v>
      </c>
      <c r="J10" s="19">
        <f>F10/D10</f>
        <v>7.7849522257179364</v>
      </c>
      <c r="K10" s="19">
        <f>I10-J10</f>
        <v>-5.074235598256787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9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2025-04-10T02:27:40Z</dcterms:modified>
</cp:coreProperties>
</file>