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9 ABRIL\MAÑANA\"/>
    </mc:Choice>
  </mc:AlternateContent>
  <xr:revisionPtr revIDLastSave="0" documentId="13_ncr:1_{13165269-2100-4221-8420-BF24C6AAAE70}" xr6:coauthVersionLast="47" xr6:coauthVersionMax="47" xr10:uidLastSave="{00000000-0000-0000-0000-000000000000}"/>
  <bookViews>
    <workbookView xWindow="14820" yWindow="3105" windowWidth="10875" windowHeight="7575" xr2:uid="{4DC6C92A-CD8A-4966-829B-0B6A986E825B}"/>
  </bookViews>
  <sheets>
    <sheet name="REPORTE DIARIO" sheetId="1" r:id="rId1"/>
    <sheet name="DATA" sheetId="4" r:id="rId2"/>
    <sheet name="EPR 8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32" i="1" l="1"/>
  <c r="C32" i="1"/>
  <c r="D40" i="1"/>
  <c r="C40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<sst xmlns="http://schemas.openxmlformats.org/spreadsheetml/2006/main" count="88" uniqueCount="37">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</sst>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0" xfId="0" applyNumberFormat="1" applyFill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5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5974</v>
      </c>
      <c r="D5" s="25">
        <v>108851.72</v>
      </c>
    </row>
    <row r="6" spans="2:8" x14ac:dyDescent="0.25">
      <c r="B6" s="1" t="s">
        <v>5</v>
      </c>
      <c r="C6" s="6">
        <v>6603</v>
      </c>
      <c r="D6" s="25">
        <v>84331.02</v>
      </c>
    </row>
    <row r="7" spans="2:8" x14ac:dyDescent="0.25">
      <c r="B7" s="1" t="s">
        <v>6</v>
      </c>
      <c r="C7" s="6">
        <v>9901</v>
      </c>
      <c r="D7" s="25">
        <v>55527</v>
      </c>
    </row>
    <row r="8" spans="2:8" x14ac:dyDescent="0.25">
      <c r="B8" s="5" t="s">
        <v>12</v>
      </c>
      <c r="C8" s="7">
        <v>21</v>
      </c>
      <c r="D8" s="27">
        <v>0</v>
      </c>
    </row>
    <row r="9" spans="2:8" x14ac:dyDescent="0.25">
      <c r="B9" s="1" t="s">
        <v>7</v>
      </c>
      <c r="C9" s="6">
        <v>28925</v>
      </c>
      <c r="D9" s="25">
        <v>93642.84</v>
      </c>
      <c r="F9" s="7"/>
    </row>
    <row r="10" spans="2:8" x14ac:dyDescent="0.25">
      <c r="B10" s="3" t="s">
        <v>8</v>
      </c>
      <c r="C10" s="8">
        <f>SUM(C5:C9)</f>
        <v>51424</v>
      </c>
      <c r="D10" s="4">
        <f>SUM(D5:D9)</f>
        <v>342352.57999999996</v>
      </c>
      <c r="E10" s="11" t="s">
        <v>14</v>
      </c>
    </row>
    <row r="12" spans="2:8" x14ac:dyDescent="0.25">
      <c r="B12" s="28" t="s">
        <v>34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2618</v>
      </c>
      <c r="D14" s="25">
        <v>47162.58</v>
      </c>
    </row>
    <row r="15" spans="2:8" x14ac:dyDescent="0.25">
      <c r="B15" s="1" t="s">
        <v>5</v>
      </c>
      <c r="C15" s="6">
        <v>1406</v>
      </c>
      <c r="D15" s="25">
        <v>55301</v>
      </c>
    </row>
    <row r="16" spans="2:8" x14ac:dyDescent="0.25">
      <c r="B16" s="1" t="s">
        <v>6</v>
      </c>
      <c r="C16" s="6">
        <v>3298</v>
      </c>
      <c r="D16" s="25">
        <v>11299</v>
      </c>
    </row>
    <row r="17" spans="2:11" x14ac:dyDescent="0.25">
      <c r="B17" s="5" t="s">
        <v>12</v>
      </c>
      <c r="C17" s="7">
        <v>2</v>
      </c>
      <c r="D17" s="30">
        <v>0</v>
      </c>
    </row>
    <row r="18" spans="2:11" x14ac:dyDescent="0.25">
      <c r="B18" s="1" t="s">
        <v>7</v>
      </c>
      <c r="C18" s="6">
        <v>21152</v>
      </c>
      <c r="D18" s="25">
        <v>33364.009999999995</v>
      </c>
    </row>
    <row r="19" spans="2:11" x14ac:dyDescent="0.25">
      <c r="B19" s="3" t="s">
        <v>8</v>
      </c>
      <c r="C19" s="8">
        <f>SUM(C14:C18)</f>
        <v>28476</v>
      </c>
      <c r="D19" s="4">
        <f>SUM(D14:D18)</f>
        <v>147126.59</v>
      </c>
    </row>
    <row r="21" spans="2:11" x14ac:dyDescent="0.25">
      <c r="B21" s="29" t="s">
        <v>10</v>
      </c>
      <c r="C21" s="29"/>
      <c r="D21" s="29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1702</v>
      </c>
      <c r="D23" s="25">
        <v>57758.57</v>
      </c>
    </row>
    <row r="24" spans="2:11" x14ac:dyDescent="0.25">
      <c r="B24" s="9" t="s">
        <v>5</v>
      </c>
      <c r="C24" s="6">
        <v>1509</v>
      </c>
      <c r="D24" s="25">
        <v>45106.78</v>
      </c>
    </row>
    <row r="25" spans="2:11" x14ac:dyDescent="0.25">
      <c r="B25" s="9" t="s">
        <v>6</v>
      </c>
      <c r="C25" s="6">
        <v>854</v>
      </c>
      <c r="D25" s="25">
        <v>7333</v>
      </c>
    </row>
    <row r="26" spans="2:11" x14ac:dyDescent="0.25">
      <c r="B26" s="9" t="s">
        <v>7</v>
      </c>
      <c r="C26" s="6">
        <v>8820</v>
      </c>
      <c r="D26" s="25">
        <v>15316.869999999999</v>
      </c>
    </row>
    <row r="27" spans="2:11" x14ac:dyDescent="0.25">
      <c r="B27" s="10" t="s">
        <v>8</v>
      </c>
      <c r="C27" s="8">
        <f>SUM(C23:C26)</f>
        <v>12885</v>
      </c>
      <c r="D27" s="4">
        <f>SUM(D23:D26)</f>
        <v>125515.22</v>
      </c>
      <c r="K27" s="7"/>
    </row>
    <row r="29" spans="2:11" x14ac:dyDescent="0.25">
      <c r="B29" s="29" t="s">
        <v>11</v>
      </c>
      <c r="C29" s="29"/>
      <c r="D29" s="29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2748</v>
      </c>
      <c r="D31" s="25">
        <v>109492</v>
      </c>
    </row>
    <row r="32" spans="2:11" x14ac:dyDescent="0.25">
      <c r="B32" s="10" t="s">
        <v>8</v>
      </c>
      <c r="C32" s="8">
        <f>SUM(C31:C31)</f>
        <v>2748</v>
      </c>
      <c r="D32" s="4">
        <f>SUM(D31:D31)</f>
        <v>109492</v>
      </c>
    </row>
    <row r="34" spans="2:4" x14ac:dyDescent="0.25">
      <c r="B34" s="28" t="s">
        <v>9</v>
      </c>
      <c r="C34" s="28"/>
      <c r="D34" s="28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1408</v>
      </c>
      <c r="D36" s="25">
        <v>39819.25</v>
      </c>
    </row>
    <row r="37" spans="2:4" x14ac:dyDescent="0.25">
      <c r="B37" s="9" t="s">
        <v>5</v>
      </c>
      <c r="C37" s="6">
        <v>1308</v>
      </c>
      <c r="D37" s="25">
        <v>5635</v>
      </c>
    </row>
    <row r="38" spans="2:4" x14ac:dyDescent="0.25">
      <c r="B38" s="9" t="s">
        <v>6</v>
      </c>
      <c r="C38" s="6">
        <v>2908</v>
      </c>
      <c r="D38" s="25">
        <v>930</v>
      </c>
    </row>
    <row r="39" spans="2:4" x14ac:dyDescent="0.25">
      <c r="B39" s="9" t="s">
        <v>7</v>
      </c>
      <c r="C39" s="6">
        <v>1828</v>
      </c>
      <c r="D39" s="25">
        <v>97</v>
      </c>
    </row>
    <row r="40" spans="2:4" x14ac:dyDescent="0.25">
      <c r="B40" s="10" t="s">
        <v>8</v>
      </c>
      <c r="C40" s="8">
        <f>SUM(C36:C39)</f>
        <v>7452</v>
      </c>
      <c r="D40" s="4">
        <f>SUM(D36:D39)</f>
        <v>46481.25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2844</v>
      </c>
    </row>
    <row r="45" spans="2:4" x14ac:dyDescent="0.25">
      <c r="B45" s="1" t="s">
        <v>5</v>
      </c>
      <c r="C45" s="6">
        <v>182</v>
      </c>
      <c r="D45" s="25">
        <v>600</v>
      </c>
    </row>
    <row r="46" spans="2:4" x14ac:dyDescent="0.25">
      <c r="B46" s="1" t="s">
        <v>6</v>
      </c>
      <c r="C46" s="6">
        <v>194</v>
      </c>
      <c r="D46" s="26">
        <v>0</v>
      </c>
    </row>
    <row r="47" spans="2:4" x14ac:dyDescent="0.25">
      <c r="B47" s="1" t="s">
        <v>7</v>
      </c>
      <c r="C47" s="6">
        <v>1852</v>
      </c>
      <c r="D47" s="25">
        <v>3355</v>
      </c>
    </row>
    <row r="48" spans="2:4" x14ac:dyDescent="0.25">
      <c r="B48" s="3" t="s">
        <v>8</v>
      </c>
      <c r="C48" s="8">
        <f>SUM(C44:C47)</f>
        <v>2267</v>
      </c>
      <c r="D48" s="4">
        <f>SUM(D44:D47)</f>
        <v>6799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69</v>
      </c>
      <c r="D52" s="27">
        <v>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153</v>
      </c>
      <c r="D56" s="4">
        <f>SUM(D52:D55)</f>
        <v>0</v>
      </c>
    </row>
    <row r="58" spans="2:4" x14ac:dyDescent="0.25">
      <c r="B58" s="12" t="s">
        <v>13</v>
      </c>
      <c r="C58" s="13">
        <f>SUM(C10+C27+C56+C40+C32+C19+C48)</f>
        <v>105405</v>
      </c>
      <c r="D58" s="13">
        <f>SUM(D10+D27+D56+D40+D32+D19+D48)</f>
        <v>777766.6399999999</v>
      </c>
    </row>
  </sheetData>
  <mergeCells count="7">
    <mergeCell ref="B12:D12"/>
    <mergeCell ref="B42:D42"/>
    <mergeCell ref="B3:D3"/>
    <mergeCell ref="B50:D50"/>
    <mergeCell ref="B21:D21"/>
    <mergeCell ref="B34:D34"/>
    <mergeCell ref="B29:D2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8 ABR'!C6, 'REPORTE DIARIO'!C:C)</f>
        <v>14558</v>
      </c>
      <c r="E6" s="16">
        <f>SUMIF('REPORTE DIARIO'!B:B,'EPR 8 ABR'!C6, 'REPORTE DIARIO'!D:D)</f>
        <v>365928.12</v>
      </c>
      <c r="F6" s="16">
        <f>J6*D6</f>
        <v>831885.71428571432</v>
      </c>
      <c r="G6" s="16">
        <f>+E6-F6</f>
        <v>-465957.59428571432</v>
      </c>
      <c r="H6" s="15">
        <f>ABS(G6/F6)</f>
        <v>0.56012212529193572</v>
      </c>
      <c r="I6" s="16">
        <f>E6/D6</f>
        <v>25.13587855474653</v>
      </c>
      <c r="J6" s="16">
        <f>(200/7)*2</f>
        <v>57.142857142857146</v>
      </c>
      <c r="K6" s="16">
        <f>+I6-J6</f>
        <v>-32.006978588110613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8 ABR'!C7, 'REPORTE DIARIO'!C:C)</f>
        <v>11070</v>
      </c>
      <c r="E7" s="16">
        <f>SUMIF('REPORTE DIARIO'!B:B,'EPR 8 ABR'!C7, 'REPORTE DIARIO'!D:D)</f>
        <v>190973.80000000002</v>
      </c>
      <c r="F7" s="16">
        <f>J7*D7</f>
        <v>347914.28571428568</v>
      </c>
      <c r="G7" s="16">
        <f>+E7-F7</f>
        <v>-156940.48571428566</v>
      </c>
      <c r="H7" s="15">
        <f>ABS(G7/F7)</f>
        <v>0.4510895130163422</v>
      </c>
      <c r="I7" s="16">
        <f>E7/D7</f>
        <v>17.251472448057815</v>
      </c>
      <c r="J7" s="16">
        <f>(110/7)*2</f>
        <v>31.428571428571427</v>
      </c>
      <c r="K7" s="16">
        <f t="shared" ref="K7:K9" si="0">+I7-J7</f>
        <v>-14.177098980513613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8 ABR'!C8, 'REPORTE DIARIO'!C:C)</f>
        <v>17168</v>
      </c>
      <c r="E8" s="16">
        <f>SUMIF('REPORTE DIARIO'!B:B,'EPR 8 ABR'!C8, 'REPORTE DIARIO'!D:D)</f>
        <v>75089</v>
      </c>
      <c r="F8" s="16">
        <f>J8*D8</f>
        <v>220731.42857142858</v>
      </c>
      <c r="G8" s="16">
        <f>+E8-F8</f>
        <v>-145642.42857142858</v>
      </c>
      <c r="H8" s="15">
        <f>ABS(G8/F8)</f>
        <v>0.65981736046391215</v>
      </c>
      <c r="I8" s="16">
        <f>E8/D8</f>
        <v>4.3737767940354146</v>
      </c>
      <c r="J8" s="16">
        <f>(45/7)*2</f>
        <v>12.857142857142858</v>
      </c>
      <c r="K8" s="16">
        <f t="shared" si="0"/>
        <v>-8.483366063107443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8 ABR'!C9, 'REPORTE DIARIO'!C:C)</f>
        <v>62586</v>
      </c>
      <c r="E9" s="16">
        <f>SUMIF('REPORTE DIARIO'!B:B,'EPR 8 ABR'!C9, 'REPORTE DIARIO'!D:D)</f>
        <v>145775.72</v>
      </c>
      <c r="F9" s="16">
        <f>J9*D9</f>
        <v>268225.71428571426</v>
      </c>
      <c r="G9" s="16">
        <f>+E9-F9</f>
        <v>-122449.99428571426</v>
      </c>
      <c r="H9" s="15">
        <f>ABS(G9/F9)</f>
        <v>0.45651847591048045</v>
      </c>
      <c r="I9" s="16">
        <f>E9/D9</f>
        <v>2.3292065318122264</v>
      </c>
      <c r="J9" s="16">
        <f>(15/7)*2</f>
        <v>4.2857142857142856</v>
      </c>
      <c r="K9" s="16">
        <f t="shared" si="0"/>
        <v>-1.9565077539020592</v>
      </c>
    </row>
    <row r="10" spans="2:12" x14ac:dyDescent="0.25">
      <c r="B10" s="16"/>
      <c r="C10" s="19" t="s">
        <v>17</v>
      </c>
      <c r="D10" s="24">
        <f>SUM(D6:D9)</f>
        <v>105382</v>
      </c>
      <c r="E10" s="20">
        <f>SUM(E6:E9)</f>
        <v>777766.64</v>
      </c>
      <c r="F10" s="20">
        <f>SUM(F6:F9)</f>
        <v>1668757.142857143</v>
      </c>
      <c r="G10" s="20">
        <f>+E10-F10</f>
        <v>-890990.50285714294</v>
      </c>
      <c r="H10" s="21">
        <f>ABS(G10/F10)</f>
        <v>0.5339246077063341</v>
      </c>
      <c r="I10" s="20">
        <f>E10/D10</f>
        <v>7.3804505513275513</v>
      </c>
      <c r="J10" s="20">
        <f>F10/D10</f>
        <v>15.835314786748619</v>
      </c>
      <c r="K10" s="20">
        <f>I10-J10</f>
        <v>-8.4548642354210664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8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2025-04-09T15:10:18Z</dcterms:modified>
</cp:coreProperties>
</file>