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8 ABRIL\MAÑANA\"/>
    </mc:Choice>
  </mc:AlternateContent>
  <xr:revisionPtr revIDLastSave="0" documentId="13_ncr:1_{DD60944C-5458-4F17-8920-263572973EAE}" xr6:coauthVersionLast="47" xr6:coauthVersionMax="47" xr10:uidLastSave="{00000000-0000-0000-0000-000000000000}"/>
  <bookViews>
    <workbookView xWindow="13095" yWindow="1380" windowWidth="10875" windowHeight="7575" xr2:uid="{4DC6C92A-CD8A-4966-829B-0B6A986E825B}"/>
  </bookViews>
  <sheets>
    <sheet name="REPORTE DIARIO" sheetId="1" r:id="rId1"/>
    <sheet name="DATA" sheetId="4" r:id="rId2"/>
    <sheet name="EPR 8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24" i="1"/>
  <c r="C24" i="1"/>
  <c r="D15" i="1" l="1"/>
  <c r="C15" i="1"/>
  <c r="D40" i="1"/>
  <c r="C40" i="1"/>
  <c r="D32" i="1"/>
  <c r="C32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<sst xmlns="http://schemas.openxmlformats.org/spreadsheetml/2006/main" count="88" uniqueCount="37">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</sst>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9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5817</v>
      </c>
      <c r="D5" s="25">
        <v>59682.1</v>
      </c>
    </row>
    <row r="6" spans="2:8" x14ac:dyDescent="0.25">
      <c r="B6" s="1" t="s">
        <v>5</v>
      </c>
      <c r="C6" s="6">
        <v>6662</v>
      </c>
      <c r="D6" s="25">
        <v>47776.01</v>
      </c>
    </row>
    <row r="7" spans="2:8" x14ac:dyDescent="0.25">
      <c r="B7" s="1" t="s">
        <v>6</v>
      </c>
      <c r="C7" s="6">
        <v>9905</v>
      </c>
      <c r="D7" s="25">
        <v>32480</v>
      </c>
    </row>
    <row r="8" spans="2:8" x14ac:dyDescent="0.25">
      <c r="B8" s="5" t="s">
        <v>12</v>
      </c>
      <c r="C8" s="7">
        <v>21</v>
      </c>
      <c r="D8" s="25">
        <v>0</v>
      </c>
    </row>
    <row r="9" spans="2:8" x14ac:dyDescent="0.25">
      <c r="B9" s="1" t="s">
        <v>7</v>
      </c>
      <c r="C9" s="6">
        <v>28902</v>
      </c>
      <c r="D9" s="25">
        <v>54064.240000000005</v>
      </c>
      <c r="F9" s="7"/>
    </row>
    <row r="10" spans="2:8" x14ac:dyDescent="0.25">
      <c r="B10" s="3" t="s">
        <v>8</v>
      </c>
      <c r="C10" s="8">
        <f>SUM(C5:C9)</f>
        <v>51307</v>
      </c>
      <c r="D10" s="4">
        <f>SUM(D5:D9)</f>
        <v>194002.34999999998</v>
      </c>
      <c r="E10" s="11" t="s">
        <v>14</v>
      </c>
    </row>
    <row r="12" spans="2:8" x14ac:dyDescent="0.25">
      <c r="B12" s="29" t="s">
        <v>11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2704</v>
      </c>
      <c r="D14" s="25">
        <v>102361</v>
      </c>
    </row>
    <row r="15" spans="2:8" x14ac:dyDescent="0.25">
      <c r="B15" s="10" t="s">
        <v>8</v>
      </c>
      <c r="C15" s="8">
        <f>SUM(C14:C14)</f>
        <v>2704</v>
      </c>
      <c r="D15" s="4">
        <f>SUM(D14:D14)</f>
        <v>102361</v>
      </c>
    </row>
    <row r="17" spans="2:11" x14ac:dyDescent="0.25">
      <c r="B17" s="28" t="s">
        <v>34</v>
      </c>
      <c r="C17" s="28"/>
      <c r="D17" s="28"/>
    </row>
    <row r="18" spans="2:11" x14ac:dyDescent="0.25">
      <c r="B18" s="2" t="s">
        <v>1</v>
      </c>
      <c r="C18" s="2" t="s">
        <v>2</v>
      </c>
      <c r="D18" s="2" t="s">
        <v>3</v>
      </c>
    </row>
    <row r="19" spans="2:11" x14ac:dyDescent="0.25">
      <c r="B19" s="1" t="s">
        <v>4</v>
      </c>
      <c r="C19" s="6">
        <v>2622</v>
      </c>
      <c r="D19" s="25">
        <v>32217.579999999998</v>
      </c>
    </row>
    <row r="20" spans="2:11" x14ac:dyDescent="0.25">
      <c r="B20" s="1" t="s">
        <v>5</v>
      </c>
      <c r="C20" s="6">
        <v>1387</v>
      </c>
      <c r="D20" s="25">
        <v>8210</v>
      </c>
    </row>
    <row r="21" spans="2:11" x14ac:dyDescent="0.25">
      <c r="B21" s="1" t="s">
        <v>6</v>
      </c>
      <c r="C21" s="6">
        <v>3298</v>
      </c>
      <c r="D21" s="25">
        <v>7212</v>
      </c>
    </row>
    <row r="22" spans="2:11" x14ac:dyDescent="0.25">
      <c r="B22" s="5" t="s">
        <v>12</v>
      </c>
      <c r="C22" s="7">
        <v>2</v>
      </c>
      <c r="D22" s="27">
        <v>0</v>
      </c>
    </row>
    <row r="23" spans="2:11" x14ac:dyDescent="0.25">
      <c r="B23" s="1" t="s">
        <v>7</v>
      </c>
      <c r="C23" s="6">
        <v>21142</v>
      </c>
      <c r="D23" s="25">
        <v>21351</v>
      </c>
    </row>
    <row r="24" spans="2:11" x14ac:dyDescent="0.25">
      <c r="B24" s="3" t="s">
        <v>8</v>
      </c>
      <c r="C24" s="8">
        <f>SUM(C19:C23)</f>
        <v>28451</v>
      </c>
      <c r="D24" s="4">
        <f>SUM(D19:D23)</f>
        <v>68990.58</v>
      </c>
    </row>
    <row r="26" spans="2:11" x14ac:dyDescent="0.25">
      <c r="B26" s="29" t="s">
        <v>10</v>
      </c>
      <c r="C26" s="29"/>
      <c r="D26" s="29"/>
    </row>
    <row r="27" spans="2:11" x14ac:dyDescent="0.25">
      <c r="B27" s="4" t="s">
        <v>1</v>
      </c>
      <c r="C27" s="4" t="s">
        <v>2</v>
      </c>
      <c r="D27" s="4" t="s">
        <v>3</v>
      </c>
      <c r="K27" s="7"/>
    </row>
    <row r="28" spans="2:11" x14ac:dyDescent="0.25">
      <c r="B28" s="9" t="s">
        <v>4</v>
      </c>
      <c r="C28" s="6">
        <v>1681</v>
      </c>
      <c r="D28" s="25">
        <v>26938.97</v>
      </c>
    </row>
    <row r="29" spans="2:11" x14ac:dyDescent="0.25">
      <c r="B29" s="9" t="s">
        <v>5</v>
      </c>
      <c r="C29" s="6">
        <v>1509</v>
      </c>
      <c r="D29" s="25">
        <v>9168</v>
      </c>
    </row>
    <row r="30" spans="2:11" x14ac:dyDescent="0.25">
      <c r="B30" s="9" t="s">
        <v>6</v>
      </c>
      <c r="C30" s="6">
        <v>854</v>
      </c>
      <c r="D30" s="25">
        <v>4603</v>
      </c>
    </row>
    <row r="31" spans="2:11" x14ac:dyDescent="0.25">
      <c r="B31" s="9" t="s">
        <v>7</v>
      </c>
      <c r="C31" s="6">
        <v>8369</v>
      </c>
      <c r="D31" s="25">
        <v>10331.869999999999</v>
      </c>
    </row>
    <row r="32" spans="2:11" x14ac:dyDescent="0.25">
      <c r="B32" s="10" t="s">
        <v>8</v>
      </c>
      <c r="C32" s="8">
        <f>SUM(C28:C31)</f>
        <v>12413</v>
      </c>
      <c r="D32" s="4">
        <f>SUM(D28:D31)</f>
        <v>51041.84</v>
      </c>
    </row>
    <row r="34" spans="2:4" x14ac:dyDescent="0.25">
      <c r="B34" s="28" t="s">
        <v>9</v>
      </c>
      <c r="C34" s="28"/>
      <c r="D34" s="28"/>
    </row>
    <row r="35" spans="2:4" x14ac:dyDescent="0.25">
      <c r="B35" s="2" t="s">
        <v>1</v>
      </c>
      <c r="C35" s="2" t="s">
        <v>2</v>
      </c>
      <c r="D35" s="2" t="s">
        <v>3</v>
      </c>
    </row>
    <row r="36" spans="2:4" x14ac:dyDescent="0.25">
      <c r="B36" s="9" t="s">
        <v>4</v>
      </c>
      <c r="C36" s="6">
        <v>1411</v>
      </c>
      <c r="D36" s="25">
        <v>22313.3</v>
      </c>
    </row>
    <row r="37" spans="2:4" x14ac:dyDescent="0.25">
      <c r="B37" s="9" t="s">
        <v>5</v>
      </c>
      <c r="C37" s="6">
        <v>1303</v>
      </c>
      <c r="D37" s="25">
        <v>3802</v>
      </c>
    </row>
    <row r="38" spans="2:4" x14ac:dyDescent="0.25">
      <c r="B38" s="9" t="s">
        <v>6</v>
      </c>
      <c r="C38" s="6">
        <v>2922</v>
      </c>
      <c r="D38" s="25">
        <v>930</v>
      </c>
    </row>
    <row r="39" spans="2:4" x14ac:dyDescent="0.25">
      <c r="B39" s="9" t="s">
        <v>7</v>
      </c>
      <c r="C39" s="6">
        <v>1828</v>
      </c>
      <c r="D39" s="25">
        <v>97</v>
      </c>
    </row>
    <row r="40" spans="2:4" x14ac:dyDescent="0.25">
      <c r="B40" s="10" t="s">
        <v>8</v>
      </c>
      <c r="C40" s="8">
        <f>SUM(C36:C39)</f>
        <v>7464</v>
      </c>
      <c r="D40" s="4">
        <f>SUM(D36:D39)</f>
        <v>27142.3</v>
      </c>
    </row>
    <row r="42" spans="2:4" x14ac:dyDescent="0.25">
      <c r="B42" s="28" t="s">
        <v>35</v>
      </c>
      <c r="C42" s="28"/>
      <c r="D42" s="28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2844</v>
      </c>
    </row>
    <row r="45" spans="2:4" x14ac:dyDescent="0.25">
      <c r="B45" s="1" t="s">
        <v>5</v>
      </c>
      <c r="C45" s="6">
        <v>165</v>
      </c>
      <c r="D45" s="26">
        <v>0</v>
      </c>
    </row>
    <row r="46" spans="2:4" x14ac:dyDescent="0.25">
      <c r="B46" s="1" t="s">
        <v>6</v>
      </c>
      <c r="C46" s="6">
        <v>178</v>
      </c>
      <c r="D46" s="26">
        <v>0</v>
      </c>
    </row>
    <row r="47" spans="2:4" x14ac:dyDescent="0.25">
      <c r="B47" s="1" t="s">
        <v>7</v>
      </c>
      <c r="C47" s="6">
        <v>1843</v>
      </c>
      <c r="D47" s="25">
        <v>1655</v>
      </c>
    </row>
    <row r="48" spans="2:4" x14ac:dyDescent="0.25">
      <c r="B48" s="3" t="s">
        <v>8</v>
      </c>
      <c r="C48" s="8">
        <f>SUM(C44:C47)</f>
        <v>2225</v>
      </c>
      <c r="D48" s="4">
        <f>SUM(D44:D47)</f>
        <v>4499</v>
      </c>
    </row>
    <row r="50" spans="2:4" x14ac:dyDescent="0.25">
      <c r="B50" s="29" t="s">
        <v>32</v>
      </c>
      <c r="C50" s="29"/>
      <c r="D50" s="29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7">
        <v>0</v>
      </c>
    </row>
    <row r="53" spans="2:4" x14ac:dyDescent="0.25">
      <c r="B53" s="9" t="s">
        <v>5</v>
      </c>
      <c r="C53" s="6">
        <v>62</v>
      </c>
      <c r="D53" s="27">
        <v>0</v>
      </c>
    </row>
    <row r="54" spans="2:4" x14ac:dyDescent="0.25">
      <c r="B54" s="9" t="s">
        <v>6</v>
      </c>
      <c r="C54" s="6">
        <v>13</v>
      </c>
      <c r="D54" s="27">
        <v>0</v>
      </c>
    </row>
    <row r="55" spans="2:4" x14ac:dyDescent="0.25">
      <c r="B55" s="9" t="s">
        <v>7</v>
      </c>
      <c r="C55" s="6">
        <v>9</v>
      </c>
      <c r="D55" s="27">
        <v>0</v>
      </c>
    </row>
    <row r="56" spans="2:4" x14ac:dyDescent="0.25">
      <c r="B56" s="10" t="s">
        <v>8</v>
      </c>
      <c r="C56" s="8">
        <f>SUM(C52:C55)</f>
        <v>152</v>
      </c>
      <c r="D56" s="4">
        <f>SUM(D52:D55)</f>
        <v>0</v>
      </c>
    </row>
    <row r="58" spans="2:4" x14ac:dyDescent="0.25">
      <c r="B58" s="12" t="s">
        <v>13</v>
      </c>
      <c r="C58" s="13">
        <f>SUM(C10+C32+C56+C40+C15+C24+C48)</f>
        <v>104716</v>
      </c>
      <c r="D58" s="13">
        <f>SUM(D10+D32+D56+D40+D15+D24+D48)</f>
        <v>448037.07</v>
      </c>
    </row>
  </sheetData>
  <mergeCells count="7">
    <mergeCell ref="B17:D17"/>
    <mergeCell ref="B42:D42"/>
    <mergeCell ref="B3:D3"/>
    <mergeCell ref="B50:D50"/>
    <mergeCell ref="B26:D26"/>
    <mergeCell ref="B34:D34"/>
    <mergeCell ref="B12:D1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8 ABR'!C6, 'REPORTE DIARIO'!C:C)</f>
        <v>14342</v>
      </c>
      <c r="E6" s="16">
        <f>SUMIF('REPORTE DIARIO'!B:B,'EPR 8 ABR'!C6, 'REPORTE DIARIO'!D:D)</f>
        <v>246356.94999999998</v>
      </c>
      <c r="F6" s="16">
        <f>J6*D6</f>
        <v>819542.85714285716</v>
      </c>
      <c r="G6" s="16">
        <f>+E6-F6</f>
        <v>-573185.90714285721</v>
      </c>
      <c r="H6" s="15">
        <f>ABS(G6/F6)</f>
        <v>0.69939711163017715</v>
      </c>
      <c r="I6" s="16">
        <f>E6/D6</f>
        <v>17.177307906847023</v>
      </c>
      <c r="J6" s="16">
        <f>(200/7)*2</f>
        <v>57.142857142857146</v>
      </c>
      <c r="K6" s="16">
        <f>+I6-J6</f>
        <v>-39.965549236010119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8 ABR'!C7, 'REPORTE DIARIO'!C:C)</f>
        <v>11088</v>
      </c>
      <c r="E7" s="16">
        <f>SUMIF('REPORTE DIARIO'!B:B,'EPR 8 ABR'!C7, 'REPORTE DIARIO'!D:D)</f>
        <v>68956.010000000009</v>
      </c>
      <c r="F7" s="16">
        <f>J7*D7</f>
        <v>348480</v>
      </c>
      <c r="G7" s="16">
        <f>+E7-F7</f>
        <v>-279523.99</v>
      </c>
      <c r="H7" s="15">
        <f>ABS(G7/F7)</f>
        <v>0.80212347910927451</v>
      </c>
      <c r="I7" s="16">
        <f>E7/D7</f>
        <v>6.2189763708513714</v>
      </c>
      <c r="J7" s="16">
        <f>(110/7)*2</f>
        <v>31.428571428571427</v>
      </c>
      <c r="K7" s="16">
        <f t="shared" ref="K7:K9" si="0">+I7-J7</f>
        <v>-25.209595057720055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8 ABR'!C8, 'REPORTE DIARIO'!C:C)</f>
        <v>17170</v>
      </c>
      <c r="E8" s="16">
        <f>SUMIF('REPORTE DIARIO'!B:B,'EPR 8 ABR'!C8, 'REPORTE DIARIO'!D:D)</f>
        <v>45225</v>
      </c>
      <c r="F8" s="16">
        <f>J8*D8</f>
        <v>220757.14285714287</v>
      </c>
      <c r="G8" s="16">
        <f>+E8-F8</f>
        <v>-175532.14285714287</v>
      </c>
      <c r="H8" s="15">
        <f>ABS(G8/F8)</f>
        <v>0.79513686662783922</v>
      </c>
      <c r="I8" s="16">
        <f>E8/D8</f>
        <v>2.6339545719277808</v>
      </c>
      <c r="J8" s="16">
        <f>(45/7)*2</f>
        <v>12.857142857142858</v>
      </c>
      <c r="K8" s="16">
        <f t="shared" si="0"/>
        <v>-10.223188285215077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8 ABR'!C9, 'REPORTE DIARIO'!C:C)</f>
        <v>62093</v>
      </c>
      <c r="E9" s="16">
        <f>SUMIF('REPORTE DIARIO'!B:B,'EPR 8 ABR'!C9, 'REPORTE DIARIO'!D:D)</f>
        <v>87499.11</v>
      </c>
      <c r="F9" s="16">
        <f>J9*D9</f>
        <v>266112.85714285716</v>
      </c>
      <c r="G9" s="16">
        <f>+E9-F9</f>
        <v>-178613.74714285717</v>
      </c>
      <c r="H9" s="15">
        <f>ABS(G9/F9)</f>
        <v>0.67119548097209036</v>
      </c>
      <c r="I9" s="16">
        <f>E9/D9</f>
        <v>1.4091622244053275</v>
      </c>
      <c r="J9" s="16">
        <f>(15/7)*2</f>
        <v>4.2857142857142856</v>
      </c>
      <c r="K9" s="16">
        <f t="shared" si="0"/>
        <v>-2.8765520613089581</v>
      </c>
    </row>
    <row r="10" spans="2:12" x14ac:dyDescent="0.25">
      <c r="B10" s="16"/>
      <c r="C10" s="19" t="s">
        <v>17</v>
      </c>
      <c r="D10" s="24">
        <f>SUM(D6:D9)</f>
        <v>104693</v>
      </c>
      <c r="E10" s="20">
        <f>SUM(E6:E9)</f>
        <v>448037.06999999995</v>
      </c>
      <c r="F10" s="20">
        <f>SUM(F6:F9)</f>
        <v>1654892.8571428573</v>
      </c>
      <c r="G10" s="20">
        <f>+E10-F10</f>
        <v>-1206855.7871428574</v>
      </c>
      <c r="H10" s="21">
        <f>ABS(G10/F10)</f>
        <v>0.72926521009128786</v>
      </c>
      <c r="I10" s="20">
        <f>E10/D10</f>
        <v>4.2795322514399237</v>
      </c>
      <c r="J10" s="20">
        <f>F10/D10</f>
        <v>15.807101307086981</v>
      </c>
      <c r="K10" s="20">
        <f>I10-J10</f>
        <v>-11.527569055647056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8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2025-04-08T14:48:36Z</dcterms:modified>
</cp:coreProperties>
</file>