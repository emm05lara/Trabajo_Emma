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8 ABRIL\NOCHE\"/>
    </mc:Choice>
  </mc:AlternateContent>
  <xr:revisionPtr revIDLastSave="0" documentId="13_ncr:1_{3E07FE1C-7FFC-4B8F-8879-B22AB77963B3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8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27" i="1" l="1"/>
  <c r="C27" i="1"/>
  <c r="J9" i="3"/>
  <c r="J8" i="3"/>
  <c r="J7" i="3"/>
  <c r="J6" i="3"/>
  <c r="D6" i="3"/>
  <c r="F6" i="3" s="1"/>
  <c r="D32" i="1"/>
  <c r="C32" i="1"/>
  <c r="D56" i="1"/>
  <c r="C56" i="1"/>
  <c r="D18" i="1"/>
  <c r="C18" i="1"/>
  <c r="D40" i="1"/>
  <c r="C40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<sst xmlns="http://schemas.openxmlformats.org/spreadsheetml/2006/main" count="87" uniqueCount="36">
  <si>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</si>
  <si>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</si>
  <si>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</si>
  <si>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</si>
  <si>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</si>
  <si>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</si>
  <si>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</si>
  <si>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</si>
  <si>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</si>
  <si>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</si>
  <si>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</si>
  <si>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</si>
  <si>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</si>
  <si>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</si>
  <si>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</si>
  <si>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</si>
  <si>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</si>
  <si>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</si>
  <si>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</si>
  <si>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</si>
  <si>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</si>
  <si>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</si>
  <si>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</si>
  <si>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</si>
  <si>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</si>
  <si>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</si>
  <si>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</si>
  <si>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</si>
  <si>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</si>
  <si>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</si>
  <si>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</si>
  <si>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</si>
  <si>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</si>
  <si>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</si>
  <si>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</si>
  <si>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08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</si>
</sst>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6" workbookViewId="0">
      <selection activeCell="C40" sqref="C4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5985</v>
      </c>
      <c r="D5" s="25">
        <v>38392</v>
      </c>
    </row>
    <row r="6" spans="2:8" x14ac:dyDescent="0.25">
      <c r="B6" s="1" t="s">
        <v>5</v>
      </c>
      <c r="C6" s="6">
        <v>6706</v>
      </c>
      <c r="D6" s="25">
        <v>27378</v>
      </c>
    </row>
    <row r="7" spans="2:8" x14ac:dyDescent="0.25">
      <c r="B7" s="1" t="s">
        <v>6</v>
      </c>
      <c r="C7" s="6">
        <v>9944</v>
      </c>
      <c r="D7" s="25">
        <v>15138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28940</v>
      </c>
      <c r="D9" s="25">
        <v>25607</v>
      </c>
    </row>
    <row r="10" spans="2:8" x14ac:dyDescent="0.25">
      <c r="B10" s="3" t="s">
        <v>8</v>
      </c>
      <c r="C10" s="8">
        <f>SUM(C5:C9)</f>
        <v>51596</v>
      </c>
      <c r="D10" s="4">
        <f>SUM(D5:D9)</f>
        <v>106515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1707</v>
      </c>
      <c r="D14" s="25">
        <v>8388</v>
      </c>
    </row>
    <row r="15" spans="2:8" x14ac:dyDescent="0.25">
      <c r="B15" s="9" t="s">
        <v>5</v>
      </c>
      <c r="C15" s="6">
        <v>1519</v>
      </c>
      <c r="D15" s="25">
        <v>16307</v>
      </c>
    </row>
    <row r="16" spans="2:8" x14ac:dyDescent="0.25">
      <c r="B16" s="9" t="s">
        <v>6</v>
      </c>
      <c r="C16" s="6">
        <v>857</v>
      </c>
      <c r="D16" s="25">
        <v>1730</v>
      </c>
    </row>
    <row r="17" spans="2:11" x14ac:dyDescent="0.25">
      <c r="B17" s="9" t="s">
        <v>7</v>
      </c>
      <c r="C17" s="6">
        <v>8833</v>
      </c>
      <c r="D17" s="25">
        <v>132</v>
      </c>
    </row>
    <row r="18" spans="2:11" x14ac:dyDescent="0.25">
      <c r="B18" s="10" t="s">
        <v>8</v>
      </c>
      <c r="C18" s="8">
        <f>SUM(C14:C17)</f>
        <v>12916</v>
      </c>
      <c r="D18" s="4">
        <f>SUM(D14:D17)</f>
        <v>26557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2622</v>
      </c>
      <c r="D22" s="25">
        <v>9653</v>
      </c>
    </row>
    <row r="23" spans="2:11" x14ac:dyDescent="0.25">
      <c r="B23" s="1" t="s">
        <v>5</v>
      </c>
      <c r="C23" s="6">
        <v>1407</v>
      </c>
      <c r="D23" s="25">
        <v>2804</v>
      </c>
    </row>
    <row r="24" spans="2:11" x14ac:dyDescent="0.25">
      <c r="B24" s="1" t="s">
        <v>6</v>
      </c>
      <c r="C24" s="6">
        <v>3317</v>
      </c>
      <c r="D24" s="25">
        <v>1158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21156</v>
      </c>
      <c r="D26" s="25">
        <v>9451</v>
      </c>
      <c r="K26" s="7"/>
    </row>
    <row r="27" spans="2:11" x14ac:dyDescent="0.25">
      <c r="B27" s="3" t="s">
        <v>8</v>
      </c>
      <c r="C27" s="8">
        <f>SUM(C22:C26)</f>
        <v>28504</v>
      </c>
      <c r="D27" s="4">
        <f>SUM(D22:D26)</f>
        <v>23066</v>
      </c>
    </row>
    <row r="29" spans="2:11" x14ac:dyDescent="0.25">
      <c r="B29" s="28" t="s">
        <v>11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2752</v>
      </c>
      <c r="D31" s="25">
        <v>7131</v>
      </c>
    </row>
    <row r="32" spans="2:11" x14ac:dyDescent="0.25">
      <c r="B32" s="10" t="s">
        <v>8</v>
      </c>
      <c r="C32" s="8">
        <f>SUM(C31:C31)</f>
        <v>2752</v>
      </c>
      <c r="D32" s="4">
        <f>SUM(D31:D31)</f>
        <v>7131</v>
      </c>
    </row>
    <row r="34" spans="2:4" x14ac:dyDescent="0.25">
      <c r="B34" s="27" t="s">
        <v>9</v>
      </c>
      <c r="C34" s="27"/>
      <c r="D34" s="27"/>
    </row>
    <row r="35" spans="2:4" x14ac:dyDescent="0.25">
      <c r="B35" s="2" t="s">
        <v>1</v>
      </c>
      <c r="C35" s="2" t="s">
        <v>2</v>
      </c>
      <c r="D35" s="2" t="s">
        <v>3</v>
      </c>
    </row>
    <row r="36" spans="2:4" x14ac:dyDescent="0.25">
      <c r="B36" s="9" t="s">
        <v>4</v>
      </c>
      <c r="C36" s="6">
        <v>1412</v>
      </c>
      <c r="D36" s="25">
        <v>3366</v>
      </c>
    </row>
    <row r="37" spans="2:4" x14ac:dyDescent="0.25">
      <c r="B37" s="9" t="s">
        <v>5</v>
      </c>
      <c r="C37" s="6">
        <v>1310</v>
      </c>
      <c r="D37" s="25">
        <v>1510</v>
      </c>
    </row>
    <row r="38" spans="2:4" x14ac:dyDescent="0.25">
      <c r="B38" s="9" t="s">
        <v>6</v>
      </c>
      <c r="C38" s="6">
        <v>2925</v>
      </c>
      <c r="D38" s="25">
        <v>0</v>
      </c>
    </row>
    <row r="39" spans="2:4" x14ac:dyDescent="0.25">
      <c r="B39" s="9" t="s">
        <v>7</v>
      </c>
      <c r="C39" s="6">
        <v>1828</v>
      </c>
      <c r="D39" s="25">
        <v>0</v>
      </c>
    </row>
    <row r="40" spans="2:4" x14ac:dyDescent="0.25">
      <c r="B40" s="10" t="s">
        <v>8</v>
      </c>
      <c r="C40" s="8">
        <f>SUM(C36:C39)</f>
        <v>7475</v>
      </c>
      <c r="D40" s="4">
        <f>SUM(D36:D39)</f>
        <v>4876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6">
        <v>0</v>
      </c>
    </row>
    <row r="45" spans="2:4" x14ac:dyDescent="0.25">
      <c r="B45" s="1" t="s">
        <v>5</v>
      </c>
      <c r="C45" s="6">
        <v>185</v>
      </c>
      <c r="D45" s="26">
        <v>0</v>
      </c>
    </row>
    <row r="46" spans="2:4" x14ac:dyDescent="0.25">
      <c r="B46" s="1" t="s">
        <v>6</v>
      </c>
      <c r="C46" s="6">
        <v>194</v>
      </c>
      <c r="D46" s="26">
        <v>0</v>
      </c>
    </row>
    <row r="47" spans="2:4" x14ac:dyDescent="0.25">
      <c r="B47" s="1" t="s">
        <v>7</v>
      </c>
      <c r="C47" s="6">
        <v>1857</v>
      </c>
      <c r="D47" s="26">
        <v>0</v>
      </c>
    </row>
    <row r="48" spans="2:4" x14ac:dyDescent="0.25">
      <c r="B48" s="3" t="s">
        <v>8</v>
      </c>
      <c r="C48" s="8">
        <f>SUM(C44:C47)</f>
        <v>2275</v>
      </c>
      <c r="D48" s="4">
        <f>SUM(D44:D47)</f>
        <v>0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69</v>
      </c>
      <c r="D52" s="26">
        <v>0</v>
      </c>
    </row>
    <row r="53" spans="2:4" x14ac:dyDescent="0.25">
      <c r="B53" s="9" t="s">
        <v>5</v>
      </c>
      <c r="C53" s="6">
        <v>62</v>
      </c>
      <c r="D53" s="26">
        <v>0</v>
      </c>
    </row>
    <row r="54" spans="2:4" x14ac:dyDescent="0.25">
      <c r="B54" s="9" t="s">
        <v>6</v>
      </c>
      <c r="C54" s="6">
        <v>13</v>
      </c>
      <c r="D54" s="26">
        <v>0</v>
      </c>
    </row>
    <row r="55" spans="2:4" x14ac:dyDescent="0.25">
      <c r="B55" s="9" t="s">
        <v>7</v>
      </c>
      <c r="C55" s="6">
        <v>9</v>
      </c>
      <c r="D55" s="26">
        <v>0</v>
      </c>
    </row>
    <row r="56" spans="2:4" x14ac:dyDescent="0.25">
      <c r="B56" s="10" t="s">
        <v>8</v>
      </c>
      <c r="C56" s="8">
        <f>SUM(C52:C55)</f>
        <v>153</v>
      </c>
      <c r="D56" s="4">
        <f>SUM(D52:D55)</f>
        <v>0</v>
      </c>
    </row>
    <row r="58" spans="2:4" x14ac:dyDescent="0.25">
      <c r="B58" s="11" t="s">
        <v>13</v>
      </c>
      <c r="C58" s="12">
        <f>SUM(C10+C40+C18+C56+C32+C27+C48)</f>
        <v>105671</v>
      </c>
      <c r="D58" s="12">
        <f>SUM(D10+D40+D18+D56+D32+D27+D48)</f>
        <v>168145</v>
      </c>
    </row>
  </sheetData>
  <mergeCells count="7">
    <mergeCell ref="B3:D3"/>
    <mergeCell ref="B34:D34"/>
    <mergeCell ref="B50:D50"/>
    <mergeCell ref="B29:D29"/>
    <mergeCell ref="B42:D42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8 ABR'!C6, 'REPORTE DIARIO'!C:C)</f>
        <v>14586</v>
      </c>
      <c r="E6" s="15">
        <f>SUMIF('REPORTE DIARIO'!B:B,'EPR 8 ABR'!C6, 'REPORTE DIARIO'!D:D)</f>
        <v>66930</v>
      </c>
      <c r="F6" s="15">
        <f>J6*D6</f>
        <v>416742.85714285716</v>
      </c>
      <c r="G6" s="15">
        <f>+E6-F6</f>
        <v>-349812.85714285716</v>
      </c>
      <c r="H6" s="14">
        <f>ABS(G6/F6)</f>
        <v>0.83939736733854386</v>
      </c>
      <c r="I6" s="15">
        <f>E6/D6</f>
        <v>4.5886466474701768</v>
      </c>
      <c r="J6" s="15">
        <f>200/7</f>
        <v>28.571428571428573</v>
      </c>
      <c r="K6" s="15">
        <f>+I6-J6</f>
        <v>-23.982781923958395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8 ABR'!C7, 'REPORTE DIARIO'!C:C)</f>
        <v>11189</v>
      </c>
      <c r="E7" s="15">
        <f>SUMIF('REPORTE DIARIO'!B:B,'EPR 8 ABR'!C7, 'REPORTE DIARIO'!D:D)</f>
        <v>47999</v>
      </c>
      <c r="F7" s="15">
        <f>J7*D7</f>
        <v>175827.14285714284</v>
      </c>
      <c r="G7" s="15">
        <f>+E7-F7</f>
        <v>-127828.14285714284</v>
      </c>
      <c r="H7" s="14">
        <f>ABS(G7/F7)</f>
        <v>0.72701029420128538</v>
      </c>
      <c r="I7" s="15">
        <f>E7/D7</f>
        <v>4.2898382339798014</v>
      </c>
      <c r="J7" s="15">
        <f>110/7</f>
        <v>15.714285714285714</v>
      </c>
      <c r="K7" s="15">
        <f t="shared" ref="K7:K9" si="0">+I7-J7</f>
        <v>-11.424447480305911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8 ABR'!C8, 'REPORTE DIARIO'!C:C)</f>
        <v>17250</v>
      </c>
      <c r="E8" s="15">
        <f>SUMIF('REPORTE DIARIO'!B:B,'EPR 8 ABR'!C8, 'REPORTE DIARIO'!D:D)</f>
        <v>18026</v>
      </c>
      <c r="F8" s="15">
        <f>J8*D8</f>
        <v>110892.85714285714</v>
      </c>
      <c r="G8" s="15">
        <f>+E8-F8</f>
        <v>-92866.857142857145</v>
      </c>
      <c r="H8" s="14">
        <f>ABS(G8/F8)</f>
        <v>0.83744669887278578</v>
      </c>
      <c r="I8" s="15">
        <f>E8/D8</f>
        <v>1.0449855072463767</v>
      </c>
      <c r="J8" s="15">
        <f>45/7</f>
        <v>6.4285714285714288</v>
      </c>
      <c r="K8" s="15">
        <f t="shared" si="0"/>
        <v>-5.3835859213250519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8 ABR'!C9, 'REPORTE DIARIO'!C:C)</f>
        <v>62623</v>
      </c>
      <c r="E9" s="15">
        <f>SUMIF('REPORTE DIARIO'!B:B,'EPR 8 ABR'!C9, 'REPORTE DIARIO'!D:D)</f>
        <v>35190</v>
      </c>
      <c r="F9" s="15">
        <f>J9*D9</f>
        <v>134192.14285714284</v>
      </c>
      <c r="G9" s="15">
        <f>+E9-F9</f>
        <v>-99002.142857142841</v>
      </c>
      <c r="H9" s="14">
        <f>ABS(G9/F9)</f>
        <v>0.7377640802899893</v>
      </c>
      <c r="I9" s="15">
        <f>E9/D9</f>
        <v>0.56193411366430868</v>
      </c>
      <c r="J9" s="15">
        <f>15/7</f>
        <v>2.1428571428571428</v>
      </c>
      <c r="K9" s="15">
        <f t="shared" si="0"/>
        <v>-1.5809230291928342</v>
      </c>
    </row>
    <row r="10" spans="2:12" x14ac:dyDescent="0.25">
      <c r="B10" s="15"/>
      <c r="C10" s="18" t="s">
        <v>16</v>
      </c>
      <c r="D10" s="23">
        <f>SUM(D6:D9)</f>
        <v>105648</v>
      </c>
      <c r="E10" s="19">
        <f>SUM(E6:E9)</f>
        <v>168145</v>
      </c>
      <c r="F10" s="19">
        <f>SUM(F6:F9)</f>
        <v>837655</v>
      </c>
      <c r="G10" s="19">
        <f>+E10-F10</f>
        <v>-669510</v>
      </c>
      <c r="H10" s="20">
        <f>ABS(G10/F10)</f>
        <v>0.79926700133109696</v>
      </c>
      <c r="I10" s="19">
        <f>E10/D10</f>
        <v>1.5915587611691655</v>
      </c>
      <c r="J10" s="19">
        <f>F10/D10</f>
        <v>7.928735044676662</v>
      </c>
      <c r="K10" s="19">
        <f>I10-J10</f>
        <v>-6.3371762835074961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8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2025-04-09T01:43:43Z</dcterms:modified>
</cp:coreProperties>
</file>