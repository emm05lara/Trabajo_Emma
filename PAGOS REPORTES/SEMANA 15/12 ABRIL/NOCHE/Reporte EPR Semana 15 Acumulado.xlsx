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5\12 ABRIL\NOCHE\"/>
    </mc:Choice>
  </mc:AlternateContent>
  <xr:revisionPtr revIDLastSave="0" documentId="13_ncr:1_{67FEE186-777F-4841-9F5B-4B22B4C4CAB2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7" i="3"/>
  <c r="J6" i="3"/>
  <c r="D48" i="1"/>
  <c r="C48" i="1"/>
  <c r="D19" i="1"/>
  <c r="C19" i="1"/>
  <c r="D40" i="1" l="1"/>
  <c r="C40" i="1"/>
  <c r="D35" i="1"/>
  <c r="C35" i="1"/>
  <c r="D27" i="1"/>
  <c r="C27" i="1"/>
  <c r="D10" i="1"/>
  <c r="C10" i="1"/>
  <c r="C50" i="1" s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<sst xmlns="http://schemas.openxmlformats.org/spreadsheetml/2006/main" count="79" uniqueCount="36">
  <si>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</si>
  <si>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</si>
  <si>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</si>
  <si>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</si>
  <si>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</si>
  <si>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</si>
  <si>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</si>
  <si>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</si>
  <si>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</si>
  <si>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</si>
  <si>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</si>
  <si>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</si>
  <si>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</si>
  <si>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</si>
  <si>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</si>
  <si>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</si>
  <si>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</si>
  <si>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</si>
  <si>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</si>
  <si>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</si>
  <si>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</si>
  <si>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</si>
  <si>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</si>
  <si>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</si>
  <si>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</si>
  <si>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</si>
  <si>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</si>
  <si>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</si>
  <si>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</si>
  <si>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</si>
  <si>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</si>
  <si>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</si>
  <si>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</si>
  <si>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</si>
  <si>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15</t>
  </si>
  <si>
    <t>Samantha, Samantha 2, Sofia, Edith,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</si>
</sst>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opLeftCell="A18" zoomScale="85" zoomScaleNormal="85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6406</v>
      </c>
      <c r="D5" s="25">
        <v>529358.15999999992</v>
      </c>
    </row>
    <row r="6" spans="2:8" x14ac:dyDescent="0.3">
      <c r="B6" s="1" t="s">
        <v>5</v>
      </c>
      <c r="C6" s="6">
        <v>5871</v>
      </c>
      <c r="D6" s="25">
        <v>247751.34</v>
      </c>
    </row>
    <row r="7" spans="2:8" x14ac:dyDescent="0.3">
      <c r="B7" s="1" t="s">
        <v>6</v>
      </c>
      <c r="C7" s="6">
        <v>8720</v>
      </c>
      <c r="D7" s="25">
        <v>223113</v>
      </c>
    </row>
    <row r="8" spans="2:8" x14ac:dyDescent="0.3">
      <c r="B8" s="5" t="s">
        <v>12</v>
      </c>
      <c r="C8" s="7">
        <v>21</v>
      </c>
      <c r="D8" s="26">
        <v>0</v>
      </c>
    </row>
    <row r="9" spans="2:8" x14ac:dyDescent="0.3">
      <c r="B9" s="1" t="s">
        <v>7</v>
      </c>
      <c r="C9" s="6">
        <v>21233</v>
      </c>
      <c r="D9" s="25">
        <v>321323.28000000003</v>
      </c>
      <c r="F9" s="7"/>
    </row>
    <row r="10" spans="2:8" x14ac:dyDescent="0.3">
      <c r="B10" s="3" t="s">
        <v>8</v>
      </c>
      <c r="C10" s="8">
        <f>SUM(C5:C9)</f>
        <v>42251</v>
      </c>
      <c r="D10" s="4">
        <f>SUM(D5:D9)</f>
        <v>1321545.7799999998</v>
      </c>
      <c r="E10" s="11" t="s">
        <v>14</v>
      </c>
    </row>
    <row r="12" spans="2:8" x14ac:dyDescent="0.3">
      <c r="B12" s="27" t="s">
        <v>32</v>
      </c>
      <c r="C12" s="27"/>
      <c r="D12" s="27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2498</v>
      </c>
      <c r="D14" s="25">
        <v>168636.75</v>
      </c>
    </row>
    <row r="15" spans="2:8" x14ac:dyDescent="0.3">
      <c r="B15" s="1" t="s">
        <v>5</v>
      </c>
      <c r="C15" s="6">
        <v>1492</v>
      </c>
      <c r="D15" s="25">
        <v>86080.010000000009</v>
      </c>
    </row>
    <row r="16" spans="2:8" x14ac:dyDescent="0.3">
      <c r="B16" s="1" t="s">
        <v>6</v>
      </c>
      <c r="C16" s="6">
        <v>3290</v>
      </c>
      <c r="D16" s="25">
        <v>47328.62</v>
      </c>
    </row>
    <row r="17" spans="2:11" x14ac:dyDescent="0.3">
      <c r="B17" s="5" t="s">
        <v>12</v>
      </c>
      <c r="C17" s="7">
        <v>2</v>
      </c>
      <c r="D17" s="26">
        <v>0</v>
      </c>
    </row>
    <row r="18" spans="2:11" x14ac:dyDescent="0.3">
      <c r="B18" s="1" t="s">
        <v>7</v>
      </c>
      <c r="C18" s="6">
        <v>21201</v>
      </c>
      <c r="D18" s="25">
        <v>143675</v>
      </c>
    </row>
    <row r="19" spans="2:11" x14ac:dyDescent="0.3">
      <c r="B19" s="3" t="s">
        <v>8</v>
      </c>
      <c r="C19" s="8">
        <f>SUM(C14:C18)</f>
        <v>28483</v>
      </c>
      <c r="D19" s="4">
        <f>SUM(D14:D18)</f>
        <v>445720.38</v>
      </c>
    </row>
    <row r="21" spans="2:11" x14ac:dyDescent="0.3">
      <c r="B21" s="28" t="s">
        <v>10</v>
      </c>
      <c r="C21" s="28"/>
      <c r="D21" s="28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1991</v>
      </c>
      <c r="D23" s="25">
        <v>203050.99999999997</v>
      </c>
    </row>
    <row r="24" spans="2:11" x14ac:dyDescent="0.3">
      <c r="B24" s="9" t="s">
        <v>5</v>
      </c>
      <c r="C24" s="6">
        <v>2131</v>
      </c>
      <c r="D24" s="25">
        <v>107621.8</v>
      </c>
    </row>
    <row r="25" spans="2:11" x14ac:dyDescent="0.3">
      <c r="B25" s="9" t="s">
        <v>6</v>
      </c>
      <c r="C25" s="6">
        <v>880</v>
      </c>
      <c r="D25" s="25">
        <v>23846</v>
      </c>
    </row>
    <row r="26" spans="2:11" x14ac:dyDescent="0.3">
      <c r="B26" s="9" t="s">
        <v>7</v>
      </c>
      <c r="C26" s="6">
        <v>8907</v>
      </c>
      <c r="D26" s="25">
        <v>27111.88</v>
      </c>
    </row>
    <row r="27" spans="2:11" x14ac:dyDescent="0.3">
      <c r="B27" s="10" t="s">
        <v>8</v>
      </c>
      <c r="C27" s="8">
        <f>SUM(C23:C26)</f>
        <v>13909</v>
      </c>
      <c r="D27" s="4">
        <f>SUM(D23:D26)</f>
        <v>361630.68</v>
      </c>
      <c r="K27" s="7"/>
    </row>
    <row r="29" spans="2:11" x14ac:dyDescent="0.3">
      <c r="B29" s="27" t="s">
        <v>9</v>
      </c>
      <c r="C29" s="27"/>
      <c r="D29" s="27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1364</v>
      </c>
      <c r="D31" s="25">
        <v>87798.74</v>
      </c>
    </row>
    <row r="32" spans="2:11" x14ac:dyDescent="0.3">
      <c r="B32" s="9" t="s">
        <v>5</v>
      </c>
      <c r="C32" s="6">
        <v>1936</v>
      </c>
      <c r="D32" s="25">
        <v>74666.28</v>
      </c>
    </row>
    <row r="33" spans="2:4" x14ac:dyDescent="0.3">
      <c r="B33" s="9" t="s">
        <v>6</v>
      </c>
      <c r="C33" s="6">
        <v>2782</v>
      </c>
      <c r="D33" s="25">
        <v>5457.22</v>
      </c>
    </row>
    <row r="34" spans="2:4" x14ac:dyDescent="0.3">
      <c r="B34" s="9" t="s">
        <v>7</v>
      </c>
      <c r="C34" s="6">
        <v>4264</v>
      </c>
      <c r="D34" s="25">
        <v>2344</v>
      </c>
    </row>
    <row r="35" spans="2:4" x14ac:dyDescent="0.3">
      <c r="B35" s="10" t="s">
        <v>8</v>
      </c>
      <c r="C35" s="8">
        <f>SUM(C31:C34)</f>
        <v>10346</v>
      </c>
      <c r="D35" s="4">
        <f>SUM(D31:D34)</f>
        <v>170266.24000000002</v>
      </c>
    </row>
    <row r="37" spans="2:4" x14ac:dyDescent="0.3">
      <c r="B37" s="28" t="s">
        <v>11</v>
      </c>
      <c r="C37" s="28"/>
      <c r="D37" s="28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2653</v>
      </c>
      <c r="D39" s="25">
        <v>159961</v>
      </c>
    </row>
    <row r="40" spans="2:4" x14ac:dyDescent="0.3">
      <c r="B40" s="10" t="s">
        <v>8</v>
      </c>
      <c r="C40" s="8">
        <f>SUM(C39:C39)</f>
        <v>2653</v>
      </c>
      <c r="D40" s="4">
        <f>SUM(D39:D39)</f>
        <v>159961</v>
      </c>
    </row>
    <row r="42" spans="2:4" x14ac:dyDescent="0.3">
      <c r="B42" s="27" t="s">
        <v>33</v>
      </c>
      <c r="C42" s="27"/>
      <c r="D42" s="27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39</v>
      </c>
      <c r="D44" s="25">
        <v>25813</v>
      </c>
    </row>
    <row r="45" spans="2:4" x14ac:dyDescent="0.3">
      <c r="B45" s="1" t="s">
        <v>5</v>
      </c>
      <c r="C45" s="6">
        <v>267</v>
      </c>
      <c r="D45" s="25">
        <v>1010</v>
      </c>
    </row>
    <row r="46" spans="2:4" x14ac:dyDescent="0.3">
      <c r="B46" s="1" t="s">
        <v>6</v>
      </c>
      <c r="C46" s="6">
        <v>220</v>
      </c>
      <c r="D46" s="25">
        <v>546</v>
      </c>
    </row>
    <row r="47" spans="2:4" x14ac:dyDescent="0.3">
      <c r="B47" s="1" t="s">
        <v>7</v>
      </c>
      <c r="C47" s="6">
        <v>1904</v>
      </c>
      <c r="D47" s="25">
        <v>9258</v>
      </c>
    </row>
    <row r="48" spans="2:4" x14ac:dyDescent="0.3">
      <c r="B48" s="3" t="s">
        <v>8</v>
      </c>
      <c r="C48" s="8">
        <f>SUM(C44:C47)</f>
        <v>2430</v>
      </c>
      <c r="D48" s="4">
        <f>SUM(D44:D47)</f>
        <v>36627</v>
      </c>
    </row>
    <row r="50" spans="2:4" x14ac:dyDescent="0.3">
      <c r="B50" s="12" t="s">
        <v>13</v>
      </c>
      <c r="C50" s="13">
        <f>SUM(C10+C27+C35+C40+C19+C48)</f>
        <v>100072</v>
      </c>
      <c r="D50" s="13">
        <f>SUM(D10+D27+D35+D40+D19+D48)</f>
        <v>2495751.0799999996</v>
      </c>
    </row>
  </sheetData>
  <mergeCells count="6"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1" sqref="J11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34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12 ABR'!C6, 'REPORTE DIARIO'!C:C)</f>
        <v>14951</v>
      </c>
      <c r="E6" s="16">
        <f>SUMIF('REPORTE DIARIO'!B:B,'EPR 12 ABR'!C6, 'REPORTE DIARIO'!D:D)</f>
        <v>1174618.6499999999</v>
      </c>
      <c r="F6" s="16">
        <f>J6*D6</f>
        <v>2563028.5714285718</v>
      </c>
      <c r="G6" s="16">
        <f>+E6-F6</f>
        <v>-1388409.9214285719</v>
      </c>
      <c r="H6" s="15">
        <f>ABS(G6/F6)</f>
        <v>0.54170676710587928</v>
      </c>
      <c r="I6" s="16">
        <f>E6/D6</f>
        <v>78.564554210420695</v>
      </c>
      <c r="J6" s="16">
        <f>(200/7)*6</f>
        <v>171.42857142857144</v>
      </c>
      <c r="K6" s="16">
        <f>+I6-J6</f>
        <v>-92.864017218150749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12 ABR'!C7, 'REPORTE DIARIO'!C:C)</f>
        <v>11697</v>
      </c>
      <c r="E7" s="16">
        <f>SUMIF('REPORTE DIARIO'!B:B,'EPR 12 ABR'!C7, 'REPORTE DIARIO'!D:D)</f>
        <v>517129.42999999993</v>
      </c>
      <c r="F7" s="16">
        <f>J7*D7</f>
        <v>1102860</v>
      </c>
      <c r="G7" s="16">
        <f>+E7-F7</f>
        <v>-585730.57000000007</v>
      </c>
      <c r="H7" s="15">
        <f>ABS(G7/F7)</f>
        <v>0.53110147253504536</v>
      </c>
      <c r="I7" s="16">
        <f>E7/D7</f>
        <v>44.210432589552873</v>
      </c>
      <c r="J7" s="16">
        <f>(110/7)*6</f>
        <v>94.285714285714278</v>
      </c>
      <c r="K7" s="16">
        <f t="shared" ref="K7:K9" si="0">+I7-J7</f>
        <v>-50.075281696161404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12 ABR'!C8, 'REPORTE DIARIO'!C:C)</f>
        <v>15892</v>
      </c>
      <c r="E8" s="16">
        <f>SUMIF('REPORTE DIARIO'!B:B,'EPR 12 ABR'!C8, 'REPORTE DIARIO'!D:D)</f>
        <v>300290.83999999997</v>
      </c>
      <c r="F8" s="16">
        <f>J8*D8</f>
        <v>612977.14285714284</v>
      </c>
      <c r="G8" s="16">
        <f>+E8-F8</f>
        <v>-312686.30285714287</v>
      </c>
      <c r="H8" s="15">
        <f>ABS(G8/F8)</f>
        <v>0.51011086873432709</v>
      </c>
      <c r="I8" s="16">
        <f>E8/D8</f>
        <v>18.895723634533095</v>
      </c>
      <c r="J8" s="16">
        <f>(45/7)*6</f>
        <v>38.571428571428569</v>
      </c>
      <c r="K8" s="16">
        <f t="shared" si="0"/>
        <v>-19.675704936895475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12 ABR'!C9, 'REPORTE DIARIO'!C:C)</f>
        <v>57509</v>
      </c>
      <c r="E9" s="16">
        <f>SUMIF('REPORTE DIARIO'!B:B,'EPR 12 ABR'!C9, 'REPORTE DIARIO'!D:D)</f>
        <v>503712.16000000003</v>
      </c>
      <c r="F9" s="16">
        <f>J9*D9</f>
        <v>739401.42857142864</v>
      </c>
      <c r="G9" s="16">
        <f>+E9-F9</f>
        <v>-235689.26857142861</v>
      </c>
      <c r="H9" s="15">
        <f>ABS(G9/F9)</f>
        <v>0.31875684772045343</v>
      </c>
      <c r="I9" s="16">
        <f>E9/D9</f>
        <v>8.7588405293084559</v>
      </c>
      <c r="J9" s="16">
        <f>(15/7)*6</f>
        <v>12.857142857142858</v>
      </c>
      <c r="K9" s="16">
        <f t="shared" si="0"/>
        <v>-4.0983023278344017</v>
      </c>
    </row>
    <row r="10" spans="2:12" x14ac:dyDescent="0.3">
      <c r="B10" s="16"/>
      <c r="C10" s="19" t="s">
        <v>17</v>
      </c>
      <c r="D10" s="24">
        <f>SUM(D6:D9)</f>
        <v>100049</v>
      </c>
      <c r="E10" s="20">
        <f>SUM(E6:E9)</f>
        <v>2495751.08</v>
      </c>
      <c r="F10" s="20">
        <f>SUM(F6:F9)</f>
        <v>5018267.1428571437</v>
      </c>
      <c r="G10" s="20">
        <f>+E10-F10</f>
        <v>-2522516.0628571436</v>
      </c>
      <c r="H10" s="21">
        <f>ABS(G10/F10)</f>
        <v>0.50266675548503237</v>
      </c>
      <c r="I10" s="20">
        <f>E10/D10</f>
        <v>24.945287609071556</v>
      </c>
      <c r="J10" s="20">
        <f>F10/D10</f>
        <v>50.158093962529797</v>
      </c>
      <c r="K10" s="20">
        <f>I10-J10</f>
        <v>-25.212806353458241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2025-04-13T02:12:51Z</cp:lastPrinted>
  <dcterms:created xsi:type="dcterms:W3CDTF">2025-01-27T15:11:28Z</dcterms:created>
  <dcterms:modified xsi:type="dcterms:W3CDTF">2025-04-13T02:13:42Z</dcterms:modified>
</cp:coreProperties>
</file>