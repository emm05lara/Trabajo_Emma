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5\12 ABRIL\NOCHE\"/>
    </mc:Choice>
  </mc:AlternateContent>
  <xr:revisionPtr revIDLastSave="0" documentId="13_ncr:1_{11514728-981B-4B68-B64B-394DD8F25A7F}" xr6:coauthVersionLast="47" xr6:coauthVersionMax="47" xr10:uidLastSave="{00000000-0000-0000-0000-000000000000}"/>
  <bookViews>
    <workbookView xWindow="-108" yWindow="-108" windowWidth="23256" windowHeight="12456" xr2:uid="{4DC6C92A-CD8A-4966-829B-0B6A986E825B}"/>
  </bookViews>
  <sheets>
    <sheet name="REPORTE DIARIO" sheetId="1" r:id="rId1"/>
    <sheet name="DATA" sheetId="4" r:id="rId2"/>
    <sheet name="EPR 1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27" i="1" l="1"/>
  <c r="C27" i="1"/>
  <c r="J9" i="3"/>
  <c r="J8" i="3"/>
  <c r="J7" i="3"/>
  <c r="J6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<sst xmlns="http://schemas.openxmlformats.org/spreadsheetml/2006/main" count="78" uniqueCount="35">
  <si>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</si>
  <si>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</si>
  <si>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</si>
  <si>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</si>
  <si>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</si>
  <si>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</si>
  <si>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</si>
  <si>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</si>
  <si>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</si>
  <si>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</si>
  <si>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</si>
  <si>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</si>
  <si>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</si>
  <si>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</si>
  <si>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</si>
  <si>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</si>
  <si>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</si>
  <si>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</si>
  <si>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</si>
  <si>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</si>
  <si>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</si>
  <si>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</si>
  <si>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</si>
  <si>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</si>
  <si>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</si>
  <si>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</si>
  <si>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</si>
  <si>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</si>
  <si>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</si>
  <si>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</si>
  <si>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</si>
  <si>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</si>
  <si>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</si>
  <si>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12 ABRIL</t>
  </si>
  <si>
    <t>Samantha, Samantha 2, Sofia, Edith,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</si>
</sst>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25" workbookViewId="0">
      <selection activeCell="E45" sqref="E45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6406</v>
      </c>
      <c r="D5" s="25">
        <v>146827.47999999998</v>
      </c>
    </row>
    <row r="6" spans="2:8" x14ac:dyDescent="0.3">
      <c r="B6" s="1" t="s">
        <v>5</v>
      </c>
      <c r="C6" s="6">
        <v>5871</v>
      </c>
      <c r="D6" s="25">
        <v>62149.320000000007</v>
      </c>
    </row>
    <row r="7" spans="2:8" x14ac:dyDescent="0.3">
      <c r="B7" s="1" t="s">
        <v>6</v>
      </c>
      <c r="C7" s="6">
        <v>8720</v>
      </c>
      <c r="D7" s="25">
        <v>83718</v>
      </c>
    </row>
    <row r="8" spans="2:8" x14ac:dyDescent="0.3">
      <c r="B8" s="5" t="s">
        <v>12</v>
      </c>
      <c r="C8" s="7">
        <v>21</v>
      </c>
      <c r="D8" s="26">
        <v>0</v>
      </c>
    </row>
    <row r="9" spans="2:8" x14ac:dyDescent="0.3">
      <c r="B9" s="1" t="s">
        <v>7</v>
      </c>
      <c r="C9" s="6">
        <v>21233</v>
      </c>
      <c r="D9" s="25">
        <v>66879.539999999994</v>
      </c>
    </row>
    <row r="10" spans="2:8" x14ac:dyDescent="0.3">
      <c r="B10" s="3" t="s">
        <v>8</v>
      </c>
      <c r="C10" s="8">
        <f>SUM(C5:C9)</f>
        <v>42251</v>
      </c>
      <c r="D10" s="4">
        <f>SUM(D5:D9)</f>
        <v>359574.33999999997</v>
      </c>
    </row>
    <row r="12" spans="2:8" x14ac:dyDescent="0.3">
      <c r="B12" s="28" t="s">
        <v>10</v>
      </c>
      <c r="C12" s="28"/>
      <c r="D12" s="28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1991</v>
      </c>
      <c r="D14" s="25">
        <v>68422.5</v>
      </c>
    </row>
    <row r="15" spans="2:8" x14ac:dyDescent="0.3">
      <c r="B15" s="9" t="s">
        <v>5</v>
      </c>
      <c r="C15" s="6">
        <v>2131</v>
      </c>
      <c r="D15" s="25">
        <v>18831</v>
      </c>
    </row>
    <row r="16" spans="2:8" x14ac:dyDescent="0.3">
      <c r="B16" s="9" t="s">
        <v>6</v>
      </c>
      <c r="C16" s="6">
        <v>880</v>
      </c>
      <c r="D16" s="25">
        <v>898</v>
      </c>
    </row>
    <row r="17" spans="2:11" x14ac:dyDescent="0.3">
      <c r="B17" s="9" t="s">
        <v>7</v>
      </c>
      <c r="C17" s="6">
        <v>8907</v>
      </c>
      <c r="D17" s="25">
        <v>4974</v>
      </c>
    </row>
    <row r="18" spans="2:11" x14ac:dyDescent="0.3">
      <c r="B18" s="10" t="s">
        <v>8</v>
      </c>
      <c r="C18" s="8">
        <f>SUM(C14:C17)</f>
        <v>13909</v>
      </c>
      <c r="D18" s="4">
        <f>SUM(D14:D17)</f>
        <v>93125.5</v>
      </c>
    </row>
    <row r="20" spans="2:11" x14ac:dyDescent="0.3">
      <c r="B20" s="27" t="s">
        <v>31</v>
      </c>
      <c r="C20" s="27"/>
      <c r="D20" s="27"/>
    </row>
    <row r="21" spans="2:11" x14ac:dyDescent="0.3">
      <c r="B21" s="2" t="s">
        <v>1</v>
      </c>
      <c r="C21" s="2" t="s">
        <v>2</v>
      </c>
      <c r="D21" s="2" t="s">
        <v>3</v>
      </c>
    </row>
    <row r="22" spans="2:11" x14ac:dyDescent="0.3">
      <c r="B22" s="1" t="s">
        <v>4</v>
      </c>
      <c r="C22" s="6">
        <v>2498</v>
      </c>
      <c r="D22" s="25">
        <v>31711</v>
      </c>
    </row>
    <row r="23" spans="2:11" x14ac:dyDescent="0.3">
      <c r="B23" s="1" t="s">
        <v>5</v>
      </c>
      <c r="C23" s="6">
        <v>1492</v>
      </c>
      <c r="D23" s="25">
        <v>9790</v>
      </c>
    </row>
    <row r="24" spans="2:11" x14ac:dyDescent="0.3">
      <c r="B24" s="1" t="s">
        <v>6</v>
      </c>
      <c r="C24" s="6">
        <v>3290</v>
      </c>
      <c r="D24" s="25">
        <v>9418</v>
      </c>
    </row>
    <row r="25" spans="2:11" x14ac:dyDescent="0.3">
      <c r="B25" s="5" t="s">
        <v>12</v>
      </c>
      <c r="C25" s="7">
        <v>2</v>
      </c>
      <c r="D25" s="24">
        <v>0</v>
      </c>
    </row>
    <row r="26" spans="2:11" x14ac:dyDescent="0.3">
      <c r="B26" s="1" t="s">
        <v>7</v>
      </c>
      <c r="C26" s="6">
        <v>21201</v>
      </c>
      <c r="D26" s="25">
        <v>27458</v>
      </c>
      <c r="K26" s="7"/>
    </row>
    <row r="27" spans="2:11" x14ac:dyDescent="0.3">
      <c r="B27" s="3" t="s">
        <v>8</v>
      </c>
      <c r="C27" s="8">
        <f>SUM(C22:C26)</f>
        <v>28483</v>
      </c>
      <c r="D27" s="4">
        <f>SUM(D22:D26)</f>
        <v>78377</v>
      </c>
    </row>
    <row r="29" spans="2:11" x14ac:dyDescent="0.3">
      <c r="B29" s="27" t="s">
        <v>9</v>
      </c>
      <c r="C29" s="27"/>
      <c r="D29" s="27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1364</v>
      </c>
      <c r="D31" s="25">
        <v>15347.5</v>
      </c>
    </row>
    <row r="32" spans="2:11" x14ac:dyDescent="0.3">
      <c r="B32" s="9" t="s">
        <v>5</v>
      </c>
      <c r="C32" s="6">
        <v>1936</v>
      </c>
      <c r="D32" s="25">
        <v>6552</v>
      </c>
    </row>
    <row r="33" spans="2:4" x14ac:dyDescent="0.3">
      <c r="B33" s="9" t="s">
        <v>6</v>
      </c>
      <c r="C33" s="6">
        <v>2782</v>
      </c>
      <c r="D33" s="25">
        <v>541</v>
      </c>
    </row>
    <row r="34" spans="2:4" x14ac:dyDescent="0.3">
      <c r="B34" s="9" t="s">
        <v>7</v>
      </c>
      <c r="C34" s="6">
        <v>4264</v>
      </c>
      <c r="D34" s="25">
        <v>867</v>
      </c>
    </row>
    <row r="35" spans="2:4" x14ac:dyDescent="0.3">
      <c r="B35" s="10" t="s">
        <v>8</v>
      </c>
      <c r="C35" s="8">
        <f>SUM(C31:C34)</f>
        <v>10346</v>
      </c>
      <c r="D35" s="4">
        <f>SUM(D31:D34)</f>
        <v>23307.5</v>
      </c>
    </row>
    <row r="37" spans="2:4" x14ac:dyDescent="0.3">
      <c r="B37" s="28" t="s">
        <v>11</v>
      </c>
      <c r="C37" s="28"/>
      <c r="D37" s="28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2653</v>
      </c>
      <c r="D39" s="25">
        <v>12626</v>
      </c>
    </row>
    <row r="40" spans="2:4" x14ac:dyDescent="0.3">
      <c r="B40" s="10" t="s">
        <v>8</v>
      </c>
      <c r="C40" s="8">
        <f>SUM(C39:C39)</f>
        <v>2653</v>
      </c>
      <c r="D40" s="4">
        <f>SUM(D39:D39)</f>
        <v>12626</v>
      </c>
    </row>
    <row r="42" spans="2:4" x14ac:dyDescent="0.3">
      <c r="B42" s="27" t="s">
        <v>32</v>
      </c>
      <c r="C42" s="27"/>
      <c r="D42" s="27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39</v>
      </c>
      <c r="D44" s="26">
        <v>0</v>
      </c>
    </row>
    <row r="45" spans="2:4" x14ac:dyDescent="0.3">
      <c r="B45" s="1" t="s">
        <v>5</v>
      </c>
      <c r="C45" s="6">
        <v>267</v>
      </c>
      <c r="D45" s="26">
        <v>0</v>
      </c>
    </row>
    <row r="46" spans="2:4" x14ac:dyDescent="0.3">
      <c r="B46" s="1" t="s">
        <v>6</v>
      </c>
      <c r="C46" s="6">
        <v>220</v>
      </c>
      <c r="D46" s="26">
        <v>0</v>
      </c>
    </row>
    <row r="47" spans="2:4" x14ac:dyDescent="0.3">
      <c r="B47" s="1" t="s">
        <v>7</v>
      </c>
      <c r="C47" s="6">
        <v>1904</v>
      </c>
      <c r="D47" s="25">
        <v>2685</v>
      </c>
    </row>
    <row r="48" spans="2:4" x14ac:dyDescent="0.3">
      <c r="B48" s="3" t="s">
        <v>8</v>
      </c>
      <c r="C48" s="8">
        <f>SUM(C44:C47)</f>
        <v>2430</v>
      </c>
      <c r="D48" s="4">
        <f>SUM(D44:D47)</f>
        <v>2685</v>
      </c>
    </row>
    <row r="50" spans="2:4" x14ac:dyDescent="0.3">
      <c r="B50" s="11" t="s">
        <v>13</v>
      </c>
      <c r="C50" s="12">
        <f>SUM(C10+C35+C18+C40+C27+C48)</f>
        <v>100072</v>
      </c>
      <c r="D50" s="12">
        <f>SUM(D10+D35+D18+D40+D27+D48)</f>
        <v>569695.34</v>
      </c>
    </row>
  </sheetData>
  <mergeCells count="6">
    <mergeCell ref="B3:D3"/>
    <mergeCell ref="B29:D29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15" sqref="B15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8.5546875" bestFit="1" customWidth="1"/>
    <col min="9" max="9" width="4.3320312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7" t="s">
        <v>20</v>
      </c>
    </row>
    <row r="3" spans="2:12" x14ac:dyDescent="0.3">
      <c r="B3" s="16" t="s">
        <v>33</v>
      </c>
    </row>
    <row r="5" spans="2:12" x14ac:dyDescent="0.3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3">
      <c r="B6" s="15" t="s">
        <v>28</v>
      </c>
      <c r="C6" s="1" t="s">
        <v>4</v>
      </c>
      <c r="D6" s="22">
        <f>SUMIF('REPORTE DIARIO'!B:B,'EPR 12 ABR'!C6, 'REPORTE DIARIO'!C:C)</f>
        <v>14951</v>
      </c>
      <c r="E6" s="15">
        <f>SUMIF('REPORTE DIARIO'!B:B,'EPR 12 ABR'!C6, 'REPORTE DIARIO'!D:D)</f>
        <v>274934.48</v>
      </c>
      <c r="F6" s="15">
        <f>J6*D6</f>
        <v>427171.42857142858</v>
      </c>
      <c r="G6" s="15">
        <f>+E6-F6</f>
        <v>-152236.9485714286</v>
      </c>
      <c r="H6" s="14">
        <f>ABS(G6/F6)</f>
        <v>0.35638373352952984</v>
      </c>
      <c r="I6" s="15">
        <f>E6/D6</f>
        <v>18.389036184870577</v>
      </c>
      <c r="J6" s="15">
        <f>200/7</f>
        <v>28.571428571428573</v>
      </c>
      <c r="K6" s="15">
        <f>+I6-J6</f>
        <v>-10.182392386557996</v>
      </c>
      <c r="L6" s="14"/>
    </row>
    <row r="7" spans="2:12" x14ac:dyDescent="0.3">
      <c r="B7" s="15" t="s">
        <v>29</v>
      </c>
      <c r="C7" s="1" t="s">
        <v>5</v>
      </c>
      <c r="D7" s="22">
        <f>SUMIF('REPORTE DIARIO'!B:B,'EPR 12 ABR'!C7, 'REPORTE DIARIO'!C:C)</f>
        <v>11697</v>
      </c>
      <c r="E7" s="15">
        <f>SUMIF('REPORTE DIARIO'!B:B,'EPR 12 ABR'!C7, 'REPORTE DIARIO'!D:D)</f>
        <v>97322.32</v>
      </c>
      <c r="F7" s="15">
        <f>J7*D7</f>
        <v>183810</v>
      </c>
      <c r="G7" s="15">
        <f>+E7-F7</f>
        <v>-86487.679999999993</v>
      </c>
      <c r="H7" s="14">
        <f>ABS(G7/F7)</f>
        <v>0.47052761003209831</v>
      </c>
      <c r="I7" s="15">
        <f>E7/D7</f>
        <v>8.3202804137813118</v>
      </c>
      <c r="J7" s="15">
        <f>110/7</f>
        <v>15.714285714285714</v>
      </c>
      <c r="K7" s="15">
        <f t="shared" ref="K7:K9" si="0">+I7-J7</f>
        <v>-7.3940053005044017</v>
      </c>
      <c r="L7" s="14"/>
    </row>
    <row r="8" spans="2:12" x14ac:dyDescent="0.3">
      <c r="B8" s="15" t="s">
        <v>29</v>
      </c>
      <c r="C8" s="1" t="s">
        <v>6</v>
      </c>
      <c r="D8" s="22">
        <f>SUMIF('REPORTE DIARIO'!B:B,'EPR 12 ABR'!C8, 'REPORTE DIARIO'!C:C)</f>
        <v>15892</v>
      </c>
      <c r="E8" s="15">
        <f>SUMIF('REPORTE DIARIO'!B:B,'EPR 12 ABR'!C8, 'REPORTE DIARIO'!D:D)</f>
        <v>94575</v>
      </c>
      <c r="F8" s="15">
        <f>J8*D8</f>
        <v>102162.85714285714</v>
      </c>
      <c r="G8" s="15">
        <f>+E8-F8</f>
        <v>-7587.8571428571449</v>
      </c>
      <c r="H8" s="14">
        <f>ABS(G8/F8)</f>
        <v>7.4272170484101036E-2</v>
      </c>
      <c r="I8" s="15">
        <f>E8/D8</f>
        <v>5.9511074754593505</v>
      </c>
      <c r="J8" s="15">
        <f>45/7</f>
        <v>6.4285714285714288</v>
      </c>
      <c r="K8" s="15">
        <f t="shared" si="0"/>
        <v>-0.47746395311207834</v>
      </c>
      <c r="L8" s="14"/>
    </row>
    <row r="9" spans="2:12" x14ac:dyDescent="0.3">
      <c r="B9" s="15" t="s">
        <v>30</v>
      </c>
      <c r="C9" s="1" t="s">
        <v>7</v>
      </c>
      <c r="D9" s="22">
        <f>SUMIF('REPORTE DIARIO'!B:B,'EPR 12 ABR'!C9, 'REPORTE DIARIO'!C:C)</f>
        <v>57509</v>
      </c>
      <c r="E9" s="15">
        <f>SUMIF('REPORTE DIARIO'!B:B,'EPR 12 ABR'!C9, 'REPORTE DIARIO'!D:D)</f>
        <v>102863.54</v>
      </c>
      <c r="F9" s="15">
        <f>J9*D9</f>
        <v>123233.57142857142</v>
      </c>
      <c r="G9" s="15">
        <f>+E9-F9</f>
        <v>-20370.031428571427</v>
      </c>
      <c r="H9" s="14">
        <f>ABS(G9/F9)</f>
        <v>0.16529612176644815</v>
      </c>
      <c r="I9" s="15">
        <f>E9/D9</f>
        <v>1.7886511676433252</v>
      </c>
      <c r="J9" s="15">
        <f>15/7</f>
        <v>2.1428571428571428</v>
      </c>
      <c r="K9" s="15">
        <f t="shared" si="0"/>
        <v>-0.35420597521381758</v>
      </c>
    </row>
    <row r="10" spans="2:12" x14ac:dyDescent="0.3">
      <c r="B10" s="15"/>
      <c r="C10" s="18" t="s">
        <v>16</v>
      </c>
      <c r="D10" s="23">
        <f>SUM(D6:D9)</f>
        <v>100049</v>
      </c>
      <c r="E10" s="19">
        <f>SUM(E6:E9)</f>
        <v>569695.34</v>
      </c>
      <c r="F10" s="19">
        <f>SUM(F6:F9)</f>
        <v>836377.85714285728</v>
      </c>
      <c r="G10" s="19">
        <f>+E10-F10</f>
        <v>-266682.51714285731</v>
      </c>
      <c r="H10" s="20">
        <f>ABS(G10/F10)</f>
        <v>0.31885410985636209</v>
      </c>
      <c r="I10" s="19">
        <f>E10/D10</f>
        <v>5.6941632600025986</v>
      </c>
      <c r="J10" s="19">
        <f>F10/D10</f>
        <v>8.3596823270882989</v>
      </c>
      <c r="K10" s="19">
        <f>I10-J10</f>
        <v>-2.6655190670857003</v>
      </c>
    </row>
    <row r="12" spans="2:12" x14ac:dyDescent="0.3">
      <c r="B12" s="21" t="s">
        <v>23</v>
      </c>
      <c r="I12" s="13"/>
    </row>
    <row r="13" spans="2:12" x14ac:dyDescent="0.3">
      <c r="B13" t="s">
        <v>24</v>
      </c>
    </row>
    <row r="14" spans="2:12" x14ac:dyDescent="0.3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2025-03-01T19:30:03Z</cp:lastPrinted>
  <dcterms:created xsi:type="dcterms:W3CDTF">2025-01-27T15:11:28Z</dcterms:created>
  <dcterms:modified xsi:type="dcterms:W3CDTF">2025-04-13T02:02:01Z</dcterms:modified>
</cp:coreProperties>
</file>