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2 ABRIL\MAÑANA\"/>
    </mc:Choice>
  </mc:AlternateContent>
  <xr:revisionPtr revIDLastSave="0" documentId="13_ncr:1_{4AA94BAD-EF9B-4110-891E-2759BFC2928B}" xr6:coauthVersionLast="47" xr6:coauthVersionMax="47" xr10:uidLastSave="{00000000-0000-0000-0000-000000000000}"/>
  <bookViews>
    <workbookView xWindow="0" yWindow="150" windowWidth="10770" windowHeight="10350" xr2:uid="{4DC6C92A-CD8A-4966-829B-0B6A986E825B}"/>
  </bookViews>
  <sheets>
    <sheet name="REPORTE DIARIO" sheetId="1" r:id="rId1"/>
    <sheet name="DATA" sheetId="4" r:id="rId2"/>
    <sheet name="EPR 1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19" i="1"/>
  <c r="C19" i="1"/>
  <c r="D40" i="1" l="1"/>
  <c r="C40" i="1"/>
  <c r="D35" i="1"/>
  <c r="C35" i="1"/>
  <c r="D27" i="1"/>
  <c r="C27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<sst xmlns="http://schemas.openxmlformats.org/spreadsheetml/2006/main" count="88" uniqueCount="37">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</sst>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6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6139</v>
      </c>
      <c r="D5" s="25">
        <v>402739.6</v>
      </c>
    </row>
    <row r="6" spans="2:8" x14ac:dyDescent="0.25">
      <c r="B6" s="1" t="s">
        <v>5</v>
      </c>
      <c r="C6" s="6">
        <v>5777</v>
      </c>
      <c r="D6" s="25">
        <v>186675.18</v>
      </c>
    </row>
    <row r="7" spans="2:8" x14ac:dyDescent="0.25">
      <c r="B7" s="1" t="s">
        <v>6</v>
      </c>
      <c r="C7" s="6">
        <v>8670</v>
      </c>
      <c r="D7" s="25">
        <v>141223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21144</v>
      </c>
      <c r="D9" s="25">
        <v>256500.74</v>
      </c>
      <c r="F9" s="7"/>
    </row>
    <row r="10" spans="2:8" x14ac:dyDescent="0.25">
      <c r="B10" s="3" t="s">
        <v>8</v>
      </c>
      <c r="C10" s="8">
        <f>SUM(C5:C9)</f>
        <v>41751</v>
      </c>
      <c r="D10" s="4">
        <f>SUM(D5:D9)</f>
        <v>987138.52</v>
      </c>
      <c r="E10" s="11" t="s">
        <v>14</v>
      </c>
    </row>
    <row r="12" spans="2:8" x14ac:dyDescent="0.25">
      <c r="B12" s="27" t="s">
        <v>34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2498</v>
      </c>
      <c r="D14" s="25">
        <v>137460.75</v>
      </c>
    </row>
    <row r="15" spans="2:8" x14ac:dyDescent="0.25">
      <c r="B15" s="1" t="s">
        <v>5</v>
      </c>
      <c r="C15" s="6">
        <v>1444</v>
      </c>
      <c r="D15" s="25">
        <v>76290.010000000009</v>
      </c>
    </row>
    <row r="16" spans="2:8" x14ac:dyDescent="0.25">
      <c r="B16" s="1" t="s">
        <v>6</v>
      </c>
      <c r="C16" s="6">
        <v>3283</v>
      </c>
      <c r="D16" s="25">
        <v>38401.620000000003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21186</v>
      </c>
      <c r="D18" s="25">
        <v>116217.00000000001</v>
      </c>
    </row>
    <row r="19" spans="2:11" x14ac:dyDescent="0.25">
      <c r="B19" s="3" t="s">
        <v>8</v>
      </c>
      <c r="C19" s="8">
        <f>SUM(C14:C18)</f>
        <v>28413</v>
      </c>
      <c r="D19" s="4">
        <f>SUM(D14:D18)</f>
        <v>368369.38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1757</v>
      </c>
      <c r="D23" s="25">
        <v>135828.5</v>
      </c>
    </row>
    <row r="24" spans="2:11" x14ac:dyDescent="0.25">
      <c r="B24" s="9" t="s">
        <v>5</v>
      </c>
      <c r="C24" s="6">
        <v>2122</v>
      </c>
      <c r="D24" s="25">
        <v>88988.800000000003</v>
      </c>
    </row>
    <row r="25" spans="2:11" x14ac:dyDescent="0.25">
      <c r="B25" s="9" t="s">
        <v>6</v>
      </c>
      <c r="C25" s="6">
        <v>872</v>
      </c>
      <c r="D25" s="25">
        <v>23147</v>
      </c>
    </row>
    <row r="26" spans="2:11" x14ac:dyDescent="0.25">
      <c r="B26" s="9" t="s">
        <v>7</v>
      </c>
      <c r="C26" s="6">
        <v>8901</v>
      </c>
      <c r="D26" s="25">
        <v>22137.88</v>
      </c>
    </row>
    <row r="27" spans="2:11" x14ac:dyDescent="0.25">
      <c r="B27" s="10" t="s">
        <v>8</v>
      </c>
      <c r="C27" s="8">
        <f>SUM(C23:C26)</f>
        <v>13652</v>
      </c>
      <c r="D27" s="4">
        <f>SUM(D23:D26)</f>
        <v>270102.18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1364</v>
      </c>
      <c r="D31" s="25">
        <v>74451.240000000005</v>
      </c>
    </row>
    <row r="32" spans="2:11" x14ac:dyDescent="0.25">
      <c r="B32" s="9" t="s">
        <v>5</v>
      </c>
      <c r="C32" s="6">
        <v>1929</v>
      </c>
      <c r="D32" s="25">
        <v>68577.279999999999</v>
      </c>
    </row>
    <row r="33" spans="2:4" x14ac:dyDescent="0.25">
      <c r="B33" s="9" t="s">
        <v>6</v>
      </c>
      <c r="C33" s="6">
        <v>2775</v>
      </c>
      <c r="D33" s="25">
        <v>5066.22</v>
      </c>
    </row>
    <row r="34" spans="2:4" x14ac:dyDescent="0.25">
      <c r="B34" s="9" t="s">
        <v>7</v>
      </c>
      <c r="C34" s="6">
        <v>4264</v>
      </c>
      <c r="D34" s="25">
        <v>1477</v>
      </c>
    </row>
    <row r="35" spans="2:4" x14ac:dyDescent="0.25">
      <c r="B35" s="10" t="s">
        <v>8</v>
      </c>
      <c r="C35" s="8">
        <f>SUM(C31:C34)</f>
        <v>10332</v>
      </c>
      <c r="D35" s="4">
        <f>SUM(D31:D34)</f>
        <v>149571.74000000002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2630</v>
      </c>
      <c r="D39" s="25">
        <v>147335</v>
      </c>
    </row>
    <row r="40" spans="2:4" x14ac:dyDescent="0.25">
      <c r="B40" s="10" t="s">
        <v>8</v>
      </c>
      <c r="C40" s="8">
        <f>SUM(C39:C39)</f>
        <v>2630</v>
      </c>
      <c r="D40" s="4">
        <f>SUM(D39:D39)</f>
        <v>147335</v>
      </c>
    </row>
    <row r="42" spans="2:4" x14ac:dyDescent="0.25">
      <c r="B42" s="27" t="s">
        <v>35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25813</v>
      </c>
    </row>
    <row r="45" spans="2:4" x14ac:dyDescent="0.25">
      <c r="B45" s="1" t="s">
        <v>5</v>
      </c>
      <c r="C45" s="6">
        <v>219</v>
      </c>
      <c r="D45" s="25">
        <v>1010</v>
      </c>
    </row>
    <row r="46" spans="2:4" x14ac:dyDescent="0.25">
      <c r="B46" s="1" t="s">
        <v>6</v>
      </c>
      <c r="C46" s="6">
        <v>213</v>
      </c>
      <c r="D46" s="25">
        <v>546</v>
      </c>
    </row>
    <row r="47" spans="2:4" x14ac:dyDescent="0.25">
      <c r="B47" s="1" t="s">
        <v>7</v>
      </c>
      <c r="C47" s="6">
        <v>1891</v>
      </c>
      <c r="D47" s="25">
        <v>6573</v>
      </c>
    </row>
    <row r="48" spans="2:4" x14ac:dyDescent="0.25">
      <c r="B48" s="3" t="s">
        <v>8</v>
      </c>
      <c r="C48" s="8">
        <f>SUM(C44:C47)</f>
        <v>2362</v>
      </c>
      <c r="D48" s="4">
        <f>SUM(D44:D47)</f>
        <v>33942</v>
      </c>
    </row>
    <row r="50" spans="2:4" x14ac:dyDescent="0.25">
      <c r="B50" s="28" t="s">
        <v>32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2" t="s">
        <v>13</v>
      </c>
      <c r="C58" s="13">
        <f>SUM(C10+C27+C56+C35+C40+C19+C48)</f>
        <v>99143</v>
      </c>
      <c r="D58" s="13">
        <f>SUM(D10+D27+D56+D35+D40+D19+D48)</f>
        <v>1956458.8199999998</v>
      </c>
    </row>
  </sheetData>
  <mergeCells count="7">
    <mergeCell ref="B12:D12"/>
    <mergeCell ref="B42:D42"/>
    <mergeCell ref="B3:D3"/>
    <mergeCell ref="B50:D50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12 ABR'!C6, 'REPORTE DIARIO'!C:C)</f>
        <v>14428</v>
      </c>
      <c r="E6" s="16">
        <f>SUMIF('REPORTE DIARIO'!B:B,'EPR 12 ABR'!C6, 'REPORTE DIARIO'!D:D)</f>
        <v>923628.09</v>
      </c>
      <c r="F6" s="16">
        <f>J6*D6</f>
        <v>2473371.4285714286</v>
      </c>
      <c r="G6" s="16">
        <f>+E6-F6</f>
        <v>-1549743.3385714288</v>
      </c>
      <c r="H6" s="15">
        <f>ABS(G6/F6)</f>
        <v>0.62657121395896875</v>
      </c>
      <c r="I6" s="16">
        <f>E6/D6</f>
        <v>64.016363321319659</v>
      </c>
      <c r="J6" s="16">
        <f>(200/7)*6</f>
        <v>171.42857142857144</v>
      </c>
      <c r="K6" s="16">
        <f>+I6-J6</f>
        <v>-107.41220810725179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12 ABR'!C7, 'REPORTE DIARIO'!C:C)</f>
        <v>11491</v>
      </c>
      <c r="E7" s="16">
        <f>SUMIF('REPORTE DIARIO'!B:B,'EPR 12 ABR'!C7, 'REPORTE DIARIO'!D:D)</f>
        <v>421541.27</v>
      </c>
      <c r="F7" s="16">
        <f>J7*D7</f>
        <v>1083437.1428571427</v>
      </c>
      <c r="G7" s="16">
        <f>+E7-F7</f>
        <v>-661895.87285714271</v>
      </c>
      <c r="H7" s="15">
        <f>ABS(G7/F7)</f>
        <v>0.61092226459178856</v>
      </c>
      <c r="I7" s="16">
        <f>E7/D7</f>
        <v>36.684472195631365</v>
      </c>
      <c r="J7" s="16">
        <f>(110/7)*6</f>
        <v>94.285714285714278</v>
      </c>
      <c r="K7" s="16">
        <f t="shared" ref="K7:K9" si="0">+I7-J7</f>
        <v>-57.601242090082913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12 ABR'!C8, 'REPORTE DIARIO'!C:C)</f>
        <v>15813</v>
      </c>
      <c r="E8" s="16">
        <f>SUMIF('REPORTE DIARIO'!B:B,'EPR 12 ABR'!C8, 'REPORTE DIARIO'!D:D)</f>
        <v>208383.84</v>
      </c>
      <c r="F8" s="16">
        <f>J8*D8</f>
        <v>609930</v>
      </c>
      <c r="G8" s="16">
        <f>+E8-F8</f>
        <v>-401546.16000000003</v>
      </c>
      <c r="H8" s="15">
        <f>ABS(G8/F8)</f>
        <v>0.65834794156706511</v>
      </c>
      <c r="I8" s="16">
        <f>E8/D8</f>
        <v>13.17800796812749</v>
      </c>
      <c r="J8" s="16">
        <f>(45/7)*6</f>
        <v>38.571428571428569</v>
      </c>
      <c r="K8" s="16">
        <f t="shared" si="0"/>
        <v>-25.393420603301081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12 ABR'!C9, 'REPORTE DIARIO'!C:C)</f>
        <v>57388</v>
      </c>
      <c r="E9" s="16">
        <f>SUMIF('REPORTE DIARIO'!B:B,'EPR 12 ABR'!C9, 'REPORTE DIARIO'!D:D)</f>
        <v>402905.62</v>
      </c>
      <c r="F9" s="16">
        <f>J9*D9</f>
        <v>737845.71428571432</v>
      </c>
      <c r="G9" s="16">
        <f>+E9-F9</f>
        <v>-334940.09428571432</v>
      </c>
      <c r="H9" s="15">
        <f>ABS(G9/F9)</f>
        <v>0.45394326727229078</v>
      </c>
      <c r="I9" s="16">
        <f>E9/D9</f>
        <v>7.020729420784833</v>
      </c>
      <c r="J9" s="16">
        <f>(15/7)*6</f>
        <v>12.857142857142858</v>
      </c>
      <c r="K9" s="16">
        <f t="shared" si="0"/>
        <v>-5.8364134363580247</v>
      </c>
    </row>
    <row r="10" spans="2:12" x14ac:dyDescent="0.25">
      <c r="B10" s="16"/>
      <c r="C10" s="19" t="s">
        <v>17</v>
      </c>
      <c r="D10" s="24">
        <f>SUM(D6:D9)</f>
        <v>99120</v>
      </c>
      <c r="E10" s="20">
        <f>SUM(E6:E9)</f>
        <v>1956458.8199999998</v>
      </c>
      <c r="F10" s="20">
        <f>SUM(F6:F9)</f>
        <v>4904584.2857142854</v>
      </c>
      <c r="G10" s="20">
        <f>+E10-F10</f>
        <v>-2948125.4657142856</v>
      </c>
      <c r="H10" s="21">
        <f>ABS(G10/F10)</f>
        <v>0.60109589191919277</v>
      </c>
      <c r="I10" s="20">
        <f>E10/D10</f>
        <v>19.738285108958838</v>
      </c>
      <c r="J10" s="20">
        <f>F10/D10</f>
        <v>49.48127810446212</v>
      </c>
      <c r="K10" s="20">
        <f>I10-J10</f>
        <v>-29.742992995503283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2025-04-12T15:34:16Z</dcterms:modified>
</cp:coreProperties>
</file>