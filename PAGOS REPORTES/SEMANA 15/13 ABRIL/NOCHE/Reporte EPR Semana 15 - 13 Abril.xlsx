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5\13 ABRIL\NOCHE\"/>
    </mc:Choice>
  </mc:AlternateContent>
  <xr:revisionPtr revIDLastSave="0" documentId="13_ncr:1_{718F2A67-0955-444F-BD2F-F13BA52F0385}" xr6:coauthVersionLast="47" xr6:coauthVersionMax="47" xr10:uidLastSave="{00000000-0000-0000-0000-000000000000}"/>
  <bookViews>
    <workbookView xWindow="6555" yWindow="6705" windowWidth="10770" windowHeight="10350" xr2:uid="{4DC6C92A-CD8A-4966-829B-0B6A986E825B}"/>
  </bookViews>
  <sheets>
    <sheet name="REPORTE DIARIO" sheetId="1" r:id="rId1"/>
    <sheet name="DATA" sheetId="4" r:id="rId2"/>
    <sheet name="EPR 13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8" i="1" l="1"/>
  <c r="C48" i="1"/>
  <c r="D19" i="1" l="1"/>
  <c r="C19" i="1"/>
  <c r="J9" i="3"/>
  <c r="J8" i="3"/>
  <c r="J7" i="3"/>
  <c r="J6" i="3"/>
  <c r="D6" i="3"/>
  <c r="F6" i="3" s="1"/>
  <c r="D40" i="1"/>
  <c r="C40" i="1"/>
  <c r="D27" i="1"/>
  <c r="C27" i="1"/>
  <c r="D35" i="1"/>
  <c r="C35" i="1"/>
  <c r="D10" i="1"/>
  <c r="C10" i="1"/>
  <c r="E7" i="3"/>
  <c r="E8" i="3"/>
  <c r="E9" i="3"/>
  <c r="E6" i="3"/>
  <c r="D7" i="3"/>
  <c r="F7" i="3" s="1"/>
  <c r="D8" i="3"/>
  <c r="F8" i="3" s="1"/>
  <c r="D9" i="3"/>
  <c r="F9" i="3" s="1"/>
  <c r="C50" i="1" l="1"/>
  <c r="D50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<sst xmlns="http://schemas.openxmlformats.org/spreadsheetml/2006/main" count="78" uniqueCount="35">
  <si>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</si>
  <si>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</si>
  <si>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</si>
  <si>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</si>
  <si>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</si>
  <si>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</si>
  <si>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</si>
  <si>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</si>
  <si>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</si>
  <si>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</si>
  <si>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</si>
  <si>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</si>
  <si>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</si>
  <si>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</si>
  <si>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</si>
  <si>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</si>
  <si>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</si>
  <si>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</si>
  <si>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</si>
  <si>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</si>
  <si>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</si>
  <si>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</si>
  <si>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</si>
  <si>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</si>
  <si>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</si>
  <si>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</si>
  <si>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</si>
  <si>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</si>
  <si>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</si>
  <si>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</si>
  <si>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</si>
  <si>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</si>
  <si>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</si>
  <si>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Samantha, Samantha 2, Sofia, Edith, Fernando y Federico</t>
  </si>
  <si>
    <t>COBRANZA 13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</si>
</sst>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0"/>
  <sheetViews>
    <sheetView showGridLines="0" tabSelected="1" workbookViewId="0">
      <selection activeCell="C48" sqref="C4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6532</v>
      </c>
      <c r="D5" s="25">
        <v>87518.87</v>
      </c>
    </row>
    <row r="6" spans="2:8" x14ac:dyDescent="0.25">
      <c r="B6" s="1" t="s">
        <v>5</v>
      </c>
      <c r="C6" s="6">
        <v>5869</v>
      </c>
      <c r="D6" s="25">
        <v>83145</v>
      </c>
    </row>
    <row r="7" spans="2:8" x14ac:dyDescent="0.25">
      <c r="B7" s="1" t="s">
        <v>6</v>
      </c>
      <c r="C7" s="6">
        <v>8788</v>
      </c>
      <c r="D7" s="25">
        <v>41954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21282</v>
      </c>
      <c r="D9" s="25">
        <v>69471.69</v>
      </c>
    </row>
    <row r="10" spans="2:8" x14ac:dyDescent="0.25">
      <c r="B10" s="3" t="s">
        <v>8</v>
      </c>
      <c r="C10" s="8">
        <f>SUM(C5:C9)</f>
        <v>42492</v>
      </c>
      <c r="D10" s="4">
        <f>SUM(D5:D9)</f>
        <v>282089.56</v>
      </c>
    </row>
    <row r="12" spans="2:8" x14ac:dyDescent="0.25">
      <c r="B12" s="27" t="s">
        <v>31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2474</v>
      </c>
      <c r="D14" s="25">
        <v>40179</v>
      </c>
    </row>
    <row r="15" spans="2:8" x14ac:dyDescent="0.25">
      <c r="B15" s="1" t="s">
        <v>5</v>
      </c>
      <c r="C15" s="6">
        <v>1500</v>
      </c>
      <c r="D15" s="25">
        <v>15365</v>
      </c>
    </row>
    <row r="16" spans="2:8" x14ac:dyDescent="0.25">
      <c r="B16" s="1" t="s">
        <v>6</v>
      </c>
      <c r="C16" s="6">
        <v>3291</v>
      </c>
      <c r="D16" s="25">
        <v>2921</v>
      </c>
    </row>
    <row r="17" spans="2:11" x14ac:dyDescent="0.25">
      <c r="B17" s="5" t="s">
        <v>12</v>
      </c>
      <c r="C17" s="7">
        <v>2</v>
      </c>
      <c r="D17" s="24">
        <v>0</v>
      </c>
    </row>
    <row r="18" spans="2:11" x14ac:dyDescent="0.25">
      <c r="B18" s="1" t="s">
        <v>7</v>
      </c>
      <c r="C18" s="6">
        <v>21214</v>
      </c>
      <c r="D18" s="25">
        <v>11326</v>
      </c>
    </row>
    <row r="19" spans="2:11" x14ac:dyDescent="0.25">
      <c r="B19" s="3" t="s">
        <v>8</v>
      </c>
      <c r="C19" s="8">
        <f>SUM(C14:C18)</f>
        <v>28481</v>
      </c>
      <c r="D19" s="4">
        <f>SUM(D14:D18)</f>
        <v>69791</v>
      </c>
    </row>
    <row r="21" spans="2:11" x14ac:dyDescent="0.25">
      <c r="B21" s="28" t="s">
        <v>10</v>
      </c>
      <c r="C21" s="28"/>
      <c r="D21" s="28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2002</v>
      </c>
      <c r="D23" s="25">
        <v>18243.28</v>
      </c>
    </row>
    <row r="24" spans="2:11" x14ac:dyDescent="0.25">
      <c r="B24" s="9" t="s">
        <v>5</v>
      </c>
      <c r="C24" s="6">
        <v>2135</v>
      </c>
      <c r="D24" s="25">
        <v>24303.5</v>
      </c>
    </row>
    <row r="25" spans="2:11" x14ac:dyDescent="0.25">
      <c r="B25" s="9" t="s">
        <v>6</v>
      </c>
      <c r="C25" s="6">
        <v>900</v>
      </c>
      <c r="D25" s="25">
        <v>2407</v>
      </c>
    </row>
    <row r="26" spans="2:11" x14ac:dyDescent="0.25">
      <c r="B26" s="9" t="s">
        <v>7</v>
      </c>
      <c r="C26" s="6">
        <v>8911</v>
      </c>
      <c r="D26" s="25">
        <v>10671.35</v>
      </c>
      <c r="K26" s="7"/>
    </row>
    <row r="27" spans="2:11" x14ac:dyDescent="0.25">
      <c r="B27" s="10" t="s">
        <v>8</v>
      </c>
      <c r="C27" s="8">
        <f>SUM(C23:C26)</f>
        <v>13948</v>
      </c>
      <c r="D27" s="4">
        <f>SUM(D23:D26)</f>
        <v>55625.13</v>
      </c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1363</v>
      </c>
      <c r="D31" s="25">
        <v>26814.799999999999</v>
      </c>
    </row>
    <row r="32" spans="2:11" x14ac:dyDescent="0.25">
      <c r="B32" s="9" t="s">
        <v>5</v>
      </c>
      <c r="C32" s="6">
        <v>1940</v>
      </c>
      <c r="D32" s="25">
        <v>6000.58</v>
      </c>
    </row>
    <row r="33" spans="2:4" x14ac:dyDescent="0.25">
      <c r="B33" s="9" t="s">
        <v>6</v>
      </c>
      <c r="C33" s="6">
        <v>2795</v>
      </c>
      <c r="D33" s="25">
        <v>742</v>
      </c>
    </row>
    <row r="34" spans="2:4" x14ac:dyDescent="0.25">
      <c r="B34" s="9" t="s">
        <v>7</v>
      </c>
      <c r="C34" s="6">
        <v>4264</v>
      </c>
      <c r="D34" s="25">
        <v>521</v>
      </c>
    </row>
    <row r="35" spans="2:4" x14ac:dyDescent="0.25">
      <c r="B35" s="10" t="s">
        <v>8</v>
      </c>
      <c r="C35" s="8">
        <f>SUM(C31:C34)</f>
        <v>10362</v>
      </c>
      <c r="D35" s="4">
        <f>SUM(D31:D34)</f>
        <v>34078.379999999997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2629</v>
      </c>
      <c r="D39" s="25">
        <v>16182</v>
      </c>
    </row>
    <row r="40" spans="2:4" x14ac:dyDescent="0.25">
      <c r="B40" s="10" t="s">
        <v>8</v>
      </c>
      <c r="C40" s="8">
        <f>SUM(C39:C39)</f>
        <v>2629</v>
      </c>
      <c r="D40" s="4">
        <f>SUM(D39:D39)</f>
        <v>16182</v>
      </c>
    </row>
    <row r="42" spans="2:4" x14ac:dyDescent="0.25">
      <c r="B42" s="27" t="s">
        <v>32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39</v>
      </c>
      <c r="D44" s="25">
        <v>2770</v>
      </c>
    </row>
    <row r="45" spans="2:4" x14ac:dyDescent="0.25">
      <c r="B45" s="1" t="s">
        <v>5</v>
      </c>
      <c r="C45" s="6">
        <v>284</v>
      </c>
      <c r="D45" s="26">
        <v>0</v>
      </c>
    </row>
    <row r="46" spans="2:4" x14ac:dyDescent="0.25">
      <c r="B46" s="1" t="s">
        <v>6</v>
      </c>
      <c r="C46" s="6">
        <v>235</v>
      </c>
      <c r="D46" s="26">
        <v>0</v>
      </c>
    </row>
    <row r="47" spans="2:4" x14ac:dyDescent="0.25">
      <c r="B47" s="1" t="s">
        <v>7</v>
      </c>
      <c r="C47" s="6">
        <v>1922</v>
      </c>
      <c r="D47" s="25">
        <v>1524</v>
      </c>
    </row>
    <row r="48" spans="2:4" x14ac:dyDescent="0.25">
      <c r="B48" s="3" t="s">
        <v>8</v>
      </c>
      <c r="C48" s="8">
        <f>SUM(C44:C47)</f>
        <v>2480</v>
      </c>
      <c r="D48" s="4">
        <f>SUM(D44:D47)</f>
        <v>4294</v>
      </c>
    </row>
    <row r="50" spans="2:4" x14ac:dyDescent="0.25">
      <c r="B50" s="11" t="s">
        <v>13</v>
      </c>
      <c r="C50" s="12">
        <f>SUM(C10+C35+C27+C40+C19+C48)</f>
        <v>100392</v>
      </c>
      <c r="D50" s="12">
        <f>SUM(D10+D35+D27+D40+D19+D48)</f>
        <v>462060.07</v>
      </c>
    </row>
  </sheetData>
  <mergeCells count="6">
    <mergeCell ref="B3:D3"/>
    <mergeCell ref="B29:D29"/>
    <mergeCell ref="B37:D37"/>
    <mergeCell ref="B42:D42"/>
    <mergeCell ref="B12:D12"/>
    <mergeCell ref="B21:D2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30" zoomScaleNormal="130" workbookViewId="0">
      <selection activeCell="J6" sqref="J6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34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28</v>
      </c>
      <c r="C6" s="1" t="s">
        <v>4</v>
      </c>
      <c r="D6" s="22">
        <f>SUMIF('REPORTE DIARIO'!B:B,'EPR 13 ABR'!C6, 'REPORTE DIARIO'!C:C)</f>
        <v>15039</v>
      </c>
      <c r="E6" s="15">
        <f>SUMIF('REPORTE DIARIO'!B:B,'EPR 13 ABR'!C6, 'REPORTE DIARIO'!D:D)</f>
        <v>191707.94999999998</v>
      </c>
      <c r="F6" s="15">
        <f>J6*D6</f>
        <v>429685.71428571432</v>
      </c>
      <c r="G6" s="15">
        <f>+E6-F6</f>
        <v>-237977.76428571434</v>
      </c>
      <c r="H6" s="14">
        <f>ABS(G6/F6)</f>
        <v>0.55384146219828456</v>
      </c>
      <c r="I6" s="15">
        <f>E6/D6</f>
        <v>12.747386794334728</v>
      </c>
      <c r="J6" s="15">
        <f>200/7</f>
        <v>28.571428571428573</v>
      </c>
      <c r="K6" s="15">
        <f>+I6-J6</f>
        <v>-15.824041777093845</v>
      </c>
      <c r="L6" s="14"/>
    </row>
    <row r="7" spans="2:12" x14ac:dyDescent="0.25">
      <c r="B7" s="15" t="s">
        <v>29</v>
      </c>
      <c r="C7" s="1" t="s">
        <v>5</v>
      </c>
      <c r="D7" s="22">
        <f>SUMIF('REPORTE DIARIO'!B:B,'EPR 13 ABR'!C7, 'REPORTE DIARIO'!C:C)</f>
        <v>11728</v>
      </c>
      <c r="E7" s="15">
        <f>SUMIF('REPORTE DIARIO'!B:B,'EPR 13 ABR'!C7, 'REPORTE DIARIO'!D:D)</f>
        <v>128814.08</v>
      </c>
      <c r="F7" s="15">
        <f>J7*D7</f>
        <v>184297.14285714284</v>
      </c>
      <c r="G7" s="15">
        <f>+E7-F7</f>
        <v>-55483.062857142839</v>
      </c>
      <c r="H7" s="14">
        <f>ABS(G7/F7)</f>
        <v>0.30105221381619734</v>
      </c>
      <c r="I7" s="15">
        <f>E7/D7</f>
        <v>10.983465211459755</v>
      </c>
      <c r="J7" s="15">
        <f>110/7</f>
        <v>15.714285714285714</v>
      </c>
      <c r="K7" s="15">
        <f t="shared" ref="K7:K9" si="0">+I7-J7</f>
        <v>-4.7308205028259582</v>
      </c>
      <c r="L7" s="14"/>
    </row>
    <row r="8" spans="2:12" x14ac:dyDescent="0.25">
      <c r="B8" s="15" t="s">
        <v>29</v>
      </c>
      <c r="C8" s="1" t="s">
        <v>6</v>
      </c>
      <c r="D8" s="22">
        <f>SUMIF('REPORTE DIARIO'!B:B,'EPR 13 ABR'!C8, 'REPORTE DIARIO'!C:C)</f>
        <v>16009</v>
      </c>
      <c r="E8" s="15">
        <f>SUMIF('REPORTE DIARIO'!B:B,'EPR 13 ABR'!C8, 'REPORTE DIARIO'!D:D)</f>
        <v>48024</v>
      </c>
      <c r="F8" s="15">
        <f>J8*D8</f>
        <v>102915</v>
      </c>
      <c r="G8" s="15">
        <f>+E8-F8</f>
        <v>-54891</v>
      </c>
      <c r="H8" s="14">
        <f>ABS(G8/F8)</f>
        <v>0.53336248360297334</v>
      </c>
      <c r="I8" s="15">
        <f>E8/D8</f>
        <v>2.9998126054094572</v>
      </c>
      <c r="J8" s="15">
        <f>45/7</f>
        <v>6.4285714285714288</v>
      </c>
      <c r="K8" s="15">
        <f t="shared" si="0"/>
        <v>-3.4287588231619717</v>
      </c>
      <c r="L8" s="14"/>
    </row>
    <row r="9" spans="2:12" x14ac:dyDescent="0.25">
      <c r="B9" s="15" t="s">
        <v>30</v>
      </c>
      <c r="C9" s="1" t="s">
        <v>7</v>
      </c>
      <c r="D9" s="22">
        <f>SUMIF('REPORTE DIARIO'!B:B,'EPR 13 ABR'!C9, 'REPORTE DIARIO'!C:C)</f>
        <v>57593</v>
      </c>
      <c r="E9" s="15">
        <f>SUMIF('REPORTE DIARIO'!B:B,'EPR 13 ABR'!C9, 'REPORTE DIARIO'!D:D)</f>
        <v>93514.040000000008</v>
      </c>
      <c r="F9" s="15">
        <f>J9*D9</f>
        <v>123413.57142857142</v>
      </c>
      <c r="G9" s="15">
        <f>+E9-F9</f>
        <v>-29899.531428571412</v>
      </c>
      <c r="H9" s="14">
        <f>ABS(G9/F9)</f>
        <v>0.2422710167323574</v>
      </c>
      <c r="I9" s="15">
        <f>E9/D9</f>
        <v>1.6237049641449484</v>
      </c>
      <c r="J9" s="15">
        <f>15/7</f>
        <v>2.1428571428571428</v>
      </c>
      <c r="K9" s="15">
        <f t="shared" si="0"/>
        <v>-0.51915217871219443</v>
      </c>
    </row>
    <row r="10" spans="2:12" x14ac:dyDescent="0.25">
      <c r="B10" s="15"/>
      <c r="C10" s="18" t="s">
        <v>16</v>
      </c>
      <c r="D10" s="23">
        <f>SUM(D6:D9)</f>
        <v>100369</v>
      </c>
      <c r="E10" s="19">
        <f>SUM(E6:E9)</f>
        <v>462060.06999999995</v>
      </c>
      <c r="F10" s="19">
        <f>SUM(F6:F9)</f>
        <v>840311.42857142864</v>
      </c>
      <c r="G10" s="19">
        <f>+E10-F10</f>
        <v>-378251.35857142869</v>
      </c>
      <c r="H10" s="20">
        <f>ABS(G10/F10)</f>
        <v>0.45013235059110751</v>
      </c>
      <c r="I10" s="19">
        <f>E10/D10</f>
        <v>4.6036133666769619</v>
      </c>
      <c r="J10" s="19">
        <f>F10/D10</f>
        <v>8.3722207909955131</v>
      </c>
      <c r="K10" s="19">
        <f>I10-J10</f>
        <v>-3.7686074243185512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13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2025-04-14T02:00:56Z</dcterms:modified>
</cp:coreProperties>
</file>