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3 ABRIL\NOCHE\"/>
    </mc:Choice>
  </mc:AlternateContent>
  <xr:revisionPtr revIDLastSave="0" documentId="13_ncr:1_{B42749F5-DF56-48B0-8067-0E1943C96BA7}" xr6:coauthVersionLast="47" xr6:coauthVersionMax="47" xr10:uidLastSave="{00000000-0000-0000-0000-000000000000}"/>
  <bookViews>
    <workbookView xWindow="6900" yWindow="7050" windowWidth="10770" windowHeight="10350" xr2:uid="{4DC6C92A-CD8A-4966-829B-0B6A986E825B}"/>
  </bookViews>
  <sheets>
    <sheet name="REPORTE DIARIO" sheetId="1" r:id="rId1"/>
    <sheet name="DATA" sheetId="4" r:id="rId2"/>
    <sheet name="EPR 13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J9" i="3"/>
  <c r="J8" i="3"/>
  <c r="J7" i="3"/>
  <c r="D48" i="1"/>
  <c r="C48" i="1"/>
  <c r="D19" i="1"/>
  <c r="C19" i="1"/>
  <c r="D40" i="1" l="1"/>
  <c r="C40" i="1"/>
  <c r="D35" i="1"/>
  <c r="C35" i="1"/>
  <c r="D27" i="1"/>
  <c r="C27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<sst xmlns="http://schemas.openxmlformats.org/spreadsheetml/2006/main" count="79" uniqueCount="36">
  <si>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</si>
  <si>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</si>
  <si>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</si>
  <si>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</si>
  <si>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</si>
  <si>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</si>
  <si>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</si>
  <si>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</si>
  <si>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</si>
  <si>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</si>
  <si>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</si>
  <si>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</si>
  <si>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</si>
  <si>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</si>
  <si>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</si>
  <si>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</si>
  <si>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</si>
  <si>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</si>
  <si>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</si>
  <si>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</si>
  <si>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</si>
  <si>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</si>
  <si>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</si>
  <si>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</si>
  <si>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</si>
  <si>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</si>
  <si>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</si>
  <si>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</si>
  <si>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</si>
  <si>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</si>
  <si>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</si>
  <si>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</si>
  <si>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</si>
  <si>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</si>
  <si>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15</t>
  </si>
  <si>
    <t>Samantha, Samantha 2, Sofia, Edith, Fernando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</si>
</sst>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topLeftCell="A7" zoomScaleNormal="100" workbookViewId="0">
      <selection activeCell="D46" sqref="D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6532</v>
      </c>
      <c r="D5" s="25">
        <v>642489.03</v>
      </c>
    </row>
    <row r="6" spans="2:8" x14ac:dyDescent="0.25">
      <c r="B6" s="1" t="s">
        <v>5</v>
      </c>
      <c r="C6" s="6">
        <v>5869</v>
      </c>
      <c r="D6" s="25">
        <v>352155.5</v>
      </c>
    </row>
    <row r="7" spans="2:8" x14ac:dyDescent="0.25">
      <c r="B7" s="1" t="s">
        <v>6</v>
      </c>
      <c r="C7" s="6">
        <v>8788</v>
      </c>
      <c r="D7" s="25">
        <v>273464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21282</v>
      </c>
      <c r="D9" s="25">
        <v>408130.97</v>
      </c>
      <c r="F9" s="7"/>
    </row>
    <row r="10" spans="2:8" x14ac:dyDescent="0.25">
      <c r="B10" s="3" t="s">
        <v>8</v>
      </c>
      <c r="C10" s="8">
        <f>SUM(C5:C9)</f>
        <v>42492</v>
      </c>
      <c r="D10" s="4">
        <f>SUM(D5:D9)</f>
        <v>1676239.5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2474</v>
      </c>
      <c r="D14" s="25">
        <v>218717.75</v>
      </c>
    </row>
    <row r="15" spans="2:8" x14ac:dyDescent="0.25">
      <c r="B15" s="1" t="s">
        <v>5</v>
      </c>
      <c r="C15" s="6">
        <v>1500</v>
      </c>
      <c r="D15" s="25">
        <v>108053.01000000001</v>
      </c>
    </row>
    <row r="16" spans="2:8" x14ac:dyDescent="0.25">
      <c r="B16" s="1" t="s">
        <v>6</v>
      </c>
      <c r="C16" s="6">
        <v>3291</v>
      </c>
      <c r="D16" s="25">
        <v>54063.62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21214</v>
      </c>
      <c r="D18" s="25">
        <v>157041</v>
      </c>
    </row>
    <row r="19" spans="2:11" x14ac:dyDescent="0.25">
      <c r="B19" s="3" t="s">
        <v>8</v>
      </c>
      <c r="C19" s="8">
        <f>SUM(C14:C18)</f>
        <v>28481</v>
      </c>
      <c r="D19" s="4">
        <f>SUM(D14:D18)</f>
        <v>537875.38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2002</v>
      </c>
      <c r="D23" s="25">
        <v>275274.28000000009</v>
      </c>
    </row>
    <row r="24" spans="2:11" x14ac:dyDescent="0.25">
      <c r="B24" s="9" t="s">
        <v>5</v>
      </c>
      <c r="C24" s="6">
        <v>2135</v>
      </c>
      <c r="D24" s="25">
        <v>135928.70000000001</v>
      </c>
    </row>
    <row r="25" spans="2:11" x14ac:dyDescent="0.25">
      <c r="B25" s="9" t="s">
        <v>6</v>
      </c>
      <c r="C25" s="6">
        <v>900</v>
      </c>
      <c r="D25" s="25">
        <v>27003</v>
      </c>
    </row>
    <row r="26" spans="2:11" x14ac:dyDescent="0.25">
      <c r="B26" s="9" t="s">
        <v>7</v>
      </c>
      <c r="C26" s="6">
        <v>8911</v>
      </c>
      <c r="D26" s="25">
        <v>40262.93</v>
      </c>
    </row>
    <row r="27" spans="2:11" x14ac:dyDescent="0.25">
      <c r="B27" s="10" t="s">
        <v>8</v>
      </c>
      <c r="C27" s="8">
        <f>SUM(C23:C26)</f>
        <v>13948</v>
      </c>
      <c r="D27" s="4">
        <f>SUM(D23:D26)</f>
        <v>478468.91000000009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1363</v>
      </c>
      <c r="D31" s="25">
        <v>116086.54</v>
      </c>
    </row>
    <row r="32" spans="2:11" x14ac:dyDescent="0.25">
      <c r="B32" s="9" t="s">
        <v>5</v>
      </c>
      <c r="C32" s="6">
        <v>1940</v>
      </c>
      <c r="D32" s="25">
        <v>81381.860000000015</v>
      </c>
    </row>
    <row r="33" spans="2:4" x14ac:dyDescent="0.25">
      <c r="B33" s="9" t="s">
        <v>6</v>
      </c>
      <c r="C33" s="6">
        <v>2795</v>
      </c>
      <c r="D33" s="25">
        <v>6472.22</v>
      </c>
    </row>
    <row r="34" spans="2:4" x14ac:dyDescent="0.25">
      <c r="B34" s="9" t="s">
        <v>7</v>
      </c>
      <c r="C34" s="6">
        <v>4264</v>
      </c>
      <c r="D34" s="25">
        <v>3138</v>
      </c>
    </row>
    <row r="35" spans="2:4" x14ac:dyDescent="0.25">
      <c r="B35" s="10" t="s">
        <v>8</v>
      </c>
      <c r="C35" s="8">
        <f>SUM(C31:C34)</f>
        <v>10362</v>
      </c>
      <c r="D35" s="4">
        <f>SUM(D31:D34)</f>
        <v>207078.62000000002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2629</v>
      </c>
      <c r="D39" s="25">
        <v>176893</v>
      </c>
    </row>
    <row r="40" spans="2:4" x14ac:dyDescent="0.25">
      <c r="B40" s="10" t="s">
        <v>8</v>
      </c>
      <c r="C40" s="8">
        <f>SUM(C39:C39)</f>
        <v>2629</v>
      </c>
      <c r="D40" s="4">
        <f>SUM(D39:D39)</f>
        <v>176893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28583</v>
      </c>
    </row>
    <row r="45" spans="2:4" x14ac:dyDescent="0.25">
      <c r="B45" s="1" t="s">
        <v>5</v>
      </c>
      <c r="C45" s="6">
        <v>284</v>
      </c>
      <c r="D45" s="25">
        <v>1010</v>
      </c>
    </row>
    <row r="46" spans="2:4" x14ac:dyDescent="0.25">
      <c r="B46" s="1" t="s">
        <v>6</v>
      </c>
      <c r="C46" s="6">
        <v>235</v>
      </c>
      <c r="D46" s="25">
        <v>546</v>
      </c>
    </row>
    <row r="47" spans="2:4" x14ac:dyDescent="0.25">
      <c r="B47" s="1" t="s">
        <v>7</v>
      </c>
      <c r="C47" s="6">
        <v>1922</v>
      </c>
      <c r="D47" s="25">
        <v>13216</v>
      </c>
    </row>
    <row r="48" spans="2:4" x14ac:dyDescent="0.25">
      <c r="B48" s="3" t="s">
        <v>8</v>
      </c>
      <c r="C48" s="8">
        <f>SUM(C44:C47)</f>
        <v>2480</v>
      </c>
      <c r="D48" s="4">
        <f>SUM(D44:D47)</f>
        <v>43355</v>
      </c>
    </row>
    <row r="50" spans="2:4" x14ac:dyDescent="0.25">
      <c r="B50" s="12" t="s">
        <v>13</v>
      </c>
      <c r="C50" s="13">
        <f>SUM(C10+C27+C35+C40+C19+C48)</f>
        <v>100392</v>
      </c>
      <c r="D50" s="13">
        <f>SUM(D10+D27+D35+D40+D19+D48)</f>
        <v>3119910.41</v>
      </c>
    </row>
  </sheetData>
  <mergeCells count="6"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13 ABR'!C6, 'REPORTE DIARIO'!C:C)</f>
        <v>15039</v>
      </c>
      <c r="E6" s="16">
        <f>SUMIF('REPORTE DIARIO'!B:B,'EPR 13 ABR'!C6, 'REPORTE DIARIO'!D:D)</f>
        <v>1458043.6</v>
      </c>
      <c r="F6" s="16">
        <f>J6*D6</f>
        <v>3007800</v>
      </c>
      <c r="G6" s="16">
        <f>+E6-F6</f>
        <v>-1549756.4</v>
      </c>
      <c r="H6" s="15">
        <f>ABS(G6/F6)</f>
        <v>0.51524582751512726</v>
      </c>
      <c r="I6" s="16">
        <f>E6/D6</f>
        <v>96.950834496974537</v>
      </c>
      <c r="J6" s="16">
        <f>(200/7)*7</f>
        <v>200</v>
      </c>
      <c r="K6" s="16">
        <f>+I6-J6</f>
        <v>-103.04916550302546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13 ABR'!C7, 'REPORTE DIARIO'!C:C)</f>
        <v>11728</v>
      </c>
      <c r="E7" s="16">
        <f>SUMIF('REPORTE DIARIO'!B:B,'EPR 13 ABR'!C7, 'REPORTE DIARIO'!D:D)</f>
        <v>678529.07</v>
      </c>
      <c r="F7" s="16">
        <f>J7*D7</f>
        <v>1290080</v>
      </c>
      <c r="G7" s="16">
        <f>+E7-F7</f>
        <v>-611550.93000000005</v>
      </c>
      <c r="H7" s="15">
        <f>ABS(G7/F7)</f>
        <v>0.47404109047500936</v>
      </c>
      <c r="I7" s="16">
        <f>E7/D7</f>
        <v>57.855480047748969</v>
      </c>
      <c r="J7" s="16">
        <f>(110/7)*7</f>
        <v>110</v>
      </c>
      <c r="K7" s="16">
        <f t="shared" ref="K7:K9" si="0">+I7-J7</f>
        <v>-52.144519952251031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13 ABR'!C8, 'REPORTE DIARIO'!C:C)</f>
        <v>16009</v>
      </c>
      <c r="E8" s="16">
        <f>SUMIF('REPORTE DIARIO'!B:B,'EPR 13 ABR'!C8, 'REPORTE DIARIO'!D:D)</f>
        <v>361548.83999999997</v>
      </c>
      <c r="F8" s="16">
        <f>J8*D8</f>
        <v>720405</v>
      </c>
      <c r="G8" s="16">
        <f>+E8-F8</f>
        <v>-358856.16000000003</v>
      </c>
      <c r="H8" s="15">
        <f>ABS(G8/F8)</f>
        <v>0.49813113457013769</v>
      </c>
      <c r="I8" s="16">
        <f>E8/D8</f>
        <v>22.584098944343804</v>
      </c>
      <c r="J8" s="16">
        <f>(45/7)*7</f>
        <v>45</v>
      </c>
      <c r="K8" s="16">
        <f t="shared" si="0"/>
        <v>-22.415901055656196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13 ABR'!C9, 'REPORTE DIARIO'!C:C)</f>
        <v>57593</v>
      </c>
      <c r="E9" s="16">
        <f>SUMIF('REPORTE DIARIO'!B:B,'EPR 13 ABR'!C9, 'REPORTE DIARIO'!D:D)</f>
        <v>621788.9</v>
      </c>
      <c r="F9" s="16">
        <f>J9*D9</f>
        <v>863895</v>
      </c>
      <c r="G9" s="16">
        <f>+E9-F9</f>
        <v>-242106.09999999998</v>
      </c>
      <c r="H9" s="15">
        <f>ABS(G9/F9)</f>
        <v>0.28024945161159631</v>
      </c>
      <c r="I9" s="16">
        <f>E9/D9</f>
        <v>10.796258225826056</v>
      </c>
      <c r="J9" s="16">
        <f>(15/7)*7</f>
        <v>15</v>
      </c>
      <c r="K9" s="16">
        <f t="shared" si="0"/>
        <v>-4.2037417741739436</v>
      </c>
    </row>
    <row r="10" spans="2:12" x14ac:dyDescent="0.25">
      <c r="B10" s="16"/>
      <c r="C10" s="19" t="s">
        <v>17</v>
      </c>
      <c r="D10" s="24">
        <f>SUM(D6:D9)</f>
        <v>100369</v>
      </c>
      <c r="E10" s="20">
        <f>SUM(E6:E9)</f>
        <v>3119910.4099999997</v>
      </c>
      <c r="F10" s="20">
        <f>SUM(F6:F9)</f>
        <v>5882180</v>
      </c>
      <c r="G10" s="20">
        <f>+E10-F10</f>
        <v>-2762269.5900000003</v>
      </c>
      <c r="H10" s="21">
        <f>ABS(G10/F10)</f>
        <v>0.46959963652931402</v>
      </c>
      <c r="I10" s="20">
        <f>E10/D10</f>
        <v>31.084402654205977</v>
      </c>
      <c r="J10" s="20">
        <f>F10/D10</f>
        <v>58.605545536968584</v>
      </c>
      <c r="K10" s="20">
        <f>I10-J10</f>
        <v>-27.521142882762607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2025-04-14T02:04:51Z</dcterms:modified>
</cp:coreProperties>
</file>