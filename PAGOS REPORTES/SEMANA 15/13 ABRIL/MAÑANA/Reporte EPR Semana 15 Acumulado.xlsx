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5\13 ABRIL\MAÑANA\"/>
    </mc:Choice>
  </mc:AlternateContent>
  <xr:revisionPtr revIDLastSave="0" documentId="13_ncr:1_{831B52DA-99A7-4A4F-A00F-E00DF19F7C61}" xr6:coauthVersionLast="47" xr6:coauthVersionMax="47" xr10:uidLastSave="{00000000-0000-0000-0000-000000000000}"/>
  <bookViews>
    <workbookView xWindow="5175" yWindow="5325" windowWidth="10770" windowHeight="10350" xr2:uid="{4DC6C92A-CD8A-4966-829B-0B6A986E825B}"/>
  </bookViews>
  <sheets>
    <sheet name="REPORTE DIARIO" sheetId="1" r:id="rId1"/>
    <sheet name="DATA" sheetId="4" r:id="rId2"/>
    <sheet name="EPR 13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0" i="1" l="1"/>
  <c r="J9" i="3"/>
  <c r="J8" i="3"/>
  <c r="J7" i="3"/>
  <c r="J6" i="3"/>
  <c r="D48" i="1"/>
  <c r="C48" i="1"/>
  <c r="D19" i="1"/>
  <c r="C19" i="1"/>
  <c r="D40" i="1" l="1"/>
  <c r="C40" i="1"/>
  <c r="D35" i="1"/>
  <c r="C35" i="1"/>
  <c r="D27" i="1"/>
  <c r="C27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<sst xmlns="http://schemas.openxmlformats.org/spreadsheetml/2006/main" count="79" uniqueCount="36">
  <si>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</si>
  <si>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</si>
  <si>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</si>
  <si>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</si>
  <si>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</si>
  <si>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</si>
  <si>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</si>
  <si>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</si>
  <si>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</si>
  <si>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</si>
  <si>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</si>
  <si>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</si>
  <si>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</si>
  <si>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</si>
  <si>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</si>
  <si>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</si>
  <si>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</si>
  <si>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</si>
  <si>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</si>
  <si>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</si>
  <si>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</si>
  <si>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</si>
  <si>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</si>
  <si>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</si>
  <si>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</si>
  <si>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</si>
  <si>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</si>
  <si>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</si>
  <si>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</si>
  <si>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</si>
  <si>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</si>
  <si>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</si>
  <si>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</si>
  <si>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</si>
  <si>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SALDO ACUMULADO SEMANA 15</t>
  </si>
  <si>
    <t>Samantha, Samantha 2, Sofia, Edith, Fernando y Federico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</si>
</sst>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0"/>
  <sheetViews>
    <sheetView showGridLines="0" tabSelected="1" topLeftCell="A7" zoomScaleNormal="100" workbookViewId="0">
      <selection activeCell="C48" sqref="C48"/>
    </sheetView>
  </sheetViews>
  <sheetFormatPr baseColWidth="10" defaultRowHeight="15" x14ac:dyDescent="0.25"/>
  <cols>
    <col min="2" max="2" width="40.7109375" bestFit="1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6366</v>
      </c>
      <c r="D5" s="25">
        <v>556284.16000000003</v>
      </c>
    </row>
    <row r="6" spans="2:8" x14ac:dyDescent="0.25">
      <c r="B6" s="1" t="s">
        <v>5</v>
      </c>
      <c r="C6" s="6">
        <v>5807</v>
      </c>
      <c r="D6" s="25">
        <v>270120.5</v>
      </c>
    </row>
    <row r="7" spans="2:8" x14ac:dyDescent="0.25">
      <c r="B7" s="1" t="s">
        <v>6</v>
      </c>
      <c r="C7" s="6">
        <v>8694</v>
      </c>
      <c r="D7" s="25">
        <v>231510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21212</v>
      </c>
      <c r="D9" s="25">
        <v>338695.99</v>
      </c>
      <c r="F9" s="7"/>
    </row>
    <row r="10" spans="2:8" x14ac:dyDescent="0.25">
      <c r="B10" s="3" t="s">
        <v>8</v>
      </c>
      <c r="C10" s="8">
        <f>SUM(C5:C9)</f>
        <v>42100</v>
      </c>
      <c r="D10" s="4">
        <f>SUM(D5:D9)</f>
        <v>1396610.6500000001</v>
      </c>
      <c r="E10" s="11" t="s">
        <v>14</v>
      </c>
    </row>
    <row r="12" spans="2:8" x14ac:dyDescent="0.25">
      <c r="B12" s="27" t="s">
        <v>32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2474</v>
      </c>
      <c r="D14" s="25">
        <v>178915.75</v>
      </c>
    </row>
    <row r="15" spans="2:8" x14ac:dyDescent="0.25">
      <c r="B15" s="1" t="s">
        <v>5</v>
      </c>
      <c r="C15" s="6">
        <v>1485</v>
      </c>
      <c r="D15" s="25">
        <v>92818.010000000009</v>
      </c>
    </row>
    <row r="16" spans="2:8" x14ac:dyDescent="0.25">
      <c r="B16" s="1" t="s">
        <v>6</v>
      </c>
      <c r="C16" s="6">
        <v>3279</v>
      </c>
      <c r="D16" s="25">
        <v>51333.62</v>
      </c>
    </row>
    <row r="17" spans="2:11" x14ac:dyDescent="0.25">
      <c r="B17" s="5" t="s">
        <v>12</v>
      </c>
      <c r="C17" s="7">
        <v>2</v>
      </c>
      <c r="D17" s="26">
        <v>0</v>
      </c>
    </row>
    <row r="18" spans="2:11" x14ac:dyDescent="0.25">
      <c r="B18" s="1" t="s">
        <v>7</v>
      </c>
      <c r="C18" s="6">
        <v>21194</v>
      </c>
      <c r="D18" s="25">
        <v>145715</v>
      </c>
    </row>
    <row r="19" spans="2:11" x14ac:dyDescent="0.25">
      <c r="B19" s="3" t="s">
        <v>8</v>
      </c>
      <c r="C19" s="8">
        <f>SUM(C14:C18)</f>
        <v>28434</v>
      </c>
      <c r="D19" s="4">
        <f>SUM(D14:D18)</f>
        <v>468782.38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1986</v>
      </c>
      <c r="D23" s="25">
        <v>258091.00000000006</v>
      </c>
    </row>
    <row r="24" spans="2:11" x14ac:dyDescent="0.25">
      <c r="B24" s="9" t="s">
        <v>5</v>
      </c>
      <c r="C24" s="6">
        <v>2125</v>
      </c>
      <c r="D24" s="25">
        <v>111952.2</v>
      </c>
    </row>
    <row r="25" spans="2:11" x14ac:dyDescent="0.25">
      <c r="B25" s="9" t="s">
        <v>6</v>
      </c>
      <c r="C25" s="6">
        <v>880</v>
      </c>
      <c r="D25" s="25">
        <v>24596</v>
      </c>
    </row>
    <row r="26" spans="2:11" x14ac:dyDescent="0.25">
      <c r="B26" s="9" t="s">
        <v>7</v>
      </c>
      <c r="C26" s="6">
        <v>8907</v>
      </c>
      <c r="D26" s="25">
        <v>29698.579999999998</v>
      </c>
    </row>
    <row r="27" spans="2:11" x14ac:dyDescent="0.25">
      <c r="B27" s="10" t="s">
        <v>8</v>
      </c>
      <c r="C27" s="8">
        <f>SUM(C23:C26)</f>
        <v>13898</v>
      </c>
      <c r="D27" s="4">
        <f>SUM(D23:D26)</f>
        <v>424337.78000000009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1363</v>
      </c>
      <c r="D31" s="25">
        <v>91203.94</v>
      </c>
    </row>
    <row r="32" spans="2:11" x14ac:dyDescent="0.25">
      <c r="B32" s="9" t="s">
        <v>5</v>
      </c>
      <c r="C32" s="6">
        <v>1932</v>
      </c>
      <c r="D32" s="25">
        <v>75406.280000000013</v>
      </c>
    </row>
    <row r="33" spans="2:4" x14ac:dyDescent="0.25">
      <c r="B33" s="9" t="s">
        <v>6</v>
      </c>
      <c r="C33" s="6">
        <v>2776</v>
      </c>
      <c r="D33" s="25">
        <v>5730.22</v>
      </c>
    </row>
    <row r="34" spans="2:4" x14ac:dyDescent="0.25">
      <c r="B34" s="9" t="s">
        <v>7</v>
      </c>
      <c r="C34" s="6">
        <v>4264</v>
      </c>
      <c r="D34" s="25">
        <v>2617</v>
      </c>
    </row>
    <row r="35" spans="2:4" x14ac:dyDescent="0.25">
      <c r="B35" s="10" t="s">
        <v>8</v>
      </c>
      <c r="C35" s="8">
        <f>SUM(C31:C34)</f>
        <v>10335</v>
      </c>
      <c r="D35" s="4">
        <f>SUM(D31:D34)</f>
        <v>174957.44000000003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2584</v>
      </c>
      <c r="D39" s="25">
        <v>160711</v>
      </c>
    </row>
    <row r="40" spans="2:4" x14ac:dyDescent="0.25">
      <c r="B40" s="10" t="s">
        <v>8</v>
      </c>
      <c r="C40" s="8">
        <f>SUM(C39:C39)</f>
        <v>2584</v>
      </c>
      <c r="D40" s="4">
        <f>SUM(D39:D39)</f>
        <v>160711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25813</v>
      </c>
    </row>
    <row r="45" spans="2:4" x14ac:dyDescent="0.25">
      <c r="B45" s="1" t="s">
        <v>5</v>
      </c>
      <c r="C45" s="6">
        <v>263</v>
      </c>
      <c r="D45" s="25">
        <v>1010</v>
      </c>
    </row>
    <row r="46" spans="2:4" x14ac:dyDescent="0.25">
      <c r="B46" s="1" t="s">
        <v>6</v>
      </c>
      <c r="C46" s="6">
        <v>220</v>
      </c>
      <c r="D46" s="25">
        <v>546</v>
      </c>
    </row>
    <row r="47" spans="2:4" x14ac:dyDescent="0.25">
      <c r="B47" s="1" t="s">
        <v>7</v>
      </c>
      <c r="C47" s="6">
        <v>1902</v>
      </c>
      <c r="D47" s="25">
        <v>11692</v>
      </c>
    </row>
    <row r="48" spans="2:4" x14ac:dyDescent="0.25">
      <c r="B48" s="3" t="s">
        <v>8</v>
      </c>
      <c r="C48" s="8">
        <f>SUM(C44:C47)</f>
        <v>2424</v>
      </c>
      <c r="D48" s="4">
        <f>SUM(D44:D47)</f>
        <v>39061</v>
      </c>
    </row>
    <row r="50" spans="2:4" x14ac:dyDescent="0.25">
      <c r="B50" s="12" t="s">
        <v>13</v>
      </c>
      <c r="C50" s="13">
        <f>SUM(C10+C27+C35+C40+C19+C48)</f>
        <v>99775</v>
      </c>
      <c r="D50" s="13">
        <f>SUM(D10+D27+D35+D40+D19+D48)</f>
        <v>2664460.25</v>
      </c>
    </row>
  </sheetData>
  <mergeCells count="6">
    <mergeCell ref="B12:D12"/>
    <mergeCell ref="B42:D42"/>
    <mergeCell ref="B3:D3"/>
    <mergeCell ref="B21:D21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9" sqref="J9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34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13 ABR'!C6, 'REPORTE DIARIO'!C:C)</f>
        <v>14812</v>
      </c>
      <c r="E6" s="16">
        <f>SUMIF('REPORTE DIARIO'!B:B,'EPR 13 ABR'!C6, 'REPORTE DIARIO'!D:D)</f>
        <v>1271018.8500000001</v>
      </c>
      <c r="F6" s="16">
        <f>J6*D6</f>
        <v>2962400</v>
      </c>
      <c r="G6" s="16">
        <f>+E6-F6</f>
        <v>-1691381.15</v>
      </c>
      <c r="H6" s="15">
        <f>ABS(G6/F6)</f>
        <v>0.57094961855252491</v>
      </c>
      <c r="I6" s="16">
        <f>E6/D6</f>
        <v>85.810076289495015</v>
      </c>
      <c r="J6" s="16">
        <f>(200/7)*7</f>
        <v>200</v>
      </c>
      <c r="K6" s="16">
        <f>+I6-J6</f>
        <v>-114.18992371050498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13 ABR'!C7, 'REPORTE DIARIO'!C:C)</f>
        <v>11612</v>
      </c>
      <c r="E7" s="16">
        <f>SUMIF('REPORTE DIARIO'!B:B,'EPR 13 ABR'!C7, 'REPORTE DIARIO'!D:D)</f>
        <v>551306.99</v>
      </c>
      <c r="F7" s="16">
        <f>J7*D7</f>
        <v>1277320</v>
      </c>
      <c r="G7" s="16">
        <f>+E7-F7</f>
        <v>-726013.01</v>
      </c>
      <c r="H7" s="15">
        <f>ABS(G7/F7)</f>
        <v>0.56838772586352682</v>
      </c>
      <c r="I7" s="16">
        <f>E7/D7</f>
        <v>47.477350155012054</v>
      </c>
      <c r="J7" s="16">
        <f>(110/7)*7</f>
        <v>110</v>
      </c>
      <c r="K7" s="16">
        <f t="shared" ref="K7:K9" si="0">+I7-J7</f>
        <v>-62.522649844987946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13 ABR'!C8, 'REPORTE DIARIO'!C:C)</f>
        <v>15849</v>
      </c>
      <c r="E8" s="16">
        <f>SUMIF('REPORTE DIARIO'!B:B,'EPR 13 ABR'!C8, 'REPORTE DIARIO'!D:D)</f>
        <v>313715.83999999997</v>
      </c>
      <c r="F8" s="16">
        <f>J8*D8</f>
        <v>713205</v>
      </c>
      <c r="G8" s="16">
        <f>+E8-F8</f>
        <v>-399489.16000000003</v>
      </c>
      <c r="H8" s="15">
        <f>ABS(G8/F8)</f>
        <v>0.56013230417621862</v>
      </c>
      <c r="I8" s="16">
        <f>E8/D8</f>
        <v>19.794046312070162</v>
      </c>
      <c r="J8" s="16">
        <f>(45/7)*7</f>
        <v>45</v>
      </c>
      <c r="K8" s="16">
        <f t="shared" si="0"/>
        <v>-25.205953687929838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13 ABR'!C9, 'REPORTE DIARIO'!C:C)</f>
        <v>57479</v>
      </c>
      <c r="E9" s="16">
        <f>SUMIF('REPORTE DIARIO'!B:B,'EPR 13 ABR'!C9, 'REPORTE DIARIO'!D:D)</f>
        <v>528418.57000000007</v>
      </c>
      <c r="F9" s="16">
        <f>J9*D9</f>
        <v>862185</v>
      </c>
      <c r="G9" s="16">
        <f>+E9-F9</f>
        <v>-333766.42999999993</v>
      </c>
      <c r="H9" s="15">
        <f>ABS(G9/F9)</f>
        <v>0.38711695285814524</v>
      </c>
      <c r="I9" s="16">
        <f>E9/D9</f>
        <v>9.1932457071278222</v>
      </c>
      <c r="J9" s="16">
        <f>(15/7)*7</f>
        <v>15</v>
      </c>
      <c r="K9" s="16">
        <f t="shared" si="0"/>
        <v>-5.8067542928721778</v>
      </c>
    </row>
    <row r="10" spans="2:12" x14ac:dyDescent="0.25">
      <c r="B10" s="16"/>
      <c r="C10" s="19" t="s">
        <v>17</v>
      </c>
      <c r="D10" s="24">
        <f>SUM(D6:D9)</f>
        <v>99752</v>
      </c>
      <c r="E10" s="20">
        <f>SUM(E6:E9)</f>
        <v>2664460.25</v>
      </c>
      <c r="F10" s="20">
        <f>SUM(F6:F9)</f>
        <v>5815110</v>
      </c>
      <c r="G10" s="20">
        <f>+E10-F10</f>
        <v>-3150649.75</v>
      </c>
      <c r="H10" s="21">
        <f>ABS(G10/F10)</f>
        <v>0.54180398135202945</v>
      </c>
      <c r="I10" s="20">
        <f>E10/D10</f>
        <v>26.710845396583526</v>
      </c>
      <c r="J10" s="20">
        <f>F10/D10</f>
        <v>58.295673269708878</v>
      </c>
      <c r="K10" s="20">
        <f>I10-J10</f>
        <v>-31.584827873125352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35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13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2025-04-13T15:01:59Z</dcterms:modified>
</cp:coreProperties>
</file>