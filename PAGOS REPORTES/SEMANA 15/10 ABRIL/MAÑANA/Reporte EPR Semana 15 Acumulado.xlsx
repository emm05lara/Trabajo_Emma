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0 ABRIL\MAÑANA\"/>
    </mc:Choice>
  </mc:AlternateContent>
  <xr:revisionPtr revIDLastSave="0" documentId="13_ncr:1_{7DA7679B-4401-4D6C-BC7E-51C50294E34E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<sst xmlns="http://schemas.openxmlformats.org/spreadsheetml/2006/main" count="88" uniqueCount="37">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</sst>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workbookViewId="0">
      <selection activeCell="C45" sqref="C4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6043</v>
      </c>
      <c r="D5" s="25">
        <v>217069.81</v>
      </c>
    </row>
    <row r="6" spans="2:8" x14ac:dyDescent="0.25">
      <c r="B6" s="1" t="s">
        <v>5</v>
      </c>
      <c r="C6" s="6">
        <v>6612</v>
      </c>
      <c r="D6" s="25">
        <v>105175.02</v>
      </c>
    </row>
    <row r="7" spans="2:8" x14ac:dyDescent="0.25">
      <c r="B7" s="1" t="s">
        <v>6</v>
      </c>
      <c r="C7" s="6">
        <v>9785</v>
      </c>
      <c r="D7" s="25">
        <v>80797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28993</v>
      </c>
      <c r="D9" s="25">
        <v>126398.84000000001</v>
      </c>
      <c r="F9" s="7"/>
    </row>
    <row r="10" spans="2:8" x14ac:dyDescent="0.25">
      <c r="B10" s="3" t="s">
        <v>8</v>
      </c>
      <c r="C10" s="8">
        <f>SUM(C5:C9)</f>
        <v>51454</v>
      </c>
      <c r="D10" s="4">
        <f>SUM(D5:D9)</f>
        <v>529440.67000000004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2618</v>
      </c>
      <c r="D14" s="25">
        <v>71191.58</v>
      </c>
    </row>
    <row r="15" spans="2:8" x14ac:dyDescent="0.25">
      <c r="B15" s="1" t="s">
        <v>5</v>
      </c>
      <c r="C15" s="6">
        <v>1411</v>
      </c>
      <c r="D15" s="25">
        <v>62015</v>
      </c>
    </row>
    <row r="16" spans="2:8" x14ac:dyDescent="0.25">
      <c r="B16" s="1" t="s">
        <v>6</v>
      </c>
      <c r="C16" s="6">
        <v>3295</v>
      </c>
      <c r="D16" s="25">
        <v>12510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21166</v>
      </c>
      <c r="D18" s="25">
        <v>48061.009999999995</v>
      </c>
    </row>
    <row r="19" spans="2:11" x14ac:dyDescent="0.25">
      <c r="B19" s="3" t="s">
        <v>8</v>
      </c>
      <c r="C19" s="8">
        <f>SUM(C14:C18)</f>
        <v>28492</v>
      </c>
      <c r="D19" s="4">
        <f>SUM(D14:D18)</f>
        <v>193777.59000000003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1706</v>
      </c>
      <c r="D23" s="25">
        <v>64594.009999999995</v>
      </c>
    </row>
    <row r="24" spans="2:11" x14ac:dyDescent="0.25">
      <c r="B24" s="9" t="s">
        <v>5</v>
      </c>
      <c r="C24" s="6">
        <v>1506</v>
      </c>
      <c r="D24" s="25">
        <v>48479.789999999994</v>
      </c>
    </row>
    <row r="25" spans="2:11" x14ac:dyDescent="0.25">
      <c r="B25" s="9" t="s">
        <v>6</v>
      </c>
      <c r="C25" s="6">
        <v>859</v>
      </c>
      <c r="D25" s="25">
        <v>9342</v>
      </c>
    </row>
    <row r="26" spans="2:11" x14ac:dyDescent="0.25">
      <c r="B26" s="9" t="s">
        <v>7</v>
      </c>
      <c r="C26" s="6">
        <v>8798</v>
      </c>
      <c r="D26" s="25">
        <v>17790.88</v>
      </c>
    </row>
    <row r="27" spans="2:11" x14ac:dyDescent="0.25">
      <c r="B27" s="10" t="s">
        <v>8</v>
      </c>
      <c r="C27" s="8">
        <f>SUM(C23:C26)</f>
        <v>12869</v>
      </c>
      <c r="D27" s="4">
        <f>SUM(D23:D26)</f>
        <v>140206.68</v>
      </c>
      <c r="K27" s="7"/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2762</v>
      </c>
      <c r="D31" s="25">
        <v>115644</v>
      </c>
    </row>
    <row r="32" spans="2:11" x14ac:dyDescent="0.25">
      <c r="B32" s="10" t="s">
        <v>8</v>
      </c>
      <c r="C32" s="8">
        <f>SUM(C31:C31)</f>
        <v>2762</v>
      </c>
      <c r="D32" s="4">
        <f>SUM(D31:D31)</f>
        <v>115644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1405</v>
      </c>
      <c r="D36" s="25">
        <v>46842.8</v>
      </c>
    </row>
    <row r="37" spans="2:4" x14ac:dyDescent="0.25">
      <c r="B37" s="9" t="s">
        <v>5</v>
      </c>
      <c r="C37" s="6">
        <v>1308</v>
      </c>
      <c r="D37" s="25">
        <v>13996</v>
      </c>
    </row>
    <row r="38" spans="2:4" x14ac:dyDescent="0.25">
      <c r="B38" s="9" t="s">
        <v>6</v>
      </c>
      <c r="C38" s="6">
        <v>2772</v>
      </c>
      <c r="D38" s="25">
        <v>3368.2200000000003</v>
      </c>
    </row>
    <row r="39" spans="2:4" x14ac:dyDescent="0.25">
      <c r="B39" s="9" t="s">
        <v>7</v>
      </c>
      <c r="C39" s="6">
        <v>4264</v>
      </c>
      <c r="D39" s="25">
        <v>297</v>
      </c>
    </row>
    <row r="40" spans="2:4" x14ac:dyDescent="0.25">
      <c r="B40" s="10" t="s">
        <v>8</v>
      </c>
      <c r="C40" s="8">
        <f>SUM(C36:C39)</f>
        <v>9749</v>
      </c>
      <c r="D40" s="4">
        <f>SUM(D36:D39)</f>
        <v>64504.020000000004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25603</v>
      </c>
    </row>
    <row r="45" spans="2:4" x14ac:dyDescent="0.25">
      <c r="B45" s="1" t="s">
        <v>5</v>
      </c>
      <c r="C45" s="6">
        <v>186</v>
      </c>
      <c r="D45" s="25">
        <v>600</v>
      </c>
    </row>
    <row r="46" spans="2:4" x14ac:dyDescent="0.25">
      <c r="B46" s="1" t="s">
        <v>6</v>
      </c>
      <c r="C46" s="6">
        <v>200</v>
      </c>
      <c r="D46" s="11">
        <v>0</v>
      </c>
    </row>
    <row r="47" spans="2:4" x14ac:dyDescent="0.25">
      <c r="B47" s="1" t="s">
        <v>7</v>
      </c>
      <c r="C47" s="6">
        <v>1867</v>
      </c>
      <c r="D47" s="25">
        <v>6016</v>
      </c>
    </row>
    <row r="48" spans="2:4" x14ac:dyDescent="0.25">
      <c r="B48" s="3" t="s">
        <v>8</v>
      </c>
      <c r="C48" s="8">
        <f>SUM(C44:C47)</f>
        <v>2292</v>
      </c>
      <c r="D48" s="4">
        <f>SUM(D44:D47)</f>
        <v>32219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107621</v>
      </c>
      <c r="D58" s="13">
        <f>SUM(D10+D27+D56+D40+D32+D19+D48)</f>
        <v>1075791.9600000002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10 ABR'!C6, 'REPORTE DIARIO'!C:C)</f>
        <v>14574</v>
      </c>
      <c r="E6" s="16">
        <f>SUMIF('REPORTE DIARIO'!B:B,'EPR 10 ABR'!C6, 'REPORTE DIARIO'!D:D)</f>
        <v>540945.19999999995</v>
      </c>
      <c r="F6" s="16">
        <f>J6*D6</f>
        <v>1665600</v>
      </c>
      <c r="G6" s="16">
        <f>+E6-F6</f>
        <v>-1124654.8</v>
      </c>
      <c r="H6" s="15">
        <f>ABS(G6/F6)</f>
        <v>0.67522502401536988</v>
      </c>
      <c r="I6" s="16">
        <f>E6/D6</f>
        <v>37.117140112529157</v>
      </c>
      <c r="J6" s="16">
        <f>(200/7)*4</f>
        <v>114.28571428571429</v>
      </c>
      <c r="K6" s="16">
        <f>+I6-J6</f>
        <v>-77.168574173185135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10 ABR'!C7, 'REPORTE DIARIO'!C:C)</f>
        <v>11023</v>
      </c>
      <c r="E7" s="16">
        <f>SUMIF('REPORTE DIARIO'!B:B,'EPR 10 ABR'!C7, 'REPORTE DIARIO'!D:D)</f>
        <v>230265.81</v>
      </c>
      <c r="F7" s="16">
        <f>J7*D7</f>
        <v>692874.28571428568</v>
      </c>
      <c r="G7" s="16">
        <f>+E7-F7</f>
        <v>-462608.47571428568</v>
      </c>
      <c r="H7" s="15">
        <f>ABS(G7/F7)</f>
        <v>0.66766581651587997</v>
      </c>
      <c r="I7" s="16">
        <f>E7/D7</f>
        <v>20.889577247573257</v>
      </c>
      <c r="J7" s="16">
        <f>(110/7)*4</f>
        <v>62.857142857142854</v>
      </c>
      <c r="K7" s="16">
        <f t="shared" ref="K7:K9" si="0">+I7-J7</f>
        <v>-41.967565609569597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10 ABR'!C8, 'REPORTE DIARIO'!C:C)</f>
        <v>16911</v>
      </c>
      <c r="E8" s="16">
        <f>SUMIF('REPORTE DIARIO'!B:B,'EPR 10 ABR'!C8, 'REPORTE DIARIO'!D:D)</f>
        <v>106017.22</v>
      </c>
      <c r="F8" s="16">
        <f>J8*D8</f>
        <v>434854.28571428574</v>
      </c>
      <c r="G8" s="16">
        <f>+E8-F8</f>
        <v>-328837.06571428571</v>
      </c>
      <c r="H8" s="15">
        <f>ABS(G8/F8)</f>
        <v>0.75620058607480989</v>
      </c>
      <c r="I8" s="16">
        <f>E8/D8</f>
        <v>6.2691277866477444</v>
      </c>
      <c r="J8" s="16">
        <f>(45/7)*4</f>
        <v>25.714285714285715</v>
      </c>
      <c r="K8" s="16">
        <f t="shared" si="0"/>
        <v>-19.445157927637972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10 ABR'!C9, 'REPORTE DIARIO'!C:C)</f>
        <v>65090</v>
      </c>
      <c r="E9" s="16">
        <f>SUMIF('REPORTE DIARIO'!B:B,'EPR 10 ABR'!C9, 'REPORTE DIARIO'!D:D)</f>
        <v>198563.73</v>
      </c>
      <c r="F9" s="16">
        <f>J9*D9</f>
        <v>557914.28571428568</v>
      </c>
      <c r="G9" s="16">
        <f>+E9-F9</f>
        <v>-359350.5557142857</v>
      </c>
      <c r="H9" s="15">
        <f>ABS(G9/F9)</f>
        <v>0.64409635120602249</v>
      </c>
      <c r="I9" s="16">
        <f>E9/D9</f>
        <v>3.0506027039483792</v>
      </c>
      <c r="J9" s="16">
        <f>(15/7)*4</f>
        <v>8.5714285714285712</v>
      </c>
      <c r="K9" s="16">
        <f t="shared" si="0"/>
        <v>-5.520825867480192</v>
      </c>
    </row>
    <row r="10" spans="2:12" x14ac:dyDescent="0.25">
      <c r="B10" s="16"/>
      <c r="C10" s="19" t="s">
        <v>17</v>
      </c>
      <c r="D10" s="24">
        <f>SUM(D6:D9)</f>
        <v>107598</v>
      </c>
      <c r="E10" s="20">
        <f>SUM(E6:E9)</f>
        <v>1075791.96</v>
      </c>
      <c r="F10" s="20">
        <f>SUM(F6:F9)</f>
        <v>3351242.8571428573</v>
      </c>
      <c r="G10" s="20">
        <f>+E10-F10</f>
        <v>-2275450.8971428573</v>
      </c>
      <c r="H10" s="21">
        <f>ABS(G10/F10)</f>
        <v>0.67898716808689319</v>
      </c>
      <c r="I10" s="20">
        <f>E10/D10</f>
        <v>9.9982523838733055</v>
      </c>
      <c r="J10" s="20">
        <f>F10/D10</f>
        <v>31.145958634387789</v>
      </c>
      <c r="K10" s="20">
        <f>I10-J10</f>
        <v>-21.147706250514481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2025-04-10T15:00:16Z</dcterms:modified>
</cp:coreProperties>
</file>