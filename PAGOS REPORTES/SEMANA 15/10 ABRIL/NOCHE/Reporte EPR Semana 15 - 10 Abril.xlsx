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5\10 ABRIL\NOCHE\"/>
    </mc:Choice>
  </mc:AlternateContent>
  <xr:revisionPtr revIDLastSave="0" documentId="13_ncr:1_{A593F884-862F-4FDD-83B2-0F83F70F9AF2}" xr6:coauthVersionLast="47" xr6:coauthVersionMax="47" xr10:uidLastSave="{00000000-0000-0000-0000-000000000000}"/>
  <bookViews>
    <workbookView xWindow="21030" yWindow="9315" windowWidth="10875" windowHeight="7575" xr2:uid="{4DC6C92A-CD8A-4966-829B-0B6A986E825B}"/>
  </bookViews>
  <sheets>
    <sheet name="REPORTE DIARIO" sheetId="1" r:id="rId1"/>
    <sheet name="DATA" sheetId="4" r:id="rId2"/>
    <sheet name="EPR 10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C48" i="1"/>
  <c r="D27" i="1" l="1"/>
  <c r="C27" i="1"/>
  <c r="J9" i="3"/>
  <c r="J8" i="3"/>
  <c r="J7" i="3"/>
  <c r="J6" i="3"/>
  <c r="D6" i="3"/>
  <c r="F6" i="3" s="1"/>
  <c r="D32" i="1"/>
  <c r="C32" i="1"/>
  <c r="D56" i="1"/>
  <c r="C56" i="1"/>
  <c r="D18" i="1"/>
  <c r="C18" i="1"/>
  <c r="D40" i="1"/>
  <c r="C40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<sst xmlns="http://schemas.openxmlformats.org/spreadsheetml/2006/main" count="87" uniqueCount="36">
  <si>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</si>
  <si>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</si>
  <si>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</si>
  <si>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</si>
  <si>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</si>
  <si>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</si>
  <si>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</si>
  <si>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</si>
  <si>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</si>
  <si>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</si>
  <si>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</si>
  <si>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</si>
  <si>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</si>
  <si>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</si>
  <si>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</si>
  <si>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</si>
  <si>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</si>
  <si>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</si>
  <si>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</si>
  <si>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</si>
  <si>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</si>
  <si>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</si>
  <si>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</si>
  <si>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</si>
  <si>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</si>
  <si>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</si>
  <si>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</si>
  <si>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</si>
  <si>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</si>
  <si>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</si>
  <si>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</si>
  <si>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</si>
  <si>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COBRANZA GENERAL  SAMANTHA 2</t>
  </si>
  <si>
    <t>COBRANZA GENERAL  FEDERICO</t>
  </si>
  <si>
    <t>Samantha, Samantha 2, Sofia, Edith, Olguin, Fernando y Federico</t>
  </si>
  <si>
    <t>COBRANZA 10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</si>
</sst>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 applyFill="1" applyBorder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10" workbookViewId="0">
      <selection activeCell="C52" sqref="C5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6209</v>
      </c>
      <c r="D5" s="25">
        <v>30828</v>
      </c>
    </row>
    <row r="6" spans="2:8" x14ac:dyDescent="0.25">
      <c r="B6" s="1" t="s">
        <v>5</v>
      </c>
      <c r="C6" s="6">
        <v>6622</v>
      </c>
      <c r="D6" s="25">
        <v>17244</v>
      </c>
    </row>
    <row r="7" spans="2:8" x14ac:dyDescent="0.25">
      <c r="B7" s="1" t="s">
        <v>6</v>
      </c>
      <c r="C7" s="6">
        <v>9796</v>
      </c>
      <c r="D7" s="25">
        <v>13995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29258</v>
      </c>
      <c r="D9" s="25">
        <v>26800</v>
      </c>
    </row>
    <row r="10" spans="2:8" x14ac:dyDescent="0.25">
      <c r="B10" s="3" t="s">
        <v>8</v>
      </c>
      <c r="C10" s="8">
        <f>SUM(C5:C9)</f>
        <v>51906</v>
      </c>
      <c r="D10" s="4">
        <f>SUM(D5:D9)</f>
        <v>88867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1836</v>
      </c>
      <c r="D14" s="25">
        <v>31277.3</v>
      </c>
    </row>
    <row r="15" spans="2:8" x14ac:dyDescent="0.25">
      <c r="B15" s="9" t="s">
        <v>5</v>
      </c>
      <c r="C15" s="6">
        <v>1509</v>
      </c>
      <c r="D15" s="25">
        <v>3833</v>
      </c>
    </row>
    <row r="16" spans="2:8" x14ac:dyDescent="0.25">
      <c r="B16" s="9" t="s">
        <v>6</v>
      </c>
      <c r="C16" s="6">
        <v>860</v>
      </c>
      <c r="D16" s="25">
        <v>8857</v>
      </c>
    </row>
    <row r="17" spans="2:11" x14ac:dyDescent="0.25">
      <c r="B17" s="9" t="s">
        <v>7</v>
      </c>
      <c r="C17" s="6">
        <v>8899</v>
      </c>
      <c r="D17" s="25">
        <v>744</v>
      </c>
    </row>
    <row r="18" spans="2:11" x14ac:dyDescent="0.25">
      <c r="B18" s="10" t="s">
        <v>8</v>
      </c>
      <c r="C18" s="8">
        <f>SUM(C14:C17)</f>
        <v>13104</v>
      </c>
      <c r="D18" s="4">
        <f>SUM(D14:D17)</f>
        <v>44711.3</v>
      </c>
    </row>
    <row r="20" spans="2:11" x14ac:dyDescent="0.25">
      <c r="B20" s="27" t="s">
        <v>32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2618</v>
      </c>
      <c r="D22" s="25">
        <v>12602</v>
      </c>
    </row>
    <row r="23" spans="2:11" x14ac:dyDescent="0.25">
      <c r="B23" s="1" t="s">
        <v>5</v>
      </c>
      <c r="C23" s="6">
        <v>1414</v>
      </c>
      <c r="D23" s="25">
        <v>6655</v>
      </c>
    </row>
    <row r="24" spans="2:11" x14ac:dyDescent="0.25">
      <c r="B24" s="1" t="s">
        <v>6</v>
      </c>
      <c r="C24" s="6">
        <v>3303</v>
      </c>
      <c r="D24" s="25">
        <v>3298</v>
      </c>
    </row>
    <row r="25" spans="2:11" x14ac:dyDescent="0.25">
      <c r="B25" s="5" t="s">
        <v>12</v>
      </c>
      <c r="C25" s="7">
        <v>2</v>
      </c>
      <c r="D25" s="24">
        <v>0</v>
      </c>
    </row>
    <row r="26" spans="2:11" x14ac:dyDescent="0.25">
      <c r="B26" s="1" t="s">
        <v>7</v>
      </c>
      <c r="C26" s="6">
        <v>21191</v>
      </c>
      <c r="D26" s="25">
        <v>15744.92</v>
      </c>
      <c r="K26" s="7"/>
    </row>
    <row r="27" spans="2:11" x14ac:dyDescent="0.25">
      <c r="B27" s="3" t="s">
        <v>8</v>
      </c>
      <c r="C27" s="8">
        <f>SUM(C22:C26)</f>
        <v>28528</v>
      </c>
      <c r="D27" s="4">
        <f>SUM(D22:D26)</f>
        <v>38299.919999999998</v>
      </c>
    </row>
    <row r="29" spans="2:11" x14ac:dyDescent="0.25">
      <c r="B29" s="28" t="s">
        <v>11</v>
      </c>
      <c r="C29" s="28"/>
      <c r="D29" s="28"/>
    </row>
    <row r="30" spans="2:11" x14ac:dyDescent="0.25">
      <c r="B30" s="4" t="s">
        <v>1</v>
      </c>
      <c r="C30" s="4" t="s">
        <v>2</v>
      </c>
      <c r="D30" s="4" t="s">
        <v>3</v>
      </c>
    </row>
    <row r="31" spans="2:11" x14ac:dyDescent="0.25">
      <c r="B31" s="9" t="s">
        <v>4</v>
      </c>
      <c r="C31" s="6">
        <v>2777</v>
      </c>
      <c r="D31" s="25">
        <v>22340</v>
      </c>
    </row>
    <row r="32" spans="2:11" x14ac:dyDescent="0.25">
      <c r="B32" s="10" t="s">
        <v>8</v>
      </c>
      <c r="C32" s="8">
        <f>SUM(C31:C31)</f>
        <v>2777</v>
      </c>
      <c r="D32" s="4">
        <f>SUM(D31:D31)</f>
        <v>22340</v>
      </c>
    </row>
    <row r="34" spans="2:4" x14ac:dyDescent="0.25">
      <c r="B34" s="27" t="s">
        <v>9</v>
      </c>
      <c r="C34" s="27"/>
      <c r="D34" s="27"/>
    </row>
    <row r="35" spans="2:4" x14ac:dyDescent="0.25">
      <c r="B35" s="2" t="s">
        <v>1</v>
      </c>
      <c r="C35" s="2" t="s">
        <v>2</v>
      </c>
      <c r="D35" s="2" t="s">
        <v>3</v>
      </c>
    </row>
    <row r="36" spans="2:4" x14ac:dyDescent="0.25">
      <c r="B36" s="9" t="s">
        <v>4</v>
      </c>
      <c r="C36" s="6">
        <v>1405</v>
      </c>
      <c r="D36" s="25">
        <v>8929.25</v>
      </c>
    </row>
    <row r="37" spans="2:4" x14ac:dyDescent="0.25">
      <c r="B37" s="9" t="s">
        <v>5</v>
      </c>
      <c r="C37" s="6">
        <v>1309</v>
      </c>
      <c r="D37" s="25">
        <v>4713.96</v>
      </c>
    </row>
    <row r="38" spans="2:4" x14ac:dyDescent="0.25">
      <c r="B38" s="9" t="s">
        <v>6</v>
      </c>
      <c r="C38" s="6">
        <v>2772</v>
      </c>
      <c r="D38" s="26">
        <v>0</v>
      </c>
    </row>
    <row r="39" spans="2:4" x14ac:dyDescent="0.25">
      <c r="B39" s="9" t="s">
        <v>7</v>
      </c>
      <c r="C39" s="6">
        <v>4264</v>
      </c>
      <c r="D39" s="26">
        <v>0</v>
      </c>
    </row>
    <row r="40" spans="2:4" x14ac:dyDescent="0.25">
      <c r="B40" s="10" t="s">
        <v>8</v>
      </c>
      <c r="C40" s="8">
        <f>SUM(C36:C39)</f>
        <v>9750</v>
      </c>
      <c r="D40" s="4">
        <f>SUM(D36:D39)</f>
        <v>13643.21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210</v>
      </c>
    </row>
    <row r="45" spans="2:4" x14ac:dyDescent="0.25">
      <c r="B45" s="1" t="s">
        <v>5</v>
      </c>
      <c r="C45" s="6">
        <v>190</v>
      </c>
      <c r="D45" s="25">
        <v>400</v>
      </c>
    </row>
    <row r="46" spans="2:4" x14ac:dyDescent="0.25">
      <c r="B46" s="1" t="s">
        <v>6</v>
      </c>
      <c r="C46" s="6">
        <v>209</v>
      </c>
      <c r="D46" s="26">
        <v>0</v>
      </c>
    </row>
    <row r="47" spans="2:4" x14ac:dyDescent="0.25">
      <c r="B47" s="1" t="s">
        <v>7</v>
      </c>
      <c r="C47" s="6">
        <v>1888</v>
      </c>
      <c r="D47" s="26">
        <v>0</v>
      </c>
    </row>
    <row r="48" spans="2:4" x14ac:dyDescent="0.25">
      <c r="B48" s="3" t="s">
        <v>8</v>
      </c>
      <c r="C48" s="8">
        <f>SUM(C44:C47)</f>
        <v>2326</v>
      </c>
      <c r="D48" s="4">
        <f>SUM(D44:D47)</f>
        <v>610</v>
      </c>
    </row>
    <row r="50" spans="2:4" x14ac:dyDescent="0.25">
      <c r="B50" s="28" t="s">
        <v>31</v>
      </c>
      <c r="C50" s="28"/>
      <c r="D50" s="28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1</v>
      </c>
      <c r="D52" s="26">
        <v>0</v>
      </c>
    </row>
    <row r="53" spans="2:4" x14ac:dyDescent="0.25">
      <c r="B53" s="9" t="s">
        <v>5</v>
      </c>
      <c r="C53" s="6">
        <v>0</v>
      </c>
      <c r="D53" s="26">
        <v>0</v>
      </c>
    </row>
    <row r="54" spans="2:4" x14ac:dyDescent="0.25">
      <c r="B54" s="9" t="s">
        <v>6</v>
      </c>
      <c r="C54" s="6">
        <v>0</v>
      </c>
      <c r="D54" s="26">
        <v>0</v>
      </c>
    </row>
    <row r="55" spans="2:4" x14ac:dyDescent="0.25">
      <c r="B55" s="9" t="s">
        <v>7</v>
      </c>
      <c r="C55" s="6">
        <v>2</v>
      </c>
      <c r="D55" s="26">
        <v>0</v>
      </c>
    </row>
    <row r="56" spans="2:4" x14ac:dyDescent="0.25">
      <c r="B56" s="10" t="s">
        <v>8</v>
      </c>
      <c r="C56" s="8">
        <f>SUM(C52:C55)</f>
        <v>3</v>
      </c>
      <c r="D56" s="4">
        <f>SUM(D52:D55)</f>
        <v>0</v>
      </c>
    </row>
    <row r="58" spans="2:4" x14ac:dyDescent="0.25">
      <c r="B58" s="11" t="s">
        <v>13</v>
      </c>
      <c r="C58" s="12">
        <f>SUM(C10+C40+C18+C56+C32+C27+C48)</f>
        <v>108394</v>
      </c>
      <c r="D58" s="12">
        <f>SUM(D10+D40+D18+D56+D32+D27+D48)</f>
        <v>208471.43</v>
      </c>
    </row>
  </sheetData>
  <mergeCells count="7">
    <mergeCell ref="B3:D3"/>
    <mergeCell ref="B34:D34"/>
    <mergeCell ref="B50:D50"/>
    <mergeCell ref="B29:D29"/>
    <mergeCell ref="B42:D42"/>
    <mergeCell ref="B20:D20"/>
    <mergeCell ref="B12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10 ABR'!C6, 'REPORTE DIARIO'!C:C)</f>
        <v>14885</v>
      </c>
      <c r="E6" s="15">
        <f>SUMIF('REPORTE DIARIO'!B:B,'EPR 10 ABR'!C6, 'REPORTE DIARIO'!D:D)</f>
        <v>106186.55</v>
      </c>
      <c r="F6" s="15">
        <f>J6*D6</f>
        <v>425285.71428571432</v>
      </c>
      <c r="G6" s="15">
        <f>+E6-F6</f>
        <v>-319099.16428571433</v>
      </c>
      <c r="H6" s="14">
        <f>ABS(G6/F6)</f>
        <v>0.75031714813570716</v>
      </c>
      <c r="I6" s="15">
        <f>E6/D6</f>
        <v>7.1337957675512262</v>
      </c>
      <c r="J6" s="15">
        <f>200/7</f>
        <v>28.571428571428573</v>
      </c>
      <c r="K6" s="15">
        <f>+I6-J6</f>
        <v>-21.437632803877346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10 ABR'!C7, 'REPORTE DIARIO'!C:C)</f>
        <v>11044</v>
      </c>
      <c r="E7" s="15">
        <f>SUMIF('REPORTE DIARIO'!B:B,'EPR 10 ABR'!C7, 'REPORTE DIARIO'!D:D)</f>
        <v>32845.96</v>
      </c>
      <c r="F7" s="15">
        <f>J7*D7</f>
        <v>173548.57142857142</v>
      </c>
      <c r="G7" s="15">
        <f>+E7-F7</f>
        <v>-140702.61142857143</v>
      </c>
      <c r="H7" s="14">
        <f>ABS(G7/F7)</f>
        <v>0.81073909321392124</v>
      </c>
      <c r="I7" s="15">
        <f>E7/D7</f>
        <v>2.9740999637812386</v>
      </c>
      <c r="J7" s="15">
        <f>110/7</f>
        <v>15.714285714285714</v>
      </c>
      <c r="K7" s="15">
        <f t="shared" ref="K7:K9" si="0">+I7-J7</f>
        <v>-12.740185750504475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10 ABR'!C8, 'REPORTE DIARIO'!C:C)</f>
        <v>16940</v>
      </c>
      <c r="E8" s="15">
        <f>SUMIF('REPORTE DIARIO'!B:B,'EPR 10 ABR'!C8, 'REPORTE DIARIO'!D:D)</f>
        <v>26150</v>
      </c>
      <c r="F8" s="15">
        <f>J8*D8</f>
        <v>108900</v>
      </c>
      <c r="G8" s="15">
        <f>+E8-F8</f>
        <v>-82750</v>
      </c>
      <c r="H8" s="14">
        <f>ABS(G8/F8)</f>
        <v>0.75987144168962351</v>
      </c>
      <c r="I8" s="15">
        <f>E8/D8</f>
        <v>1.5436835891381346</v>
      </c>
      <c r="J8" s="15">
        <f>45/7</f>
        <v>6.4285714285714288</v>
      </c>
      <c r="K8" s="15">
        <f t="shared" si="0"/>
        <v>-4.8848878394332944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10 ABR'!C9, 'REPORTE DIARIO'!C:C)</f>
        <v>65502</v>
      </c>
      <c r="E9" s="15">
        <f>SUMIF('REPORTE DIARIO'!B:B,'EPR 10 ABR'!C9, 'REPORTE DIARIO'!D:D)</f>
        <v>43288.92</v>
      </c>
      <c r="F9" s="15">
        <f>J9*D9</f>
        <v>140361.42857142858</v>
      </c>
      <c r="G9" s="15">
        <f>+E9-F9</f>
        <v>-97072.508571428581</v>
      </c>
      <c r="H9" s="14">
        <f>ABS(G9/F9)</f>
        <v>0.69158963085096636</v>
      </c>
      <c r="I9" s="15">
        <f>E9/D9</f>
        <v>0.6608793624622149</v>
      </c>
      <c r="J9" s="15">
        <f>15/7</f>
        <v>2.1428571428571428</v>
      </c>
      <c r="K9" s="15">
        <f t="shared" si="0"/>
        <v>-1.4819777803949279</v>
      </c>
    </row>
    <row r="10" spans="2:12" x14ac:dyDescent="0.25">
      <c r="B10" s="15"/>
      <c r="C10" s="18" t="s">
        <v>16</v>
      </c>
      <c r="D10" s="23">
        <f>SUM(D6:D9)</f>
        <v>108371</v>
      </c>
      <c r="E10" s="19">
        <f>SUM(E6:E9)</f>
        <v>208471.43</v>
      </c>
      <c r="F10" s="19">
        <f>SUM(F6:F9)</f>
        <v>848095.71428571432</v>
      </c>
      <c r="G10" s="19">
        <f>+E10-F10</f>
        <v>-639624.28428571438</v>
      </c>
      <c r="H10" s="20">
        <f>ABS(G10/F10)</f>
        <v>0.75418879439146869</v>
      </c>
      <c r="I10" s="19">
        <f>E10/D10</f>
        <v>1.923682811822351</v>
      </c>
      <c r="J10" s="19">
        <f>F10/D10</f>
        <v>7.8258548346487009</v>
      </c>
      <c r="K10" s="19">
        <f>I10-J10</f>
        <v>-5.9021720228263499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10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2025-04-11T01:54:11Z</dcterms:modified>
</cp:coreProperties>
</file>