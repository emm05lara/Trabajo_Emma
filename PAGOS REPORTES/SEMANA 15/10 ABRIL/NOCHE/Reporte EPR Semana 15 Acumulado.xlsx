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0 ABRIL\NOCHE\"/>
    </mc:Choice>
  </mc:AlternateContent>
  <xr:revisionPtr revIDLastSave="0" documentId="13_ncr:1_{1F98A59C-32A4-4CCF-B8BB-AD0764230A61}" xr6:coauthVersionLast="47" xr6:coauthVersionMax="47" xr10:uidLastSave="{00000000-0000-0000-0000-000000000000}"/>
  <bookViews>
    <workbookView xWindow="21375" yWindow="9660" windowWidth="10875" windowHeight="7575" xr2:uid="{4DC6C92A-CD8A-4966-829B-0B6A986E825B}"/>
  </bookViews>
  <sheets>
    <sheet name="REPORTE DIARIO" sheetId="1" r:id="rId1"/>
    <sheet name="DATA" sheetId="4" r:id="rId2"/>
    <sheet name="EPR 10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32" i="1" l="1"/>
  <c r="C32" i="1"/>
  <c r="D40" i="1"/>
  <c r="C40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<sst xmlns="http://schemas.openxmlformats.org/spreadsheetml/2006/main" count="88" uniqueCount="37">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</sst>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6" workbookViewId="0">
      <selection activeCell="D49" sqref="D4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6209</v>
      </c>
      <c r="D5" s="25">
        <v>246784.81</v>
      </c>
    </row>
    <row r="6" spans="2:8" x14ac:dyDescent="0.25">
      <c r="B6" s="1" t="s">
        <v>5</v>
      </c>
      <c r="C6" s="6">
        <v>6622</v>
      </c>
      <c r="D6" s="25">
        <v>120551.02</v>
      </c>
    </row>
    <row r="7" spans="2:8" x14ac:dyDescent="0.25">
      <c r="B7" s="1" t="s">
        <v>6</v>
      </c>
      <c r="C7" s="6">
        <v>9796</v>
      </c>
      <c r="D7" s="25">
        <v>94626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29258</v>
      </c>
      <c r="D9" s="25">
        <v>153198.84000000003</v>
      </c>
      <c r="F9" s="7"/>
    </row>
    <row r="10" spans="2:8" x14ac:dyDescent="0.25">
      <c r="B10" s="3" t="s">
        <v>8</v>
      </c>
      <c r="C10" s="8">
        <f>SUM(C5:C9)</f>
        <v>51906</v>
      </c>
      <c r="D10" s="4">
        <f>SUM(D5:D9)</f>
        <v>615160.67000000004</v>
      </c>
      <c r="E10" s="11" t="s">
        <v>14</v>
      </c>
    </row>
    <row r="12" spans="2:8" x14ac:dyDescent="0.25">
      <c r="B12" s="27" t="s">
        <v>34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2618</v>
      </c>
      <c r="D14" s="25">
        <v>83793.58</v>
      </c>
    </row>
    <row r="15" spans="2:8" x14ac:dyDescent="0.25">
      <c r="B15" s="1" t="s">
        <v>5</v>
      </c>
      <c r="C15" s="6">
        <v>1414</v>
      </c>
      <c r="D15" s="25">
        <v>67678</v>
      </c>
    </row>
    <row r="16" spans="2:8" x14ac:dyDescent="0.25">
      <c r="B16" s="1" t="s">
        <v>6</v>
      </c>
      <c r="C16" s="6">
        <v>3303</v>
      </c>
      <c r="D16" s="25">
        <v>15808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21191</v>
      </c>
      <c r="D18" s="25">
        <v>63805.929999999993</v>
      </c>
    </row>
    <row r="19" spans="2:11" x14ac:dyDescent="0.25">
      <c r="B19" s="3" t="s">
        <v>8</v>
      </c>
      <c r="C19" s="8">
        <f>SUM(C14:C18)</f>
        <v>28528</v>
      </c>
      <c r="D19" s="4">
        <f>SUM(D14:D18)</f>
        <v>231085.51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1836</v>
      </c>
      <c r="D23" s="25">
        <v>95871.31</v>
      </c>
    </row>
    <row r="24" spans="2:11" x14ac:dyDescent="0.25">
      <c r="B24" s="9" t="s">
        <v>5</v>
      </c>
      <c r="C24" s="6">
        <v>1509</v>
      </c>
      <c r="D24" s="25">
        <v>52312.789999999994</v>
      </c>
    </row>
    <row r="25" spans="2:11" x14ac:dyDescent="0.25">
      <c r="B25" s="9" t="s">
        <v>6</v>
      </c>
      <c r="C25" s="6">
        <v>860</v>
      </c>
      <c r="D25" s="25">
        <v>18115</v>
      </c>
    </row>
    <row r="26" spans="2:11" x14ac:dyDescent="0.25">
      <c r="B26" s="9" t="s">
        <v>7</v>
      </c>
      <c r="C26" s="6">
        <v>8899</v>
      </c>
      <c r="D26" s="25">
        <v>18534.88</v>
      </c>
    </row>
    <row r="27" spans="2:11" x14ac:dyDescent="0.25">
      <c r="B27" s="10" t="s">
        <v>8</v>
      </c>
      <c r="C27" s="8">
        <f>SUM(C23:C26)</f>
        <v>13104</v>
      </c>
      <c r="D27" s="4">
        <f>SUM(D23:D26)</f>
        <v>184833.97999999998</v>
      </c>
      <c r="K27" s="7"/>
    </row>
    <row r="29" spans="2:11" x14ac:dyDescent="0.25">
      <c r="B29" s="28" t="s">
        <v>11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2777</v>
      </c>
      <c r="D31" s="25">
        <v>137665</v>
      </c>
    </row>
    <row r="32" spans="2:11" x14ac:dyDescent="0.25">
      <c r="B32" s="10" t="s">
        <v>8</v>
      </c>
      <c r="C32" s="8">
        <f>SUM(C31:C31)</f>
        <v>2777</v>
      </c>
      <c r="D32" s="4">
        <f>SUM(D31:D31)</f>
        <v>137665</v>
      </c>
    </row>
    <row r="34" spans="2:4" x14ac:dyDescent="0.25">
      <c r="B34" s="27" t="s">
        <v>9</v>
      </c>
      <c r="C34" s="27"/>
      <c r="D34" s="27"/>
    </row>
    <row r="35" spans="2:4" x14ac:dyDescent="0.25">
      <c r="B35" s="2" t="s">
        <v>1</v>
      </c>
      <c r="C35" s="2" t="s">
        <v>2</v>
      </c>
      <c r="D35" s="2" t="s">
        <v>3</v>
      </c>
    </row>
    <row r="36" spans="2:4" x14ac:dyDescent="0.25">
      <c r="B36" s="9" t="s">
        <v>4</v>
      </c>
      <c r="C36" s="6">
        <v>1405</v>
      </c>
      <c r="D36" s="25">
        <v>55772.05</v>
      </c>
    </row>
    <row r="37" spans="2:4" x14ac:dyDescent="0.25">
      <c r="B37" s="9" t="s">
        <v>5</v>
      </c>
      <c r="C37" s="6">
        <v>1309</v>
      </c>
      <c r="D37" s="25">
        <v>18709.96</v>
      </c>
    </row>
    <row r="38" spans="2:4" x14ac:dyDescent="0.25">
      <c r="B38" s="9" t="s">
        <v>6</v>
      </c>
      <c r="C38" s="6">
        <v>2772</v>
      </c>
      <c r="D38" s="25">
        <v>3368.2200000000003</v>
      </c>
    </row>
    <row r="39" spans="2:4" x14ac:dyDescent="0.25">
      <c r="B39" s="9" t="s">
        <v>7</v>
      </c>
      <c r="C39" s="6">
        <v>4264</v>
      </c>
      <c r="D39" s="25">
        <v>297</v>
      </c>
    </row>
    <row r="40" spans="2:4" x14ac:dyDescent="0.25">
      <c r="B40" s="10" t="s">
        <v>8</v>
      </c>
      <c r="C40" s="8">
        <f>SUM(C36:C39)</f>
        <v>9750</v>
      </c>
      <c r="D40" s="4">
        <f>SUM(D36:D39)</f>
        <v>78147.23000000001</v>
      </c>
    </row>
    <row r="42" spans="2:4" x14ac:dyDescent="0.25">
      <c r="B42" s="27" t="s">
        <v>35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25813</v>
      </c>
    </row>
    <row r="45" spans="2:4" x14ac:dyDescent="0.25">
      <c r="B45" s="1" t="s">
        <v>5</v>
      </c>
      <c r="C45" s="6">
        <v>190</v>
      </c>
      <c r="D45" s="25">
        <v>1000</v>
      </c>
    </row>
    <row r="46" spans="2:4" x14ac:dyDescent="0.25">
      <c r="B46" s="1" t="s">
        <v>6</v>
      </c>
      <c r="C46" s="6">
        <v>209</v>
      </c>
      <c r="D46" s="11">
        <v>0</v>
      </c>
    </row>
    <row r="47" spans="2:4" x14ac:dyDescent="0.25">
      <c r="B47" s="1" t="s">
        <v>7</v>
      </c>
      <c r="C47" s="6">
        <v>1888</v>
      </c>
      <c r="D47" s="25">
        <v>6016</v>
      </c>
    </row>
    <row r="48" spans="2:4" x14ac:dyDescent="0.25">
      <c r="B48" s="3" t="s">
        <v>8</v>
      </c>
      <c r="C48" s="8">
        <f>SUM(C44:C47)</f>
        <v>2326</v>
      </c>
      <c r="D48" s="4">
        <f>SUM(D44:D47)</f>
        <v>32829</v>
      </c>
    </row>
    <row r="50" spans="2:4" x14ac:dyDescent="0.25">
      <c r="B50" s="28" t="s">
        <v>32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1</v>
      </c>
      <c r="D52" s="26">
        <v>0</v>
      </c>
    </row>
    <row r="53" spans="2:4" x14ac:dyDescent="0.25">
      <c r="B53" s="9" t="s">
        <v>5</v>
      </c>
      <c r="C53" s="6">
        <v>0</v>
      </c>
      <c r="D53" s="26">
        <v>0</v>
      </c>
    </row>
    <row r="54" spans="2:4" x14ac:dyDescent="0.25">
      <c r="B54" s="9" t="s">
        <v>6</v>
      </c>
      <c r="C54" s="6">
        <v>0</v>
      </c>
      <c r="D54" s="26">
        <v>0</v>
      </c>
    </row>
    <row r="55" spans="2:4" x14ac:dyDescent="0.25">
      <c r="B55" s="9" t="s">
        <v>7</v>
      </c>
      <c r="C55" s="6">
        <v>2</v>
      </c>
      <c r="D55" s="26">
        <v>0</v>
      </c>
    </row>
    <row r="56" spans="2:4" x14ac:dyDescent="0.25">
      <c r="B56" s="10" t="s">
        <v>8</v>
      </c>
      <c r="C56" s="8">
        <f>SUM(C52:C55)</f>
        <v>3</v>
      </c>
      <c r="D56" s="4">
        <f>SUM(D52:D55)</f>
        <v>0</v>
      </c>
    </row>
    <row r="58" spans="2:4" x14ac:dyDescent="0.25">
      <c r="B58" s="12" t="s">
        <v>13</v>
      </c>
      <c r="C58" s="13">
        <f>SUM(C10+C27+C56+C40+C32+C19+C48)</f>
        <v>108394</v>
      </c>
      <c r="D58" s="13">
        <f>SUM(D10+D27+D56+D40+D32+D19+D48)</f>
        <v>1279721.3900000001</v>
      </c>
    </row>
  </sheetData>
  <mergeCells count="7">
    <mergeCell ref="B12:D12"/>
    <mergeCell ref="B42:D42"/>
    <mergeCell ref="B3:D3"/>
    <mergeCell ref="B50:D50"/>
    <mergeCell ref="B21:D21"/>
    <mergeCell ref="B34:D34"/>
    <mergeCell ref="B29:D2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F14" sqref="F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10 ABR'!C6, 'REPORTE DIARIO'!C:C)</f>
        <v>14885</v>
      </c>
      <c r="E6" s="16">
        <f>SUMIF('REPORTE DIARIO'!B:B,'EPR 10 ABR'!C6, 'REPORTE DIARIO'!D:D)</f>
        <v>645699.75</v>
      </c>
      <c r="F6" s="16">
        <f>J6*D6</f>
        <v>1701142.8571428573</v>
      </c>
      <c r="G6" s="16">
        <f>+E6-F6</f>
        <v>-1055443.1071428573</v>
      </c>
      <c r="H6" s="15">
        <f>ABS(G6/F6)</f>
        <v>0.62043178955324152</v>
      </c>
      <c r="I6" s="16">
        <f>E6/D6</f>
        <v>43.37922405105811</v>
      </c>
      <c r="J6" s="16">
        <f>(200/7)*4</f>
        <v>114.28571428571429</v>
      </c>
      <c r="K6" s="16">
        <f>+I6-J6</f>
        <v>-70.906490234656189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10 ABR'!C7, 'REPORTE DIARIO'!C:C)</f>
        <v>11044</v>
      </c>
      <c r="E7" s="16">
        <f>SUMIF('REPORTE DIARIO'!B:B,'EPR 10 ABR'!C7, 'REPORTE DIARIO'!D:D)</f>
        <v>260251.77</v>
      </c>
      <c r="F7" s="16">
        <f>J7*D7</f>
        <v>694194.28571428568</v>
      </c>
      <c r="G7" s="16">
        <f>+E7-F7</f>
        <v>-433942.51571428566</v>
      </c>
      <c r="H7" s="15">
        <f>ABS(G7/F7)</f>
        <v>0.62510240237397507</v>
      </c>
      <c r="I7" s="16">
        <f>E7/D7</f>
        <v>23.564991850778704</v>
      </c>
      <c r="J7" s="16">
        <f>(110/7)*4</f>
        <v>62.857142857142854</v>
      </c>
      <c r="K7" s="16">
        <f t="shared" ref="K7:K9" si="0">+I7-J7</f>
        <v>-39.292151006364151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10 ABR'!C8, 'REPORTE DIARIO'!C:C)</f>
        <v>16940</v>
      </c>
      <c r="E8" s="16">
        <f>SUMIF('REPORTE DIARIO'!B:B,'EPR 10 ABR'!C8, 'REPORTE DIARIO'!D:D)</f>
        <v>131917.22</v>
      </c>
      <c r="F8" s="16">
        <f>J8*D8</f>
        <v>435600</v>
      </c>
      <c r="G8" s="16">
        <f>+E8-F8</f>
        <v>-303682.78000000003</v>
      </c>
      <c r="H8" s="15">
        <f>ABS(G8/F8)</f>
        <v>0.69715973370064288</v>
      </c>
      <c r="I8" s="16">
        <f>E8/D8</f>
        <v>7.7873211334120427</v>
      </c>
      <c r="J8" s="16">
        <f>(45/7)*4</f>
        <v>25.714285714285715</v>
      </c>
      <c r="K8" s="16">
        <f t="shared" si="0"/>
        <v>-17.926964580873673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10 ABR'!C9, 'REPORTE DIARIO'!C:C)</f>
        <v>65502</v>
      </c>
      <c r="E9" s="16">
        <f>SUMIF('REPORTE DIARIO'!B:B,'EPR 10 ABR'!C9, 'REPORTE DIARIO'!D:D)</f>
        <v>241852.65000000002</v>
      </c>
      <c r="F9" s="16">
        <f>J9*D9</f>
        <v>561445.71428571432</v>
      </c>
      <c r="G9" s="16">
        <f>+E9-F9</f>
        <v>-319593.0642857143</v>
      </c>
      <c r="H9" s="15">
        <f>ABS(G9/F9)</f>
        <v>0.56923235168391806</v>
      </c>
      <c r="I9" s="16">
        <f>E9/D9</f>
        <v>3.6922941284235598</v>
      </c>
      <c r="J9" s="16">
        <f>(15/7)*4</f>
        <v>8.5714285714285712</v>
      </c>
      <c r="K9" s="16">
        <f t="shared" si="0"/>
        <v>-4.879134443005011</v>
      </c>
    </row>
    <row r="10" spans="2:12" x14ac:dyDescent="0.25">
      <c r="B10" s="16"/>
      <c r="C10" s="19" t="s">
        <v>17</v>
      </c>
      <c r="D10" s="24">
        <f>SUM(D6:D9)</f>
        <v>108371</v>
      </c>
      <c r="E10" s="20">
        <f>SUM(E6:E9)</f>
        <v>1279721.3900000001</v>
      </c>
      <c r="F10" s="20">
        <f>SUM(F6:F9)</f>
        <v>3392382.8571428573</v>
      </c>
      <c r="G10" s="20">
        <f>+E10-F10</f>
        <v>-2112661.4671428571</v>
      </c>
      <c r="H10" s="21">
        <f>ABS(G10/F10)</f>
        <v>0.62276622542603843</v>
      </c>
      <c r="I10" s="20">
        <f>E10/D10</f>
        <v>11.808707034169659</v>
      </c>
      <c r="J10" s="20">
        <f>F10/D10</f>
        <v>31.303419338594804</v>
      </c>
      <c r="K10" s="20">
        <f>I10-J10</f>
        <v>-19.494712304425143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10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2025-04-11T01:58:07Z</dcterms:modified>
</cp:coreProperties>
</file>