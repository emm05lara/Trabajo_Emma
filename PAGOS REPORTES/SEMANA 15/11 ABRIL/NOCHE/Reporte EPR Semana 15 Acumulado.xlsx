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1 ABRIL\NOCHE\"/>
    </mc:Choice>
  </mc:AlternateContent>
  <xr:revisionPtr revIDLastSave="0" documentId="13_ncr:1_{6F954E45-7E18-4A3D-AFEB-BB4C03077914}" xr6:coauthVersionLast="47" xr6:coauthVersionMax="47" xr10:uidLastSave="{00000000-0000-0000-0000-000000000000}"/>
  <bookViews>
    <workbookView xWindow="23790" yWindow="12075" windowWidth="10875" windowHeight="7575" activeTab="2" xr2:uid="{4DC6C92A-CD8A-4966-829B-0B6A986E825B}"/>
  </bookViews>
  <sheets>
    <sheet name="REPORTE DIARIO" sheetId="1" r:id="rId1"/>
    <sheet name="DATA" sheetId="4" r:id="rId2"/>
    <sheet name="EPR 11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32" i="1" l="1"/>
  <c r="C32" i="1"/>
  <c r="D40" i="1"/>
  <c r="C40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<sst xmlns="http://schemas.openxmlformats.org/spreadsheetml/2006/main" count="88" uniqueCount="37">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</sst>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9" workbookViewId="0">
      <selection activeCell="D51" sqref="D5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6150</v>
      </c>
      <c r="D5" s="25">
        <v>366030.68</v>
      </c>
    </row>
    <row r="6" spans="2:8" x14ac:dyDescent="0.25">
      <c r="B6" s="1" t="s">
        <v>5</v>
      </c>
      <c r="C6" s="6">
        <v>5799</v>
      </c>
      <c r="D6" s="25">
        <v>171736.02</v>
      </c>
    </row>
    <row r="7" spans="2:8" x14ac:dyDescent="0.25">
      <c r="B7" s="1" t="s">
        <v>6</v>
      </c>
      <c r="C7" s="6">
        <v>8698</v>
      </c>
      <c r="D7" s="25">
        <v>129827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21160</v>
      </c>
      <c r="D9" s="25">
        <v>240713.74</v>
      </c>
      <c r="F9" s="7"/>
    </row>
    <row r="10" spans="2:8" x14ac:dyDescent="0.25">
      <c r="B10" s="3" t="s">
        <v>8</v>
      </c>
      <c r="C10" s="8">
        <f>SUM(C5:C9)</f>
        <v>41828</v>
      </c>
      <c r="D10" s="4">
        <f>SUM(D5:D9)</f>
        <v>908307.44</v>
      </c>
      <c r="E10" s="11" t="s">
        <v>14</v>
      </c>
    </row>
    <row r="12" spans="2:8" x14ac:dyDescent="0.25">
      <c r="B12" s="27" t="s">
        <v>34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2514</v>
      </c>
      <c r="D14" s="25">
        <v>126073.75000000001</v>
      </c>
    </row>
    <row r="15" spans="2:8" x14ac:dyDescent="0.25">
      <c r="B15" s="1" t="s">
        <v>5</v>
      </c>
      <c r="C15" s="6">
        <v>1445</v>
      </c>
      <c r="D15" s="25">
        <v>69874.010000000009</v>
      </c>
    </row>
    <row r="16" spans="2:8" x14ac:dyDescent="0.25">
      <c r="B16" s="1" t="s">
        <v>6</v>
      </c>
      <c r="C16" s="6">
        <v>3310</v>
      </c>
      <c r="D16" s="25">
        <v>38064.620000000003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21194</v>
      </c>
      <c r="D18" s="25">
        <v>113264.07</v>
      </c>
    </row>
    <row r="19" spans="2:11" x14ac:dyDescent="0.25">
      <c r="B19" s="3" t="s">
        <v>8</v>
      </c>
      <c r="C19" s="8">
        <f>SUM(C14:C18)</f>
        <v>28465</v>
      </c>
      <c r="D19" s="4">
        <f>SUM(D14:D18)</f>
        <v>347276.45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1762</v>
      </c>
      <c r="D23" s="25">
        <v>127847.5</v>
      </c>
    </row>
    <row r="24" spans="2:11" x14ac:dyDescent="0.25">
      <c r="B24" s="9" t="s">
        <v>5</v>
      </c>
      <c r="C24" s="6">
        <v>2126</v>
      </c>
      <c r="D24" s="25">
        <v>85336.81</v>
      </c>
    </row>
    <row r="25" spans="2:11" x14ac:dyDescent="0.25">
      <c r="B25" s="9" t="s">
        <v>6</v>
      </c>
      <c r="C25" s="6">
        <v>872</v>
      </c>
      <c r="D25" s="25">
        <v>21691</v>
      </c>
    </row>
    <row r="26" spans="2:11" x14ac:dyDescent="0.25">
      <c r="B26" s="9" t="s">
        <v>7</v>
      </c>
      <c r="C26" s="6">
        <v>8901</v>
      </c>
      <c r="D26" s="25">
        <v>21406.880000000001</v>
      </c>
    </row>
    <row r="27" spans="2:11" x14ac:dyDescent="0.25">
      <c r="B27" s="10" t="s">
        <v>8</v>
      </c>
      <c r="C27" s="8">
        <f>SUM(C23:C26)</f>
        <v>13661</v>
      </c>
      <c r="D27" s="4">
        <f>SUM(D23:D26)</f>
        <v>256282.19</v>
      </c>
      <c r="K27" s="7"/>
    </row>
    <row r="29" spans="2:11" x14ac:dyDescent="0.25">
      <c r="B29" s="28" t="s">
        <v>11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2663</v>
      </c>
      <c r="D31" s="25">
        <v>147081</v>
      </c>
    </row>
    <row r="32" spans="2:11" x14ac:dyDescent="0.25">
      <c r="B32" s="10" t="s">
        <v>8</v>
      </c>
      <c r="C32" s="8">
        <f>SUM(C31:C31)</f>
        <v>2663</v>
      </c>
      <c r="D32" s="4">
        <f>SUM(D31:D31)</f>
        <v>147081</v>
      </c>
    </row>
    <row r="34" spans="2:4" x14ac:dyDescent="0.25">
      <c r="B34" s="27" t="s">
        <v>9</v>
      </c>
      <c r="C34" s="27"/>
      <c r="D34" s="27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9" t="s">
        <v>4</v>
      </c>
      <c r="C36" s="6">
        <v>1366</v>
      </c>
      <c r="D36" s="25">
        <v>68627.240000000005</v>
      </c>
    </row>
    <row r="37" spans="2:4" x14ac:dyDescent="0.25">
      <c r="B37" s="9" t="s">
        <v>5</v>
      </c>
      <c r="C37" s="6">
        <v>1930</v>
      </c>
      <c r="D37" s="25">
        <v>47887.88</v>
      </c>
    </row>
    <row r="38" spans="2:4" x14ac:dyDescent="0.25">
      <c r="B38" s="9" t="s">
        <v>6</v>
      </c>
      <c r="C38" s="6">
        <v>2781</v>
      </c>
      <c r="D38" s="25">
        <v>3566.2200000000003</v>
      </c>
    </row>
    <row r="39" spans="2:4" x14ac:dyDescent="0.25">
      <c r="B39" s="9" t="s">
        <v>7</v>
      </c>
      <c r="C39" s="6">
        <v>4264</v>
      </c>
      <c r="D39" s="25">
        <v>1268</v>
      </c>
    </row>
    <row r="40" spans="2:4" x14ac:dyDescent="0.25">
      <c r="B40" s="10" t="s">
        <v>8</v>
      </c>
      <c r="C40" s="8">
        <f>SUM(C36:C39)</f>
        <v>10341</v>
      </c>
      <c r="D40" s="4">
        <f>SUM(D36:D39)</f>
        <v>121349.34</v>
      </c>
    </row>
    <row r="42" spans="2:4" x14ac:dyDescent="0.25">
      <c r="B42" s="27" t="s">
        <v>35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25813</v>
      </c>
    </row>
    <row r="45" spans="2:4" x14ac:dyDescent="0.25">
      <c r="B45" s="1" t="s">
        <v>5</v>
      </c>
      <c r="C45" s="6">
        <v>222</v>
      </c>
      <c r="D45" s="25">
        <v>1010</v>
      </c>
    </row>
    <row r="46" spans="2:4" x14ac:dyDescent="0.25">
      <c r="B46" s="1" t="s">
        <v>6</v>
      </c>
      <c r="C46" s="6">
        <v>213</v>
      </c>
      <c r="D46" s="25">
        <v>546</v>
      </c>
    </row>
    <row r="47" spans="2:4" x14ac:dyDescent="0.25">
      <c r="B47" s="1" t="s">
        <v>7</v>
      </c>
      <c r="C47" s="6">
        <v>1896</v>
      </c>
      <c r="D47" s="25">
        <v>6016</v>
      </c>
    </row>
    <row r="48" spans="2:4" x14ac:dyDescent="0.25">
      <c r="B48" s="3" t="s">
        <v>8</v>
      </c>
      <c r="C48" s="8">
        <f>SUM(C44:C47)</f>
        <v>2370</v>
      </c>
      <c r="D48" s="4">
        <f>SUM(D44:D47)</f>
        <v>33385</v>
      </c>
    </row>
    <row r="50" spans="2:4" x14ac:dyDescent="0.25">
      <c r="B50" s="28" t="s">
        <v>32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1</v>
      </c>
      <c r="D52" s="26">
        <v>0</v>
      </c>
    </row>
    <row r="53" spans="2:4" x14ac:dyDescent="0.25">
      <c r="B53" s="9" t="s">
        <v>5</v>
      </c>
      <c r="C53" s="6">
        <v>0</v>
      </c>
      <c r="D53" s="26">
        <v>0</v>
      </c>
    </row>
    <row r="54" spans="2:4" x14ac:dyDescent="0.25">
      <c r="B54" s="9" t="s">
        <v>6</v>
      </c>
      <c r="C54" s="6">
        <v>0</v>
      </c>
      <c r="D54" s="26">
        <v>0</v>
      </c>
    </row>
    <row r="55" spans="2:4" x14ac:dyDescent="0.25">
      <c r="B55" s="9" t="s">
        <v>7</v>
      </c>
      <c r="C55" s="6">
        <v>2</v>
      </c>
      <c r="D55" s="26">
        <v>0</v>
      </c>
    </row>
    <row r="56" spans="2:4" x14ac:dyDescent="0.25">
      <c r="B56" s="10" t="s">
        <v>8</v>
      </c>
      <c r="C56" s="8">
        <f>SUM(C52:C55)</f>
        <v>3</v>
      </c>
      <c r="D56" s="4">
        <f>SUM(D52:D55)</f>
        <v>0</v>
      </c>
    </row>
    <row r="58" spans="2:4" x14ac:dyDescent="0.25">
      <c r="B58" s="12" t="s">
        <v>13</v>
      </c>
      <c r="C58" s="13">
        <f>SUM(C10+C27+C56+C40+C32+C19+C48)</f>
        <v>99331</v>
      </c>
      <c r="D58" s="13">
        <f>SUM(D10+D27+D56+D40+D32+D19+D48)</f>
        <v>1813681.42</v>
      </c>
    </row>
  </sheetData>
  <mergeCells count="7">
    <mergeCell ref="B12:D12"/>
    <mergeCell ref="B42:D42"/>
    <mergeCell ref="B3:D3"/>
    <mergeCell ref="B50:D50"/>
    <mergeCell ref="B21:D21"/>
    <mergeCell ref="B34:D34"/>
    <mergeCell ref="B29:D2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F12" sqref="F12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11 ABR'!C6, 'REPORTE DIARIO'!C:C)</f>
        <v>14495</v>
      </c>
      <c r="E6" s="16">
        <f>SUMIF('REPORTE DIARIO'!B:B,'EPR 11 ABR'!C6, 'REPORTE DIARIO'!D:D)</f>
        <v>861473.16999999993</v>
      </c>
      <c r="F6" s="16">
        <f>J6*D6</f>
        <v>2070714.2857142857</v>
      </c>
      <c r="G6" s="16">
        <f>+E6-F6</f>
        <v>-1209241.1157142858</v>
      </c>
      <c r="H6" s="15">
        <f>ABS(G6/F6)</f>
        <v>0.58397294308382208</v>
      </c>
      <c r="I6" s="16">
        <f>E6/D6</f>
        <v>59.432436702311136</v>
      </c>
      <c r="J6" s="16">
        <f>(200/7)*5</f>
        <v>142.85714285714286</v>
      </c>
      <c r="K6" s="16">
        <f>+I6-J6</f>
        <v>-83.424706154831725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11 ABR'!C7, 'REPORTE DIARIO'!C:C)</f>
        <v>11522</v>
      </c>
      <c r="E7" s="16">
        <f>SUMIF('REPORTE DIARIO'!B:B,'EPR 11 ABR'!C7, 'REPORTE DIARIO'!D:D)</f>
        <v>375844.72</v>
      </c>
      <c r="F7" s="16">
        <f>J7*D7</f>
        <v>905300</v>
      </c>
      <c r="G7" s="16">
        <f>+E7-F7</f>
        <v>-529455.28</v>
      </c>
      <c r="H7" s="15">
        <f>ABS(G7/F7)</f>
        <v>0.5848395890864907</v>
      </c>
      <c r="I7" s="16">
        <f>E7/D7</f>
        <v>32.619746571775728</v>
      </c>
      <c r="J7" s="16">
        <f>(110/7)*5</f>
        <v>78.571428571428569</v>
      </c>
      <c r="K7" s="16">
        <f t="shared" ref="K7:K9" si="0">+I7-J7</f>
        <v>-45.951681999652841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11 ABR'!C8, 'REPORTE DIARIO'!C:C)</f>
        <v>15874</v>
      </c>
      <c r="E8" s="16">
        <f>SUMIF('REPORTE DIARIO'!B:B,'EPR 11 ABR'!C8, 'REPORTE DIARIO'!D:D)</f>
        <v>193694.84</v>
      </c>
      <c r="F8" s="16">
        <f>J8*D8</f>
        <v>510235.71428571432</v>
      </c>
      <c r="G8" s="16">
        <f>+E8-F8</f>
        <v>-316540.87428571435</v>
      </c>
      <c r="H8" s="15">
        <f>ABS(G8/F8)</f>
        <v>0.62038164993770395</v>
      </c>
      <c r="I8" s="16">
        <f>E8/D8</f>
        <v>12.202018394859518</v>
      </c>
      <c r="J8" s="16">
        <f>(45/7)*5</f>
        <v>32.142857142857146</v>
      </c>
      <c r="K8" s="16">
        <f t="shared" si="0"/>
        <v>-19.940838747997628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11 ABR'!C9, 'REPORTE DIARIO'!C:C)</f>
        <v>57417</v>
      </c>
      <c r="E9" s="16">
        <f>SUMIF('REPORTE DIARIO'!B:B,'EPR 11 ABR'!C9, 'REPORTE DIARIO'!D:D)</f>
        <v>382668.69</v>
      </c>
      <c r="F9" s="16">
        <f>J9*D9</f>
        <v>615182.14285714284</v>
      </c>
      <c r="G9" s="16">
        <f>+E9-F9</f>
        <v>-232513.45285714284</v>
      </c>
      <c r="H9" s="15">
        <f>ABS(G9/F9)</f>
        <v>0.37795871605970355</v>
      </c>
      <c r="I9" s="16">
        <f>E9/D9</f>
        <v>6.6647280422174617</v>
      </c>
      <c r="J9" s="16">
        <f>(15/7)*5</f>
        <v>10.714285714285714</v>
      </c>
      <c r="K9" s="16">
        <f t="shared" si="0"/>
        <v>-4.0495576720682518</v>
      </c>
    </row>
    <row r="10" spans="2:12" x14ac:dyDescent="0.25">
      <c r="B10" s="16"/>
      <c r="C10" s="19" t="s">
        <v>17</v>
      </c>
      <c r="D10" s="24">
        <f>SUM(D6:D9)</f>
        <v>99308</v>
      </c>
      <c r="E10" s="20">
        <f>SUM(E6:E9)</f>
        <v>1813681.42</v>
      </c>
      <c r="F10" s="20">
        <f>SUM(F6:F9)</f>
        <v>4101432.1428571427</v>
      </c>
      <c r="G10" s="20">
        <f>+E10-F10</f>
        <v>-2287750.7228571428</v>
      </c>
      <c r="H10" s="21">
        <f>ABS(G10/F10)</f>
        <v>0.55779314229088972</v>
      </c>
      <c r="I10" s="20">
        <f>E10/D10</f>
        <v>18.263195512949611</v>
      </c>
      <c r="J10" s="20">
        <f>F10/D10</f>
        <v>41.30011824683956</v>
      </c>
      <c r="K10" s="20">
        <f>I10-J10</f>
        <v>-23.036922733889948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11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2025-04-12T02:01:36Z</dcterms:modified>
</cp:coreProperties>
</file>