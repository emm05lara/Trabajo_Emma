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5\11 ABRIL\NOCHE\"/>
    </mc:Choice>
  </mc:AlternateContent>
  <xr:revisionPtr revIDLastSave="0" documentId="13_ncr:1_{4FA2CBD6-BC17-4038-83BC-689EF8E225A0}" xr6:coauthVersionLast="47" xr6:coauthVersionMax="47" xr10:uidLastSave="{00000000-0000-0000-0000-000000000000}"/>
  <bookViews>
    <workbookView xWindow="23445" yWindow="11730" windowWidth="10875" windowHeight="7575" activeTab="2" xr2:uid="{4DC6C92A-CD8A-4966-829B-0B6A986E825B}"/>
  </bookViews>
  <sheets>
    <sheet name="REPORTE DIARIO" sheetId="1" r:id="rId1"/>
    <sheet name="DATA" sheetId="4" r:id="rId2"/>
    <sheet name="EPR 11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C48" i="1"/>
  <c r="D19" i="1" l="1"/>
  <c r="C19" i="1"/>
  <c r="J9" i="3"/>
  <c r="J8" i="3"/>
  <c r="J7" i="3"/>
  <c r="J6" i="3"/>
  <c r="D6" i="3"/>
  <c r="F6" i="3" s="1"/>
  <c r="D40" i="1"/>
  <c r="C40" i="1"/>
  <c r="D56" i="1"/>
  <c r="C56" i="1"/>
  <c r="D27" i="1"/>
  <c r="C27" i="1"/>
  <c r="D35" i="1"/>
  <c r="C35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<sst xmlns="http://schemas.openxmlformats.org/spreadsheetml/2006/main" count="87" uniqueCount="36">
  <si>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</si>
  <si>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</si>
  <si>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</si>
  <si>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</si>
  <si>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</si>
  <si>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</si>
  <si>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</si>
  <si>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</si>
  <si>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</si>
  <si>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</si>
  <si>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</si>
  <si>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</si>
  <si>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</si>
  <si>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</si>
  <si>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</si>
  <si>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</si>
  <si>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</si>
  <si>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</si>
  <si>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</si>
  <si>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</si>
  <si>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</si>
  <si>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</si>
  <si>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</si>
  <si>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</si>
  <si>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</si>
  <si>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</si>
  <si>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</si>
  <si>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</si>
  <si>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</si>
  <si>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</si>
  <si>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</si>
  <si>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</si>
  <si>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COBRANZA GENERAL  SAMANTHA 2</t>
  </si>
  <si>
    <t>COBRANZA GENERAL  FEDERICO</t>
  </si>
  <si>
    <t>Samantha, Samantha 2, Sofia, Edith, Olguin, Fernando y Federico</t>
  </si>
  <si>
    <t>COBRANZA 11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</si>
</sst>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 applyFill="1" applyBorder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10" workbookViewId="0">
      <selection activeCell="C47" sqref="C4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6150</v>
      </c>
      <c r="D5" s="25">
        <v>87970.67</v>
      </c>
    </row>
    <row r="6" spans="2:8" x14ac:dyDescent="0.25">
      <c r="B6" s="1" t="s">
        <v>5</v>
      </c>
      <c r="C6" s="6">
        <v>5799</v>
      </c>
      <c r="D6" s="25">
        <v>50902</v>
      </c>
    </row>
    <row r="7" spans="2:8" x14ac:dyDescent="0.25">
      <c r="B7" s="1" t="s">
        <v>6</v>
      </c>
      <c r="C7" s="6">
        <v>8698</v>
      </c>
      <c r="D7" s="25">
        <v>29053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21160</v>
      </c>
      <c r="D9" s="25">
        <v>83195.88</v>
      </c>
    </row>
    <row r="10" spans="2:8" x14ac:dyDescent="0.25">
      <c r="B10" s="3" t="s">
        <v>8</v>
      </c>
      <c r="C10" s="8">
        <f>SUM(C5:C9)</f>
        <v>41828</v>
      </c>
      <c r="D10" s="4">
        <f>SUM(D5:D9)</f>
        <v>251121.55</v>
      </c>
    </row>
    <row r="12" spans="2:8" x14ac:dyDescent="0.25">
      <c r="B12" s="27" t="s">
        <v>32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2514</v>
      </c>
      <c r="D14" s="25">
        <v>39817.17</v>
      </c>
    </row>
    <row r="15" spans="2:8" x14ac:dyDescent="0.25">
      <c r="B15" s="1" t="s">
        <v>5</v>
      </c>
      <c r="C15" s="6">
        <v>1445</v>
      </c>
      <c r="D15" s="25">
        <v>1626</v>
      </c>
    </row>
    <row r="16" spans="2:8" x14ac:dyDescent="0.25">
      <c r="B16" s="1" t="s">
        <v>6</v>
      </c>
      <c r="C16" s="6">
        <v>3310</v>
      </c>
      <c r="D16" s="25">
        <v>20380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21194</v>
      </c>
      <c r="D18" s="25">
        <v>45963.14</v>
      </c>
    </row>
    <row r="19" spans="2:11" x14ac:dyDescent="0.25">
      <c r="B19" s="3" t="s">
        <v>8</v>
      </c>
      <c r="C19" s="8">
        <f>SUM(C14:C18)</f>
        <v>28465</v>
      </c>
      <c r="D19" s="4">
        <f>SUM(D14:D18)</f>
        <v>107786.31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1762</v>
      </c>
      <c r="D23" s="25">
        <v>26610.98</v>
      </c>
    </row>
    <row r="24" spans="2:11" x14ac:dyDescent="0.25">
      <c r="B24" s="9" t="s">
        <v>5</v>
      </c>
      <c r="C24" s="6">
        <v>2126</v>
      </c>
      <c r="D24" s="25">
        <v>28866.019999999997</v>
      </c>
    </row>
    <row r="25" spans="2:11" x14ac:dyDescent="0.25">
      <c r="B25" s="9" t="s">
        <v>6</v>
      </c>
      <c r="C25" s="6">
        <v>872</v>
      </c>
      <c r="D25" s="25">
        <v>3660</v>
      </c>
    </row>
    <row r="26" spans="2:11" x14ac:dyDescent="0.25">
      <c r="B26" s="9" t="s">
        <v>7</v>
      </c>
      <c r="C26" s="6">
        <v>8901</v>
      </c>
      <c r="D26" s="25">
        <v>2683</v>
      </c>
      <c r="K26" s="7"/>
    </row>
    <row r="27" spans="2:11" x14ac:dyDescent="0.25">
      <c r="B27" s="10" t="s">
        <v>8</v>
      </c>
      <c r="C27" s="8">
        <f>SUM(C23:C26)</f>
        <v>13661</v>
      </c>
      <c r="D27" s="4">
        <f>SUM(D23:D26)</f>
        <v>61820</v>
      </c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1366</v>
      </c>
      <c r="D31" s="25">
        <v>10165.19</v>
      </c>
    </row>
    <row r="32" spans="2:11" x14ac:dyDescent="0.25">
      <c r="B32" s="9" t="s">
        <v>5</v>
      </c>
      <c r="C32" s="6">
        <v>1930</v>
      </c>
      <c r="D32" s="25">
        <v>13738.919999999998</v>
      </c>
    </row>
    <row r="33" spans="2:4" x14ac:dyDescent="0.25">
      <c r="B33" s="9" t="s">
        <v>6</v>
      </c>
      <c r="C33" s="6">
        <v>2781</v>
      </c>
      <c r="D33" s="25">
        <v>198</v>
      </c>
    </row>
    <row r="34" spans="2:4" x14ac:dyDescent="0.25">
      <c r="B34" s="9" t="s">
        <v>7</v>
      </c>
      <c r="C34" s="6">
        <v>4264</v>
      </c>
      <c r="D34" s="25">
        <v>971</v>
      </c>
    </row>
    <row r="35" spans="2:4" x14ac:dyDescent="0.25">
      <c r="B35" s="10" t="s">
        <v>8</v>
      </c>
      <c r="C35" s="8">
        <f>SUM(C31:C34)</f>
        <v>10341</v>
      </c>
      <c r="D35" s="4">
        <f>SUM(D31:D34)</f>
        <v>25073.11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2663</v>
      </c>
      <c r="D39" s="25">
        <v>9735</v>
      </c>
    </row>
    <row r="40" spans="2:4" x14ac:dyDescent="0.25">
      <c r="B40" s="10" t="s">
        <v>8</v>
      </c>
      <c r="C40" s="8">
        <f>SUM(C39:C39)</f>
        <v>2663</v>
      </c>
      <c r="D40" s="4">
        <f>SUM(D39:D39)</f>
        <v>9735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6">
        <v>0</v>
      </c>
    </row>
    <row r="45" spans="2:4" x14ac:dyDescent="0.25">
      <c r="B45" s="1" t="s">
        <v>5</v>
      </c>
      <c r="C45" s="6">
        <v>222</v>
      </c>
      <c r="D45" s="25">
        <v>10</v>
      </c>
    </row>
    <row r="46" spans="2:4" x14ac:dyDescent="0.25">
      <c r="B46" s="1" t="s">
        <v>6</v>
      </c>
      <c r="C46" s="6">
        <v>213</v>
      </c>
      <c r="D46" s="25">
        <v>546</v>
      </c>
    </row>
    <row r="47" spans="2:4" x14ac:dyDescent="0.25">
      <c r="B47" s="1" t="s">
        <v>7</v>
      </c>
      <c r="C47" s="6">
        <v>1896</v>
      </c>
      <c r="D47" s="26">
        <v>0</v>
      </c>
    </row>
    <row r="48" spans="2:4" x14ac:dyDescent="0.25">
      <c r="B48" s="3" t="s">
        <v>8</v>
      </c>
      <c r="C48" s="8">
        <f>SUM(C44:C47)</f>
        <v>2370</v>
      </c>
      <c r="D48" s="4">
        <f>SUM(D44:D47)</f>
        <v>556</v>
      </c>
    </row>
    <row r="50" spans="2:4" x14ac:dyDescent="0.25">
      <c r="B50" s="28" t="s">
        <v>31</v>
      </c>
      <c r="C50" s="28"/>
      <c r="D50" s="28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1</v>
      </c>
      <c r="D52" s="26">
        <v>0</v>
      </c>
    </row>
    <row r="53" spans="2:4" x14ac:dyDescent="0.25">
      <c r="B53" s="9" t="s">
        <v>5</v>
      </c>
      <c r="C53" s="6">
        <v>0</v>
      </c>
      <c r="D53" s="26">
        <v>0</v>
      </c>
    </row>
    <row r="54" spans="2:4" x14ac:dyDescent="0.25">
      <c r="B54" s="9" t="s">
        <v>6</v>
      </c>
      <c r="C54" s="6">
        <v>0</v>
      </c>
      <c r="D54" s="26">
        <v>0</v>
      </c>
    </row>
    <row r="55" spans="2:4" x14ac:dyDescent="0.25">
      <c r="B55" s="9" t="s">
        <v>7</v>
      </c>
      <c r="C55" s="6">
        <v>2</v>
      </c>
      <c r="D55" s="26">
        <v>0</v>
      </c>
    </row>
    <row r="56" spans="2:4" x14ac:dyDescent="0.25">
      <c r="B56" s="10" t="s">
        <v>8</v>
      </c>
      <c r="C56" s="8">
        <f>SUM(C52:C55)</f>
        <v>3</v>
      </c>
      <c r="D56" s="4">
        <f>SUM(D52:D55)</f>
        <v>0</v>
      </c>
    </row>
    <row r="58" spans="2:4" x14ac:dyDescent="0.25">
      <c r="B58" s="11" t="s">
        <v>13</v>
      </c>
      <c r="C58" s="12">
        <f>SUM(C10+C35+C27+C56+C40+C19+C48)</f>
        <v>99331</v>
      </c>
      <c r="D58" s="12">
        <f>SUM(D10+D35+D27+D56+D40+D19+D48)</f>
        <v>456091.97</v>
      </c>
    </row>
  </sheetData>
  <mergeCells count="7">
    <mergeCell ref="B3:D3"/>
    <mergeCell ref="B29:D29"/>
    <mergeCell ref="B50:D50"/>
    <mergeCell ref="B37:D37"/>
    <mergeCell ref="B42:D42"/>
    <mergeCell ref="B12:D12"/>
    <mergeCell ref="B21:D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11 ABR'!C6, 'REPORTE DIARIO'!C:C)</f>
        <v>14495</v>
      </c>
      <c r="E6" s="15">
        <f>SUMIF('REPORTE DIARIO'!B:B,'EPR 11 ABR'!C6, 'REPORTE DIARIO'!D:D)</f>
        <v>174299.01</v>
      </c>
      <c r="F6" s="15">
        <f>J6*D6</f>
        <v>414142.85714285716</v>
      </c>
      <c r="G6" s="15">
        <f>+E6-F6</f>
        <v>-239843.84714285715</v>
      </c>
      <c r="H6" s="14">
        <f>ABS(G6/F6)</f>
        <v>0.57913312521559157</v>
      </c>
      <c r="I6" s="15">
        <f>E6/D6</f>
        <v>12.024767850983098</v>
      </c>
      <c r="J6" s="15">
        <f>200/7</f>
        <v>28.571428571428573</v>
      </c>
      <c r="K6" s="15">
        <f>+I6-J6</f>
        <v>-16.546660720445473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11 ABR'!C7, 'REPORTE DIARIO'!C:C)</f>
        <v>11522</v>
      </c>
      <c r="E7" s="15">
        <f>SUMIF('REPORTE DIARIO'!B:B,'EPR 11 ABR'!C7, 'REPORTE DIARIO'!D:D)</f>
        <v>95142.939999999988</v>
      </c>
      <c r="F7" s="15">
        <f>J7*D7</f>
        <v>181060</v>
      </c>
      <c r="G7" s="15">
        <f>+E7-F7</f>
        <v>-85917.060000000012</v>
      </c>
      <c r="H7" s="14">
        <f>ABS(G7/F7)</f>
        <v>0.47452258919695134</v>
      </c>
      <c r="I7" s="15">
        <f>E7/D7</f>
        <v>8.2575021697621924</v>
      </c>
      <c r="J7" s="15">
        <f>110/7</f>
        <v>15.714285714285714</v>
      </c>
      <c r="K7" s="15">
        <f t="shared" ref="K7:K9" si="0">+I7-J7</f>
        <v>-7.4567835445235211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11 ABR'!C8, 'REPORTE DIARIO'!C:C)</f>
        <v>15874</v>
      </c>
      <c r="E8" s="15">
        <f>SUMIF('REPORTE DIARIO'!B:B,'EPR 11 ABR'!C8, 'REPORTE DIARIO'!D:D)</f>
        <v>53837</v>
      </c>
      <c r="F8" s="15">
        <f>J8*D8</f>
        <v>102047.14285714286</v>
      </c>
      <c r="G8" s="15">
        <f>+E8-F8</f>
        <v>-48210.142857142855</v>
      </c>
      <c r="H8" s="14">
        <f>ABS(G8/F8)</f>
        <v>0.47243010933322133</v>
      </c>
      <c r="I8" s="15">
        <f>E8/D8</f>
        <v>3.3915207257150057</v>
      </c>
      <c r="J8" s="15">
        <f>45/7</f>
        <v>6.4285714285714288</v>
      </c>
      <c r="K8" s="15">
        <f t="shared" si="0"/>
        <v>-3.0370507028564231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11 ABR'!C9, 'REPORTE DIARIO'!C:C)</f>
        <v>57417</v>
      </c>
      <c r="E9" s="15">
        <f>SUMIF('REPORTE DIARIO'!B:B,'EPR 11 ABR'!C9, 'REPORTE DIARIO'!D:D)</f>
        <v>132813.02000000002</v>
      </c>
      <c r="F9" s="15">
        <f>J9*D9</f>
        <v>123036.42857142857</v>
      </c>
      <c r="G9" s="15">
        <f>+E9-F9</f>
        <v>9776.5914285714534</v>
      </c>
      <c r="H9" s="14">
        <f>ABS(G9/F9)</f>
        <v>7.9460949428450556E-2</v>
      </c>
      <c r="I9" s="15">
        <f>E9/D9</f>
        <v>2.3131306059181083</v>
      </c>
      <c r="J9" s="15">
        <f>15/7</f>
        <v>2.1428571428571428</v>
      </c>
      <c r="K9" s="15">
        <f t="shared" si="0"/>
        <v>0.17027346306096547</v>
      </c>
    </row>
    <row r="10" spans="2:12" x14ac:dyDescent="0.25">
      <c r="B10" s="15"/>
      <c r="C10" s="18" t="s">
        <v>16</v>
      </c>
      <c r="D10" s="23">
        <f>SUM(D6:D9)</f>
        <v>99308</v>
      </c>
      <c r="E10" s="19">
        <f>SUM(E6:E9)</f>
        <v>456091.97000000003</v>
      </c>
      <c r="F10" s="19">
        <f>SUM(F6:F9)</f>
        <v>820286.42857142852</v>
      </c>
      <c r="G10" s="19">
        <f>+E10-F10</f>
        <v>-364194.45857142849</v>
      </c>
      <c r="H10" s="20">
        <f>ABS(G10/F10)</f>
        <v>0.44398449844610022</v>
      </c>
      <c r="I10" s="19">
        <f>E10/D10</f>
        <v>4.5927011922503729</v>
      </c>
      <c r="J10" s="19">
        <f>F10/D10</f>
        <v>8.2600236493679109</v>
      </c>
      <c r="K10" s="19">
        <f>I10-J10</f>
        <v>-3.667322457117538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11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2025-04-12T01:51:24Z</dcterms:modified>
</cp:coreProperties>
</file>