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5\11 ABRIL\MAÑANA\"/>
    </mc:Choice>
  </mc:AlternateContent>
  <xr:revisionPtr revIDLastSave="0" documentId="13_ncr:1_{9EE2A0E7-4EB3-447F-8544-5CB1CB2ED933}" xr6:coauthVersionLast="47" xr6:coauthVersionMax="47" xr10:uidLastSave="{00000000-0000-0000-0000-000000000000}"/>
  <bookViews>
    <workbookView xWindow="21375" yWindow="9660" windowWidth="10875" windowHeight="7575" activeTab="2" xr2:uid="{4DC6C92A-CD8A-4966-829B-0B6A986E825B}"/>
  </bookViews>
  <sheets>
    <sheet name="REPORTE DIARIO" sheetId="1" r:id="rId1"/>
    <sheet name="DATA" sheetId="4" r:id="rId2"/>
    <sheet name="EPR 10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48" i="1"/>
  <c r="C48" i="1"/>
  <c r="D19" i="1"/>
  <c r="C19" i="1"/>
  <c r="D32" i="1" l="1"/>
  <c r="C32" i="1"/>
  <c r="D40" i="1"/>
  <c r="C40" i="1"/>
  <c r="D27" i="1"/>
  <c r="C27" i="1"/>
  <c r="D56" i="1"/>
  <c r="C56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C58" i="1" l="1"/>
  <c r="D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<sst xmlns="http://schemas.openxmlformats.org/spreadsheetml/2006/main" count="88" uniqueCount="37">
  <si>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</si>
  <si>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</si>
  <si>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</si>
  <si>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</si>
  <si>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</si>
  <si>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</si>
  <si>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</si>
  <si>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</si>
  <si>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</si>
  <si>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</si>
  <si>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</si>
  <si>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</si>
  <si>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</si>
  <si>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</si>
  <si>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</si>
  <si>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</si>
  <si>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</si>
  <si>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</si>
  <si>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</si>
  <si>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</si>
  <si>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</si>
  <si>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</si>
  <si>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</si>
  <si>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</si>
  <si>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</si>
  <si>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</si>
  <si>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</si>
  <si>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</si>
  <si>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</si>
  <si>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</si>
  <si>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</si>
  <si>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</si>
  <si>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</si>
  <si>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Samantha, Samantha 2, Sofia, Edith, Olguin, Fernando y Federico</t>
  </si>
  <si>
    <t>COBRANZA GENERAL  SAMANTHA 2</t>
  </si>
  <si>
    <t>COBRANZA GENERAL  FEDERICO</t>
  </si>
  <si>
    <t>SALDO ACUMULADO SEMANA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</si>
</sst>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opLeftCell="A16" workbookViewId="0">
      <selection activeCell="C48" sqref="C4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5952</v>
      </c>
      <c r="D5" s="25">
        <v>283181.01</v>
      </c>
    </row>
    <row r="6" spans="2:8" x14ac:dyDescent="0.25">
      <c r="B6" s="1" t="s">
        <v>5</v>
      </c>
      <c r="C6" s="6">
        <v>6556</v>
      </c>
      <c r="D6" s="25">
        <v>120834.01999999999</v>
      </c>
    </row>
    <row r="7" spans="2:8" x14ac:dyDescent="0.25">
      <c r="B7" s="1" t="s">
        <v>6</v>
      </c>
      <c r="C7" s="6">
        <v>9791</v>
      </c>
      <c r="D7" s="25">
        <v>102274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29244</v>
      </c>
      <c r="D9" s="25">
        <v>159841.85999999999</v>
      </c>
      <c r="F9" s="7"/>
    </row>
    <row r="10" spans="2:8" x14ac:dyDescent="0.25">
      <c r="B10" s="3" t="s">
        <v>8</v>
      </c>
      <c r="C10" s="8">
        <f>SUM(C5:C9)</f>
        <v>51564</v>
      </c>
      <c r="D10" s="4">
        <f>SUM(D5:D9)</f>
        <v>666130.89</v>
      </c>
      <c r="E10" s="11" t="s">
        <v>14</v>
      </c>
    </row>
    <row r="12" spans="2:8" x14ac:dyDescent="0.25">
      <c r="B12" s="27" t="s">
        <v>34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2514</v>
      </c>
      <c r="D14" s="25">
        <v>87188.58</v>
      </c>
    </row>
    <row r="15" spans="2:8" x14ac:dyDescent="0.25">
      <c r="B15" s="1" t="s">
        <v>5</v>
      </c>
      <c r="C15" s="6">
        <v>1411</v>
      </c>
      <c r="D15" s="25">
        <v>68258.010000000009</v>
      </c>
    </row>
    <row r="16" spans="2:8" x14ac:dyDescent="0.25">
      <c r="B16" s="1" t="s">
        <v>6</v>
      </c>
      <c r="C16" s="6">
        <v>3302</v>
      </c>
      <c r="D16" s="25">
        <v>18557.620000000003</v>
      </c>
    </row>
    <row r="17" spans="2:11" x14ac:dyDescent="0.25">
      <c r="B17" s="5" t="s">
        <v>12</v>
      </c>
      <c r="C17" s="7">
        <v>2</v>
      </c>
      <c r="D17" s="26">
        <v>0</v>
      </c>
    </row>
    <row r="18" spans="2:11" x14ac:dyDescent="0.25">
      <c r="B18" s="1" t="s">
        <v>7</v>
      </c>
      <c r="C18" s="6">
        <v>21183</v>
      </c>
      <c r="D18" s="25">
        <v>70592</v>
      </c>
    </row>
    <row r="19" spans="2:11" x14ac:dyDescent="0.25">
      <c r="B19" s="3" t="s">
        <v>8</v>
      </c>
      <c r="C19" s="8">
        <f>SUM(C14:C18)</f>
        <v>28412</v>
      </c>
      <c r="D19" s="4">
        <f>SUM(D14:D18)</f>
        <v>244596.21000000002</v>
      </c>
    </row>
    <row r="21" spans="2:11" x14ac:dyDescent="0.25">
      <c r="B21" s="28" t="s">
        <v>10</v>
      </c>
      <c r="C21" s="28"/>
      <c r="D21" s="28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1753</v>
      </c>
      <c r="D23" s="25">
        <v>101839.52</v>
      </c>
    </row>
    <row r="24" spans="2:11" x14ac:dyDescent="0.25">
      <c r="B24" s="9" t="s">
        <v>5</v>
      </c>
      <c r="C24" s="6">
        <v>1503</v>
      </c>
      <c r="D24" s="25">
        <v>56470.799999999996</v>
      </c>
    </row>
    <row r="25" spans="2:11" x14ac:dyDescent="0.25">
      <c r="B25" s="9" t="s">
        <v>6</v>
      </c>
      <c r="C25" s="6">
        <v>860</v>
      </c>
      <c r="D25" s="25">
        <v>18031</v>
      </c>
    </row>
    <row r="26" spans="2:11" x14ac:dyDescent="0.25">
      <c r="B26" s="9" t="s">
        <v>7</v>
      </c>
      <c r="C26" s="6">
        <v>8899</v>
      </c>
      <c r="D26" s="25">
        <v>18845.88</v>
      </c>
    </row>
    <row r="27" spans="2:11" x14ac:dyDescent="0.25">
      <c r="B27" s="10" t="s">
        <v>8</v>
      </c>
      <c r="C27" s="8">
        <f>SUM(C23:C26)</f>
        <v>13015</v>
      </c>
      <c r="D27" s="4">
        <f>SUM(D23:D26)</f>
        <v>195187.20000000001</v>
      </c>
      <c r="K27" s="7"/>
    </row>
    <row r="29" spans="2:11" x14ac:dyDescent="0.25">
      <c r="B29" s="28" t="s">
        <v>11</v>
      </c>
      <c r="C29" s="28"/>
      <c r="D29" s="28"/>
    </row>
    <row r="30" spans="2:11" x14ac:dyDescent="0.25">
      <c r="B30" s="4" t="s">
        <v>1</v>
      </c>
      <c r="C30" s="4" t="s">
        <v>2</v>
      </c>
      <c r="D30" s="4" t="s">
        <v>3</v>
      </c>
    </row>
    <row r="31" spans="2:11" x14ac:dyDescent="0.25">
      <c r="B31" s="9" t="s">
        <v>4</v>
      </c>
      <c r="C31" s="6">
        <v>2647</v>
      </c>
      <c r="D31" s="25">
        <v>137488</v>
      </c>
    </row>
    <row r="32" spans="2:11" x14ac:dyDescent="0.25">
      <c r="B32" s="10" t="s">
        <v>8</v>
      </c>
      <c r="C32" s="8">
        <f>SUM(C31:C31)</f>
        <v>2647</v>
      </c>
      <c r="D32" s="4">
        <f>SUM(D31:D31)</f>
        <v>137488</v>
      </c>
    </row>
    <row r="34" spans="2:4" x14ac:dyDescent="0.25">
      <c r="B34" s="27" t="s">
        <v>9</v>
      </c>
      <c r="C34" s="27"/>
      <c r="D34" s="27"/>
    </row>
    <row r="35" spans="2:4" x14ac:dyDescent="0.25">
      <c r="B35" s="2" t="s">
        <v>1</v>
      </c>
      <c r="C35" s="2" t="s">
        <v>2</v>
      </c>
      <c r="D35" s="2" t="s">
        <v>3</v>
      </c>
    </row>
    <row r="36" spans="2:4" x14ac:dyDescent="0.25">
      <c r="B36" s="9" t="s">
        <v>4</v>
      </c>
      <c r="C36" s="6">
        <v>1366</v>
      </c>
      <c r="D36" s="25">
        <v>58462.05</v>
      </c>
    </row>
    <row r="37" spans="2:4" x14ac:dyDescent="0.25">
      <c r="B37" s="9" t="s">
        <v>5</v>
      </c>
      <c r="C37" s="6">
        <v>1308</v>
      </c>
      <c r="D37" s="25">
        <v>36465.919999999998</v>
      </c>
    </row>
    <row r="38" spans="2:4" x14ac:dyDescent="0.25">
      <c r="B38" s="9" t="s">
        <v>6</v>
      </c>
      <c r="C38" s="6">
        <v>2770</v>
      </c>
      <c r="D38" s="25">
        <v>3368.2200000000003</v>
      </c>
    </row>
    <row r="39" spans="2:4" x14ac:dyDescent="0.25">
      <c r="B39" s="9" t="s">
        <v>7</v>
      </c>
      <c r="C39" s="6">
        <v>4264</v>
      </c>
      <c r="D39" s="25">
        <v>297</v>
      </c>
    </row>
    <row r="40" spans="2:4" x14ac:dyDescent="0.25">
      <c r="B40" s="10" t="s">
        <v>8</v>
      </c>
      <c r="C40" s="8">
        <f>SUM(C36:C39)</f>
        <v>9708</v>
      </c>
      <c r="D40" s="4">
        <f>SUM(D36:D39)</f>
        <v>98593.19</v>
      </c>
    </row>
    <row r="42" spans="2:4" x14ac:dyDescent="0.25">
      <c r="B42" s="27" t="s">
        <v>35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39</v>
      </c>
      <c r="D44" s="25">
        <v>25813</v>
      </c>
    </row>
    <row r="45" spans="2:4" x14ac:dyDescent="0.25">
      <c r="B45" s="1" t="s">
        <v>5</v>
      </c>
      <c r="C45" s="6">
        <v>187</v>
      </c>
      <c r="D45" s="25">
        <v>1000</v>
      </c>
    </row>
    <row r="46" spans="2:4" x14ac:dyDescent="0.25">
      <c r="B46" s="1" t="s">
        <v>6</v>
      </c>
      <c r="C46" s="6">
        <v>209</v>
      </c>
      <c r="D46" s="11">
        <v>0</v>
      </c>
    </row>
    <row r="47" spans="2:4" x14ac:dyDescent="0.25">
      <c r="B47" s="1" t="s">
        <v>7</v>
      </c>
      <c r="C47" s="6">
        <v>1887</v>
      </c>
      <c r="D47" s="25">
        <v>6016</v>
      </c>
    </row>
    <row r="48" spans="2:4" x14ac:dyDescent="0.25">
      <c r="B48" s="3" t="s">
        <v>8</v>
      </c>
      <c r="C48" s="8">
        <f>SUM(C44:C47)</f>
        <v>2322</v>
      </c>
      <c r="D48" s="4">
        <f>SUM(D44:D47)</f>
        <v>32829</v>
      </c>
    </row>
    <row r="50" spans="2:4" x14ac:dyDescent="0.25">
      <c r="B50" s="28" t="s">
        <v>32</v>
      </c>
      <c r="C50" s="28"/>
      <c r="D50" s="28"/>
    </row>
    <row r="51" spans="2:4" x14ac:dyDescent="0.25">
      <c r="B51" s="4" t="s">
        <v>1</v>
      </c>
      <c r="C51" s="4" t="s">
        <v>2</v>
      </c>
      <c r="D51" s="4" t="s">
        <v>3</v>
      </c>
    </row>
    <row r="52" spans="2:4" x14ac:dyDescent="0.25">
      <c r="B52" s="9" t="s">
        <v>4</v>
      </c>
      <c r="C52" s="6">
        <v>1</v>
      </c>
      <c r="D52" s="26">
        <v>0</v>
      </c>
    </row>
    <row r="53" spans="2:4" x14ac:dyDescent="0.25">
      <c r="B53" s="9" t="s">
        <v>5</v>
      </c>
      <c r="C53" s="6">
        <v>0</v>
      </c>
      <c r="D53" s="26">
        <v>0</v>
      </c>
    </row>
    <row r="54" spans="2:4" x14ac:dyDescent="0.25">
      <c r="B54" s="9" t="s">
        <v>6</v>
      </c>
      <c r="C54" s="6">
        <v>0</v>
      </c>
      <c r="D54" s="26">
        <v>0</v>
      </c>
    </row>
    <row r="55" spans="2:4" x14ac:dyDescent="0.25">
      <c r="B55" s="9" t="s">
        <v>7</v>
      </c>
      <c r="C55" s="6">
        <v>2</v>
      </c>
      <c r="D55" s="26">
        <v>0</v>
      </c>
    </row>
    <row r="56" spans="2:4" x14ac:dyDescent="0.25">
      <c r="B56" s="10" t="s">
        <v>8</v>
      </c>
      <c r="C56" s="8">
        <f>SUM(C52:C55)</f>
        <v>3</v>
      </c>
      <c r="D56" s="4">
        <f>SUM(D52:D55)</f>
        <v>0</v>
      </c>
    </row>
    <row r="58" spans="2:4" x14ac:dyDescent="0.25">
      <c r="B58" s="12" t="s">
        <v>13</v>
      </c>
      <c r="C58" s="13">
        <f>SUM(C10+C27+C56+C40+C32+C19+C48)</f>
        <v>107671</v>
      </c>
      <c r="D58" s="13">
        <f>SUM(D10+D27+D56+D40+D32+D19+D48)</f>
        <v>1374824.49</v>
      </c>
    </row>
  </sheetData>
  <mergeCells count="7">
    <mergeCell ref="B12:D12"/>
    <mergeCell ref="B42:D42"/>
    <mergeCell ref="B3:D3"/>
    <mergeCell ref="B50:D50"/>
    <mergeCell ref="B21:D21"/>
    <mergeCell ref="B34:D34"/>
    <mergeCell ref="B29:D29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45" zoomScaleNormal="145" workbookViewId="0">
      <selection activeCell="B2" sqref="B2:K14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10 ABR'!C6, 'REPORTE DIARIO'!C:C)</f>
        <v>14272</v>
      </c>
      <c r="E6" s="16">
        <f>SUMIF('REPORTE DIARIO'!B:B,'EPR 10 ABR'!C6, 'REPORTE DIARIO'!D:D)</f>
        <v>693972.16000000015</v>
      </c>
      <c r="F6" s="16">
        <f>J6*D6</f>
        <v>2038857.142857143</v>
      </c>
      <c r="G6" s="16">
        <f>+E6-F6</f>
        <v>-1344884.9828571428</v>
      </c>
      <c r="H6" s="15">
        <f>ABS(G6/F6)</f>
        <v>0.65962688340807174</v>
      </c>
      <c r="I6" s="16">
        <f>E6/D6</f>
        <v>48.624730941704044</v>
      </c>
      <c r="J6" s="16">
        <f>(200/7)*5</f>
        <v>142.85714285714286</v>
      </c>
      <c r="K6" s="16">
        <f>+I6-J6</f>
        <v>-94.232411915438817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10 ABR'!C7, 'REPORTE DIARIO'!C:C)</f>
        <v>10965</v>
      </c>
      <c r="E7" s="16">
        <f>SUMIF('REPORTE DIARIO'!B:B,'EPR 10 ABR'!C7, 'REPORTE DIARIO'!D:D)</f>
        <v>283028.75</v>
      </c>
      <c r="F7" s="16">
        <f>J7*D7</f>
        <v>861535.71428571432</v>
      </c>
      <c r="G7" s="16">
        <f>+E7-F7</f>
        <v>-578506.96428571432</v>
      </c>
      <c r="H7" s="15">
        <f>ABS(G7/F7)</f>
        <v>0.67148343904157859</v>
      </c>
      <c r="I7" s="16">
        <f>E7/D7</f>
        <v>25.812015503875969</v>
      </c>
      <c r="J7" s="16">
        <f>(110/7)*5</f>
        <v>78.571428571428569</v>
      </c>
      <c r="K7" s="16">
        <f t="shared" ref="K7:K9" si="0">+I7-J7</f>
        <v>-52.7594130675526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10 ABR'!C8, 'REPORTE DIARIO'!C:C)</f>
        <v>16932</v>
      </c>
      <c r="E8" s="16">
        <f>SUMIF('REPORTE DIARIO'!B:B,'EPR 10 ABR'!C8, 'REPORTE DIARIO'!D:D)</f>
        <v>142230.84</v>
      </c>
      <c r="F8" s="16">
        <f>J8*D8</f>
        <v>544242.85714285716</v>
      </c>
      <c r="G8" s="16">
        <f>+E8-F8</f>
        <v>-402012.01714285719</v>
      </c>
      <c r="H8" s="15">
        <f>ABS(G8/F8)</f>
        <v>0.73866291834002684</v>
      </c>
      <c r="I8" s="16">
        <f>E8/D8</f>
        <v>8.4001204819277113</v>
      </c>
      <c r="J8" s="16">
        <f>(45/7)*5</f>
        <v>32.142857142857146</v>
      </c>
      <c r="K8" s="16">
        <f t="shared" si="0"/>
        <v>-23.742736660929435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10 ABR'!C9, 'REPORTE DIARIO'!C:C)</f>
        <v>65479</v>
      </c>
      <c r="E9" s="16">
        <f>SUMIF('REPORTE DIARIO'!B:B,'EPR 10 ABR'!C9, 'REPORTE DIARIO'!D:D)</f>
        <v>255592.74</v>
      </c>
      <c r="F9" s="16">
        <f>J9*D9</f>
        <v>701560.7142857142</v>
      </c>
      <c r="G9" s="16">
        <f>+E9-F9</f>
        <v>-445967.97428571421</v>
      </c>
      <c r="H9" s="15">
        <f>ABS(G9/F9)</f>
        <v>0.63567979963041588</v>
      </c>
      <c r="I9" s="16">
        <f>E9/D9</f>
        <v>3.9034307182455441</v>
      </c>
      <c r="J9" s="16">
        <f>(15/7)*5</f>
        <v>10.714285714285714</v>
      </c>
      <c r="K9" s="16">
        <f t="shared" si="0"/>
        <v>-6.8108549960401694</v>
      </c>
    </row>
    <row r="10" spans="2:12" x14ac:dyDescent="0.25">
      <c r="B10" s="16"/>
      <c r="C10" s="19" t="s">
        <v>17</v>
      </c>
      <c r="D10" s="24">
        <f>SUM(D6:D9)</f>
        <v>107648</v>
      </c>
      <c r="E10" s="20">
        <f>SUM(E6:E9)</f>
        <v>1374824.4900000002</v>
      </c>
      <c r="F10" s="20">
        <f>SUM(F6:F9)</f>
        <v>4146196.4285714286</v>
      </c>
      <c r="G10" s="20">
        <f>+E10-F10</f>
        <v>-2771371.9385714284</v>
      </c>
      <c r="H10" s="21">
        <f>ABS(G10/F10)</f>
        <v>0.66841308324755477</v>
      </c>
      <c r="I10" s="20">
        <f>E10/D10</f>
        <v>12.771481959720573</v>
      </c>
      <c r="J10" s="20">
        <f>F10/D10</f>
        <v>38.516242090623408</v>
      </c>
      <c r="K10" s="20">
        <f>I10-J10</f>
        <v>-25.744760130902833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10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2025-04-11T15:09:39Z</dcterms:modified>
</cp:coreProperties>
</file>