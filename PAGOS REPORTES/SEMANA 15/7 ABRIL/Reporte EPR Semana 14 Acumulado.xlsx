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5\7 ABRIL\"/>
    </mc:Choice>
  </mc:AlternateContent>
  <xr:revisionPtr revIDLastSave="0" documentId="13_ncr:1_{CCC0B0AD-7EDB-4A3A-BD7A-F44FB36CF55E}" xr6:coauthVersionLast="47" xr6:coauthVersionMax="47" xr10:uidLastSave="{00000000-0000-0000-0000-000000000000}"/>
  <bookViews>
    <workbookView xWindow="-96" yWindow="0" windowWidth="11712" windowHeight="12336" xr2:uid="{4DC6C92A-CD8A-4966-829B-0B6A986E825B}"/>
  </bookViews>
  <sheets>
    <sheet name="REPORTE DIARIO" sheetId="1" r:id="rId1"/>
    <sheet name="DATA" sheetId="4" r:id="rId2"/>
    <sheet name="EPR 6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<sst xmlns="http://schemas.openxmlformats.org/spreadsheetml/2006/main" count="88" uniqueCount="37">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</sst>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3" fillId="4" borderId="0" xfId="1" applyFont="1" applyFill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41" workbookViewId="0">
      <selection activeCell="D56" sqref="D56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5820</v>
      </c>
      <c r="D5" s="25">
        <v>724498.94000000006</v>
      </c>
    </row>
    <row r="6" spans="2:8" x14ac:dyDescent="0.3">
      <c r="B6" s="1" t="s">
        <v>5</v>
      </c>
      <c r="C6" s="6">
        <v>6620</v>
      </c>
      <c r="D6" s="25">
        <v>612155.35</v>
      </c>
    </row>
    <row r="7" spans="2:8" x14ac:dyDescent="0.3">
      <c r="B7" s="1" t="s">
        <v>6</v>
      </c>
      <c r="C7" s="6">
        <v>9808</v>
      </c>
      <c r="D7" s="25">
        <v>313281.72000000003</v>
      </c>
    </row>
    <row r="8" spans="2:8" x14ac:dyDescent="0.3">
      <c r="B8" s="5" t="s">
        <v>12</v>
      </c>
      <c r="C8" s="7">
        <v>21</v>
      </c>
      <c r="D8" s="25">
        <v>1150</v>
      </c>
    </row>
    <row r="9" spans="2:8" x14ac:dyDescent="0.3">
      <c r="B9" s="1" t="s">
        <v>7</v>
      </c>
      <c r="C9" s="6">
        <v>28869</v>
      </c>
      <c r="D9" s="25">
        <v>594364.43000000028</v>
      </c>
      <c r="F9" s="7"/>
    </row>
    <row r="10" spans="2:8" x14ac:dyDescent="0.3">
      <c r="B10" s="3" t="s">
        <v>8</v>
      </c>
      <c r="C10" s="8">
        <f>SUM(C5:C9)</f>
        <v>51138</v>
      </c>
      <c r="D10" s="30">
        <f>SUM(D5:D9)</f>
        <v>2245450.4400000004</v>
      </c>
      <c r="E10" s="11" t="s">
        <v>14</v>
      </c>
    </row>
    <row r="12" spans="2:8" x14ac:dyDescent="0.3">
      <c r="B12" s="29" t="s">
        <v>10</v>
      </c>
      <c r="C12" s="29"/>
      <c r="D12" s="29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1663</v>
      </c>
      <c r="D14" s="25">
        <v>258704.66</v>
      </c>
    </row>
    <row r="15" spans="2:8" x14ac:dyDescent="0.3">
      <c r="B15" s="9" t="s">
        <v>5</v>
      </c>
      <c r="C15" s="6">
        <v>1501</v>
      </c>
      <c r="D15" s="25">
        <v>249916.31999999998</v>
      </c>
    </row>
    <row r="16" spans="2:8" x14ac:dyDescent="0.3">
      <c r="B16" s="9" t="s">
        <v>6</v>
      </c>
      <c r="C16" s="6">
        <v>846</v>
      </c>
      <c r="D16" s="25">
        <v>26438</v>
      </c>
    </row>
    <row r="17" spans="2:11" x14ac:dyDescent="0.3">
      <c r="B17" s="9" t="s">
        <v>7</v>
      </c>
      <c r="C17" s="6">
        <v>8351</v>
      </c>
      <c r="D17" s="25">
        <v>93047.45</v>
      </c>
    </row>
    <row r="18" spans="2:11" x14ac:dyDescent="0.3">
      <c r="B18" s="10" t="s">
        <v>8</v>
      </c>
      <c r="C18" s="8">
        <f>SUM(C14:C17)</f>
        <v>12361</v>
      </c>
      <c r="D18" s="30">
        <f>SUM(D14:D17)</f>
        <v>628106.42999999993</v>
      </c>
    </row>
    <row r="20" spans="2:11" x14ac:dyDescent="0.3">
      <c r="B20" s="28" t="s">
        <v>34</v>
      </c>
      <c r="C20" s="28"/>
      <c r="D20" s="28"/>
    </row>
    <row r="21" spans="2:11" x14ac:dyDescent="0.3">
      <c r="B21" s="2" t="s">
        <v>1</v>
      </c>
      <c r="C21" s="2" t="s">
        <v>2</v>
      </c>
      <c r="D21" s="2" t="s">
        <v>3</v>
      </c>
    </row>
    <row r="22" spans="2:11" x14ac:dyDescent="0.3">
      <c r="B22" s="1" t="s">
        <v>4</v>
      </c>
      <c r="C22" s="6">
        <v>2463</v>
      </c>
      <c r="D22" s="25">
        <v>270668.65999999997</v>
      </c>
    </row>
    <row r="23" spans="2:11" x14ac:dyDescent="0.3">
      <c r="B23" s="1" t="s">
        <v>5</v>
      </c>
      <c r="C23" s="6">
        <v>1359</v>
      </c>
      <c r="D23" s="25">
        <v>79744.570000000007</v>
      </c>
    </row>
    <row r="24" spans="2:11" x14ac:dyDescent="0.3">
      <c r="B24" s="1" t="s">
        <v>6</v>
      </c>
      <c r="C24" s="6">
        <v>3299</v>
      </c>
      <c r="D24" s="25">
        <v>52257.630000000005</v>
      </c>
    </row>
    <row r="25" spans="2:11" x14ac:dyDescent="0.3">
      <c r="B25" s="5" t="s">
        <v>12</v>
      </c>
      <c r="C25" s="7">
        <v>2</v>
      </c>
      <c r="D25" s="27">
        <v>0</v>
      </c>
    </row>
    <row r="26" spans="2:11" x14ac:dyDescent="0.3">
      <c r="B26" s="1" t="s">
        <v>7</v>
      </c>
      <c r="C26" s="6">
        <v>21139</v>
      </c>
      <c r="D26" s="25">
        <v>214338.55000000002</v>
      </c>
    </row>
    <row r="27" spans="2:11" x14ac:dyDescent="0.3">
      <c r="B27" s="3" t="s">
        <v>8</v>
      </c>
      <c r="C27" s="8">
        <f>SUM(C22:C26)</f>
        <v>28262</v>
      </c>
      <c r="D27" s="30">
        <f>SUM(D22:D26)</f>
        <v>617009.41</v>
      </c>
      <c r="K27" s="7"/>
    </row>
    <row r="29" spans="2:11" x14ac:dyDescent="0.3">
      <c r="B29" s="28" t="s">
        <v>9</v>
      </c>
      <c r="C29" s="28"/>
      <c r="D29" s="28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1396</v>
      </c>
      <c r="D31" s="25">
        <v>262156.14</v>
      </c>
    </row>
    <row r="32" spans="2:11" x14ac:dyDescent="0.3">
      <c r="B32" s="9" t="s">
        <v>5</v>
      </c>
      <c r="C32" s="6">
        <v>1293</v>
      </c>
      <c r="D32" s="25">
        <v>134589.07</v>
      </c>
    </row>
    <row r="33" spans="2:4" x14ac:dyDescent="0.3">
      <c r="B33" s="9" t="s">
        <v>6</v>
      </c>
      <c r="C33" s="6">
        <v>2923</v>
      </c>
      <c r="D33" s="25">
        <v>40301</v>
      </c>
    </row>
    <row r="34" spans="2:4" x14ac:dyDescent="0.3">
      <c r="B34" s="9" t="s">
        <v>7</v>
      </c>
      <c r="C34" s="6">
        <v>1828</v>
      </c>
      <c r="D34" s="25">
        <v>22782</v>
      </c>
    </row>
    <row r="35" spans="2:4" x14ac:dyDescent="0.3">
      <c r="B35" s="10" t="s">
        <v>8</v>
      </c>
      <c r="C35" s="8">
        <f>SUM(C31:C34)</f>
        <v>7440</v>
      </c>
      <c r="D35" s="30">
        <f>SUM(D31:D34)</f>
        <v>459828.21</v>
      </c>
    </row>
    <row r="37" spans="2:4" x14ac:dyDescent="0.3">
      <c r="B37" s="29" t="s">
        <v>11</v>
      </c>
      <c r="C37" s="29"/>
      <c r="D37" s="29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2729</v>
      </c>
      <c r="D39" s="25">
        <v>77666</v>
      </c>
    </row>
    <row r="40" spans="2:4" x14ac:dyDescent="0.3">
      <c r="B40" s="10" t="s">
        <v>8</v>
      </c>
      <c r="C40" s="8">
        <f>SUM(C39:C39)</f>
        <v>2729</v>
      </c>
      <c r="D40" s="30">
        <f>SUM(D39:D39)</f>
        <v>77666</v>
      </c>
    </row>
    <row r="42" spans="2:4" x14ac:dyDescent="0.3">
      <c r="B42" s="28" t="s">
        <v>35</v>
      </c>
      <c r="C42" s="28"/>
      <c r="D42" s="28"/>
    </row>
    <row r="43" spans="2:4" x14ac:dyDescent="0.3">
      <c r="B43" s="2" t="s">
        <v>1</v>
      </c>
      <c r="C43" s="2" t="s">
        <v>2</v>
      </c>
      <c r="D43" s="2" t="s">
        <v>3</v>
      </c>
    </row>
    <row r="44" spans="2:4" x14ac:dyDescent="0.3">
      <c r="B44" s="9" t="s">
        <v>4</v>
      </c>
      <c r="C44" s="6">
        <v>35</v>
      </c>
      <c r="D44" s="25">
        <v>2019</v>
      </c>
    </row>
    <row r="45" spans="2:4" x14ac:dyDescent="0.3">
      <c r="B45" s="1" t="s">
        <v>5</v>
      </c>
      <c r="C45" s="6">
        <v>137</v>
      </c>
      <c r="D45" s="25">
        <v>400</v>
      </c>
    </row>
    <row r="46" spans="2:4" x14ac:dyDescent="0.3">
      <c r="B46" s="1" t="s">
        <v>6</v>
      </c>
      <c r="C46" s="6">
        <v>153</v>
      </c>
      <c r="D46" s="26">
        <v>0</v>
      </c>
    </row>
    <row r="47" spans="2:4" x14ac:dyDescent="0.3">
      <c r="B47" s="1" t="s">
        <v>7</v>
      </c>
      <c r="C47" s="6">
        <v>1673</v>
      </c>
      <c r="D47" s="25">
        <v>12125</v>
      </c>
    </row>
    <row r="48" spans="2:4" x14ac:dyDescent="0.3">
      <c r="B48" s="3" t="s">
        <v>8</v>
      </c>
      <c r="C48" s="8">
        <f>SUM(C44:C47)</f>
        <v>1998</v>
      </c>
      <c r="D48" s="4">
        <f>SUM(D44:D47)</f>
        <v>14544</v>
      </c>
    </row>
    <row r="50" spans="2:4" x14ac:dyDescent="0.3">
      <c r="B50" s="29" t="s">
        <v>32</v>
      </c>
      <c r="C50" s="29"/>
      <c r="D50" s="29"/>
    </row>
    <row r="51" spans="2:4" x14ac:dyDescent="0.3">
      <c r="B51" s="4" t="s">
        <v>1</v>
      </c>
      <c r="C51" s="4" t="s">
        <v>2</v>
      </c>
      <c r="D51" s="4" t="s">
        <v>3</v>
      </c>
    </row>
    <row r="52" spans="2:4" x14ac:dyDescent="0.3">
      <c r="B52" s="9" t="s">
        <v>4</v>
      </c>
      <c r="C52" s="6">
        <v>68</v>
      </c>
      <c r="D52" s="25">
        <v>2970</v>
      </c>
    </row>
    <row r="53" spans="2:4" x14ac:dyDescent="0.3">
      <c r="B53" s="9" t="s">
        <v>5</v>
      </c>
      <c r="C53" s="6">
        <v>62</v>
      </c>
      <c r="D53" s="27">
        <v>0</v>
      </c>
    </row>
    <row r="54" spans="2:4" x14ac:dyDescent="0.3">
      <c r="B54" s="9" t="s">
        <v>6</v>
      </c>
      <c r="C54" s="6">
        <v>13</v>
      </c>
      <c r="D54" s="27">
        <v>0</v>
      </c>
    </row>
    <row r="55" spans="2:4" x14ac:dyDescent="0.3">
      <c r="B55" s="9" t="s">
        <v>7</v>
      </c>
      <c r="C55" s="6">
        <v>9</v>
      </c>
      <c r="D55" s="27">
        <v>0</v>
      </c>
    </row>
    <row r="56" spans="2:4" x14ac:dyDescent="0.3">
      <c r="B56" s="10" t="s">
        <v>8</v>
      </c>
      <c r="C56" s="8">
        <f>SUM(C52:C55)</f>
        <v>152</v>
      </c>
      <c r="D56" s="4">
        <f>SUM(D52:D55)</f>
        <v>2970</v>
      </c>
    </row>
    <row r="58" spans="2:4" x14ac:dyDescent="0.3">
      <c r="B58" s="12" t="s">
        <v>13</v>
      </c>
      <c r="C58" s="13">
        <f>SUM(C10+C18+C56+C35+C40+C27+C48)</f>
        <v>104080</v>
      </c>
      <c r="D58" s="13">
        <f>SUM(D10+D18+D56+D35+D40+D27+D48)</f>
        <v>4045574.49</v>
      </c>
    </row>
  </sheetData>
  <mergeCells count="7">
    <mergeCell ref="B20:D20"/>
    <mergeCell ref="B42:D42"/>
    <mergeCell ref="B3:D3"/>
    <mergeCell ref="B50:D50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opLeftCell="C1" zoomScale="145" zoomScaleNormal="145" workbookViewId="0">
      <selection activeCell="B2" sqref="B2:K14"/>
    </sheetView>
  </sheetViews>
  <sheetFormatPr baseColWidth="10" defaultRowHeight="14.4" x14ac:dyDescent="0.3"/>
  <cols>
    <col min="2" max="2" width="18.109375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29</v>
      </c>
      <c r="C6" s="1" t="s">
        <v>4</v>
      </c>
      <c r="D6" s="23">
        <f>SUMIF('REPORTE DIARIO'!B:B,'EPR 6 ABR'!C6, 'REPORTE DIARIO'!C:C)</f>
        <v>14174</v>
      </c>
      <c r="E6" s="16">
        <f>SUMIF('REPORTE DIARIO'!B:B,'EPR 6 ABR'!C6, 'REPORTE DIARIO'!D:D)</f>
        <v>1598683.4</v>
      </c>
      <c r="F6" s="16">
        <f>J6*D6</f>
        <v>2834800</v>
      </c>
      <c r="G6" s="16">
        <f>+E6-F6</f>
        <v>-1236116.6000000001</v>
      </c>
      <c r="H6" s="15">
        <f>ABS(G6/F6)</f>
        <v>0.43605072668265843</v>
      </c>
      <c r="I6" s="16">
        <f>E6/D6</f>
        <v>112.78985466346832</v>
      </c>
      <c r="J6" s="16">
        <f>(200/7)*7</f>
        <v>200</v>
      </c>
      <c r="K6" s="16">
        <f>+I6-J6</f>
        <v>-87.210145336531681</v>
      </c>
      <c r="L6" s="15"/>
    </row>
    <row r="7" spans="2:12" x14ac:dyDescent="0.3">
      <c r="B7" s="16" t="s">
        <v>30</v>
      </c>
      <c r="C7" s="1" t="s">
        <v>5</v>
      </c>
      <c r="D7" s="23">
        <f>SUMIF('REPORTE DIARIO'!B:B,'EPR 6 ABR'!C7, 'REPORTE DIARIO'!C:C)</f>
        <v>10972</v>
      </c>
      <c r="E7" s="16">
        <f>SUMIF('REPORTE DIARIO'!B:B,'EPR 6 ABR'!C7, 'REPORTE DIARIO'!D:D)</f>
        <v>1076805.31</v>
      </c>
      <c r="F7" s="16">
        <f>J7*D7</f>
        <v>1206920</v>
      </c>
      <c r="G7" s="16">
        <f>+E7-F7</f>
        <v>-130114.68999999994</v>
      </c>
      <c r="H7" s="15">
        <f>ABS(G7/F7)</f>
        <v>0.10780722003115363</v>
      </c>
      <c r="I7" s="16">
        <f>E7/D7</f>
        <v>98.141205796573104</v>
      </c>
      <c r="J7" s="16">
        <f>(110/7)*7</f>
        <v>110</v>
      </c>
      <c r="K7" s="16">
        <f t="shared" ref="K7:K9" si="0">+I7-J7</f>
        <v>-11.858794203426896</v>
      </c>
      <c r="L7" s="15"/>
    </row>
    <row r="8" spans="2:12" x14ac:dyDescent="0.3">
      <c r="B8" s="16" t="s">
        <v>30</v>
      </c>
      <c r="C8" s="1" t="s">
        <v>6</v>
      </c>
      <c r="D8" s="23">
        <f>SUMIF('REPORTE DIARIO'!B:B,'EPR 6 ABR'!C8, 'REPORTE DIARIO'!C:C)</f>
        <v>17042</v>
      </c>
      <c r="E8" s="16">
        <f>SUMIF('REPORTE DIARIO'!B:B,'EPR 6 ABR'!C8, 'REPORTE DIARIO'!D:D)</f>
        <v>432278.35000000003</v>
      </c>
      <c r="F8" s="16">
        <f>J8*D8</f>
        <v>766890</v>
      </c>
      <c r="G8" s="16">
        <f>+E8-F8</f>
        <v>-334611.64999999997</v>
      </c>
      <c r="H8" s="15">
        <f>ABS(G8/F8)</f>
        <v>0.4363228755101774</v>
      </c>
      <c r="I8" s="16">
        <f>E8/D8</f>
        <v>25.365470602042016</v>
      </c>
      <c r="J8" s="16">
        <f>(45/7)*7</f>
        <v>45</v>
      </c>
      <c r="K8" s="16">
        <f t="shared" si="0"/>
        <v>-19.634529397957984</v>
      </c>
      <c r="L8" s="15"/>
    </row>
    <row r="9" spans="2:12" x14ac:dyDescent="0.3">
      <c r="B9" s="16" t="s">
        <v>31</v>
      </c>
      <c r="C9" s="1" t="s">
        <v>7</v>
      </c>
      <c r="D9" s="23">
        <f>SUMIF('REPORTE DIARIO'!B:B,'EPR 6 ABR'!C9, 'REPORTE DIARIO'!C:C)</f>
        <v>61869</v>
      </c>
      <c r="E9" s="16">
        <f>SUMIF('REPORTE DIARIO'!B:B,'EPR 6 ABR'!C9, 'REPORTE DIARIO'!D:D)</f>
        <v>936657.43000000028</v>
      </c>
      <c r="F9" s="16">
        <f>J9*D9</f>
        <v>928035</v>
      </c>
      <c r="G9" s="16">
        <f>+E9-F9</f>
        <v>8622.4300000002841</v>
      </c>
      <c r="H9" s="15">
        <f>ABS(G9/F9)</f>
        <v>9.2910612207516789E-3</v>
      </c>
      <c r="I9" s="16">
        <f>E9/D9</f>
        <v>15.139365918311276</v>
      </c>
      <c r="J9" s="16">
        <f>(15/7)*7</f>
        <v>15</v>
      </c>
      <c r="K9" s="16">
        <f t="shared" si="0"/>
        <v>0.13936591831127565</v>
      </c>
    </row>
    <row r="10" spans="2:12" x14ac:dyDescent="0.3">
      <c r="B10" s="16"/>
      <c r="C10" s="19" t="s">
        <v>17</v>
      </c>
      <c r="D10" s="24">
        <f>SUM(D6:D9)</f>
        <v>104057</v>
      </c>
      <c r="E10" s="20">
        <f>SUM(E6:E9)</f>
        <v>4044424.49</v>
      </c>
      <c r="F10" s="20">
        <f>SUM(F6:F9)</f>
        <v>5736645</v>
      </c>
      <c r="G10" s="20">
        <f>+E10-F10</f>
        <v>-1692220.5099999998</v>
      </c>
      <c r="H10" s="21">
        <f>ABS(G10/F10)</f>
        <v>0.29498435235228948</v>
      </c>
      <c r="I10" s="20">
        <f>E10/D10</f>
        <v>38.867394697137151</v>
      </c>
      <c r="J10" s="20">
        <f>F10/D10</f>
        <v>55.129832687853771</v>
      </c>
      <c r="K10" s="20">
        <f>I10-J10</f>
        <v>-16.26243799071662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6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2025-04-07T13:39:35Z</cp:lastPrinted>
  <dcterms:created xsi:type="dcterms:W3CDTF">2025-01-27T15:11:28Z</dcterms:created>
  <dcterms:modified xsi:type="dcterms:W3CDTF">2025-04-07T13:50:43Z</dcterms:modified>
</cp:coreProperties>
</file>