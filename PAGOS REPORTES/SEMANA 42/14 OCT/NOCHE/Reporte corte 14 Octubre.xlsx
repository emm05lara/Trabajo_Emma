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4 OCT\NOCHE\"/>
    </mc:Choice>
  </mc:AlternateContent>
  <xr:revisionPtr revIDLastSave="0" documentId="13_ncr:1_{49307508-3C24-4819-9734-76915D03F368}" xr6:coauthVersionLast="47" xr6:coauthVersionMax="47" xr10:uidLastSave="{00000000-0000-0000-0000-000000000000}"/>
  <bookViews>
    <workbookView xWindow="-120" yWindow="-120" windowWidth="51840" windowHeight="21120" xr2:uid="{6DF4519E-6981-439B-A391-44C0359A913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2" i="3"/>
  <c r="D9" i="3" s="1"/>
  <c r="B2" i="2"/>
  <c r="D11" i="2" s="1"/>
  <c r="D9" i="1"/>
</calcChain>
</file>

<file path=xl/sharedStrings.xml><?xml version="1.0" encoding="utf-8"?>
<sst xmlns="http://schemas.openxmlformats.org/spreadsheetml/2006/main" count="107" uniqueCount="23">
  <si>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</si>
  <si>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</si>
  <si>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</si>
  <si>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</si>
  <si>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</si>
  <si>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</si>
  <si>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</si>
  <si>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</si>
  <si>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</si>
  <si>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</si>
  <si>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</si>
  <si>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</si>
  <si>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</si>
  <si>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AUTO</t>
  </si>
  <si>
    <t>CONSUMO</t>
  </si>
  <si>
    <t>CREDIMAX</t>
  </si>
  <si>
    <t>ITALIKA</t>
  </si>
  <si>
    <t>REESTRUCTURA</t>
  </si>
  <si>
    <t>TOR</t>
  </si>
  <si>
    <t>MAZ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</si>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</sst>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574C-8DE7-4E24-AF8C-274F0F43ADE5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14/10/2025  19:44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96195</v>
      </c>
    </row>
    <row r="6" spans="2:4" x14ac:dyDescent="0.25">
      <c r="B6" s="2" t="s">
        <v>2</v>
      </c>
      <c r="C6" s="3">
        <v>56376</v>
      </c>
    </row>
    <row r="7" spans="2:4" x14ac:dyDescent="0.25">
      <c r="B7" s="2" t="s">
        <v>3</v>
      </c>
      <c r="C7" s="3">
        <v>18143.849999999999</v>
      </c>
    </row>
    <row r="8" spans="2:4" ht="15.75" thickBot="1" x14ac:dyDescent="0.3">
      <c r="B8" s="2" t="s">
        <v>4</v>
      </c>
      <c r="C8" s="3">
        <v>48865.89</v>
      </c>
      <c r="D8" s="1" t="s">
        <v>11</v>
      </c>
    </row>
    <row r="9" spans="2:4" ht="15.75" thickTop="1" x14ac:dyDescent="0.25">
      <c r="B9" s="4" t="s">
        <v>5</v>
      </c>
      <c r="C9" s="5">
        <v>219580.74</v>
      </c>
      <c r="D9" s="5">
        <f ca="1">SUMIF(B:B, "Total general", C:C)</f>
        <v>307315.74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3169</v>
      </c>
    </row>
    <row r="14" spans="2:4" x14ac:dyDescent="0.25">
      <c r="B14" s="2" t="s">
        <v>2</v>
      </c>
      <c r="C14" s="3">
        <v>3587</v>
      </c>
    </row>
    <row r="15" spans="2:4" x14ac:dyDescent="0.25">
      <c r="B15" s="2" t="s">
        <v>3</v>
      </c>
      <c r="C15" s="3">
        <v>17222</v>
      </c>
    </row>
    <row r="16" spans="2:4" ht="15.75" thickBot="1" x14ac:dyDescent="0.3">
      <c r="B16" s="2" t="s">
        <v>4</v>
      </c>
      <c r="C16" s="3">
        <v>16253.9</v>
      </c>
    </row>
    <row r="17" spans="2:3" ht="15.75" thickTop="1" x14ac:dyDescent="0.25">
      <c r="B17" s="4" t="s">
        <v>5</v>
      </c>
      <c r="C17" s="5">
        <v>40231.9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3445</v>
      </c>
    </row>
    <row r="22" spans="2:3" x14ac:dyDescent="0.25">
      <c r="B22" s="2" t="s">
        <v>2</v>
      </c>
      <c r="C22" s="3">
        <v>11720.57</v>
      </c>
    </row>
    <row r="23" spans="2:3" x14ac:dyDescent="0.25">
      <c r="B23" s="2" t="s">
        <v>3</v>
      </c>
      <c r="C23" s="3">
        <v>3016</v>
      </c>
    </row>
    <row r="24" spans="2:3" ht="15.75" thickBot="1" x14ac:dyDescent="0.3">
      <c r="B24" s="2" t="s">
        <v>4</v>
      </c>
      <c r="C24" s="3">
        <v>8333.19</v>
      </c>
    </row>
    <row r="25" spans="2:3" ht="15.75" thickTop="1" x14ac:dyDescent="0.25">
      <c r="B25" s="4" t="s">
        <v>5</v>
      </c>
      <c r="C25" s="5">
        <v>26514.760000000002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13641.34</v>
      </c>
    </row>
    <row r="30" spans="2:3" x14ac:dyDescent="0.25">
      <c r="B30" s="2" t="s">
        <v>2</v>
      </c>
      <c r="C30" s="3">
        <v>2547</v>
      </c>
    </row>
    <row r="31" spans="2:3" x14ac:dyDescent="0.25">
      <c r="B31" s="2" t="s">
        <v>3</v>
      </c>
      <c r="C31" s="3">
        <v>3993</v>
      </c>
    </row>
    <row r="32" spans="2:3" ht="15.75" thickBot="1" x14ac:dyDescent="0.3">
      <c r="B32" s="2" t="s">
        <v>4</v>
      </c>
      <c r="C32" s="3">
        <v>300</v>
      </c>
    </row>
    <row r="33" spans="2:3" ht="15.75" thickTop="1" x14ac:dyDescent="0.25">
      <c r="B33" s="4" t="s">
        <v>5</v>
      </c>
      <c r="C33" s="5">
        <v>20481.34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x14ac:dyDescent="0.25">
      <c r="B37" s="2" t="s">
        <v>1</v>
      </c>
      <c r="C37" s="3">
        <v>200</v>
      </c>
    </row>
    <row r="38" spans="2:3" ht="15.75" thickBot="1" x14ac:dyDescent="0.3">
      <c r="B38" s="2" t="s">
        <v>4</v>
      </c>
      <c r="C38" s="3">
        <v>307</v>
      </c>
    </row>
    <row r="39" spans="2:3" ht="15.75" thickTop="1" x14ac:dyDescent="0.25">
      <c r="B39" s="4" t="s">
        <v>5</v>
      </c>
      <c r="C39" s="5">
        <v>507</v>
      </c>
    </row>
  </sheetData>
  <mergeCells count="6">
    <mergeCell ref="B3:C3"/>
    <mergeCell ref="B11:C11"/>
    <mergeCell ref="B19:C19"/>
    <mergeCell ref="B35:C35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4F80-2E09-40AC-BC74-5F9EEF54BEC1}">
  <dimension ref="B2:D41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14/10/2025  19:44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1786</v>
      </c>
    </row>
    <row r="6" spans="2:4" x14ac:dyDescent="0.25">
      <c r="B6" s="2" t="s">
        <v>14</v>
      </c>
      <c r="C6" s="3">
        <v>56630</v>
      </c>
    </row>
    <row r="7" spans="2:4" x14ac:dyDescent="0.25">
      <c r="B7" s="2" t="s">
        <v>15</v>
      </c>
      <c r="C7" s="3">
        <v>13061</v>
      </c>
    </row>
    <row r="8" spans="2:4" x14ac:dyDescent="0.25">
      <c r="B8" s="2" t="s">
        <v>16</v>
      </c>
      <c r="C8" s="3">
        <v>5485</v>
      </c>
    </row>
    <row r="9" spans="2:4" x14ac:dyDescent="0.25">
      <c r="B9" s="2" t="s">
        <v>17</v>
      </c>
      <c r="C9" s="3">
        <v>20085</v>
      </c>
    </row>
    <row r="10" spans="2:4" ht="15.75" thickBot="1" x14ac:dyDescent="0.3">
      <c r="B10" s="2" t="s">
        <v>18</v>
      </c>
      <c r="C10" s="3">
        <v>122533.74</v>
      </c>
      <c r="D10" s="1" t="s">
        <v>11</v>
      </c>
    </row>
    <row r="11" spans="2:4" ht="15.75" thickTop="1" x14ac:dyDescent="0.25">
      <c r="B11" s="4" t="s">
        <v>5</v>
      </c>
      <c r="C11" s="5">
        <v>219580.74</v>
      </c>
      <c r="D11" s="5">
        <f ca="1">SUMIF(B:B, "Total general", C:C)</f>
        <v>307315.74</v>
      </c>
    </row>
    <row r="13" spans="2:4" x14ac:dyDescent="0.25">
      <c r="B13" s="6" t="s">
        <v>7</v>
      </c>
      <c r="C13" s="6"/>
    </row>
    <row r="14" spans="2:4" x14ac:dyDescent="0.25">
      <c r="B14" s="1" t="s">
        <v>21</v>
      </c>
      <c r="C14" s="1" t="s">
        <v>0</v>
      </c>
    </row>
    <row r="15" spans="2:4" x14ac:dyDescent="0.25">
      <c r="B15" s="2" t="s">
        <v>14</v>
      </c>
      <c r="C15" s="3">
        <v>2103</v>
      </c>
    </row>
    <row r="16" spans="2:4" x14ac:dyDescent="0.25">
      <c r="B16" s="2" t="s">
        <v>15</v>
      </c>
      <c r="C16" s="3">
        <v>11661</v>
      </c>
    </row>
    <row r="17" spans="2:3" x14ac:dyDescent="0.25">
      <c r="B17" s="2" t="s">
        <v>19</v>
      </c>
      <c r="C17" s="3">
        <v>564</v>
      </c>
    </row>
    <row r="18" spans="2:3" x14ac:dyDescent="0.25">
      <c r="B18" s="2" t="s">
        <v>17</v>
      </c>
      <c r="C18" s="3">
        <v>5957</v>
      </c>
    </row>
    <row r="19" spans="2:3" ht="15.75" thickBot="1" x14ac:dyDescent="0.3">
      <c r="B19" s="2" t="s">
        <v>18</v>
      </c>
      <c r="C19" s="3">
        <v>19946.900000000001</v>
      </c>
    </row>
    <row r="20" spans="2:3" ht="15.75" thickTop="1" x14ac:dyDescent="0.25">
      <c r="B20" s="4" t="s">
        <v>5</v>
      </c>
      <c r="C20" s="5">
        <v>40231.9</v>
      </c>
    </row>
    <row r="22" spans="2:3" x14ac:dyDescent="0.25">
      <c r="B22" s="6" t="s">
        <v>8</v>
      </c>
      <c r="C22" s="6"/>
    </row>
    <row r="23" spans="2:3" x14ac:dyDescent="0.25">
      <c r="B23" s="1" t="s">
        <v>21</v>
      </c>
      <c r="C23" s="1" t="s">
        <v>0</v>
      </c>
    </row>
    <row r="24" spans="2:3" x14ac:dyDescent="0.25">
      <c r="B24" s="2" t="s">
        <v>14</v>
      </c>
      <c r="C24" s="3">
        <v>5759.57</v>
      </c>
    </row>
    <row r="25" spans="2:3" ht="15.75" thickBot="1" x14ac:dyDescent="0.3">
      <c r="B25" s="2" t="s">
        <v>18</v>
      </c>
      <c r="C25" s="3">
        <v>20755.190000000002</v>
      </c>
    </row>
    <row r="26" spans="2:3" ht="15.75" thickTop="1" x14ac:dyDescent="0.25">
      <c r="B26" s="4" t="s">
        <v>5</v>
      </c>
      <c r="C26" s="5">
        <v>26514.760000000002</v>
      </c>
    </row>
    <row r="28" spans="2:3" x14ac:dyDescent="0.25">
      <c r="B28" s="6" t="s">
        <v>10</v>
      </c>
      <c r="C28" s="6"/>
    </row>
    <row r="29" spans="2:3" x14ac:dyDescent="0.25">
      <c r="B29" s="1" t="s">
        <v>21</v>
      </c>
      <c r="C29" s="1" t="s">
        <v>0</v>
      </c>
    </row>
    <row r="30" spans="2:3" x14ac:dyDescent="0.25">
      <c r="B30" s="2" t="s">
        <v>14</v>
      </c>
      <c r="C30" s="3">
        <v>4689</v>
      </c>
    </row>
    <row r="31" spans="2:3" x14ac:dyDescent="0.25">
      <c r="B31" s="2" t="s">
        <v>15</v>
      </c>
      <c r="C31" s="3">
        <v>2242</v>
      </c>
    </row>
    <row r="32" spans="2:3" x14ac:dyDescent="0.25">
      <c r="B32" s="2" t="s">
        <v>17</v>
      </c>
      <c r="C32" s="3">
        <v>300</v>
      </c>
    </row>
    <row r="33" spans="2:3" x14ac:dyDescent="0.25">
      <c r="B33" s="2" t="s">
        <v>20</v>
      </c>
      <c r="C33" s="3">
        <v>2247</v>
      </c>
    </row>
    <row r="34" spans="2:3" ht="15.75" thickBot="1" x14ac:dyDescent="0.3">
      <c r="B34" s="2" t="s">
        <v>18</v>
      </c>
      <c r="C34" s="3">
        <v>11003.34</v>
      </c>
    </row>
    <row r="35" spans="2:3" ht="15.75" thickTop="1" x14ac:dyDescent="0.25">
      <c r="B35" s="4" t="s">
        <v>5</v>
      </c>
      <c r="C35" s="5">
        <v>20481.34</v>
      </c>
    </row>
    <row r="37" spans="2:3" x14ac:dyDescent="0.25">
      <c r="B37" s="6" t="s">
        <v>9</v>
      </c>
      <c r="C37" s="6"/>
    </row>
    <row r="38" spans="2:3" x14ac:dyDescent="0.25">
      <c r="B38" s="1" t="s">
        <v>21</v>
      </c>
      <c r="C38" s="1" t="s">
        <v>0</v>
      </c>
    </row>
    <row r="39" spans="2:3" x14ac:dyDescent="0.25">
      <c r="B39" s="2" t="s">
        <v>14</v>
      </c>
      <c r="C39" s="3">
        <v>200</v>
      </c>
    </row>
    <row r="40" spans="2:3" ht="15.75" thickBot="1" x14ac:dyDescent="0.3">
      <c r="B40" s="2" t="s">
        <v>18</v>
      </c>
      <c r="C40" s="3">
        <v>307</v>
      </c>
    </row>
    <row r="41" spans="2:3" ht="15.75" thickTop="1" x14ac:dyDescent="0.25">
      <c r="B41" s="4" t="s">
        <v>5</v>
      </c>
      <c r="C41" s="5">
        <v>507</v>
      </c>
    </row>
  </sheetData>
  <mergeCells count="6">
    <mergeCell ref="B2:C2"/>
    <mergeCell ref="B3:C3"/>
    <mergeCell ref="B13:C13"/>
    <mergeCell ref="B22:C22"/>
    <mergeCell ref="B28:C28"/>
    <mergeCell ref="B37:C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E157-495E-42CB-AD25-9EAB0CB12E5E}">
  <dimension ref="B2:D27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14/10/2025  19:44 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9062</v>
      </c>
    </row>
    <row r="6" spans="2:4" x14ac:dyDescent="0.25">
      <c r="B6" s="2" t="s">
        <v>2</v>
      </c>
      <c r="C6" s="3">
        <v>33791</v>
      </c>
    </row>
    <row r="7" spans="2:4" x14ac:dyDescent="0.25">
      <c r="B7" s="2" t="s">
        <v>3</v>
      </c>
      <c r="C7" s="3">
        <v>8767</v>
      </c>
    </row>
    <row r="8" spans="2:4" ht="15.75" thickBot="1" x14ac:dyDescent="0.3">
      <c r="B8" s="2" t="s">
        <v>4</v>
      </c>
      <c r="C8" s="3">
        <v>100</v>
      </c>
      <c r="D8" s="1" t="s">
        <v>11</v>
      </c>
    </row>
    <row r="9" spans="2:4" ht="15.75" thickTop="1" x14ac:dyDescent="0.25">
      <c r="B9" s="4" t="s">
        <v>5</v>
      </c>
      <c r="C9" s="5">
        <v>51720</v>
      </c>
      <c r="D9" s="5">
        <f ca="1">SUMIF(B:B, "Total general", C:C)</f>
        <v>73718.34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13305.34</v>
      </c>
    </row>
    <row r="14" spans="2:4" x14ac:dyDescent="0.25">
      <c r="B14" s="2" t="s">
        <v>2</v>
      </c>
      <c r="C14" s="3">
        <v>2547</v>
      </c>
    </row>
    <row r="15" spans="2:4" x14ac:dyDescent="0.25">
      <c r="B15" s="2" t="s">
        <v>3</v>
      </c>
      <c r="C15" s="3">
        <v>3993</v>
      </c>
    </row>
    <row r="16" spans="2:4" ht="15.75" thickBot="1" x14ac:dyDescent="0.3">
      <c r="B16" s="2" t="s">
        <v>4</v>
      </c>
      <c r="C16" s="3">
        <v>300</v>
      </c>
    </row>
    <row r="17" spans="2:3" ht="15.75" thickTop="1" x14ac:dyDescent="0.25">
      <c r="B17" s="4" t="s">
        <v>5</v>
      </c>
      <c r="C17" s="5">
        <v>20145.34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ht="15.75" thickBot="1" x14ac:dyDescent="0.3">
      <c r="B21" s="2" t="s">
        <v>4</v>
      </c>
      <c r="C21" s="3">
        <v>1200</v>
      </c>
    </row>
    <row r="22" spans="2:3" ht="15.75" thickTop="1" x14ac:dyDescent="0.25">
      <c r="B22" s="4" t="s">
        <v>5</v>
      </c>
      <c r="C22" s="5">
        <v>1200</v>
      </c>
    </row>
    <row r="24" spans="2:3" x14ac:dyDescent="0.25">
      <c r="B24" s="6" t="s">
        <v>6</v>
      </c>
      <c r="C24" s="6"/>
    </row>
    <row r="25" spans="2:3" x14ac:dyDescent="0.25">
      <c r="B25" s="1" t="s">
        <v>12</v>
      </c>
      <c r="C25" s="1" t="s">
        <v>0</v>
      </c>
    </row>
    <row r="26" spans="2:3" ht="15.75" thickBot="1" x14ac:dyDescent="0.3">
      <c r="B26" s="2" t="s">
        <v>4</v>
      </c>
      <c r="C26" s="3">
        <v>653</v>
      </c>
    </row>
    <row r="27" spans="2:3" ht="15.75" thickTop="1" x14ac:dyDescent="0.25">
      <c r="B27" s="4" t="s">
        <v>5</v>
      </c>
      <c r="C27" s="5">
        <v>653</v>
      </c>
    </row>
  </sheetData>
  <mergeCells count="5">
    <mergeCell ref="B3:C3"/>
    <mergeCell ref="B19:C19"/>
    <mergeCell ref="B11:C11"/>
    <mergeCell ref="B24:C24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2025-10-15T01:38:24Z</dcterms:created>
  <dcterms:modified xsi:type="dcterms:W3CDTF">2025-10-15T01:44:33Z</dcterms:modified>
</cp:coreProperties>
</file>