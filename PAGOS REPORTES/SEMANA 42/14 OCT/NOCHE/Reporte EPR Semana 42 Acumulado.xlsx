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4 OCT\NOCHE\"/>
    </mc:Choice>
  </mc:AlternateContent>
  <xr:revisionPtr revIDLastSave="0" documentId="13_ncr:1_{FD103784-FFD0-4203-AD84-51F04D3616C0}" xr6:coauthVersionLast="47" xr6:coauthVersionMax="47" xr10:uidLastSave="{00000000-0000-0000-0000-000000000000}"/>
  <bookViews>
    <workbookView xWindow="14385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" l="1"/>
  <c r="C42" i="5"/>
  <c r="D34" i="5"/>
  <c r="C34" i="5"/>
  <c r="D27" i="5"/>
  <c r="C27" i="5"/>
  <c r="C42" i="1"/>
  <c r="D42" i="1"/>
  <c r="D26" i="1"/>
  <c r="C26" i="1"/>
  <c r="C34" i="1"/>
  <c r="D18" i="5"/>
  <c r="C18" i="5"/>
  <c r="D18" i="1"/>
  <c r="C18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<sst xmlns="http://schemas.openxmlformats.org/spreadsheetml/2006/main" count="139" uniqueCount="37">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</sst>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3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6383</v>
      </c>
      <c r="D5" s="28">
        <v>169690</v>
      </c>
    </row>
    <row r="6" spans="2:8" x14ac:dyDescent="0.25">
      <c r="B6" s="1" t="s">
        <v>5</v>
      </c>
      <c r="C6" s="6">
        <v>3126</v>
      </c>
      <c r="D6" s="28">
        <v>104118</v>
      </c>
    </row>
    <row r="7" spans="2:8" x14ac:dyDescent="0.25">
      <c r="B7" s="1" t="s">
        <v>6</v>
      </c>
      <c r="C7" s="6">
        <v>8468</v>
      </c>
      <c r="D7" s="28">
        <v>51603.59</v>
      </c>
    </row>
    <row r="8" spans="2:8" x14ac:dyDescent="0.25">
      <c r="B8" s="5" t="s">
        <v>11</v>
      </c>
      <c r="C8" s="7">
        <v>1044</v>
      </c>
      <c r="D8" s="29">
        <v>0</v>
      </c>
    </row>
    <row r="9" spans="2:8" x14ac:dyDescent="0.25">
      <c r="B9" s="1" t="s">
        <v>7</v>
      </c>
      <c r="C9" s="6">
        <v>37352</v>
      </c>
      <c r="D9" s="28">
        <v>121960.39</v>
      </c>
      <c r="E9" s="14"/>
      <c r="F9" s="7"/>
    </row>
    <row r="10" spans="2:8" x14ac:dyDescent="0.25">
      <c r="B10" s="3" t="s">
        <v>8</v>
      </c>
      <c r="C10" s="8">
        <f>SUM(C5:C9)</f>
        <v>56373</v>
      </c>
      <c r="D10" s="4">
        <f>SUM(D5:D9)</f>
        <v>447371.98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5013</v>
      </c>
      <c r="D14" s="28">
        <v>63111.799999999996</v>
      </c>
    </row>
    <row r="15" spans="2:8" x14ac:dyDescent="0.25">
      <c r="B15" s="1" t="s">
        <v>5</v>
      </c>
      <c r="C15" s="6">
        <v>1339</v>
      </c>
      <c r="D15" s="28">
        <v>5974</v>
      </c>
    </row>
    <row r="16" spans="2:8" x14ac:dyDescent="0.25">
      <c r="B16" s="1" t="s">
        <v>6</v>
      </c>
      <c r="C16" s="6">
        <v>3874</v>
      </c>
      <c r="D16" s="28">
        <v>6404</v>
      </c>
    </row>
    <row r="17" spans="2:4" x14ac:dyDescent="0.25">
      <c r="B17" s="1" t="s">
        <v>7</v>
      </c>
      <c r="C17" s="6">
        <v>1029</v>
      </c>
      <c r="D17" s="28">
        <v>300</v>
      </c>
    </row>
    <row r="18" spans="2:4" x14ac:dyDescent="0.25">
      <c r="B18" s="10" t="s">
        <v>8</v>
      </c>
      <c r="C18" s="8">
        <f>SUM(C14:C17)</f>
        <v>11255</v>
      </c>
      <c r="D18" s="4">
        <f>SUM(D14:D17)</f>
        <v>75789.799999999988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158</v>
      </c>
      <c r="D22" s="28">
        <v>8614.01</v>
      </c>
    </row>
    <row r="23" spans="2:4" x14ac:dyDescent="0.25">
      <c r="B23" s="1" t="s">
        <v>5</v>
      </c>
      <c r="C23" s="6">
        <v>296</v>
      </c>
      <c r="D23" s="28">
        <v>8535</v>
      </c>
    </row>
    <row r="24" spans="2:4" x14ac:dyDescent="0.25">
      <c r="B24" s="1" t="s">
        <v>6</v>
      </c>
      <c r="C24" s="6">
        <v>514</v>
      </c>
      <c r="D24" s="28">
        <v>20168</v>
      </c>
    </row>
    <row r="25" spans="2:4" x14ac:dyDescent="0.25">
      <c r="B25" s="1" t="s">
        <v>7</v>
      </c>
      <c r="C25" s="7">
        <v>16505</v>
      </c>
      <c r="D25" s="28">
        <v>32863.9</v>
      </c>
    </row>
    <row r="26" spans="2:4" x14ac:dyDescent="0.25">
      <c r="B26" s="3" t="s">
        <v>8</v>
      </c>
      <c r="C26" s="8">
        <f>SUM(C22:C25)</f>
        <v>17473</v>
      </c>
      <c r="D26" s="4">
        <f>SUM(D22:D25)</f>
        <v>70180.91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331</v>
      </c>
      <c r="D30" s="28">
        <v>8069</v>
      </c>
    </row>
    <row r="31" spans="2:4" x14ac:dyDescent="0.25">
      <c r="B31" s="9" t="s">
        <v>5</v>
      </c>
      <c r="C31" s="6">
        <v>1208</v>
      </c>
      <c r="D31" s="28">
        <v>15969.11</v>
      </c>
    </row>
    <row r="32" spans="2:4" x14ac:dyDescent="0.25">
      <c r="B32" s="9" t="s">
        <v>6</v>
      </c>
      <c r="C32" s="6">
        <v>92</v>
      </c>
      <c r="D32" s="28">
        <v>9625</v>
      </c>
    </row>
    <row r="33" spans="2:4" x14ac:dyDescent="0.25">
      <c r="B33" s="9" t="s">
        <v>7</v>
      </c>
      <c r="C33" s="6">
        <v>580</v>
      </c>
      <c r="D33" s="28">
        <v>26292.19</v>
      </c>
    </row>
    <row r="34" spans="2:4" x14ac:dyDescent="0.25">
      <c r="B34" s="10" t="s">
        <v>8</v>
      </c>
      <c r="C34" s="8">
        <f>SUM(C30:C33)</f>
        <v>2211</v>
      </c>
      <c r="D34" s="4">
        <f>SUM(D30:D33)</f>
        <v>59955.3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30</v>
      </c>
      <c r="D38" s="28">
        <v>825</v>
      </c>
    </row>
    <row r="39" spans="2:4" x14ac:dyDescent="0.25">
      <c r="B39" s="1" t="s">
        <v>5</v>
      </c>
      <c r="C39" s="6">
        <v>57</v>
      </c>
      <c r="D39" s="29">
        <v>0</v>
      </c>
    </row>
    <row r="40" spans="2:4" x14ac:dyDescent="0.25">
      <c r="B40" s="1" t="s">
        <v>6</v>
      </c>
      <c r="C40" s="6">
        <v>6</v>
      </c>
      <c r="D40" s="29">
        <v>0</v>
      </c>
    </row>
    <row r="41" spans="2:4" x14ac:dyDescent="0.25">
      <c r="B41" s="1" t="s">
        <v>7</v>
      </c>
      <c r="C41" s="6">
        <v>921</v>
      </c>
      <c r="D41" s="28">
        <v>2471</v>
      </c>
    </row>
    <row r="42" spans="2:4" x14ac:dyDescent="0.25">
      <c r="B42" s="3" t="s">
        <v>8</v>
      </c>
      <c r="C42" s="8">
        <f>SUM(C38:C41)</f>
        <v>1014</v>
      </c>
      <c r="D42" s="4">
        <f>SUM(D38:D41)</f>
        <v>3296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88326</v>
      </c>
      <c r="D50" s="13">
        <f>SUMIF(B:B, "Total general", D:D)</f>
        <v>656593.99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4" zoomScaleNormal="100" workbookViewId="0">
      <selection activeCell="C27" sqref="C2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8411</v>
      </c>
      <c r="D5" s="28">
        <v>32911.64</v>
      </c>
      <c r="E5" s="11"/>
    </row>
    <row r="6" spans="2:8" x14ac:dyDescent="0.25">
      <c r="B6" s="1" t="s">
        <v>5</v>
      </c>
      <c r="C6" s="27">
        <v>6214</v>
      </c>
      <c r="D6" s="28">
        <v>46621</v>
      </c>
    </row>
    <row r="7" spans="2:8" x14ac:dyDescent="0.25">
      <c r="B7" s="1" t="s">
        <v>6</v>
      </c>
      <c r="C7" s="27">
        <v>4951</v>
      </c>
      <c r="D7" s="28">
        <v>15789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2915</v>
      </c>
      <c r="D9" s="28">
        <v>448</v>
      </c>
      <c r="E9" s="14"/>
      <c r="F9" s="7"/>
    </row>
    <row r="10" spans="2:8" x14ac:dyDescent="0.25">
      <c r="B10" s="3" t="s">
        <v>8</v>
      </c>
      <c r="C10" s="8">
        <f>SUM(C5:C9)</f>
        <v>25230</v>
      </c>
      <c r="D10" s="4">
        <f>SUM(D5:D9)</f>
        <v>95769.64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4784</v>
      </c>
      <c r="D14" s="28">
        <v>62775.799999999996</v>
      </c>
    </row>
    <row r="15" spans="2:8" x14ac:dyDescent="0.25">
      <c r="B15" s="1" t="s">
        <v>5</v>
      </c>
      <c r="C15" s="26">
        <v>660</v>
      </c>
      <c r="D15" s="28">
        <v>4825</v>
      </c>
    </row>
    <row r="16" spans="2:8" x14ac:dyDescent="0.25">
      <c r="B16" s="1" t="s">
        <v>6</v>
      </c>
      <c r="C16" s="26">
        <v>3418</v>
      </c>
      <c r="D16" s="28">
        <v>6404</v>
      </c>
    </row>
    <row r="17" spans="2:4" x14ac:dyDescent="0.25">
      <c r="B17" s="9" t="s">
        <v>7</v>
      </c>
      <c r="C17" s="26">
        <v>26</v>
      </c>
      <c r="D17" s="28">
        <v>300</v>
      </c>
    </row>
    <row r="18" spans="2:4" x14ac:dyDescent="0.25">
      <c r="B18" s="10" t="s">
        <v>8</v>
      </c>
      <c r="C18" s="8">
        <f>SUM(C14:C17)</f>
        <v>8888</v>
      </c>
      <c r="D18" s="4">
        <f>SUM(D14:D17)</f>
        <v>74304.799999999988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9">
        <v>0</v>
      </c>
    </row>
    <row r="23" spans="2:4" x14ac:dyDescent="0.25">
      <c r="B23" s="1" t="s">
        <v>5</v>
      </c>
      <c r="C23">
        <v>8</v>
      </c>
      <c r="D23" s="28">
        <v>2100</v>
      </c>
    </row>
    <row r="24" spans="2:4" x14ac:dyDescent="0.25">
      <c r="B24" s="1" t="s">
        <v>6</v>
      </c>
      <c r="C24">
        <v>1</v>
      </c>
      <c r="D24" s="25">
        <v>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5419</v>
      </c>
    </row>
    <row r="27" spans="2:4" x14ac:dyDescent="0.25">
      <c r="B27" s="3" t="s">
        <v>8</v>
      </c>
      <c r="C27" s="8">
        <f>SUM(C22:C26)</f>
        <v>319</v>
      </c>
      <c r="D27" s="4">
        <f>SUM(D22:D26)</f>
        <v>7519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2</v>
      </c>
      <c r="D31" s="25">
        <v>0</v>
      </c>
    </row>
    <row r="32" spans="2:4" x14ac:dyDescent="0.25">
      <c r="B32" s="9" t="s">
        <v>5</v>
      </c>
      <c r="C32">
        <v>1</v>
      </c>
      <c r="D32" s="25">
        <v>0</v>
      </c>
    </row>
    <row r="33" spans="2:4" x14ac:dyDescent="0.25">
      <c r="B33" s="9" t="s">
        <v>7</v>
      </c>
      <c r="C33">
        <v>167</v>
      </c>
      <c r="D33" s="28">
        <v>2312</v>
      </c>
    </row>
    <row r="34" spans="2:4" x14ac:dyDescent="0.25">
      <c r="B34" s="10" t="s">
        <v>8</v>
      </c>
      <c r="C34" s="8">
        <f>SUM(C31:C33)</f>
        <v>170</v>
      </c>
      <c r="D34" s="4">
        <f>SUM(D31:D33)</f>
        <v>2312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>
        <v>3</v>
      </c>
      <c r="D38" s="25">
        <v>0</v>
      </c>
    </row>
    <row r="39" spans="2:4" x14ac:dyDescent="0.25">
      <c r="B39" s="1" t="s">
        <v>5</v>
      </c>
      <c r="C39" s="25">
        <v>0</v>
      </c>
      <c r="D39" s="25">
        <v>0</v>
      </c>
    </row>
    <row r="40" spans="2:4" x14ac:dyDescent="0.25">
      <c r="B40" s="1" t="s">
        <v>6</v>
      </c>
      <c r="C40">
        <v>2</v>
      </c>
      <c r="D40" s="25">
        <v>0</v>
      </c>
    </row>
    <row r="41" spans="2:4" x14ac:dyDescent="0.25">
      <c r="B41" s="1" t="s">
        <v>7</v>
      </c>
      <c r="C41">
        <v>331</v>
      </c>
      <c r="D41" s="28">
        <v>988</v>
      </c>
    </row>
    <row r="42" spans="2:4" x14ac:dyDescent="0.25">
      <c r="B42" s="3" t="s">
        <v>8</v>
      </c>
      <c r="C42" s="8">
        <f>SUM(C38:C41)</f>
        <v>336</v>
      </c>
      <c r="D42" s="4">
        <f>SUM(D38:D41)</f>
        <v>988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9">
        <v>0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35010</v>
      </c>
      <c r="D50" s="13">
        <f>SUMIF(B:B, "Total general", D:D)</f>
        <v>180893.44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13210</v>
      </c>
      <c r="D3" s="14">
        <f>SUMIF('CDC-OLGUIN'!B:B, "Extrajudicial - 0 a 28 semanas de atraso", 'CDC-OLGUIN'!D:D)</f>
        <v>95687.44</v>
      </c>
    </row>
    <row r="4" spans="2:6" x14ac:dyDescent="0.25">
      <c r="B4" s="1" t="s">
        <v>5</v>
      </c>
      <c r="C4" s="6">
        <f>SUMIF('CDC-OLGUIN'!B:B, "Extrajudicial - 29 a 39 semanas de atraso", 'CDC-OLGUIN'!C:C)</f>
        <v>6883</v>
      </c>
      <c r="D4" s="14">
        <f>SUMIF('CDC-OLGUIN'!B:B, "Extrajudicial - 29 a 39 semanas de atraso", 'CDC-OLGUIN'!D:D)</f>
        <v>53546</v>
      </c>
    </row>
    <row r="5" spans="2:6" x14ac:dyDescent="0.25">
      <c r="B5" s="1" t="s">
        <v>6</v>
      </c>
      <c r="C5" s="6">
        <f>SUMIF('CDC-OLGUIN'!B:B, "Extrajudicial - 40 a 55 semanas de atraso", 'CDC-OLGUIN'!C:C)</f>
        <v>8372</v>
      </c>
      <c r="D5" s="14">
        <f>SUMIF('CDC-OLGUIN'!B:B, "Extrajudicial - 40 a 55 semanas de atraso", 'CDC-OLGUIN'!D:D)</f>
        <v>22193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3806</v>
      </c>
      <c r="D7" s="6">
        <f>SUMIF('CDC-OLGUIN'!B:B, "Mas 55 semanas de atraso", 'CDC-OLGUIN'!D:D)</f>
        <v>9467</v>
      </c>
      <c r="E7" s="14"/>
      <c r="F7" s="7"/>
    </row>
    <row r="8" spans="2:6" x14ac:dyDescent="0.25">
      <c r="B8" s="3" t="s">
        <v>8</v>
      </c>
      <c r="C8" s="8">
        <f>SUM(C3:C7)</f>
        <v>35010</v>
      </c>
      <c r="D8" s="4">
        <f>SUM(D3:D7)</f>
        <v>180893.44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11915</v>
      </c>
      <c r="E6" s="16">
        <f>SUMIF('REPORTE DIARIO'!B:B,'EPR 26 JUN'!C6, 'REPORTE DIARIO'!D:D)</f>
        <v>250309.81</v>
      </c>
      <c r="F6" s="16">
        <f>J6*D6</f>
        <v>748942.85714285716</v>
      </c>
      <c r="G6" s="16">
        <f>+E6-F6</f>
        <v>-498633.04714285716</v>
      </c>
      <c r="H6" s="15">
        <f>ABS(G6/F6)</f>
        <v>0.66578249914164733</v>
      </c>
      <c r="I6" s="16">
        <f>E6/D6</f>
        <v>21.007957196810743</v>
      </c>
      <c r="J6" s="16">
        <f>(220/7)*2</f>
        <v>62.857142857142854</v>
      </c>
      <c r="K6" s="16">
        <f>+I6-J6</f>
        <v>-41.849185660332111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6026</v>
      </c>
      <c r="E7" s="16">
        <f>SUMIF('REPORTE DIARIO'!B:B,'EPR 26 JUN'!C7, 'REPORTE DIARIO'!D:D)</f>
        <v>134596.10999999999</v>
      </c>
      <c r="F7" s="16">
        <f>J7*D7</f>
        <v>189388.57142857142</v>
      </c>
      <c r="G7" s="16">
        <f>+E7-F7</f>
        <v>-54792.461428571434</v>
      </c>
      <c r="H7" s="15">
        <f>ABS(G7/F7)</f>
        <v>0.28931239628277466</v>
      </c>
      <c r="I7" s="16">
        <f>E7/D7</f>
        <v>22.33589611682708</v>
      </c>
      <c r="J7" s="16">
        <f>(110/7)*2</f>
        <v>31.428571428571427</v>
      </c>
      <c r="K7" s="16">
        <f t="shared" ref="K7:K9" si="0">+I7-J7</f>
        <v>-9.0926753117443475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12954</v>
      </c>
      <c r="E8" s="16">
        <f>SUMIF('REPORTE DIARIO'!B:B,'EPR 26 JUN'!C8, 'REPORTE DIARIO'!D:D)</f>
        <v>87800.59</v>
      </c>
      <c r="F8" s="16">
        <f>J8*D8</f>
        <v>166551.42857142858</v>
      </c>
      <c r="G8" s="16">
        <f>+E8-F8</f>
        <v>-78750.838571428583</v>
      </c>
      <c r="H8" s="15">
        <f>ABS(G8/F8)</f>
        <v>0.47283196095586094</v>
      </c>
      <c r="I8" s="16">
        <f>E8/D8</f>
        <v>6.7778747877103598</v>
      </c>
      <c r="J8" s="16">
        <f>(45/7)*2</f>
        <v>12.857142857142858</v>
      </c>
      <c r="K8" s="16">
        <f t="shared" si="0"/>
        <v>-6.0792680694324979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56387</v>
      </c>
      <c r="E9" s="16">
        <f>SUMIF('REPORTE DIARIO'!B:B,'EPR 26 JUN'!C9, 'REPORTE DIARIO'!D:D)</f>
        <v>183887.48</v>
      </c>
      <c r="F9" s="16">
        <f>J9*D9</f>
        <v>241658.57142857142</v>
      </c>
      <c r="G9" s="16">
        <f>+E9-F9</f>
        <v>-57771.09142857141</v>
      </c>
      <c r="H9" s="15">
        <f>ABS(G9/F9)</f>
        <v>0.23906080006620906</v>
      </c>
      <c r="I9" s="16">
        <f>E9/D9</f>
        <v>3.261167999716247</v>
      </c>
      <c r="J9" s="16">
        <f>(15/7)*2</f>
        <v>4.2857142857142856</v>
      </c>
      <c r="K9" s="16">
        <f t="shared" si="0"/>
        <v>-1.0245462859980385</v>
      </c>
    </row>
    <row r="10" spans="2:12" x14ac:dyDescent="0.25">
      <c r="B10" s="16"/>
      <c r="C10" s="19" t="s">
        <v>16</v>
      </c>
      <c r="D10" s="24">
        <f>SUM(D6:D9)</f>
        <v>87282</v>
      </c>
      <c r="E10" s="20">
        <f>SUM(E6:E9)</f>
        <v>656593.99</v>
      </c>
      <c r="F10" s="20">
        <f>SUM(F6:F9)</f>
        <v>1346541.4285714286</v>
      </c>
      <c r="G10" s="20">
        <f>+E10-F10</f>
        <v>-689947.43857142865</v>
      </c>
      <c r="H10" s="21">
        <f>ABS(G10/F10)</f>
        <v>0.51238485792702793</v>
      </c>
      <c r="I10" s="20">
        <f>E10/D10</f>
        <v>7.5226735180220432</v>
      </c>
      <c r="J10" s="20">
        <f>F10/D10</f>
        <v>15.427481365819169</v>
      </c>
      <c r="K10" s="20">
        <f>I10-J10</f>
        <v>-7.9048078477971258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2025-10-15T01:56:13Z</dcterms:modified>
</cp:coreProperties>
</file>