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7 OCT\NOCHE\"/>
    </mc:Choice>
  </mc:AlternateContent>
  <xr:revisionPtr revIDLastSave="0" documentId="13_ncr:1_{E68E28D3-0F56-4E3B-B4D4-E8EFA62A999E}" xr6:coauthVersionLast="47" xr6:coauthVersionMax="47" xr10:uidLastSave="{00000000-0000-0000-0000-000000000000}"/>
  <bookViews>
    <workbookView xWindow="9930" yWindow="993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5" l="1"/>
  <c r="C35" i="5"/>
  <c r="D42" i="5"/>
  <c r="C42" i="5"/>
  <c r="D27" i="5"/>
  <c r="C27" i="5"/>
  <c r="C42" i="1"/>
  <c r="D42" i="1"/>
  <c r="D18" i="1"/>
  <c r="C18" i="1"/>
  <c r="C34" i="1"/>
  <c r="D18" i="5"/>
  <c r="C18" i="5"/>
  <c r="D26" i="1"/>
  <c r="C26" i="1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<sst xmlns="http://schemas.openxmlformats.org/spreadsheetml/2006/main" count="139" uniqueCount="37">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</sst>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6306</v>
      </c>
      <c r="D5" s="28">
        <v>411236.35</v>
      </c>
    </row>
    <row r="6" spans="2:8" x14ac:dyDescent="0.25">
      <c r="B6" s="1" t="s">
        <v>5</v>
      </c>
      <c r="C6" s="6">
        <v>3342</v>
      </c>
      <c r="D6" s="28">
        <v>232997.16</v>
      </c>
    </row>
    <row r="7" spans="2:8" x14ac:dyDescent="0.25">
      <c r="B7" s="1" t="s">
        <v>6</v>
      </c>
      <c r="C7" s="6">
        <v>7785</v>
      </c>
      <c r="D7" s="28">
        <v>195607.37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37925</v>
      </c>
      <c r="D9" s="28">
        <v>313536.09000000003</v>
      </c>
      <c r="E9" s="14"/>
      <c r="F9" s="7"/>
    </row>
    <row r="10" spans="2:8" x14ac:dyDescent="0.25">
      <c r="B10" s="3" t="s">
        <v>8</v>
      </c>
      <c r="C10" s="8">
        <f>SUM(C5:C9)</f>
        <v>56397</v>
      </c>
      <c r="D10" s="4">
        <f>SUM(D5:D9)</f>
        <v>1153376.97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127</v>
      </c>
      <c r="D14" s="28">
        <v>43669.599999999999</v>
      </c>
    </row>
    <row r="15" spans="2:8" x14ac:dyDescent="0.25">
      <c r="B15" s="1" t="s">
        <v>5</v>
      </c>
      <c r="C15" s="6">
        <v>285</v>
      </c>
      <c r="D15" s="28">
        <v>50978.89</v>
      </c>
    </row>
    <row r="16" spans="2:8" x14ac:dyDescent="0.25">
      <c r="B16" s="1" t="s">
        <v>6</v>
      </c>
      <c r="C16" s="6">
        <v>395</v>
      </c>
      <c r="D16" s="28">
        <v>29728</v>
      </c>
    </row>
    <row r="17" spans="2:4" x14ac:dyDescent="0.25">
      <c r="B17" s="1" t="s">
        <v>7</v>
      </c>
      <c r="C17" s="7">
        <v>15154</v>
      </c>
      <c r="D17" s="28">
        <v>87759.78</v>
      </c>
    </row>
    <row r="18" spans="2:4" x14ac:dyDescent="0.25">
      <c r="B18" s="3" t="s">
        <v>8</v>
      </c>
      <c r="C18" s="8">
        <f>SUM(C14:C17)</f>
        <v>15961</v>
      </c>
      <c r="D18" s="4">
        <f>SUM(D14:D17)</f>
        <v>212136.27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5001</v>
      </c>
      <c r="D22" s="28">
        <v>149969.72</v>
      </c>
    </row>
    <row r="23" spans="2:4" x14ac:dyDescent="0.25">
      <c r="B23" s="1" t="s">
        <v>5</v>
      </c>
      <c r="C23" s="6">
        <v>1339</v>
      </c>
      <c r="D23" s="28">
        <v>26104</v>
      </c>
    </row>
    <row r="24" spans="2:4" x14ac:dyDescent="0.25">
      <c r="B24" s="1" t="s">
        <v>6</v>
      </c>
      <c r="C24" s="6">
        <v>3826</v>
      </c>
      <c r="D24" s="28">
        <v>25178.91</v>
      </c>
    </row>
    <row r="25" spans="2:4" x14ac:dyDescent="0.25">
      <c r="B25" s="1" t="s">
        <v>7</v>
      </c>
      <c r="C25" s="6">
        <v>1029</v>
      </c>
      <c r="D25" s="28">
        <v>399</v>
      </c>
    </row>
    <row r="26" spans="2:4" x14ac:dyDescent="0.25">
      <c r="B26" s="10" t="s">
        <v>8</v>
      </c>
      <c r="C26" s="8">
        <f>SUM(C22:C25)</f>
        <v>11195</v>
      </c>
      <c r="D26" s="4">
        <f>SUM(D22:D25)</f>
        <v>201651.63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352</v>
      </c>
      <c r="D30" s="28">
        <v>27796.11</v>
      </c>
    </row>
    <row r="31" spans="2:4" x14ac:dyDescent="0.25">
      <c r="B31" s="9" t="s">
        <v>5</v>
      </c>
      <c r="C31" s="6">
        <v>1327</v>
      </c>
      <c r="D31" s="28">
        <v>48086.11</v>
      </c>
    </row>
    <row r="32" spans="2:4" x14ac:dyDescent="0.25">
      <c r="B32" s="9" t="s">
        <v>6</v>
      </c>
      <c r="C32" s="6">
        <v>145</v>
      </c>
      <c r="D32" s="28">
        <v>31116.59</v>
      </c>
    </row>
    <row r="33" spans="2:4" x14ac:dyDescent="0.25">
      <c r="B33" s="9" t="s">
        <v>7</v>
      </c>
      <c r="C33" s="6">
        <v>1193</v>
      </c>
      <c r="D33" s="28">
        <v>37916.839999999997</v>
      </c>
    </row>
    <row r="34" spans="2:4" x14ac:dyDescent="0.25">
      <c r="B34" s="10" t="s">
        <v>8</v>
      </c>
      <c r="C34" s="8">
        <f>SUM(C30:C33)</f>
        <v>3017</v>
      </c>
      <c r="D34" s="4">
        <f>SUM(D30:D33)</f>
        <v>144915.65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23</v>
      </c>
      <c r="D38" s="28">
        <v>825</v>
      </c>
    </row>
    <row r="39" spans="2:4" x14ac:dyDescent="0.25">
      <c r="B39" s="1" t="s">
        <v>5</v>
      </c>
      <c r="C39" s="6">
        <v>42</v>
      </c>
      <c r="D39" s="29">
        <v>0</v>
      </c>
    </row>
    <row r="40" spans="2:4" x14ac:dyDescent="0.25">
      <c r="B40" s="1" t="s">
        <v>6</v>
      </c>
      <c r="C40" s="6">
        <v>4</v>
      </c>
      <c r="D40" s="28">
        <v>970</v>
      </c>
    </row>
    <row r="41" spans="2:4" x14ac:dyDescent="0.25">
      <c r="B41" s="1" t="s">
        <v>7</v>
      </c>
      <c r="C41" s="6">
        <v>743</v>
      </c>
      <c r="D41" s="28">
        <v>14044</v>
      </c>
    </row>
    <row r="42" spans="2:4" x14ac:dyDescent="0.25">
      <c r="B42" s="3" t="s">
        <v>8</v>
      </c>
      <c r="C42" s="8">
        <f>SUM(C38:C41)</f>
        <v>812</v>
      </c>
      <c r="D42" s="4">
        <f>SUM(D38:D41)</f>
        <v>15839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87382</v>
      </c>
      <c r="D50" s="13">
        <f>SUMIF(B:B, "Total general", D:D)</f>
        <v>1727919.52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10" sqref="C1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8532</v>
      </c>
      <c r="D5" s="28">
        <v>125741.31</v>
      </c>
      <c r="E5" s="11"/>
    </row>
    <row r="6" spans="2:8" x14ac:dyDescent="0.25">
      <c r="B6" s="1" t="s">
        <v>5</v>
      </c>
      <c r="C6" s="27">
        <v>6177</v>
      </c>
      <c r="D6" s="28">
        <v>74363</v>
      </c>
    </row>
    <row r="7" spans="2:8" x14ac:dyDescent="0.25">
      <c r="B7" s="1" t="s">
        <v>6</v>
      </c>
      <c r="C7" s="27">
        <v>5025</v>
      </c>
      <c r="D7" s="28">
        <v>106476.37</v>
      </c>
    </row>
    <row r="8" spans="2:8" x14ac:dyDescent="0.25">
      <c r="B8" s="5" t="s">
        <v>11</v>
      </c>
      <c r="C8" s="27">
        <v>2739</v>
      </c>
      <c r="D8" s="28">
        <v>100</v>
      </c>
    </row>
    <row r="9" spans="2:8" x14ac:dyDescent="0.25">
      <c r="B9" s="1" t="s">
        <v>7</v>
      </c>
      <c r="C9" s="27">
        <v>2916</v>
      </c>
      <c r="D9" s="28">
        <v>25972.45</v>
      </c>
      <c r="E9" s="14"/>
      <c r="F9" s="7"/>
    </row>
    <row r="10" spans="2:8" x14ac:dyDescent="0.25">
      <c r="B10" s="3" t="s">
        <v>8</v>
      </c>
      <c r="C10" s="8">
        <f>SUM(C5:C9)</f>
        <v>25389</v>
      </c>
      <c r="D10" s="4">
        <f>SUM(D5:D9)</f>
        <v>332653.13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4900</v>
      </c>
      <c r="D14" s="28">
        <v>147929.72</v>
      </c>
    </row>
    <row r="15" spans="2:8" x14ac:dyDescent="0.25">
      <c r="B15" s="1" t="s">
        <v>5</v>
      </c>
      <c r="C15" s="26">
        <v>769</v>
      </c>
      <c r="D15" s="28">
        <v>21333</v>
      </c>
    </row>
    <row r="16" spans="2:8" x14ac:dyDescent="0.25">
      <c r="B16" s="1" t="s">
        <v>6</v>
      </c>
      <c r="C16" s="26">
        <v>3525</v>
      </c>
      <c r="D16" s="28">
        <v>23512.91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9220</v>
      </c>
      <c r="D18" s="4">
        <f>SUM(D14:D17)</f>
        <v>193174.63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28">
        <v>2556</v>
      </c>
    </row>
    <row r="23" spans="2:4" x14ac:dyDescent="0.25">
      <c r="B23" s="1" t="s">
        <v>5</v>
      </c>
      <c r="C23">
        <v>68</v>
      </c>
      <c r="D23" s="28">
        <v>2100</v>
      </c>
    </row>
    <row r="24" spans="2:4" x14ac:dyDescent="0.25">
      <c r="B24" s="1" t="s">
        <v>6</v>
      </c>
      <c r="C24">
        <v>1</v>
      </c>
      <c r="D24" s="28">
        <v>800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6019.04</v>
      </c>
    </row>
    <row r="27" spans="2:4" x14ac:dyDescent="0.25">
      <c r="B27" s="3" t="s">
        <v>8</v>
      </c>
      <c r="C27" s="8">
        <f>SUM(C22:C26)</f>
        <v>379</v>
      </c>
      <c r="D27" s="4">
        <f>SUM(D22:D26)</f>
        <v>11475.04</v>
      </c>
    </row>
    <row r="29" spans="2:4" x14ac:dyDescent="0.25">
      <c r="B29" s="30" t="s">
        <v>34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1331</v>
      </c>
    </row>
    <row r="32" spans="2:4" x14ac:dyDescent="0.25">
      <c r="B32" s="1" t="s">
        <v>5</v>
      </c>
      <c r="C32" s="25">
        <v>0</v>
      </c>
      <c r="D32" s="25">
        <v>0</v>
      </c>
    </row>
    <row r="33" spans="2:4" x14ac:dyDescent="0.25">
      <c r="B33" s="1" t="s">
        <v>6</v>
      </c>
      <c r="C33">
        <v>2</v>
      </c>
      <c r="D33" s="25">
        <v>0</v>
      </c>
    </row>
    <row r="34" spans="2:4" x14ac:dyDescent="0.25">
      <c r="B34" s="1" t="s">
        <v>7</v>
      </c>
      <c r="C34">
        <v>331</v>
      </c>
      <c r="D34" s="28">
        <v>1498</v>
      </c>
    </row>
    <row r="35" spans="2:4" x14ac:dyDescent="0.25">
      <c r="B35" s="3" t="s">
        <v>8</v>
      </c>
      <c r="C35" s="8">
        <f>SUM(C31:C34)</f>
        <v>336</v>
      </c>
      <c r="D35" s="4">
        <f>SUM(D31:D34)</f>
        <v>2829</v>
      </c>
    </row>
    <row r="37" spans="2:4" x14ac:dyDescent="0.25">
      <c r="B37" s="31" t="s">
        <v>9</v>
      </c>
      <c r="C37" s="31"/>
      <c r="D37" s="31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>
        <v>2</v>
      </c>
      <c r="D39" s="28">
        <v>9</v>
      </c>
    </row>
    <row r="40" spans="2:4" x14ac:dyDescent="0.25">
      <c r="B40" s="9" t="s">
        <v>5</v>
      </c>
      <c r="C40">
        <v>1</v>
      </c>
      <c r="D40" s="25">
        <v>0</v>
      </c>
    </row>
    <row r="41" spans="2:4" x14ac:dyDescent="0.25">
      <c r="B41" s="9" t="s">
        <v>7</v>
      </c>
      <c r="C41">
        <v>167</v>
      </c>
      <c r="D41" s="28">
        <v>2312</v>
      </c>
    </row>
    <row r="42" spans="2:4" x14ac:dyDescent="0.25">
      <c r="B42" s="10" t="s">
        <v>8</v>
      </c>
      <c r="C42" s="8">
        <f>SUM(C39:C41)</f>
        <v>170</v>
      </c>
      <c r="D42" s="4">
        <f>SUM(D39:D41)</f>
        <v>2321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9">
        <v>0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0</v>
      </c>
    </row>
    <row r="50" spans="2:4" x14ac:dyDescent="0.25">
      <c r="B50" s="12" t="s">
        <v>12</v>
      </c>
      <c r="C50" s="13">
        <f>SUMIF(B:B, "Total general", C:C)</f>
        <v>35561</v>
      </c>
      <c r="D50" s="13">
        <f>SUMIF(B:B, "Total general", D:D)</f>
        <v>542452.80000000005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13447</v>
      </c>
      <c r="D3" s="14">
        <f>SUMIF('CDC-OLGUIN'!B:B, "Extrajudicial - 0 a 28 semanas de atraso", 'CDC-OLGUIN'!D:D)</f>
        <v>277567.03000000003</v>
      </c>
    </row>
    <row r="4" spans="2:6" x14ac:dyDescent="0.25">
      <c r="B4" s="1" t="s">
        <v>5</v>
      </c>
      <c r="C4" s="6">
        <f>SUMIF('CDC-OLGUIN'!B:B, "Extrajudicial - 29 a 39 semanas de atraso", 'CDC-OLGUIN'!C:C)</f>
        <v>7015</v>
      </c>
      <c r="D4" s="14">
        <f>SUMIF('CDC-OLGUIN'!B:B, "Extrajudicial - 29 a 39 semanas de atraso", 'CDC-OLGUIN'!D:D)</f>
        <v>97796</v>
      </c>
    </row>
    <row r="5" spans="2:6" x14ac:dyDescent="0.25">
      <c r="B5" s="1" t="s">
        <v>6</v>
      </c>
      <c r="C5" s="6">
        <f>SUMIF('CDC-OLGUIN'!B:B, "Extrajudicial - 40 a 55 semanas de atraso", 'CDC-OLGUIN'!C:C)</f>
        <v>8553</v>
      </c>
      <c r="D5" s="14">
        <f>SUMIF('CDC-OLGUIN'!B:B, "Extrajudicial - 40 a 55 semanas de atraso", 'CDC-OLGUIN'!D:D)</f>
        <v>130789.28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</v>
      </c>
    </row>
    <row r="7" spans="2:6" x14ac:dyDescent="0.25">
      <c r="B7" s="1" t="s">
        <v>7</v>
      </c>
      <c r="C7" s="6">
        <f>SUMIF('CDC-OLGUIN'!B:B, "Mas 55 semanas de atraso", 'CDC-OLGUIN'!C:C)</f>
        <v>3807</v>
      </c>
      <c r="D7" s="6">
        <f>SUMIF('CDC-OLGUIN'!B:B, "Mas 55 semanas de atraso", 'CDC-OLGUIN'!D:D)</f>
        <v>36200.490000000005</v>
      </c>
      <c r="E7" s="14"/>
      <c r="F7" s="7"/>
    </row>
    <row r="8" spans="2:6" x14ac:dyDescent="0.25">
      <c r="B8" s="3" t="s">
        <v>8</v>
      </c>
      <c r="C8" s="8">
        <f>SUM(C3:C7)</f>
        <v>35561</v>
      </c>
      <c r="D8" s="4">
        <f>SUM(D3:D7)</f>
        <v>542452.80000000005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11809</v>
      </c>
      <c r="E6" s="16">
        <f>SUMIF('REPORTE DIARIO'!B:B,'EPR 26 JUN'!C6, 'REPORTE DIARIO'!D:D)</f>
        <v>633496.77999999991</v>
      </c>
      <c r="F6" s="16">
        <f>J6*D6</f>
        <v>742280</v>
      </c>
      <c r="G6" s="16">
        <f>+E6-F6</f>
        <v>-108783.22000000009</v>
      </c>
      <c r="H6" s="15">
        <f>ABS(G6/F6)</f>
        <v>0.14655281026027925</v>
      </c>
      <c r="I6" s="16">
        <f>E6/D6</f>
        <v>53.645251926496734</v>
      </c>
      <c r="J6" s="16">
        <f>(220/7)*2</f>
        <v>62.857142857142854</v>
      </c>
      <c r="K6" s="16">
        <f>+I6-J6</f>
        <v>-9.2118909306461205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6335</v>
      </c>
      <c r="E7" s="16">
        <f>SUMIF('REPORTE DIARIO'!B:B,'EPR 26 JUN'!C7, 'REPORTE DIARIO'!D:D)</f>
        <v>358166.16</v>
      </c>
      <c r="F7" s="16">
        <f>J7*D7</f>
        <v>199100</v>
      </c>
      <c r="G7" s="16">
        <f>+E7-F7</f>
        <v>159066.15999999997</v>
      </c>
      <c r="H7" s="15">
        <f>ABS(G7/F7)</f>
        <v>0.79892596685082862</v>
      </c>
      <c r="I7" s="16">
        <f>E7/D7</f>
        <v>56.537673243883184</v>
      </c>
      <c r="J7" s="16">
        <f>(110/7)*2</f>
        <v>31.428571428571427</v>
      </c>
      <c r="K7" s="16">
        <f t="shared" ref="K7:K9" si="0">+I7-J7</f>
        <v>25.109101815311757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12155</v>
      </c>
      <c r="E8" s="16">
        <f>SUMIF('REPORTE DIARIO'!B:B,'EPR 26 JUN'!C8, 'REPORTE DIARIO'!D:D)</f>
        <v>282600.87</v>
      </c>
      <c r="F8" s="16">
        <f>J8*D8</f>
        <v>156278.57142857142</v>
      </c>
      <c r="G8" s="16">
        <f>+E8-F8</f>
        <v>126322.29857142858</v>
      </c>
      <c r="H8" s="15">
        <f>ABS(G8/F8)</f>
        <v>0.80831490470314005</v>
      </c>
      <c r="I8" s="16">
        <f>E8/D8</f>
        <v>23.249763060468943</v>
      </c>
      <c r="J8" s="16">
        <f>(45/7)*2</f>
        <v>12.857142857142858</v>
      </c>
      <c r="K8" s="16">
        <f t="shared" si="0"/>
        <v>10.392620203326086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56044</v>
      </c>
      <c r="E9" s="16">
        <f>SUMIF('REPORTE DIARIO'!B:B,'EPR 26 JUN'!C9, 'REPORTE DIARIO'!D:D)</f>
        <v>453655.70999999996</v>
      </c>
      <c r="F9" s="16">
        <f>J9*D9</f>
        <v>240188.57142857142</v>
      </c>
      <c r="G9" s="16">
        <f>+E9-F9</f>
        <v>213467.13857142854</v>
      </c>
      <c r="H9" s="15">
        <f>ABS(G9/F9)</f>
        <v>0.88874810862893427</v>
      </c>
      <c r="I9" s="16">
        <f>E9/D9</f>
        <v>8.0946347512668613</v>
      </c>
      <c r="J9" s="16">
        <f>(15/7)*2</f>
        <v>4.2857142857142856</v>
      </c>
      <c r="K9" s="16">
        <f t="shared" si="0"/>
        <v>3.8089204655525757</v>
      </c>
    </row>
    <row r="10" spans="2:12" x14ac:dyDescent="0.25">
      <c r="B10" s="16"/>
      <c r="C10" s="19" t="s">
        <v>16</v>
      </c>
      <c r="D10" s="24">
        <f>SUM(D6:D9)</f>
        <v>86343</v>
      </c>
      <c r="E10" s="20">
        <f>SUM(E6:E9)</f>
        <v>1727919.52</v>
      </c>
      <c r="F10" s="20">
        <f>SUM(F6:F9)</f>
        <v>1337847.1428571427</v>
      </c>
      <c r="G10" s="20">
        <f>+E10-F10</f>
        <v>390072.37714285729</v>
      </c>
      <c r="H10" s="21">
        <f>ABS(G10/F10)</f>
        <v>0.29156722367385568</v>
      </c>
      <c r="I10" s="20">
        <f>E10/D10</f>
        <v>20.012271058452914</v>
      </c>
      <c r="J10" s="20">
        <f>F10/D10</f>
        <v>15.494564039437392</v>
      </c>
      <c r="K10" s="20">
        <f>I10-J10</f>
        <v>4.5177070190155213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2025-10-18T02:26:27Z</dcterms:modified>
</cp:coreProperties>
</file>