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NOCHE\"/>
    </mc:Choice>
  </mc:AlternateContent>
  <xr:revisionPtr revIDLastSave="0" documentId="13_ncr:1_{B543B2B6-DD2B-4427-90A8-CC793CFBB0E3}" xr6:coauthVersionLast="47" xr6:coauthVersionMax="47" xr10:uidLastSave="{00000000-0000-0000-0000-000000000000}"/>
  <bookViews>
    <workbookView xWindow="9120" yWindow="912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D26" i="1"/>
  <c r="D35" i="5"/>
  <c r="C35" i="5"/>
  <c r="D42" i="5"/>
  <c r="C42" i="5"/>
  <c r="D27" i="5"/>
  <c r="C27" i="5"/>
  <c r="C42" i="1"/>
  <c r="D42" i="1"/>
  <c r="D18" i="1"/>
  <c r="C18" i="1"/>
  <c r="C34" i="1"/>
  <c r="D18" i="5"/>
  <c r="C18" i="5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<sst xmlns="http://schemas.openxmlformats.org/spreadsheetml/2006/main" count="139" uniqueCount="37">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</sst>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C42" sqref="C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6422</v>
      </c>
      <c r="D5" s="28">
        <v>535557.90999999992</v>
      </c>
    </row>
    <row r="6" spans="2:8" x14ac:dyDescent="0.25">
      <c r="B6" s="1" t="s">
        <v>5</v>
      </c>
      <c r="C6" s="6">
        <v>3806</v>
      </c>
      <c r="D6" s="28">
        <v>376996.81</v>
      </c>
    </row>
    <row r="7" spans="2:8" x14ac:dyDescent="0.25">
      <c r="B7" s="1" t="s">
        <v>6</v>
      </c>
      <c r="C7" s="6">
        <v>7928</v>
      </c>
      <c r="D7" s="28">
        <v>275068.37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37945</v>
      </c>
      <c r="D9" s="28">
        <v>483039.3</v>
      </c>
      <c r="E9" s="14"/>
      <c r="F9" s="7"/>
    </row>
    <row r="10" spans="2:8" x14ac:dyDescent="0.25">
      <c r="B10" s="3" t="s">
        <v>8</v>
      </c>
      <c r="C10" s="8">
        <f>SUM(C5:C9)</f>
        <v>57140</v>
      </c>
      <c r="D10" s="4">
        <f>SUM(D5:D9)</f>
        <v>1670662.39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113</v>
      </c>
      <c r="D14" s="28">
        <v>57359.6</v>
      </c>
    </row>
    <row r="15" spans="2:8" x14ac:dyDescent="0.25">
      <c r="B15" s="1" t="s">
        <v>5</v>
      </c>
      <c r="C15" s="6">
        <v>286</v>
      </c>
      <c r="D15" s="28">
        <v>79897.89</v>
      </c>
    </row>
    <row r="16" spans="2:8" x14ac:dyDescent="0.25">
      <c r="B16" s="1" t="s">
        <v>6</v>
      </c>
      <c r="C16" s="6">
        <v>394</v>
      </c>
      <c r="D16" s="28">
        <v>43930.83</v>
      </c>
    </row>
    <row r="17" spans="2:4" x14ac:dyDescent="0.25">
      <c r="B17" s="1" t="s">
        <v>7</v>
      </c>
      <c r="C17" s="7">
        <v>15152</v>
      </c>
      <c r="D17" s="28">
        <v>108486.78</v>
      </c>
    </row>
    <row r="18" spans="2:4" x14ac:dyDescent="0.25">
      <c r="B18" s="3" t="s">
        <v>8</v>
      </c>
      <c r="C18" s="8">
        <f>SUM(C14:C17)</f>
        <v>15945</v>
      </c>
      <c r="D18" s="4">
        <f>SUM(D14:D17)</f>
        <v>289675.09999999998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4988</v>
      </c>
      <c r="D22" s="28">
        <v>187199.81</v>
      </c>
    </row>
    <row r="23" spans="2:4" x14ac:dyDescent="0.25">
      <c r="B23" s="1" t="s">
        <v>5</v>
      </c>
      <c r="C23" s="6">
        <v>1337</v>
      </c>
      <c r="D23" s="28">
        <v>43012</v>
      </c>
    </row>
    <row r="24" spans="2:4" x14ac:dyDescent="0.25">
      <c r="B24" s="1" t="s">
        <v>6</v>
      </c>
      <c r="C24" s="6">
        <v>3814</v>
      </c>
      <c r="D24" s="28">
        <v>54261.520000000004</v>
      </c>
    </row>
    <row r="25" spans="2:4" x14ac:dyDescent="0.25">
      <c r="B25" s="1" t="s">
        <v>7</v>
      </c>
      <c r="C25" s="6">
        <v>1029</v>
      </c>
      <c r="D25" s="28">
        <v>899</v>
      </c>
    </row>
    <row r="26" spans="2:4" x14ac:dyDescent="0.25">
      <c r="B26" s="10" t="s">
        <v>8</v>
      </c>
      <c r="C26" s="8">
        <f>SUM(C22:C25)</f>
        <v>11168</v>
      </c>
      <c r="D26" s="4">
        <f>SUM(D22:D25)</f>
        <v>285372.33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445</v>
      </c>
      <c r="D30" s="28">
        <v>43129.11</v>
      </c>
    </row>
    <row r="31" spans="2:4" x14ac:dyDescent="0.25">
      <c r="B31" s="9" t="s">
        <v>5</v>
      </c>
      <c r="C31" s="6">
        <v>1500</v>
      </c>
      <c r="D31" s="28">
        <v>55341.31</v>
      </c>
    </row>
    <row r="32" spans="2:4" x14ac:dyDescent="0.25">
      <c r="B32" s="9" t="s">
        <v>6</v>
      </c>
      <c r="C32" s="6">
        <v>253</v>
      </c>
      <c r="D32" s="28">
        <v>41953.59</v>
      </c>
    </row>
    <row r="33" spans="2:4" x14ac:dyDescent="0.25">
      <c r="B33" s="9" t="s">
        <v>7</v>
      </c>
      <c r="C33" s="6">
        <v>1322</v>
      </c>
      <c r="D33" s="28">
        <v>56768.709999999992</v>
      </c>
    </row>
    <row r="34" spans="2:4" x14ac:dyDescent="0.25">
      <c r="B34" s="10" t="s">
        <v>8</v>
      </c>
      <c r="C34" s="8">
        <f>SUM(C30:C33)</f>
        <v>3520</v>
      </c>
      <c r="D34" s="4">
        <f>SUM(D30:D33)</f>
        <v>197192.72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22</v>
      </c>
      <c r="D38" s="28">
        <v>3975.44</v>
      </c>
    </row>
    <row r="39" spans="2:4" x14ac:dyDescent="0.25">
      <c r="B39" s="1" t="s">
        <v>5</v>
      </c>
      <c r="C39" s="6">
        <v>42</v>
      </c>
      <c r="D39" s="28">
        <v>3043</v>
      </c>
    </row>
    <row r="40" spans="2:4" x14ac:dyDescent="0.25">
      <c r="B40" s="1" t="s">
        <v>6</v>
      </c>
      <c r="C40" s="6">
        <v>4</v>
      </c>
      <c r="D40" s="28">
        <v>3165</v>
      </c>
    </row>
    <row r="41" spans="2:4" x14ac:dyDescent="0.25">
      <c r="B41" s="1" t="s">
        <v>7</v>
      </c>
      <c r="C41" s="6">
        <v>743</v>
      </c>
      <c r="D41" s="28">
        <v>15387</v>
      </c>
    </row>
    <row r="42" spans="2:4" x14ac:dyDescent="0.25">
      <c r="B42" s="3" t="s">
        <v>8</v>
      </c>
      <c r="C42" s="8">
        <f>SUM(C38:C41)</f>
        <v>811</v>
      </c>
      <c r="D42" s="4">
        <f>SUM(D38:D41)</f>
        <v>25570.440000000002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88584</v>
      </c>
      <c r="D50" s="13">
        <f>SUMIF(B:B, "Total general", D:D)</f>
        <v>2468472.98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8613</v>
      </c>
      <c r="D5" s="28">
        <v>193967.53</v>
      </c>
      <c r="E5" s="11"/>
    </row>
    <row r="6" spans="2:8" x14ac:dyDescent="0.25">
      <c r="B6" s="1" t="s">
        <v>5</v>
      </c>
      <c r="C6" s="27">
        <v>6172</v>
      </c>
      <c r="D6" s="28">
        <v>100882</v>
      </c>
    </row>
    <row r="7" spans="2:8" x14ac:dyDescent="0.25">
      <c r="B7" s="1" t="s">
        <v>6</v>
      </c>
      <c r="C7" s="27">
        <v>5150</v>
      </c>
      <c r="D7" s="28">
        <v>141212.10000000003</v>
      </c>
    </row>
    <row r="8" spans="2:8" x14ac:dyDescent="0.25">
      <c r="B8" s="5" t="s">
        <v>11</v>
      </c>
      <c r="C8" s="27">
        <v>2739</v>
      </c>
      <c r="D8" s="28">
        <v>100</v>
      </c>
    </row>
    <row r="9" spans="2:8" x14ac:dyDescent="0.25">
      <c r="B9" s="1" t="s">
        <v>7</v>
      </c>
      <c r="C9" s="27">
        <v>2914</v>
      </c>
      <c r="D9" s="28">
        <v>39829.449999999997</v>
      </c>
      <c r="E9" s="14"/>
      <c r="F9" s="7"/>
    </row>
    <row r="10" spans="2:8" x14ac:dyDescent="0.25">
      <c r="B10" s="3" t="s">
        <v>8</v>
      </c>
      <c r="C10" s="8">
        <f>SUM(C5:C9)</f>
        <v>25588</v>
      </c>
      <c r="D10" s="4">
        <f>SUM(D5:D9)</f>
        <v>475991.08000000007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4875</v>
      </c>
      <c r="D14" s="28">
        <v>183781.80999999997</v>
      </c>
    </row>
    <row r="15" spans="2:8" x14ac:dyDescent="0.25">
      <c r="B15" s="1" t="s">
        <v>5</v>
      </c>
      <c r="C15" s="26">
        <v>766</v>
      </c>
      <c r="D15" s="28">
        <v>30128</v>
      </c>
    </row>
    <row r="16" spans="2:8" x14ac:dyDescent="0.25">
      <c r="B16" s="1" t="s">
        <v>6</v>
      </c>
      <c r="C16" s="26">
        <v>3491</v>
      </c>
      <c r="D16" s="28">
        <v>52595.520000000004</v>
      </c>
    </row>
    <row r="17" spans="2:4" x14ac:dyDescent="0.25">
      <c r="B17" s="9" t="s">
        <v>7</v>
      </c>
      <c r="C17" s="26">
        <v>26</v>
      </c>
      <c r="D17" s="28">
        <v>899</v>
      </c>
    </row>
    <row r="18" spans="2:4" x14ac:dyDescent="0.25">
      <c r="B18" s="10" t="s">
        <v>8</v>
      </c>
      <c r="C18" s="8">
        <f>SUM(C14:C17)</f>
        <v>9158</v>
      </c>
      <c r="D18" s="4">
        <f>SUM(D14:D17)</f>
        <v>267404.32999999996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206</v>
      </c>
      <c r="D22" s="28">
        <v>3907</v>
      </c>
    </row>
    <row r="23" spans="2:4" x14ac:dyDescent="0.25">
      <c r="B23" s="1" t="s">
        <v>5</v>
      </c>
      <c r="C23">
        <v>335</v>
      </c>
      <c r="D23" s="28">
        <v>4765</v>
      </c>
    </row>
    <row r="24" spans="2:4" x14ac:dyDescent="0.25">
      <c r="B24" s="1" t="s">
        <v>6</v>
      </c>
      <c r="C24">
        <v>224</v>
      </c>
      <c r="D24" s="28">
        <v>2720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14128.04</v>
      </c>
    </row>
    <row r="27" spans="2:4" x14ac:dyDescent="0.25">
      <c r="B27" s="3" t="s">
        <v>8</v>
      </c>
      <c r="C27" s="8">
        <f>SUM(C22:C26)</f>
        <v>1068</v>
      </c>
      <c r="D27" s="4">
        <f>SUM(D22:D26)</f>
        <v>25520.04</v>
      </c>
    </row>
    <row r="29" spans="2:4" x14ac:dyDescent="0.25">
      <c r="B29" s="30" t="s">
        <v>34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1331</v>
      </c>
    </row>
    <row r="32" spans="2:4" x14ac:dyDescent="0.25">
      <c r="B32" s="1" t="s">
        <v>5</v>
      </c>
      <c r="C32" s="25">
        <v>0</v>
      </c>
      <c r="D32" s="25">
        <v>0</v>
      </c>
    </row>
    <row r="33" spans="2:4" x14ac:dyDescent="0.25">
      <c r="B33" s="1" t="s">
        <v>6</v>
      </c>
      <c r="C33">
        <v>1</v>
      </c>
      <c r="D33" s="25">
        <v>0</v>
      </c>
    </row>
    <row r="34" spans="2:4" x14ac:dyDescent="0.25">
      <c r="B34" s="1" t="s">
        <v>7</v>
      </c>
      <c r="C34">
        <v>331</v>
      </c>
      <c r="D34" s="28">
        <v>2934</v>
      </c>
    </row>
    <row r="35" spans="2:4" x14ac:dyDescent="0.25">
      <c r="B35" s="3" t="s">
        <v>8</v>
      </c>
      <c r="C35" s="8">
        <f>SUM(C31:C34)</f>
        <v>335</v>
      </c>
      <c r="D35" s="4">
        <f>SUM(D31:D34)</f>
        <v>4265</v>
      </c>
    </row>
    <row r="37" spans="2:4" x14ac:dyDescent="0.25">
      <c r="B37" s="31" t="s">
        <v>9</v>
      </c>
      <c r="C37" s="31"/>
      <c r="D37" s="31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>
        <v>2</v>
      </c>
      <c r="D39" s="28">
        <v>9</v>
      </c>
    </row>
    <row r="40" spans="2:4" x14ac:dyDescent="0.25">
      <c r="B40" s="9" t="s">
        <v>5</v>
      </c>
      <c r="C40">
        <v>1</v>
      </c>
      <c r="D40" s="25">
        <v>0</v>
      </c>
    </row>
    <row r="41" spans="2:4" x14ac:dyDescent="0.25">
      <c r="B41" s="9" t="s">
        <v>7</v>
      </c>
      <c r="C41">
        <v>167</v>
      </c>
      <c r="D41" s="28">
        <v>3851</v>
      </c>
    </row>
    <row r="42" spans="2:4" x14ac:dyDescent="0.25">
      <c r="B42" s="10" t="s">
        <v>8</v>
      </c>
      <c r="C42" s="8">
        <f>SUM(C39:C41)</f>
        <v>170</v>
      </c>
      <c r="D42" s="4">
        <f>SUM(D39:D41)</f>
        <v>3860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8">
        <v>557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557</v>
      </c>
    </row>
    <row r="50" spans="2:4" x14ac:dyDescent="0.25">
      <c r="B50" s="12" t="s">
        <v>12</v>
      </c>
      <c r="C50" s="13">
        <f>SUMIF(B:B, "Total general", C:C)</f>
        <v>36386</v>
      </c>
      <c r="D50" s="13">
        <f>SUMIF(B:B, "Total general", D:D)</f>
        <v>777597.45000000007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13702</v>
      </c>
      <c r="D3" s="14">
        <f>SUMIF('CDC-OLGUIN'!B:B, "Extrajudicial - 0 a 28 semanas de atraso", 'CDC-OLGUIN'!D:D)</f>
        <v>382996.33999999997</v>
      </c>
    </row>
    <row r="4" spans="2:6" x14ac:dyDescent="0.25">
      <c r="B4" s="1" t="s">
        <v>5</v>
      </c>
      <c r="C4" s="6">
        <f>SUMIF('CDC-OLGUIN'!B:B, "Extrajudicial - 29 a 39 semanas de atraso", 'CDC-OLGUIN'!C:C)</f>
        <v>7274</v>
      </c>
      <c r="D4" s="14">
        <f>SUMIF('CDC-OLGUIN'!B:B, "Extrajudicial - 29 a 39 semanas de atraso", 'CDC-OLGUIN'!D:D)</f>
        <v>135775</v>
      </c>
    </row>
    <row r="5" spans="2:6" x14ac:dyDescent="0.25">
      <c r="B5" s="1" t="s">
        <v>6</v>
      </c>
      <c r="C5" s="6">
        <f>SUMIF('CDC-OLGUIN'!B:B, "Extrajudicial - 40 a 55 semanas de atraso", 'CDC-OLGUIN'!C:C)</f>
        <v>8866</v>
      </c>
      <c r="D5" s="14">
        <f>SUMIF('CDC-OLGUIN'!B:B, "Extrajudicial - 40 a 55 semanas de atraso", 'CDC-OLGUIN'!D:D)</f>
        <v>196527.62000000005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</v>
      </c>
    </row>
    <row r="7" spans="2:6" x14ac:dyDescent="0.25">
      <c r="B7" s="1" t="s">
        <v>7</v>
      </c>
      <c r="C7" s="6">
        <f>SUMIF('CDC-OLGUIN'!B:B, "Mas 55 semanas de atraso", 'CDC-OLGUIN'!C:C)</f>
        <v>3805</v>
      </c>
      <c r="D7" s="6">
        <f>SUMIF('CDC-OLGUIN'!B:B, "Mas 55 semanas de atraso", 'CDC-OLGUIN'!D:D)</f>
        <v>62198.49</v>
      </c>
      <c r="E7" s="14"/>
      <c r="F7" s="7"/>
    </row>
    <row r="8" spans="2:6" x14ac:dyDescent="0.25">
      <c r="B8" s="3" t="s">
        <v>8</v>
      </c>
      <c r="C8" s="8">
        <f>SUM(C3:C7)</f>
        <v>36386</v>
      </c>
      <c r="D8" s="4">
        <f>SUM(D3:D7)</f>
        <v>777597.45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11990</v>
      </c>
      <c r="E6" s="16">
        <f>SUMIF('REPORTE DIARIO'!B:B,'EPR 26 JUN'!C6, 'REPORTE DIARIO'!D:D)</f>
        <v>827221.86999999976</v>
      </c>
      <c r="F6" s="16">
        <f>J6*D6</f>
        <v>753657.14285714284</v>
      </c>
      <c r="G6" s="16">
        <f>+E6-F6</f>
        <v>73564.727142856922</v>
      </c>
      <c r="H6" s="15">
        <f>ABS(G6/F6)</f>
        <v>9.7610336265069084E-2</v>
      </c>
      <c r="I6" s="16">
        <f>E6/D6</f>
        <v>68.992649708090056</v>
      </c>
      <c r="J6" s="16">
        <f>(220/7)*2</f>
        <v>62.857142857142854</v>
      </c>
      <c r="K6" s="16">
        <f>+I6-J6</f>
        <v>6.1355068509472019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6971</v>
      </c>
      <c r="E7" s="16">
        <f>SUMIF('REPORTE DIARIO'!B:B,'EPR 26 JUN'!C7, 'REPORTE DIARIO'!D:D)</f>
        <v>558291.01</v>
      </c>
      <c r="F7" s="16">
        <f>J7*D7</f>
        <v>219088.57142857142</v>
      </c>
      <c r="G7" s="16">
        <f>+E7-F7</f>
        <v>339202.43857142859</v>
      </c>
      <c r="H7" s="15">
        <f>ABS(G7/F7)</f>
        <v>1.5482434175349826</v>
      </c>
      <c r="I7" s="16">
        <f>E7/D7</f>
        <v>80.087650265385165</v>
      </c>
      <c r="J7" s="16">
        <f>(110/7)*2</f>
        <v>31.428571428571427</v>
      </c>
      <c r="K7" s="16">
        <f t="shared" ref="K7:K9" si="0">+I7-J7</f>
        <v>48.659078836813734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12393</v>
      </c>
      <c r="E8" s="16">
        <f>SUMIF('REPORTE DIARIO'!B:B,'EPR 26 JUN'!C8, 'REPORTE DIARIO'!D:D)</f>
        <v>418379.31000000006</v>
      </c>
      <c r="F8" s="16">
        <f>J8*D8</f>
        <v>159338.57142857145</v>
      </c>
      <c r="G8" s="16">
        <f>+E8-F8</f>
        <v>259040.73857142861</v>
      </c>
      <c r="H8" s="15">
        <f>ABS(G8/F8)</f>
        <v>1.625725248123941</v>
      </c>
      <c r="I8" s="16">
        <f>E8/D8</f>
        <v>33.759324618736386</v>
      </c>
      <c r="J8" s="16">
        <f>(45/7)*2</f>
        <v>12.857142857142858</v>
      </c>
      <c r="K8" s="16">
        <f t="shared" si="0"/>
        <v>20.902181761593528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56191</v>
      </c>
      <c r="E9" s="16">
        <f>SUMIF('REPORTE DIARIO'!B:B,'EPR 26 JUN'!C9, 'REPORTE DIARIO'!D:D)</f>
        <v>664580.78999999992</v>
      </c>
      <c r="F9" s="16">
        <f>J9*D9</f>
        <v>240818.57142857142</v>
      </c>
      <c r="G9" s="16">
        <f>+E9-F9</f>
        <v>423762.2185714285</v>
      </c>
      <c r="H9" s="15">
        <f>ABS(G9/F9)</f>
        <v>1.7596741649018524</v>
      </c>
      <c r="I9" s="16">
        <f>E9/D9</f>
        <v>11.827174992436509</v>
      </c>
      <c r="J9" s="16">
        <f>(15/7)*2</f>
        <v>4.2857142857142856</v>
      </c>
      <c r="K9" s="16">
        <f t="shared" si="0"/>
        <v>7.5414607067222237</v>
      </c>
    </row>
    <row r="10" spans="2:12" x14ac:dyDescent="0.25">
      <c r="B10" s="16"/>
      <c r="C10" s="19" t="s">
        <v>16</v>
      </c>
      <c r="D10" s="24">
        <f>SUM(D6:D9)</f>
        <v>87545</v>
      </c>
      <c r="E10" s="20">
        <f>SUM(E6:E9)</f>
        <v>2468472.98</v>
      </c>
      <c r="F10" s="20">
        <f>SUM(F6:F9)</f>
        <v>1372902.857142857</v>
      </c>
      <c r="G10" s="20">
        <f>+E10-F10</f>
        <v>1095570.1228571429</v>
      </c>
      <c r="H10" s="21">
        <f>ABS(G10/F10)</f>
        <v>0.79799536956105532</v>
      </c>
      <c r="I10" s="20">
        <f>E10/D10</f>
        <v>28.196618653264036</v>
      </c>
      <c r="J10" s="20">
        <f>F10/D10</f>
        <v>15.682253208553966</v>
      </c>
      <c r="K10" s="20">
        <f>I10-J10</f>
        <v>12.514365444710069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2025-10-20T01:49:24Z</dcterms:modified>
</cp:coreProperties>
</file>