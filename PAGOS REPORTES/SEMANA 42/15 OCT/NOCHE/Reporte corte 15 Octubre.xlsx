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5 OCT\NOCHE\"/>
    </mc:Choice>
  </mc:AlternateContent>
  <xr:revisionPtr revIDLastSave="0" documentId="13_ncr:1_{161B4108-C1FB-4297-AC15-8808D38D2050}" xr6:coauthVersionLast="47" xr6:coauthVersionMax="47" xr10:uidLastSave="{00000000-0000-0000-0000-000000000000}"/>
  <bookViews>
    <workbookView xWindow="-120" yWindow="-120" windowWidth="51840" windowHeight="21120" activeTab="1" xr2:uid="{BE9D91B1-17FD-4819-BAD6-B21FBD4D31C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<sst xmlns="http://schemas.openxmlformats.org/spreadsheetml/2006/main" count="96" uniqueCount="22">
  <si>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</si>
  <si>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</si>
  <si>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</si>
  <si>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</si>
  <si>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</si>
  <si>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</si>
  <si>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</si>
  <si>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</si>
  <si>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</si>
  <si>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</si>
  <si>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</si>
  <si>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</si>
  <si>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</si>
  <si>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</si>
  <si>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</si>
  <si>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HIPOTECARIO</t>
  </si>
  <si>
    <t>REESTRUCTURA</t>
  </si>
  <si>
    <t>TOR</t>
  </si>
  <si>
    <t>ITALIKA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</si>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</sst>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46E8-FBF4-4463-9C6A-203E2CB88298}">
  <dimension ref="B2:D38"/>
  <sheetViews>
    <sheetView workbookViewId="0">
      <selection activeCell="D38" sqref="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15/10/2025  20:17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38348.629999999997</v>
      </c>
    </row>
    <row r="6" spans="2:4" x14ac:dyDescent="0.25">
      <c r="B6" s="2" t="s">
        <v>2</v>
      </c>
      <c r="C6" s="3">
        <v>40317.440000000002</v>
      </c>
    </row>
    <row r="7" spans="2:4" x14ac:dyDescent="0.25">
      <c r="B7" s="2" t="s">
        <v>3</v>
      </c>
      <c r="C7" s="3">
        <v>17312.8</v>
      </c>
    </row>
    <row r="8" spans="2:4" ht="15.75" thickBot="1" x14ac:dyDescent="0.3">
      <c r="B8" s="2" t="s">
        <v>4</v>
      </c>
      <c r="C8" s="3">
        <v>37763.21</v>
      </c>
      <c r="D8" s="1" t="s">
        <v>11</v>
      </c>
    </row>
    <row r="9" spans="2:4" ht="15.75" thickTop="1" x14ac:dyDescent="0.25">
      <c r="B9" s="4" t="s">
        <v>5</v>
      </c>
      <c r="C9" s="5">
        <v>133742.08000000002</v>
      </c>
      <c r="D9" s="5">
        <f ca="1">SUMIF(B:B, "Total general", C:C)</f>
        <v>213965.49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30142.889999999996</v>
      </c>
    </row>
    <row r="14" spans="2:4" x14ac:dyDescent="0.25">
      <c r="B14" s="2" t="s">
        <v>2</v>
      </c>
      <c r="C14" s="3">
        <v>5040</v>
      </c>
    </row>
    <row r="15" spans="2:4" x14ac:dyDescent="0.25">
      <c r="B15" s="2" t="s">
        <v>3</v>
      </c>
      <c r="C15" s="3">
        <v>4724.9100000000008</v>
      </c>
    </row>
    <row r="16" spans="2:4" ht="15.75" thickBot="1" x14ac:dyDescent="0.3">
      <c r="B16" s="2" t="s">
        <v>4</v>
      </c>
      <c r="C16" s="3">
        <v>99</v>
      </c>
    </row>
    <row r="17" spans="2:3" ht="15.75" thickTop="1" x14ac:dyDescent="0.25">
      <c r="B17" s="4" t="s">
        <v>5</v>
      </c>
      <c r="C17" s="5">
        <v>40006.800000000003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6583.04</v>
      </c>
    </row>
    <row r="22" spans="2:3" x14ac:dyDescent="0.25">
      <c r="B22" s="2" t="s">
        <v>2</v>
      </c>
      <c r="C22" s="3">
        <v>6259.57</v>
      </c>
    </row>
    <row r="23" spans="2:3" x14ac:dyDescent="0.25">
      <c r="B23" s="2" t="s">
        <v>3</v>
      </c>
      <c r="C23" s="3">
        <v>5839</v>
      </c>
    </row>
    <row r="24" spans="2:3" ht="15.75" thickBot="1" x14ac:dyDescent="0.3">
      <c r="B24" s="2" t="s">
        <v>4</v>
      </c>
      <c r="C24" s="3">
        <v>4307</v>
      </c>
    </row>
    <row r="25" spans="2:3" ht="15.75" thickTop="1" x14ac:dyDescent="0.25">
      <c r="B25" s="4" t="s">
        <v>5</v>
      </c>
      <c r="C25" s="5">
        <v>22988.61</v>
      </c>
    </row>
    <row r="27" spans="2:3" x14ac:dyDescent="0.25">
      <c r="B27" s="6" t="s">
        <v>7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1196</v>
      </c>
    </row>
    <row r="30" spans="2:3" x14ac:dyDescent="0.25">
      <c r="B30" s="2" t="s">
        <v>2</v>
      </c>
      <c r="C30" s="3">
        <v>6022</v>
      </c>
    </row>
    <row r="31" spans="2:3" x14ac:dyDescent="0.25">
      <c r="B31" s="2" t="s">
        <v>3</v>
      </c>
      <c r="C31" s="3">
        <v>1241</v>
      </c>
    </row>
    <row r="32" spans="2:3" ht="15.75" thickBot="1" x14ac:dyDescent="0.3">
      <c r="B32" s="2" t="s">
        <v>4</v>
      </c>
      <c r="C32" s="3">
        <v>8764</v>
      </c>
    </row>
    <row r="33" spans="2:3" ht="15.75" thickTop="1" x14ac:dyDescent="0.25">
      <c r="B33" s="4" t="s">
        <v>5</v>
      </c>
      <c r="C33" s="5">
        <v>17223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ht="15.75" thickBot="1" x14ac:dyDescent="0.3">
      <c r="B37" s="2" t="s">
        <v>4</v>
      </c>
      <c r="C37" s="3">
        <v>5</v>
      </c>
    </row>
    <row r="38" spans="2:3" ht="15.75" thickTop="1" x14ac:dyDescent="0.25">
      <c r="B38" s="4" t="s">
        <v>5</v>
      </c>
      <c r="C38" s="5">
        <v>5</v>
      </c>
    </row>
  </sheetData>
  <mergeCells count="6">
    <mergeCell ref="B2:C2"/>
    <mergeCell ref="B3:C3"/>
    <mergeCell ref="B27:C27"/>
    <mergeCell ref="B19:C19"/>
    <mergeCell ref="B35:C35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A319-32AD-4429-8F9A-408B701BB08D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15/10/2025  20:17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6510</v>
      </c>
    </row>
    <row r="6" spans="2:4" x14ac:dyDescent="0.25">
      <c r="B6" s="2" t="s">
        <v>14</v>
      </c>
      <c r="C6" s="3">
        <v>5345</v>
      </c>
    </row>
    <row r="7" spans="2:4" x14ac:dyDescent="0.25">
      <c r="B7" s="2" t="s">
        <v>15</v>
      </c>
      <c r="C7" s="3">
        <v>50</v>
      </c>
    </row>
    <row r="8" spans="2:4" x14ac:dyDescent="0.25">
      <c r="B8" s="2" t="s">
        <v>16</v>
      </c>
      <c r="C8" s="3">
        <v>16679.41</v>
      </c>
    </row>
    <row r="9" spans="2:4" ht="15.75" thickBot="1" x14ac:dyDescent="0.3">
      <c r="B9" s="2" t="s">
        <v>17</v>
      </c>
      <c r="C9" s="3">
        <v>105157.67000000001</v>
      </c>
      <c r="D9" s="1" t="s">
        <v>11</v>
      </c>
    </row>
    <row r="10" spans="2:4" ht="15.75" thickTop="1" x14ac:dyDescent="0.25">
      <c r="B10" s="4" t="s">
        <v>5</v>
      </c>
      <c r="C10" s="5">
        <v>133742.08000000002</v>
      </c>
      <c r="D10" s="5">
        <f ca="1">SUMIF(B:B, "Total general", C:C)</f>
        <v>213965.49</v>
      </c>
    </row>
    <row r="12" spans="2:4" x14ac:dyDescent="0.25">
      <c r="B12" s="6" t="s">
        <v>10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6019</v>
      </c>
    </row>
    <row r="15" spans="2:4" x14ac:dyDescent="0.25">
      <c r="B15" s="2" t="s">
        <v>14</v>
      </c>
      <c r="C15" s="3">
        <v>2521</v>
      </c>
    </row>
    <row r="16" spans="2:4" x14ac:dyDescent="0.25">
      <c r="B16" s="2" t="s">
        <v>18</v>
      </c>
      <c r="C16" s="3">
        <v>4832</v>
      </c>
    </row>
    <row r="17" spans="2:3" x14ac:dyDescent="0.25">
      <c r="B17" s="2" t="s">
        <v>16</v>
      </c>
      <c r="C17" s="3">
        <v>1231</v>
      </c>
    </row>
    <row r="18" spans="2:3" ht="15.75" thickBot="1" x14ac:dyDescent="0.3">
      <c r="B18" s="2" t="s">
        <v>17</v>
      </c>
      <c r="C18" s="3">
        <v>25403.799999999996</v>
      </c>
    </row>
    <row r="19" spans="2:3" ht="15.75" thickTop="1" x14ac:dyDescent="0.25">
      <c r="B19" s="4" t="s">
        <v>5</v>
      </c>
      <c r="C19" s="5">
        <v>40006.799999999996</v>
      </c>
    </row>
    <row r="21" spans="2:3" x14ac:dyDescent="0.25">
      <c r="B21" s="6" t="s">
        <v>8</v>
      </c>
      <c r="C21" s="6"/>
    </row>
    <row r="22" spans="2:3" x14ac:dyDescent="0.25">
      <c r="B22" s="1" t="s">
        <v>20</v>
      </c>
      <c r="C22" s="1" t="s">
        <v>0</v>
      </c>
    </row>
    <row r="23" spans="2:3" ht="15.75" thickBot="1" x14ac:dyDescent="0.3">
      <c r="B23" s="2" t="s">
        <v>17</v>
      </c>
      <c r="C23" s="3">
        <v>22988.61</v>
      </c>
    </row>
    <row r="24" spans="2:3" ht="15.75" thickTop="1" x14ac:dyDescent="0.25">
      <c r="B24" s="4" t="s">
        <v>5</v>
      </c>
      <c r="C24" s="5">
        <v>22988.61</v>
      </c>
    </row>
    <row r="26" spans="2:3" x14ac:dyDescent="0.25">
      <c r="B26" s="6" t="s">
        <v>7</v>
      </c>
      <c r="C26" s="6"/>
    </row>
    <row r="27" spans="2:3" x14ac:dyDescent="0.25">
      <c r="B27" s="1" t="s">
        <v>20</v>
      </c>
      <c r="C27" s="1" t="s">
        <v>0</v>
      </c>
    </row>
    <row r="28" spans="2:3" x14ac:dyDescent="0.25">
      <c r="B28" s="2" t="s">
        <v>14</v>
      </c>
      <c r="C28" s="3">
        <v>2372</v>
      </c>
    </row>
    <row r="29" spans="2:3" x14ac:dyDescent="0.25">
      <c r="B29" s="2" t="s">
        <v>19</v>
      </c>
      <c r="C29" s="3">
        <v>265</v>
      </c>
    </row>
    <row r="30" spans="2:3" ht="15.75" thickBot="1" x14ac:dyDescent="0.3">
      <c r="B30" s="2" t="s">
        <v>17</v>
      </c>
      <c r="C30" s="3">
        <v>14586</v>
      </c>
    </row>
    <row r="31" spans="2:3" ht="15.75" thickTop="1" x14ac:dyDescent="0.25">
      <c r="B31" s="4" t="s">
        <v>5</v>
      </c>
      <c r="C31" s="5">
        <v>17223</v>
      </c>
    </row>
    <row r="33" spans="2:3" x14ac:dyDescent="0.25">
      <c r="B33" s="6" t="s">
        <v>9</v>
      </c>
      <c r="C33" s="6"/>
    </row>
    <row r="34" spans="2:3" x14ac:dyDescent="0.25">
      <c r="B34" s="1" t="s">
        <v>20</v>
      </c>
      <c r="C34" s="1" t="s">
        <v>0</v>
      </c>
    </row>
    <row r="35" spans="2:3" ht="15.75" thickBot="1" x14ac:dyDescent="0.3">
      <c r="B35" s="2" t="s">
        <v>17</v>
      </c>
      <c r="C35" s="3">
        <v>5</v>
      </c>
    </row>
    <row r="36" spans="2:3" ht="15.75" thickTop="1" x14ac:dyDescent="0.25">
      <c r="B36" s="4" t="s">
        <v>5</v>
      </c>
      <c r="C36" s="5">
        <v>5</v>
      </c>
    </row>
  </sheetData>
  <mergeCells count="6">
    <mergeCell ref="B33:C33"/>
    <mergeCell ref="B2:C2"/>
    <mergeCell ref="B3:C3"/>
    <mergeCell ref="B12:C12"/>
    <mergeCell ref="B21:C21"/>
    <mergeCell ref="B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782B-EBA0-448B-B057-356A3828DF79}">
  <dimension ref="B2:D22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15/10/2025  20:17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18567.900000000001</v>
      </c>
    </row>
    <row r="6" spans="2:4" x14ac:dyDescent="0.25">
      <c r="B6" s="2" t="s">
        <v>2</v>
      </c>
      <c r="C6" s="3">
        <v>16166</v>
      </c>
    </row>
    <row r="7" spans="2:4" x14ac:dyDescent="0.25">
      <c r="B7" s="2" t="s">
        <v>3</v>
      </c>
      <c r="C7" s="3">
        <v>33927.770000000004</v>
      </c>
    </row>
    <row r="8" spans="2:4" ht="15.75" thickBot="1" x14ac:dyDescent="0.3">
      <c r="B8" s="2" t="s">
        <v>4</v>
      </c>
      <c r="C8" s="3">
        <v>7861</v>
      </c>
      <c r="D8" s="1" t="s">
        <v>11</v>
      </c>
    </row>
    <row r="9" spans="2:4" ht="15.75" thickTop="1" x14ac:dyDescent="0.25">
      <c r="B9" s="4" t="s">
        <v>5</v>
      </c>
      <c r="C9" s="5">
        <v>76522.670000000013</v>
      </c>
      <c r="D9" s="5">
        <f ca="1">SUMIF(B:B, "Total general", C:C)</f>
        <v>114767.47000000002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29649.889999999996</v>
      </c>
    </row>
    <row r="14" spans="2:4" x14ac:dyDescent="0.25">
      <c r="B14" s="2" t="s">
        <v>2</v>
      </c>
      <c r="C14" s="3">
        <v>3762</v>
      </c>
    </row>
    <row r="15" spans="2:4" x14ac:dyDescent="0.25">
      <c r="B15" s="2" t="s">
        <v>3</v>
      </c>
      <c r="C15" s="3">
        <v>4724.9100000000008</v>
      </c>
    </row>
    <row r="16" spans="2:4" ht="15.75" thickBot="1" x14ac:dyDescent="0.3">
      <c r="B16" s="2" t="s">
        <v>4</v>
      </c>
      <c r="C16" s="3">
        <v>99</v>
      </c>
    </row>
    <row r="17" spans="2:3" ht="15.75" thickTop="1" x14ac:dyDescent="0.25">
      <c r="B17" s="4" t="s">
        <v>5</v>
      </c>
      <c r="C17" s="5">
        <v>38235.800000000003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ht="15.75" thickBot="1" x14ac:dyDescent="0.3">
      <c r="B21" s="2" t="s">
        <v>1</v>
      </c>
      <c r="C21" s="3">
        <v>9</v>
      </c>
    </row>
    <row r="22" spans="2:3" ht="15.75" thickTop="1" x14ac:dyDescent="0.25">
      <c r="B22" s="4" t="s">
        <v>5</v>
      </c>
      <c r="C22" s="5">
        <v>9</v>
      </c>
    </row>
  </sheetData>
  <mergeCells count="4">
    <mergeCell ref="B3:C3"/>
    <mergeCell ref="B19:C19"/>
    <mergeCell ref="B11:C1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2025-10-16T02:10:15Z</dcterms:created>
  <dcterms:modified xsi:type="dcterms:W3CDTF">2025-10-16T02:17:09Z</dcterms:modified>
</cp:coreProperties>
</file>