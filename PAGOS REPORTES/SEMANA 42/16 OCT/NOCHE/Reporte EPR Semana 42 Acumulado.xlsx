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2\16 OCT\NOCHE\"/>
    </mc:Choice>
  </mc:AlternateContent>
  <xr:revisionPtr revIDLastSave="0" documentId="13_ncr:1_{335A2B1A-E0E1-4E92-856D-236659D8825B}" xr6:coauthVersionLast="47" xr6:coauthVersionMax="47" xr10:uidLastSave="{00000000-0000-0000-0000-000000000000}"/>
  <bookViews>
    <workbookView xWindow="8895" yWindow="8895" windowWidth="11130" windowHeight="6570" activeTab="1" xr2:uid="{4DC6C92A-CD8A-4966-829B-0B6A986E825B}"/>
  </bookViews>
  <sheets>
    <sheet name="REPORTE DIARIO" sheetId="1" r:id="rId1"/>
    <sheet name="CDC-OLGUIN" sheetId="5" r:id="rId2"/>
    <sheet name="COBRANZA CDC" sheetId="6" r:id="rId3"/>
    <sheet name="EPR 26 JUN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2" i="5" l="1"/>
  <c r="C42" i="5"/>
  <c r="D34" i="5"/>
  <c r="C34" i="5"/>
  <c r="D27" i="5"/>
  <c r="C27" i="5"/>
  <c r="C42" i="1"/>
  <c r="D42" i="1"/>
  <c r="D26" i="1"/>
  <c r="C26" i="1"/>
  <c r="C34" i="1"/>
  <c r="D18" i="5"/>
  <c r="C18" i="5"/>
  <c r="D18" i="1"/>
  <c r="C18" i="1"/>
  <c r="D10" i="5"/>
  <c r="D48" i="5"/>
  <c r="C48" i="5"/>
  <c r="D7" i="6"/>
  <c r="D6" i="6"/>
  <c r="D5" i="6"/>
  <c r="D4" i="6"/>
  <c r="D3" i="6"/>
  <c r="C7" i="6"/>
  <c r="C6" i="6"/>
  <c r="C5" i="6"/>
  <c r="C4" i="6"/>
  <c r="C3" i="6"/>
  <c r="C10" i="5"/>
  <c r="J9" i="3"/>
  <c r="J8" i="3"/>
  <c r="J7" i="3"/>
  <c r="J6" i="3"/>
  <c r="C50" i="5" l="1"/>
  <c r="D8" i="6"/>
  <c r="C8" i="6"/>
  <c r="D50" i="5"/>
  <c r="D34" i="1"/>
  <c r="D6" i="3"/>
  <c r="D10" i="1" l="1"/>
  <c r="D50" i="1" s="1"/>
  <c r="C10" i="1"/>
  <c r="F6" i="3"/>
  <c r="E7" i="3"/>
  <c r="E8" i="3"/>
  <c r="E9" i="3"/>
  <c r="E6" i="3"/>
  <c r="D7" i="3"/>
  <c r="F7" i="3" s="1"/>
  <c r="D8" i="3"/>
  <c r="F8" i="3" s="1"/>
  <c r="D9" i="3"/>
  <c r="F9" i="3" s="1"/>
  <c r="C50" i="1" l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<sst xmlns="http://schemas.openxmlformats.org/spreadsheetml/2006/main" count="139" uniqueCount="37">
  <si>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</si>
  <si>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</si>
  <si>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</si>
  <si>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</si>
  <si>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</si>
  <si>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</si>
  <si>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</si>
  <si>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</si>
  <si>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</si>
  <si>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</si>
  <si>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</si>
  <si>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</si>
  <si>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</si>
  <si>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</si>
  <si>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</si>
  <si>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</si>
  <si>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</si>
  <si>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</si>
  <si>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</si>
  <si>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</si>
  <si>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</si>
  <si>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</si>
  <si>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</si>
  <si>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</si>
  <si>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</si>
  <si>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</si>
  <si>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</si>
  <si>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</si>
  <si>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</si>
  <si>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FEDERICO</t>
  </si>
  <si>
    <t>Samantha, Samantha 2, Sofia, Edith, Fernando, Olguin y Federico</t>
  </si>
  <si>
    <t>Zareth</t>
  </si>
  <si>
    <t>Fernando (Naucalpan)</t>
  </si>
  <si>
    <t>SALDO ACUMULADO SEMANA 26</t>
  </si>
  <si>
    <t>COBRANZA GENERAL  ANDREA</t>
  </si>
  <si>
    <t>COBRANZA GENERAL  CDC 100</t>
  </si>
  <si>
    <t>ETIQUETA PROYECTO CDC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</si>
</sst>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;[Red]\-&quot;$&quot;#,##0"/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2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3" fontId="0" fillId="0" borderId="1" xfId="0" applyNumberFormat="1" applyBorder="1"/>
    <xf numFmtId="41" fontId="0" fillId="0" borderId="0" xfId="0" applyNumberFormat="1"/>
    <xf numFmtId="3" fontId="0" fillId="0" borderId="0" xfId="0" applyNumberFormat="1"/>
    <xf numFmtId="4" fontId="0" fillId="0" borderId="2" xfId="0" applyNumberFormat="1" applyBorder="1"/>
    <xf numFmtId="43" fontId="0" fillId="0" borderId="2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sheetPr codeName="Hoja1"/>
  <dimension ref="B3:H50"/>
  <sheetViews>
    <sheetView showGridLines="0" zoomScaleNormal="100" workbookViewId="0">
      <selection activeCell="C42" sqref="C42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30" t="s">
        <v>0</v>
      </c>
      <c r="C3" s="30"/>
      <c r="D3" s="30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6270</v>
      </c>
      <c r="D5" s="28">
        <v>331970.88</v>
      </c>
    </row>
    <row r="6" spans="2:8" x14ac:dyDescent="0.25">
      <c r="B6" s="1" t="s">
        <v>5</v>
      </c>
      <c r="C6" s="6">
        <v>3338</v>
      </c>
      <c r="D6" s="28">
        <v>174982.15999999997</v>
      </c>
    </row>
    <row r="7" spans="2:8" x14ac:dyDescent="0.25">
      <c r="B7" s="1" t="s">
        <v>6</v>
      </c>
      <c r="C7" s="6">
        <v>8053</v>
      </c>
      <c r="D7" s="28">
        <v>104056.39000000001</v>
      </c>
    </row>
    <row r="8" spans="2:8" x14ac:dyDescent="0.25">
      <c r="B8" s="5" t="s">
        <v>11</v>
      </c>
      <c r="C8" s="7">
        <v>1039</v>
      </c>
      <c r="D8" s="29">
        <v>0</v>
      </c>
    </row>
    <row r="9" spans="2:8" x14ac:dyDescent="0.25">
      <c r="B9" s="1" t="s">
        <v>7</v>
      </c>
      <c r="C9" s="6">
        <v>37140</v>
      </c>
      <c r="D9" s="28">
        <v>217833.16</v>
      </c>
      <c r="E9" s="14"/>
      <c r="F9" s="7"/>
    </row>
    <row r="10" spans="2:8" x14ac:dyDescent="0.25">
      <c r="B10" s="3" t="s">
        <v>8</v>
      </c>
      <c r="C10" s="8">
        <f>SUM(C5:C9)</f>
        <v>55840</v>
      </c>
      <c r="D10" s="4">
        <f>SUM(D5:D9)</f>
        <v>828842.59</v>
      </c>
      <c r="E10" s="11" t="s">
        <v>13</v>
      </c>
    </row>
    <row r="12" spans="2:8" x14ac:dyDescent="0.25">
      <c r="B12" s="31" t="s">
        <v>10</v>
      </c>
      <c r="C12" s="31"/>
      <c r="D12" s="31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5006</v>
      </c>
      <c r="D14" s="28">
        <v>135276.84000000003</v>
      </c>
    </row>
    <row r="15" spans="2:8" x14ac:dyDescent="0.25">
      <c r="B15" s="1" t="s">
        <v>5</v>
      </c>
      <c r="C15" s="6">
        <v>1339</v>
      </c>
      <c r="D15" s="28">
        <v>23400</v>
      </c>
    </row>
    <row r="16" spans="2:8" x14ac:dyDescent="0.25">
      <c r="B16" s="1" t="s">
        <v>6</v>
      </c>
      <c r="C16" s="6">
        <v>3868</v>
      </c>
      <c r="D16" s="28">
        <v>21080.91</v>
      </c>
    </row>
    <row r="17" spans="2:4" x14ac:dyDescent="0.25">
      <c r="B17" s="1" t="s">
        <v>7</v>
      </c>
      <c r="C17" s="6">
        <v>1029</v>
      </c>
      <c r="D17" s="28">
        <v>399</v>
      </c>
    </row>
    <row r="18" spans="2:4" x14ac:dyDescent="0.25">
      <c r="B18" s="10" t="s">
        <v>8</v>
      </c>
      <c r="C18" s="8">
        <f>SUM(C14:C17)</f>
        <v>11242</v>
      </c>
      <c r="D18" s="4">
        <f>SUM(D14:D17)</f>
        <v>180156.75000000003</v>
      </c>
    </row>
    <row r="20" spans="2:4" x14ac:dyDescent="0.25">
      <c r="B20" s="30" t="s">
        <v>34</v>
      </c>
      <c r="C20" s="30"/>
      <c r="D20" s="30"/>
    </row>
    <row r="21" spans="2:4" x14ac:dyDescent="0.25">
      <c r="B21" s="2" t="s">
        <v>1</v>
      </c>
      <c r="C21" s="2" t="s">
        <v>2</v>
      </c>
      <c r="D21" s="2" t="s">
        <v>3</v>
      </c>
    </row>
    <row r="22" spans="2:4" x14ac:dyDescent="0.25">
      <c r="B22" s="9" t="s">
        <v>4</v>
      </c>
      <c r="C22">
        <v>128</v>
      </c>
      <c r="D22" s="28">
        <v>15972.01</v>
      </c>
    </row>
    <row r="23" spans="2:4" x14ac:dyDescent="0.25">
      <c r="B23" s="1" t="s">
        <v>5</v>
      </c>
      <c r="C23" s="6">
        <v>285</v>
      </c>
      <c r="D23" s="28">
        <v>27408.89</v>
      </c>
    </row>
    <row r="24" spans="2:4" x14ac:dyDescent="0.25">
      <c r="B24" s="1" t="s">
        <v>6</v>
      </c>
      <c r="C24" s="6">
        <v>490</v>
      </c>
      <c r="D24" s="28">
        <v>23327</v>
      </c>
    </row>
    <row r="25" spans="2:4" x14ac:dyDescent="0.25">
      <c r="B25" s="1" t="s">
        <v>7</v>
      </c>
      <c r="C25" s="7">
        <v>16055</v>
      </c>
      <c r="D25" s="28">
        <v>51960.780000000006</v>
      </c>
    </row>
    <row r="26" spans="2:4" x14ac:dyDescent="0.25">
      <c r="B26" s="3" t="s">
        <v>8</v>
      </c>
      <c r="C26" s="8">
        <f>SUM(C22:C25)</f>
        <v>16958</v>
      </c>
      <c r="D26" s="4">
        <f>SUM(D22:D25)</f>
        <v>118668.68</v>
      </c>
    </row>
    <row r="28" spans="2:4" x14ac:dyDescent="0.25">
      <c r="B28" s="31" t="s">
        <v>9</v>
      </c>
      <c r="C28" s="31"/>
      <c r="D28" s="31"/>
    </row>
    <row r="29" spans="2:4" x14ac:dyDescent="0.25">
      <c r="B29" s="4" t="s">
        <v>1</v>
      </c>
      <c r="C29" s="4" t="s">
        <v>2</v>
      </c>
      <c r="D29" s="4" t="s">
        <v>3</v>
      </c>
    </row>
    <row r="30" spans="2:4" x14ac:dyDescent="0.25">
      <c r="B30" s="9" t="s">
        <v>4</v>
      </c>
      <c r="C30" s="6">
        <v>303</v>
      </c>
      <c r="D30" s="28">
        <v>18303.11</v>
      </c>
    </row>
    <row r="31" spans="2:4" x14ac:dyDescent="0.25">
      <c r="B31" s="9" t="s">
        <v>5</v>
      </c>
      <c r="C31" s="6">
        <v>1296</v>
      </c>
      <c r="D31" s="28">
        <v>27344.11</v>
      </c>
    </row>
    <row r="32" spans="2:4" x14ac:dyDescent="0.25">
      <c r="B32" s="9" t="s">
        <v>6</v>
      </c>
      <c r="C32" s="6">
        <v>124</v>
      </c>
      <c r="D32" s="28">
        <v>22913.59</v>
      </c>
    </row>
    <row r="33" spans="2:4" x14ac:dyDescent="0.25">
      <c r="B33" s="9" t="s">
        <v>7</v>
      </c>
      <c r="C33" s="6">
        <v>797</v>
      </c>
      <c r="D33" s="28">
        <v>34756.840000000004</v>
      </c>
    </row>
    <row r="34" spans="2:4" x14ac:dyDescent="0.25">
      <c r="B34" s="10" t="s">
        <v>8</v>
      </c>
      <c r="C34" s="8">
        <f>SUM(C30:C33)</f>
        <v>2520</v>
      </c>
      <c r="D34" s="4">
        <f>SUM(D30:D33)</f>
        <v>103317.65</v>
      </c>
    </row>
    <row r="36" spans="2:4" x14ac:dyDescent="0.25">
      <c r="B36" s="30" t="s">
        <v>29</v>
      </c>
      <c r="C36" s="30"/>
      <c r="D36" s="30"/>
    </row>
    <row r="37" spans="2:4" x14ac:dyDescent="0.25">
      <c r="B37" s="2" t="s">
        <v>1</v>
      </c>
      <c r="C37" s="2" t="s">
        <v>2</v>
      </c>
      <c r="D37" s="2" t="s">
        <v>3</v>
      </c>
    </row>
    <row r="38" spans="2:4" x14ac:dyDescent="0.25">
      <c r="B38" s="9" t="s">
        <v>4</v>
      </c>
      <c r="C38" s="6">
        <v>24</v>
      </c>
      <c r="D38" s="28">
        <v>825</v>
      </c>
    </row>
    <row r="39" spans="2:4" x14ac:dyDescent="0.25">
      <c r="B39" s="1" t="s">
        <v>5</v>
      </c>
      <c r="C39" s="6">
        <v>42</v>
      </c>
      <c r="D39" s="29">
        <v>0</v>
      </c>
    </row>
    <row r="40" spans="2:4" x14ac:dyDescent="0.25">
      <c r="B40" s="1" t="s">
        <v>6</v>
      </c>
      <c r="C40" s="6">
        <v>5</v>
      </c>
      <c r="D40" s="28">
        <v>970</v>
      </c>
    </row>
    <row r="41" spans="2:4" x14ac:dyDescent="0.25">
      <c r="B41" s="1" t="s">
        <v>7</v>
      </c>
      <c r="C41" s="6">
        <v>904</v>
      </c>
      <c r="D41" s="28">
        <v>2476</v>
      </c>
    </row>
    <row r="42" spans="2:4" x14ac:dyDescent="0.25">
      <c r="B42" s="3" t="s">
        <v>8</v>
      </c>
      <c r="C42" s="8">
        <f>SUM(C38:C41)</f>
        <v>975</v>
      </c>
      <c r="D42" s="4">
        <f>SUM(D38:D41)</f>
        <v>4271</v>
      </c>
    </row>
    <row r="43" spans="2:4" hidden="1" x14ac:dyDescent="0.25"/>
    <row r="44" spans="2:4" hidden="1" x14ac:dyDescent="0.25"/>
    <row r="45" spans="2:4" hidden="1" x14ac:dyDescent="0.25"/>
    <row r="46" spans="2:4" hidden="1" x14ac:dyDescent="0.25"/>
    <row r="47" spans="2:4" hidden="1" x14ac:dyDescent="0.25"/>
    <row r="48" spans="2:4" hidden="1" x14ac:dyDescent="0.25"/>
    <row r="50" spans="2:4" x14ac:dyDescent="0.25">
      <c r="B50" s="12" t="s">
        <v>12</v>
      </c>
      <c r="C50" s="13">
        <f>SUMIF(B:B, "Total general", C:C)</f>
        <v>87535</v>
      </c>
      <c r="D50" s="13">
        <f>SUMIF(B:B, "Total general", D:D)</f>
        <v>1235256.67</v>
      </c>
    </row>
  </sheetData>
  <mergeCells count="5">
    <mergeCell ref="B3:D3"/>
    <mergeCell ref="B28:D28"/>
    <mergeCell ref="B12:D12"/>
    <mergeCell ref="B20:D20"/>
    <mergeCell ref="B36:D36"/>
  </mergeCells>
  <pageMargins left="0.7" right="0.7" top="0.75" bottom="0.75" header="0.3" footer="0.3"/>
  <pageSetup paperSize="9" scale="7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D579-ABE3-47BF-9C80-EABF3E3D7F80}">
  <sheetPr codeName="Hoja2"/>
  <dimension ref="B1:H50"/>
  <sheetViews>
    <sheetView showGridLines="0" tabSelected="1" zoomScaleNormal="100" workbookViewId="0">
      <selection activeCell="B9" sqref="B9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8" x14ac:dyDescent="0.25">
      <c r="B1" s="30" t="s">
        <v>36</v>
      </c>
      <c r="C1" s="30"/>
      <c r="D1" s="30"/>
    </row>
    <row r="3" spans="2:8" x14ac:dyDescent="0.25">
      <c r="B3" s="30" t="s">
        <v>35</v>
      </c>
      <c r="C3" s="30"/>
      <c r="D3" s="30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27">
        <v>8487</v>
      </c>
      <c r="D5" s="28">
        <v>90513.43</v>
      </c>
      <c r="E5" s="11"/>
    </row>
    <row r="6" spans="2:8" x14ac:dyDescent="0.25">
      <c r="B6" s="1" t="s">
        <v>5</v>
      </c>
      <c r="C6" s="27">
        <v>6206</v>
      </c>
      <c r="D6" s="28">
        <v>67389</v>
      </c>
    </row>
    <row r="7" spans="2:8" x14ac:dyDescent="0.25">
      <c r="B7" s="1" t="s">
        <v>6</v>
      </c>
      <c r="C7" s="27">
        <v>5010</v>
      </c>
      <c r="D7" s="28">
        <v>56787.37</v>
      </c>
    </row>
    <row r="8" spans="2:8" x14ac:dyDescent="0.25">
      <c r="B8" s="5" t="s">
        <v>11</v>
      </c>
      <c r="C8" s="27">
        <v>2739</v>
      </c>
      <c r="D8" s="29">
        <v>0</v>
      </c>
    </row>
    <row r="9" spans="2:8" x14ac:dyDescent="0.25">
      <c r="B9" s="1" t="s">
        <v>7</v>
      </c>
      <c r="C9" s="27">
        <v>2915</v>
      </c>
      <c r="D9" s="28">
        <v>24949.9</v>
      </c>
      <c r="E9" s="14"/>
      <c r="F9" s="7"/>
    </row>
    <row r="10" spans="2:8" x14ac:dyDescent="0.25">
      <c r="B10" s="3" t="s">
        <v>8</v>
      </c>
      <c r="C10" s="8">
        <f>SUM(C5:C9)</f>
        <v>25357</v>
      </c>
      <c r="D10" s="4">
        <f>SUM(D5:D9)</f>
        <v>239639.69999999998</v>
      </c>
      <c r="E10" s="11" t="s">
        <v>13</v>
      </c>
    </row>
    <row r="12" spans="2:8" x14ac:dyDescent="0.25">
      <c r="B12" s="31" t="s">
        <v>10</v>
      </c>
      <c r="C12" s="31"/>
      <c r="D12" s="31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26">
        <v>4900</v>
      </c>
      <c r="D14" s="28">
        <v>133865.84000000003</v>
      </c>
    </row>
    <row r="15" spans="2:8" x14ac:dyDescent="0.25">
      <c r="B15" s="1" t="s">
        <v>5</v>
      </c>
      <c r="C15" s="26">
        <v>769</v>
      </c>
      <c r="D15" s="28">
        <v>20189</v>
      </c>
    </row>
    <row r="16" spans="2:8" x14ac:dyDescent="0.25">
      <c r="B16" s="1" t="s">
        <v>6</v>
      </c>
      <c r="C16" s="26">
        <v>3525</v>
      </c>
      <c r="D16" s="28">
        <v>20914.91</v>
      </c>
    </row>
    <row r="17" spans="2:4" x14ac:dyDescent="0.25">
      <c r="B17" s="9" t="s">
        <v>7</v>
      </c>
      <c r="C17" s="26">
        <v>26</v>
      </c>
      <c r="D17" s="28">
        <v>399</v>
      </c>
    </row>
    <row r="18" spans="2:4" x14ac:dyDescent="0.25">
      <c r="B18" s="10" t="s">
        <v>8</v>
      </c>
      <c r="C18" s="8">
        <f>SUM(C14:C17)</f>
        <v>9220</v>
      </c>
      <c r="D18" s="4">
        <f>SUM(D14:D17)</f>
        <v>175368.75000000003</v>
      </c>
    </row>
    <row r="20" spans="2:4" x14ac:dyDescent="0.25">
      <c r="B20" s="30" t="s">
        <v>0</v>
      </c>
      <c r="C20" s="30"/>
      <c r="D20" s="30"/>
    </row>
    <row r="21" spans="2:4" x14ac:dyDescent="0.25">
      <c r="B21" s="2" t="s">
        <v>1</v>
      </c>
      <c r="C21" s="2" t="s">
        <v>2</v>
      </c>
      <c r="D21" s="2" t="s">
        <v>3</v>
      </c>
    </row>
    <row r="22" spans="2:4" x14ac:dyDescent="0.25">
      <c r="B22" s="9" t="s">
        <v>4</v>
      </c>
      <c r="C22">
        <v>7</v>
      </c>
      <c r="D22" s="28">
        <v>2068</v>
      </c>
    </row>
    <row r="23" spans="2:4" x14ac:dyDescent="0.25">
      <c r="B23" s="1" t="s">
        <v>5</v>
      </c>
      <c r="C23">
        <v>68</v>
      </c>
      <c r="D23" s="28">
        <v>2100</v>
      </c>
    </row>
    <row r="24" spans="2:4" x14ac:dyDescent="0.25">
      <c r="B24" s="1" t="s">
        <v>6</v>
      </c>
      <c r="C24">
        <v>1</v>
      </c>
      <c r="D24" s="25">
        <v>0</v>
      </c>
    </row>
    <row r="25" spans="2:4" x14ac:dyDescent="0.25">
      <c r="B25" s="5" t="s">
        <v>11</v>
      </c>
      <c r="C25" s="11">
        <v>0</v>
      </c>
      <c r="D25" s="25">
        <v>0</v>
      </c>
    </row>
    <row r="26" spans="2:4" x14ac:dyDescent="0.25">
      <c r="B26" s="1" t="s">
        <v>7</v>
      </c>
      <c r="C26">
        <v>303</v>
      </c>
      <c r="D26" s="28">
        <v>5419.08</v>
      </c>
    </row>
    <row r="27" spans="2:4" x14ac:dyDescent="0.25">
      <c r="B27" s="3" t="s">
        <v>8</v>
      </c>
      <c r="C27" s="8">
        <f>SUM(C22:C26)</f>
        <v>379</v>
      </c>
      <c r="D27" s="4">
        <f>SUM(D22:D26)</f>
        <v>9587.08</v>
      </c>
    </row>
    <row r="29" spans="2:4" x14ac:dyDescent="0.25">
      <c r="B29" s="31" t="s">
        <v>9</v>
      </c>
      <c r="C29" s="31"/>
      <c r="D29" s="31"/>
    </row>
    <row r="30" spans="2:4" x14ac:dyDescent="0.25">
      <c r="B30" s="4" t="s">
        <v>1</v>
      </c>
      <c r="C30" s="4" t="s">
        <v>2</v>
      </c>
      <c r="D30" s="4" t="s">
        <v>3</v>
      </c>
    </row>
    <row r="31" spans="2:4" x14ac:dyDescent="0.25">
      <c r="B31" s="9" t="s">
        <v>4</v>
      </c>
      <c r="C31">
        <v>2</v>
      </c>
      <c r="D31" s="28">
        <v>9</v>
      </c>
    </row>
    <row r="32" spans="2:4" x14ac:dyDescent="0.25">
      <c r="B32" s="9" t="s">
        <v>5</v>
      </c>
      <c r="C32">
        <v>1</v>
      </c>
      <c r="D32" s="25">
        <v>0</v>
      </c>
    </row>
    <row r="33" spans="2:4" x14ac:dyDescent="0.25">
      <c r="B33" s="9" t="s">
        <v>7</v>
      </c>
      <c r="C33">
        <v>167</v>
      </c>
      <c r="D33" s="28">
        <v>2312</v>
      </c>
    </row>
    <row r="34" spans="2:4" x14ac:dyDescent="0.25">
      <c r="B34" s="10" t="s">
        <v>8</v>
      </c>
      <c r="C34" s="8">
        <f>SUM(C31:C33)</f>
        <v>170</v>
      </c>
      <c r="D34" s="4">
        <f>SUM(D31:D33)</f>
        <v>2321</v>
      </c>
    </row>
    <row r="36" spans="2:4" x14ac:dyDescent="0.25">
      <c r="B36" s="30" t="s">
        <v>34</v>
      </c>
      <c r="C36" s="30"/>
      <c r="D36" s="30"/>
    </row>
    <row r="37" spans="2:4" x14ac:dyDescent="0.25">
      <c r="B37" s="2" t="s">
        <v>1</v>
      </c>
      <c r="C37" s="2" t="s">
        <v>2</v>
      </c>
      <c r="D37" s="2" t="s">
        <v>3</v>
      </c>
    </row>
    <row r="38" spans="2:4" x14ac:dyDescent="0.25">
      <c r="B38" s="9" t="s">
        <v>4</v>
      </c>
      <c r="C38">
        <v>3</v>
      </c>
      <c r="D38" s="25">
        <v>0</v>
      </c>
    </row>
    <row r="39" spans="2:4" x14ac:dyDescent="0.25">
      <c r="B39" s="1" t="s">
        <v>5</v>
      </c>
      <c r="C39" s="25">
        <v>0</v>
      </c>
      <c r="D39" s="25">
        <v>0</v>
      </c>
    </row>
    <row r="40" spans="2:4" x14ac:dyDescent="0.25">
      <c r="B40" s="1" t="s">
        <v>6</v>
      </c>
      <c r="C40">
        <v>2</v>
      </c>
      <c r="D40" s="25">
        <v>0</v>
      </c>
    </row>
    <row r="41" spans="2:4" x14ac:dyDescent="0.25">
      <c r="B41" s="1" t="s">
        <v>7</v>
      </c>
      <c r="C41">
        <v>331</v>
      </c>
      <c r="D41" s="28">
        <v>988</v>
      </c>
    </row>
    <row r="42" spans="2:4" x14ac:dyDescent="0.25">
      <c r="B42" s="3" t="s">
        <v>8</v>
      </c>
      <c r="C42" s="8">
        <f>SUM(C38:C41)</f>
        <v>336</v>
      </c>
      <c r="D42" s="4">
        <f>SUM(D38:D41)</f>
        <v>988</v>
      </c>
    </row>
    <row r="44" spans="2:4" x14ac:dyDescent="0.25">
      <c r="B44" s="30" t="s">
        <v>29</v>
      </c>
      <c r="C44" s="30"/>
      <c r="D44" s="30"/>
    </row>
    <row r="45" spans="2:4" x14ac:dyDescent="0.25">
      <c r="B45" s="2" t="s">
        <v>1</v>
      </c>
      <c r="C45" s="2" t="s">
        <v>2</v>
      </c>
      <c r="D45" s="2" t="s">
        <v>3</v>
      </c>
    </row>
    <row r="46" spans="2:4" x14ac:dyDescent="0.25">
      <c r="B46" s="9" t="s">
        <v>4</v>
      </c>
      <c r="C46">
        <v>3</v>
      </c>
      <c r="D46" s="29">
        <v>0</v>
      </c>
    </row>
    <row r="47" spans="2:4" x14ac:dyDescent="0.25">
      <c r="B47" s="1" t="s">
        <v>7</v>
      </c>
      <c r="C47">
        <v>64</v>
      </c>
      <c r="D47" s="29">
        <v>0</v>
      </c>
    </row>
    <row r="48" spans="2:4" x14ac:dyDescent="0.25">
      <c r="B48" s="3" t="s">
        <v>8</v>
      </c>
      <c r="C48" s="8">
        <f>SUM(C46:C47)</f>
        <v>67</v>
      </c>
      <c r="D48" s="4">
        <f>SUM(D46:D47)</f>
        <v>0</v>
      </c>
    </row>
    <row r="50" spans="2:4" x14ac:dyDescent="0.25">
      <c r="B50" s="12" t="s">
        <v>12</v>
      </c>
      <c r="C50" s="13">
        <f>SUMIF(B:B, "Total general", C:C)</f>
        <v>35529</v>
      </c>
      <c r="D50" s="13">
        <f>SUMIF(B:B, "Total general", D:D)</f>
        <v>427904.53</v>
      </c>
    </row>
  </sheetData>
  <mergeCells count="7">
    <mergeCell ref="B29:D29"/>
    <mergeCell ref="B44:D44"/>
    <mergeCell ref="B12:D12"/>
    <mergeCell ref="B36:D36"/>
    <mergeCell ref="B1:D1"/>
    <mergeCell ref="B3:D3"/>
    <mergeCell ref="B20:D20"/>
  </mergeCells>
  <pageMargins left="0.7" right="0.7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52228-8078-469B-9DC2-6E814BA99770}">
  <sheetPr codeName="Hoja3"/>
  <dimension ref="B1:F8"/>
  <sheetViews>
    <sheetView showGridLines="0" zoomScaleNormal="100" workbookViewId="0">
      <selection activeCell="E4" sqref="E4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6" x14ac:dyDescent="0.25">
      <c r="B1" s="30" t="s">
        <v>36</v>
      </c>
      <c r="C1" s="30"/>
      <c r="D1" s="30"/>
    </row>
    <row r="2" spans="2:6" x14ac:dyDescent="0.25">
      <c r="B2" s="2" t="s">
        <v>1</v>
      </c>
      <c r="C2" s="2" t="s">
        <v>2</v>
      </c>
      <c r="D2" s="2" t="s">
        <v>3</v>
      </c>
    </row>
    <row r="3" spans="2:6" x14ac:dyDescent="0.25">
      <c r="B3" s="1" t="s">
        <v>4</v>
      </c>
      <c r="C3" s="6">
        <f>SUMIF('CDC-OLGUIN'!B:B, "Extrajudicial - 0 a 28 semanas de atraso", 'CDC-OLGUIN'!C:C)</f>
        <v>13402</v>
      </c>
      <c r="D3" s="14">
        <f>SUMIF('CDC-OLGUIN'!B:B, "Extrajudicial - 0 a 28 semanas de atraso", 'CDC-OLGUIN'!D:D)</f>
        <v>226456.27000000002</v>
      </c>
    </row>
    <row r="4" spans="2:6" x14ac:dyDescent="0.25">
      <c r="B4" s="1" t="s">
        <v>5</v>
      </c>
      <c r="C4" s="6">
        <f>SUMIF('CDC-OLGUIN'!B:B, "Extrajudicial - 29 a 39 semanas de atraso", 'CDC-OLGUIN'!C:C)</f>
        <v>7044</v>
      </c>
      <c r="D4" s="14">
        <f>SUMIF('CDC-OLGUIN'!B:B, "Extrajudicial - 29 a 39 semanas de atraso", 'CDC-OLGUIN'!D:D)</f>
        <v>89678</v>
      </c>
    </row>
    <row r="5" spans="2:6" x14ac:dyDescent="0.25">
      <c r="B5" s="1" t="s">
        <v>6</v>
      </c>
      <c r="C5" s="6">
        <f>SUMIF('CDC-OLGUIN'!B:B, "Extrajudicial - 40 a 55 semanas de atraso", 'CDC-OLGUIN'!C:C)</f>
        <v>8538</v>
      </c>
      <c r="D5" s="14">
        <f>SUMIF('CDC-OLGUIN'!B:B, "Extrajudicial - 40 a 55 semanas de atraso", 'CDC-OLGUIN'!D:D)</f>
        <v>77702.28</v>
      </c>
    </row>
    <row r="6" spans="2:6" x14ac:dyDescent="0.25">
      <c r="B6" s="5" t="s">
        <v>11</v>
      </c>
      <c r="C6" s="6">
        <f>SUMIF('CDC-OLGUIN'!B:B, "JUDICIAL", 'CDC-OLGUIN'!C:C)</f>
        <v>2739</v>
      </c>
      <c r="D6" s="14">
        <f>SUMIF('CDC-OLGUIN'!B:B, "JUDICIAL", 'CDC-OLGUIN'!D:D)</f>
        <v>0</v>
      </c>
    </row>
    <row r="7" spans="2:6" x14ac:dyDescent="0.25">
      <c r="B7" s="1" t="s">
        <v>7</v>
      </c>
      <c r="C7" s="6">
        <f>SUMIF('CDC-OLGUIN'!B:B, "Mas 55 semanas de atraso", 'CDC-OLGUIN'!C:C)</f>
        <v>3806</v>
      </c>
      <c r="D7" s="6">
        <f>SUMIF('CDC-OLGUIN'!B:B, "Mas 55 semanas de atraso", 'CDC-OLGUIN'!D:D)</f>
        <v>34067.980000000003</v>
      </c>
      <c r="E7" s="14"/>
      <c r="F7" s="7"/>
    </row>
    <row r="8" spans="2:6" x14ac:dyDescent="0.25">
      <c r="B8" s="3" t="s">
        <v>8</v>
      </c>
      <c r="C8" s="8">
        <f>SUM(C3:C7)</f>
        <v>35529</v>
      </c>
      <c r="D8" s="4">
        <f>SUM(D3:D7)</f>
        <v>427904.53</v>
      </c>
      <c r="E8" s="11" t="s">
        <v>13</v>
      </c>
    </row>
  </sheetData>
  <mergeCells count="1">
    <mergeCell ref="B1:D1"/>
  </mergeCells>
  <pageMargins left="0.7" right="0.7" top="0.75" bottom="0.75" header="0.3" footer="0.3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sheetPr codeName="Hoja4"/>
  <dimension ref="B2:L14"/>
  <sheetViews>
    <sheetView showGridLines="0" zoomScale="145" zoomScaleNormal="145" workbookViewId="0">
      <selection activeCell="B2" sqref="B2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20</v>
      </c>
    </row>
    <row r="3" spans="2:12" x14ac:dyDescent="0.25">
      <c r="B3" s="17" t="s">
        <v>33</v>
      </c>
    </row>
    <row r="5" spans="2:12" x14ac:dyDescent="0.25">
      <c r="B5" t="s">
        <v>26</v>
      </c>
      <c r="C5" t="s">
        <v>27</v>
      </c>
      <c r="D5" s="17" t="s">
        <v>14</v>
      </c>
      <c r="E5" s="17" t="s">
        <v>25</v>
      </c>
      <c r="F5" s="17" t="s">
        <v>18</v>
      </c>
      <c r="G5" s="17" t="s">
        <v>19</v>
      </c>
      <c r="H5" s="17" t="s">
        <v>21</v>
      </c>
      <c r="I5" s="17" t="s">
        <v>15</v>
      </c>
      <c r="J5" s="17" t="s">
        <v>17</v>
      </c>
      <c r="K5" s="17" t="s">
        <v>22</v>
      </c>
      <c r="L5" s="15"/>
    </row>
    <row r="6" spans="2:12" x14ac:dyDescent="0.25">
      <c r="B6" s="16" t="s">
        <v>31</v>
      </c>
      <c r="C6" s="16" t="s">
        <v>4</v>
      </c>
      <c r="D6" s="23">
        <f>SUMIF('REPORTE DIARIO'!B:B,'EPR 26 JUN'!C6, 'REPORTE DIARIO'!C:C)</f>
        <v>11731</v>
      </c>
      <c r="E6" s="16">
        <f>SUMIF('REPORTE DIARIO'!B:B,'EPR 26 JUN'!C6, 'REPORTE DIARIO'!D:D)</f>
        <v>502347.84</v>
      </c>
      <c r="F6" s="16">
        <f>J6*D6</f>
        <v>737377.14285714284</v>
      </c>
      <c r="G6" s="16">
        <f>+E6-F6</f>
        <v>-235029.30285714281</v>
      </c>
      <c r="H6" s="15">
        <f>ABS(G6/F6)</f>
        <v>0.31873689757518925</v>
      </c>
      <c r="I6" s="16">
        <f>E6/D6</f>
        <v>42.822252152416674</v>
      </c>
      <c r="J6" s="16">
        <f>(220/7)*2</f>
        <v>62.857142857142854</v>
      </c>
      <c r="K6" s="16">
        <f>+I6-J6</f>
        <v>-20.03489070472618</v>
      </c>
      <c r="L6" s="15"/>
    </row>
    <row r="7" spans="2:12" x14ac:dyDescent="0.25">
      <c r="B7" s="16" t="s">
        <v>28</v>
      </c>
      <c r="C7" s="16" t="s">
        <v>5</v>
      </c>
      <c r="D7" s="23">
        <f>SUMIF('REPORTE DIARIO'!B:B,'EPR 26 JUN'!C7, 'REPORTE DIARIO'!C:C)</f>
        <v>6300</v>
      </c>
      <c r="E7" s="16">
        <f>SUMIF('REPORTE DIARIO'!B:B,'EPR 26 JUN'!C7, 'REPORTE DIARIO'!D:D)</f>
        <v>253135.15999999997</v>
      </c>
      <c r="F7" s="16">
        <f>J7*D7</f>
        <v>198000</v>
      </c>
      <c r="G7" s="16">
        <f>+E7-F7</f>
        <v>55135.159999999974</v>
      </c>
      <c r="H7" s="15">
        <f>ABS(G7/F7)</f>
        <v>0.2784604040404039</v>
      </c>
      <c r="I7" s="16">
        <f>E7/D7</f>
        <v>40.180184126984123</v>
      </c>
      <c r="J7" s="16">
        <f>(110/7)*2</f>
        <v>31.428571428571427</v>
      </c>
      <c r="K7" s="16">
        <f t="shared" ref="K7:K9" si="0">+I7-J7</f>
        <v>8.7516126984126963</v>
      </c>
      <c r="L7" s="15"/>
    </row>
    <row r="8" spans="2:12" x14ac:dyDescent="0.25">
      <c r="B8" s="16" t="s">
        <v>28</v>
      </c>
      <c r="C8" s="16" t="s">
        <v>6</v>
      </c>
      <c r="D8" s="23">
        <f>SUMIF('REPORTE DIARIO'!B:B,'EPR 26 JUN'!C8, 'REPORTE DIARIO'!C:C)</f>
        <v>12540</v>
      </c>
      <c r="E8" s="16">
        <f>SUMIF('REPORTE DIARIO'!B:B,'EPR 26 JUN'!C8, 'REPORTE DIARIO'!D:D)</f>
        <v>172347.89</v>
      </c>
      <c r="F8" s="16">
        <f>J8*D8</f>
        <v>161228.57142857145</v>
      </c>
      <c r="G8" s="16">
        <f>+E8-F8</f>
        <v>11119.318571428565</v>
      </c>
      <c r="H8" s="15">
        <f>ABS(G8/F8)</f>
        <v>6.8966179337231912E-2</v>
      </c>
      <c r="I8" s="16">
        <f>E8/D8</f>
        <v>13.743850877192983</v>
      </c>
      <c r="J8" s="16">
        <f>(45/7)*2</f>
        <v>12.857142857142858</v>
      </c>
      <c r="K8" s="16">
        <f t="shared" si="0"/>
        <v>0.88670802005012561</v>
      </c>
      <c r="L8" s="15"/>
    </row>
    <row r="9" spans="2:12" x14ac:dyDescent="0.25">
      <c r="B9" s="16" t="s">
        <v>32</v>
      </c>
      <c r="C9" s="16" t="s">
        <v>7</v>
      </c>
      <c r="D9" s="23">
        <f>SUMIF('REPORTE DIARIO'!B:B,'EPR 26 JUN'!C9, 'REPORTE DIARIO'!C:C)</f>
        <v>55925</v>
      </c>
      <c r="E9" s="16">
        <f>SUMIF('REPORTE DIARIO'!B:B,'EPR 26 JUN'!C9, 'REPORTE DIARIO'!D:D)</f>
        <v>307425.78000000003</v>
      </c>
      <c r="F9" s="16">
        <f>J9*D9</f>
        <v>239678.57142857142</v>
      </c>
      <c r="G9" s="16">
        <f>+E9-F9</f>
        <v>67747.208571428608</v>
      </c>
      <c r="H9" s="15">
        <f>ABS(G9/F9)</f>
        <v>0.28265859633437657</v>
      </c>
      <c r="I9" s="16">
        <f>E9/D9</f>
        <v>5.4971082700044711</v>
      </c>
      <c r="J9" s="16">
        <f>(15/7)*2</f>
        <v>4.2857142857142856</v>
      </c>
      <c r="K9" s="16">
        <f t="shared" si="0"/>
        <v>1.2113939842901855</v>
      </c>
    </row>
    <row r="10" spans="2:12" x14ac:dyDescent="0.25">
      <c r="B10" s="16"/>
      <c r="C10" s="19" t="s">
        <v>16</v>
      </c>
      <c r="D10" s="24">
        <f>SUM(D6:D9)</f>
        <v>86496</v>
      </c>
      <c r="E10" s="20">
        <f>SUM(E6:E9)</f>
        <v>1235256.67</v>
      </c>
      <c r="F10" s="20">
        <f>SUM(F6:F9)</f>
        <v>1336284.2857142857</v>
      </c>
      <c r="G10" s="20">
        <f>+E10-F10</f>
        <v>-101027.61571428576</v>
      </c>
      <c r="H10" s="21">
        <f>ABS(G10/F10)</f>
        <v>7.5603385293334754E-2</v>
      </c>
      <c r="I10" s="20">
        <f>E10/D10</f>
        <v>14.281084327598963</v>
      </c>
      <c r="J10" s="20">
        <f>F10/D10</f>
        <v>15.449087653929496</v>
      </c>
      <c r="K10" s="20">
        <f>I10-J10</f>
        <v>-1.1680033263305329</v>
      </c>
    </row>
    <row r="12" spans="2:12" x14ac:dyDescent="0.25">
      <c r="B12" s="22" t="s">
        <v>23</v>
      </c>
      <c r="I12" s="14"/>
    </row>
    <row r="13" spans="2:12" x14ac:dyDescent="0.25">
      <c r="B13" t="s">
        <v>24</v>
      </c>
    </row>
    <row r="14" spans="2:12" x14ac:dyDescent="0.25">
      <c r="B14" t="s">
        <v>30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REPORTE DIARIO</vt:lpstr>
      <vt:lpstr>CDC-OLGUIN</vt:lpstr>
      <vt:lpstr>COBRANZA CDC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2025-10-13T17:40:37Z</cp:lastPrinted>
  <dcterms:created xsi:type="dcterms:W3CDTF">2025-01-27T15:11:28Z</dcterms:created>
  <dcterms:modified xsi:type="dcterms:W3CDTF">2025-10-17T02:07:13Z</dcterms:modified>
</cp:coreProperties>
</file>