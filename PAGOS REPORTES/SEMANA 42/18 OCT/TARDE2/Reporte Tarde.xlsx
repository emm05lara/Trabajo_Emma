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2\18 OCT\TARDE2\"/>
    </mc:Choice>
  </mc:AlternateContent>
  <xr:revisionPtr revIDLastSave="0" documentId="8_{4DC4E607-989B-45E8-910F-97A29A774CBE}" xr6:coauthVersionLast="47" xr6:coauthVersionMax="47" xr10:uidLastSave="{00000000-0000-0000-0000-000000000000}"/>
  <bookViews>
    <workbookView xWindow="-120" yWindow="-120" windowWidth="51840" windowHeight="21120" xr2:uid="{0FB98553-A96A-4CBA-931C-574AC925E615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3" l="1"/>
  <c r="D9" i="3" s="1"/>
  <c r="B2" i="2"/>
  <c r="D11" i="2" s="1"/>
  <c r="B2" i="1"/>
  <c r="D9" i="1" s="1"/>
</calcChain>
</file>

<file path=xl/sharedStrings.xml><?xml version="1.0" encoding="utf-8"?>
<sst xmlns="http://schemas.openxmlformats.org/spreadsheetml/2006/main" count="108" uniqueCount="22">
  <si>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</si>
  <si>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</si>
  <si>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</si>
  <si>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</si>
  <si>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</si>
  <si>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</si>
  <si>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</si>
  <si>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</si>
  <si>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</si>
  <si>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</si>
  <si>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</si>
  <si>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TOTAL COBRADO</t>
  </si>
  <si>
    <t>Segmento</t>
  </si>
  <si>
    <t>CONSUMO</t>
  </si>
  <si>
    <t>CREDIMAX</t>
  </si>
  <si>
    <t>ITALIKA</t>
  </si>
  <si>
    <t>REESTRUCTURA</t>
  </si>
  <si>
    <t>TAZ</t>
  </si>
  <si>
    <t>TOR</t>
  </si>
  <si>
    <t>MAZ</t>
  </si>
  <si>
    <t>Producto</t>
  </si>
  <si>
    <t>CDC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</si>
</sst>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504BF-40BF-406B-AAB9-A72426A0370C}">
  <dimension ref="B2:D39"/>
  <sheetViews>
    <sheetView tabSelected="1" workbookViewId="0">
      <selection activeCell="B2" sqref="B2:D39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18/10/2025  16:44 </v>
      </c>
      <c r="C2" s="6"/>
    </row>
    <row r="3" spans="2:4" x14ac:dyDescent="0.25">
      <c r="B3" s="6" t="s">
        <v>6</v>
      </c>
      <c r="C3" s="6"/>
    </row>
    <row r="4" spans="2:4" x14ac:dyDescent="0.25">
      <c r="B4" s="1" t="s">
        <v>12</v>
      </c>
      <c r="C4" s="1" t="s">
        <v>0</v>
      </c>
    </row>
    <row r="5" spans="2:4" x14ac:dyDescent="0.25">
      <c r="B5" s="2" t="s">
        <v>1</v>
      </c>
      <c r="C5" s="3">
        <v>40098</v>
      </c>
    </row>
    <row r="6" spans="2:4" x14ac:dyDescent="0.25">
      <c r="B6" s="2" t="s">
        <v>2</v>
      </c>
      <c r="C6" s="3">
        <v>38142.720000000001</v>
      </c>
    </row>
    <row r="7" spans="2:4" x14ac:dyDescent="0.25">
      <c r="B7" s="2" t="s">
        <v>3</v>
      </c>
      <c r="C7" s="3">
        <v>29707</v>
      </c>
    </row>
    <row r="8" spans="2:4" ht="15.75" thickBot="1" x14ac:dyDescent="0.3">
      <c r="B8" s="2" t="s">
        <v>4</v>
      </c>
      <c r="C8" s="3">
        <v>54633.21</v>
      </c>
      <c r="D8" s="1" t="s">
        <v>11</v>
      </c>
    </row>
    <row r="9" spans="2:4" ht="15.75" thickTop="1" x14ac:dyDescent="0.25">
      <c r="B9" s="4" t="s">
        <v>5</v>
      </c>
      <c r="C9" s="5">
        <v>162580.93</v>
      </c>
      <c r="D9" s="5">
        <f ca="1">SUMIF(B:B, "Total general", C:C)</f>
        <v>246232.07</v>
      </c>
    </row>
    <row r="11" spans="2:4" x14ac:dyDescent="0.25">
      <c r="B11" s="6" t="s">
        <v>10</v>
      </c>
      <c r="C11" s="6"/>
    </row>
    <row r="12" spans="2:4" x14ac:dyDescent="0.25">
      <c r="B12" s="1" t="s">
        <v>12</v>
      </c>
      <c r="C12" s="1" t="s">
        <v>0</v>
      </c>
    </row>
    <row r="13" spans="2:4" x14ac:dyDescent="0.25">
      <c r="B13" s="2" t="s">
        <v>1</v>
      </c>
      <c r="C13" s="3">
        <v>14484.24</v>
      </c>
    </row>
    <row r="14" spans="2:4" x14ac:dyDescent="0.25">
      <c r="B14" s="2" t="s">
        <v>2</v>
      </c>
      <c r="C14" s="3">
        <v>4175</v>
      </c>
    </row>
    <row r="15" spans="2:4" ht="15.75" thickBot="1" x14ac:dyDescent="0.3">
      <c r="B15" s="2" t="s">
        <v>3</v>
      </c>
      <c r="C15" s="3">
        <v>26179.61</v>
      </c>
    </row>
    <row r="16" spans="2:4" ht="15.75" thickTop="1" x14ac:dyDescent="0.25">
      <c r="B16" s="4" t="s">
        <v>5</v>
      </c>
      <c r="C16" s="5">
        <v>44838.85</v>
      </c>
    </row>
    <row r="18" spans="2:3" x14ac:dyDescent="0.25">
      <c r="B18" s="6" t="s">
        <v>7</v>
      </c>
      <c r="C18" s="6"/>
    </row>
    <row r="19" spans="2:3" x14ac:dyDescent="0.25">
      <c r="B19" s="1" t="s">
        <v>12</v>
      </c>
      <c r="C19" s="1" t="s">
        <v>0</v>
      </c>
    </row>
    <row r="20" spans="2:3" x14ac:dyDescent="0.25">
      <c r="B20" s="2" t="s">
        <v>1</v>
      </c>
      <c r="C20" s="3">
        <v>3864</v>
      </c>
    </row>
    <row r="21" spans="2:3" x14ac:dyDescent="0.25">
      <c r="B21" s="2" t="s">
        <v>2</v>
      </c>
      <c r="C21" s="3">
        <v>7824</v>
      </c>
    </row>
    <row r="22" spans="2:3" x14ac:dyDescent="0.25">
      <c r="B22" s="2" t="s">
        <v>3</v>
      </c>
      <c r="C22" s="3">
        <v>5733</v>
      </c>
    </row>
    <row r="23" spans="2:3" ht="15.75" thickBot="1" x14ac:dyDescent="0.3">
      <c r="B23" s="2" t="s">
        <v>4</v>
      </c>
      <c r="C23" s="3">
        <v>5348</v>
      </c>
    </row>
    <row r="24" spans="2:3" ht="15.75" thickTop="1" x14ac:dyDescent="0.25">
      <c r="B24" s="4" t="s">
        <v>5</v>
      </c>
      <c r="C24" s="5">
        <v>22769</v>
      </c>
    </row>
    <row r="26" spans="2:3" x14ac:dyDescent="0.25">
      <c r="B26" s="6" t="s">
        <v>8</v>
      </c>
      <c r="C26" s="6"/>
    </row>
    <row r="27" spans="2:3" x14ac:dyDescent="0.25">
      <c r="B27" s="1" t="s">
        <v>12</v>
      </c>
      <c r="C27" s="1" t="s">
        <v>0</v>
      </c>
    </row>
    <row r="28" spans="2:3" x14ac:dyDescent="0.25">
      <c r="B28" s="2" t="s">
        <v>1</v>
      </c>
      <c r="C28" s="3">
        <v>4524</v>
      </c>
    </row>
    <row r="29" spans="2:3" x14ac:dyDescent="0.25">
      <c r="B29" s="2" t="s">
        <v>2</v>
      </c>
      <c r="C29" s="3">
        <v>3957.2</v>
      </c>
    </row>
    <row r="30" spans="2:3" x14ac:dyDescent="0.25">
      <c r="B30" s="2" t="s">
        <v>3</v>
      </c>
      <c r="C30" s="3">
        <v>1881</v>
      </c>
    </row>
    <row r="31" spans="2:3" ht="15.75" thickBot="1" x14ac:dyDescent="0.3">
      <c r="B31" s="2" t="s">
        <v>4</v>
      </c>
      <c r="C31" s="3">
        <v>2818.09</v>
      </c>
    </row>
    <row r="32" spans="2:3" ht="15.75" thickTop="1" x14ac:dyDescent="0.25">
      <c r="B32" s="4" t="s">
        <v>5</v>
      </c>
      <c r="C32" s="5">
        <v>13180.29</v>
      </c>
    </row>
    <row r="34" spans="2:3" x14ac:dyDescent="0.25">
      <c r="B34" s="6" t="s">
        <v>9</v>
      </c>
      <c r="C34" s="6"/>
    </row>
    <row r="35" spans="2:3" x14ac:dyDescent="0.25">
      <c r="B35" s="1" t="s">
        <v>12</v>
      </c>
      <c r="C35" s="1" t="s">
        <v>0</v>
      </c>
    </row>
    <row r="36" spans="2:3" x14ac:dyDescent="0.25">
      <c r="B36" s="2" t="s">
        <v>1</v>
      </c>
      <c r="C36" s="3">
        <v>200</v>
      </c>
    </row>
    <row r="37" spans="2:3" x14ac:dyDescent="0.25">
      <c r="B37" s="2" t="s">
        <v>2</v>
      </c>
      <c r="C37" s="3">
        <v>468</v>
      </c>
    </row>
    <row r="38" spans="2:3" ht="15.75" thickBot="1" x14ac:dyDescent="0.3">
      <c r="B38" s="2" t="s">
        <v>3</v>
      </c>
      <c r="C38" s="3">
        <v>2195</v>
      </c>
    </row>
    <row r="39" spans="2:3" ht="15.75" thickTop="1" x14ac:dyDescent="0.25">
      <c r="B39" s="4" t="s">
        <v>5</v>
      </c>
      <c r="C39" s="5">
        <v>2863</v>
      </c>
    </row>
  </sheetData>
  <mergeCells count="6">
    <mergeCell ref="B3:C3"/>
    <mergeCell ref="B18:C18"/>
    <mergeCell ref="B26:C26"/>
    <mergeCell ref="B34:C34"/>
    <mergeCell ref="B11:C11"/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2BAEC-2B48-41D6-B9A8-624EA963CC82}">
  <dimension ref="B2:D42"/>
  <sheetViews>
    <sheetView workbookViewId="0">
      <selection activeCell="B4" sqref="B4"/>
    </sheetView>
  </sheetViews>
  <sheetFormatPr baseColWidth="10" defaultRowHeight="15" x14ac:dyDescent="0.25"/>
  <cols>
    <col min="2" max="2" width="15.2851562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18/10/2025  16:44 </v>
      </c>
      <c r="C2" s="6"/>
    </row>
    <row r="3" spans="2:4" x14ac:dyDescent="0.25">
      <c r="B3" s="6" t="s">
        <v>6</v>
      </c>
      <c r="C3" s="6"/>
    </row>
    <row r="4" spans="2:4" x14ac:dyDescent="0.25">
      <c r="B4" s="1" t="s">
        <v>20</v>
      </c>
      <c r="C4" s="1" t="s">
        <v>0</v>
      </c>
    </row>
    <row r="5" spans="2:4" x14ac:dyDescent="0.25">
      <c r="B5" s="2" t="s">
        <v>13</v>
      </c>
      <c r="C5" s="3">
        <v>8285</v>
      </c>
    </row>
    <row r="6" spans="2:4" x14ac:dyDescent="0.25">
      <c r="B6" s="2" t="s">
        <v>14</v>
      </c>
      <c r="C6" s="3">
        <v>9691</v>
      </c>
    </row>
    <row r="7" spans="2:4" x14ac:dyDescent="0.25">
      <c r="B7" s="2" t="s">
        <v>15</v>
      </c>
      <c r="C7" s="3">
        <v>300</v>
      </c>
    </row>
    <row r="8" spans="2:4" x14ac:dyDescent="0.25">
      <c r="B8" s="2" t="s">
        <v>16</v>
      </c>
      <c r="C8" s="3">
        <v>6015</v>
      </c>
    </row>
    <row r="9" spans="2:4" x14ac:dyDescent="0.25">
      <c r="B9" s="2" t="s">
        <v>17</v>
      </c>
      <c r="C9" s="3">
        <v>1373</v>
      </c>
    </row>
    <row r="10" spans="2:4" ht="15.75" thickBot="1" x14ac:dyDescent="0.3">
      <c r="B10" s="2" t="s">
        <v>18</v>
      </c>
      <c r="C10" s="3">
        <v>136916.93</v>
      </c>
      <c r="D10" s="1" t="s">
        <v>11</v>
      </c>
    </row>
    <row r="11" spans="2:4" ht="15.75" thickTop="1" x14ac:dyDescent="0.25">
      <c r="B11" s="4" t="s">
        <v>5</v>
      </c>
      <c r="C11" s="5">
        <v>162580.93</v>
      </c>
      <c r="D11" s="5">
        <f ca="1">SUMIF(B:B, "Total general", C:C)</f>
        <v>246232.07</v>
      </c>
    </row>
    <row r="13" spans="2:4" x14ac:dyDescent="0.25">
      <c r="B13" s="6" t="s">
        <v>10</v>
      </c>
      <c r="C13" s="6"/>
    </row>
    <row r="14" spans="2:4" x14ac:dyDescent="0.25">
      <c r="B14" s="1" t="s">
        <v>20</v>
      </c>
      <c r="C14" s="1" t="s">
        <v>0</v>
      </c>
    </row>
    <row r="15" spans="2:4" x14ac:dyDescent="0.25">
      <c r="B15" s="2" t="s">
        <v>13</v>
      </c>
      <c r="C15" s="3">
        <v>5897</v>
      </c>
    </row>
    <row r="16" spans="2:4" x14ac:dyDescent="0.25">
      <c r="B16" s="2" t="s">
        <v>14</v>
      </c>
      <c r="C16" s="3">
        <v>621</v>
      </c>
    </row>
    <row r="17" spans="2:3" x14ac:dyDescent="0.25">
      <c r="B17" s="2" t="s">
        <v>15</v>
      </c>
      <c r="C17" s="3">
        <v>32615.850000000002</v>
      </c>
    </row>
    <row r="18" spans="2:3" x14ac:dyDescent="0.25">
      <c r="B18" s="2" t="s">
        <v>16</v>
      </c>
      <c r="C18" s="3">
        <v>2209</v>
      </c>
    </row>
    <row r="19" spans="2:3" ht="15.75" thickBot="1" x14ac:dyDescent="0.3">
      <c r="B19" s="2" t="s">
        <v>18</v>
      </c>
      <c r="C19" s="3">
        <v>3496</v>
      </c>
    </row>
    <row r="20" spans="2:3" ht="15.75" thickTop="1" x14ac:dyDescent="0.25">
      <c r="B20" s="4" t="s">
        <v>5</v>
      </c>
      <c r="C20" s="5">
        <v>44838.850000000006</v>
      </c>
    </row>
    <row r="22" spans="2:3" x14ac:dyDescent="0.25">
      <c r="B22" s="6" t="s">
        <v>7</v>
      </c>
      <c r="C22" s="6"/>
    </row>
    <row r="23" spans="2:3" x14ac:dyDescent="0.25">
      <c r="B23" s="1" t="s">
        <v>20</v>
      </c>
      <c r="C23" s="1" t="s">
        <v>0</v>
      </c>
    </row>
    <row r="24" spans="2:3" x14ac:dyDescent="0.25">
      <c r="B24" s="2" t="s">
        <v>13</v>
      </c>
      <c r="C24" s="3">
        <v>2156</v>
      </c>
    </row>
    <row r="25" spans="2:3" x14ac:dyDescent="0.25">
      <c r="B25" s="2" t="s">
        <v>14</v>
      </c>
      <c r="C25" s="3">
        <v>4491</v>
      </c>
    </row>
    <row r="26" spans="2:3" x14ac:dyDescent="0.25">
      <c r="B26" s="2" t="s">
        <v>15</v>
      </c>
      <c r="C26" s="3">
        <v>400</v>
      </c>
    </row>
    <row r="27" spans="2:3" x14ac:dyDescent="0.25">
      <c r="B27" s="2" t="s">
        <v>19</v>
      </c>
      <c r="C27" s="3">
        <v>936</v>
      </c>
    </row>
    <row r="28" spans="2:3" x14ac:dyDescent="0.25">
      <c r="B28" s="2" t="s">
        <v>16</v>
      </c>
      <c r="C28" s="3">
        <v>5902</v>
      </c>
    </row>
    <row r="29" spans="2:3" ht="15.75" thickBot="1" x14ac:dyDescent="0.3">
      <c r="B29" s="2" t="s">
        <v>18</v>
      </c>
      <c r="C29" s="3">
        <v>8884</v>
      </c>
    </row>
    <row r="30" spans="2:3" ht="15.75" thickTop="1" x14ac:dyDescent="0.25">
      <c r="B30" s="4" t="s">
        <v>5</v>
      </c>
      <c r="C30" s="5">
        <v>22769</v>
      </c>
    </row>
    <row r="32" spans="2:3" x14ac:dyDescent="0.25">
      <c r="B32" s="6" t="s">
        <v>8</v>
      </c>
      <c r="C32" s="6"/>
    </row>
    <row r="33" spans="2:3" x14ac:dyDescent="0.25">
      <c r="B33" s="1" t="s">
        <v>20</v>
      </c>
      <c r="C33" s="1" t="s">
        <v>0</v>
      </c>
    </row>
    <row r="34" spans="2:3" x14ac:dyDescent="0.25">
      <c r="B34" s="2" t="s">
        <v>16</v>
      </c>
      <c r="C34" s="3">
        <v>1175</v>
      </c>
    </row>
    <row r="35" spans="2:3" ht="15.75" thickBot="1" x14ac:dyDescent="0.3">
      <c r="B35" s="2" t="s">
        <v>18</v>
      </c>
      <c r="C35" s="3">
        <v>12005.29</v>
      </c>
    </row>
    <row r="36" spans="2:3" ht="15.75" thickTop="1" x14ac:dyDescent="0.25">
      <c r="B36" s="4" t="s">
        <v>5</v>
      </c>
      <c r="C36" s="5">
        <v>13180.29</v>
      </c>
    </row>
    <row r="38" spans="2:3" x14ac:dyDescent="0.25">
      <c r="B38" s="6" t="s">
        <v>9</v>
      </c>
      <c r="C38" s="6"/>
    </row>
    <row r="39" spans="2:3" x14ac:dyDescent="0.25">
      <c r="B39" s="1" t="s">
        <v>20</v>
      </c>
      <c r="C39" s="1" t="s">
        <v>0</v>
      </c>
    </row>
    <row r="40" spans="2:3" x14ac:dyDescent="0.25">
      <c r="B40" s="2" t="s">
        <v>13</v>
      </c>
      <c r="C40" s="3">
        <v>2395</v>
      </c>
    </row>
    <row r="41" spans="2:3" ht="15.75" thickBot="1" x14ac:dyDescent="0.3">
      <c r="B41" s="2" t="s">
        <v>18</v>
      </c>
      <c r="C41" s="3">
        <v>468</v>
      </c>
    </row>
    <row r="42" spans="2:3" ht="15.75" thickTop="1" x14ac:dyDescent="0.25">
      <c r="B42" s="4" t="s">
        <v>5</v>
      </c>
      <c r="C42" s="5">
        <v>2863</v>
      </c>
    </row>
  </sheetData>
  <mergeCells count="6">
    <mergeCell ref="B2:C2"/>
    <mergeCell ref="B3:C3"/>
    <mergeCell ref="B13:C13"/>
    <mergeCell ref="B22:C22"/>
    <mergeCell ref="B32:C32"/>
    <mergeCell ref="B38:C3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5B3BD-D39A-4E68-ABF7-408BCD20EE54}">
  <dimension ref="B2:D27"/>
  <sheetViews>
    <sheetView workbookViewId="0">
      <selection activeCell="B4" sqref="B4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ETIQUETA PROYECTO CDC " &amp; TEXT(TODAY(), " dd/mm/aaaa ") &amp; TEXT(NOW(), " hh:mm ")</f>
        <v xml:space="preserve"> ETIQUETA PROYECTO CDC  18/10/2025  16:44 </v>
      </c>
      <c r="C2" s="6"/>
    </row>
    <row r="3" spans="2:4" x14ac:dyDescent="0.25">
      <c r="B3" s="6" t="s">
        <v>21</v>
      </c>
      <c r="C3" s="6"/>
    </row>
    <row r="4" spans="2:4" x14ac:dyDescent="0.25">
      <c r="B4" s="1" t="s">
        <v>12</v>
      </c>
      <c r="C4" s="1" t="s">
        <v>0</v>
      </c>
    </row>
    <row r="5" spans="2:4" x14ac:dyDescent="0.25">
      <c r="B5" s="2" t="s">
        <v>1</v>
      </c>
      <c r="C5" s="3">
        <v>44515.22</v>
      </c>
    </row>
    <row r="6" spans="2:4" x14ac:dyDescent="0.25">
      <c r="B6" s="2" t="s">
        <v>2</v>
      </c>
      <c r="C6" s="3">
        <v>9899</v>
      </c>
    </row>
    <row r="7" spans="2:4" x14ac:dyDescent="0.25">
      <c r="B7" s="2" t="s">
        <v>3</v>
      </c>
      <c r="C7" s="3">
        <v>21860.03</v>
      </c>
    </row>
    <row r="8" spans="2:4" ht="15.75" thickBot="1" x14ac:dyDescent="0.3">
      <c r="B8" s="2" t="s">
        <v>4</v>
      </c>
      <c r="C8" s="3">
        <v>5692</v>
      </c>
      <c r="D8" s="1" t="s">
        <v>11</v>
      </c>
    </row>
    <row r="9" spans="2:4" ht="15.75" thickTop="1" x14ac:dyDescent="0.25">
      <c r="B9" s="4" t="s">
        <v>5</v>
      </c>
      <c r="C9" s="5">
        <v>81966.25</v>
      </c>
      <c r="D9" s="5">
        <f ca="1">SUMIF(B:B, "Total general", C:C)</f>
        <v>126285.1</v>
      </c>
    </row>
    <row r="11" spans="2:4" x14ac:dyDescent="0.25">
      <c r="B11" s="6" t="s">
        <v>10</v>
      </c>
      <c r="C11" s="6"/>
    </row>
    <row r="12" spans="2:4" x14ac:dyDescent="0.25">
      <c r="B12" s="1" t="s">
        <v>12</v>
      </c>
      <c r="C12" s="1" t="s">
        <v>0</v>
      </c>
    </row>
    <row r="13" spans="2:4" x14ac:dyDescent="0.25">
      <c r="B13" s="2" t="s">
        <v>1</v>
      </c>
      <c r="C13" s="3">
        <v>13284.24</v>
      </c>
    </row>
    <row r="14" spans="2:4" x14ac:dyDescent="0.25">
      <c r="B14" s="2" t="s">
        <v>2</v>
      </c>
      <c r="C14" s="3">
        <v>1262</v>
      </c>
    </row>
    <row r="15" spans="2:4" ht="15.75" thickBot="1" x14ac:dyDescent="0.3">
      <c r="B15" s="2" t="s">
        <v>3</v>
      </c>
      <c r="C15" s="3">
        <v>26179.61</v>
      </c>
    </row>
    <row r="16" spans="2:4" ht="15.75" thickTop="1" x14ac:dyDescent="0.25">
      <c r="B16" s="4" t="s">
        <v>5</v>
      </c>
      <c r="C16" s="5">
        <v>40725.85</v>
      </c>
    </row>
    <row r="18" spans="2:3" x14ac:dyDescent="0.25">
      <c r="B18" s="6" t="s">
        <v>6</v>
      </c>
      <c r="C18" s="6"/>
    </row>
    <row r="19" spans="2:3" x14ac:dyDescent="0.25">
      <c r="B19" s="1" t="s">
        <v>12</v>
      </c>
      <c r="C19" s="1" t="s">
        <v>0</v>
      </c>
    </row>
    <row r="20" spans="2:3" x14ac:dyDescent="0.25">
      <c r="B20" s="2" t="s">
        <v>2</v>
      </c>
      <c r="C20" s="3">
        <v>1935</v>
      </c>
    </row>
    <row r="21" spans="2:3" ht="15.75" thickBot="1" x14ac:dyDescent="0.3">
      <c r="B21" s="2" t="s">
        <v>4</v>
      </c>
      <c r="C21" s="3">
        <v>1000</v>
      </c>
    </row>
    <row r="22" spans="2:3" ht="15.75" thickTop="1" x14ac:dyDescent="0.25">
      <c r="B22" s="4" t="s">
        <v>5</v>
      </c>
      <c r="C22" s="5">
        <v>2935</v>
      </c>
    </row>
    <row r="24" spans="2:3" x14ac:dyDescent="0.25">
      <c r="B24" s="6" t="s">
        <v>7</v>
      </c>
      <c r="C24" s="6"/>
    </row>
    <row r="25" spans="2:3" x14ac:dyDescent="0.25">
      <c r="B25" s="1" t="s">
        <v>12</v>
      </c>
      <c r="C25" s="1" t="s">
        <v>0</v>
      </c>
    </row>
    <row r="26" spans="2:3" ht="15.75" thickBot="1" x14ac:dyDescent="0.3">
      <c r="B26" s="2" t="s">
        <v>4</v>
      </c>
      <c r="C26" s="3">
        <v>658</v>
      </c>
    </row>
    <row r="27" spans="2:3" ht="15.75" thickTop="1" x14ac:dyDescent="0.25">
      <c r="B27" s="4" t="s">
        <v>5</v>
      </c>
      <c r="C27" s="5">
        <v>658</v>
      </c>
    </row>
  </sheetData>
  <mergeCells count="5">
    <mergeCell ref="B3:C3"/>
    <mergeCell ref="B24:C24"/>
    <mergeCell ref="B11:C11"/>
    <mergeCell ref="B18:C18"/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2025-10-18T22:37:42Z</dcterms:created>
  <dcterms:modified xsi:type="dcterms:W3CDTF">2025-10-18T22:45:07Z</dcterms:modified>
</cp:coreProperties>
</file>