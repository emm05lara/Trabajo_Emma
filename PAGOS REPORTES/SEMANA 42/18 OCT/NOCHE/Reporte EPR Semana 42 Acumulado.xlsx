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8 OCT\NOCHE\"/>
    </mc:Choice>
  </mc:AlternateContent>
  <xr:revisionPtr revIDLastSave="0" documentId="13_ncr:1_{26FFEB2E-6285-4CAA-BAB3-134F87253233}" xr6:coauthVersionLast="47" xr6:coauthVersionMax="47" xr10:uidLastSave="{00000000-0000-0000-0000-000000000000}"/>
  <bookViews>
    <workbookView xWindow="12000" yWindow="1200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D26" i="1"/>
  <c r="D35" i="5"/>
  <c r="C35" i="5"/>
  <c r="D42" i="5"/>
  <c r="C42" i="5"/>
  <c r="D27" i="5"/>
  <c r="C27" i="5"/>
  <c r="C42" i="1"/>
  <c r="D42" i="1"/>
  <c r="D18" i="1"/>
  <c r="C18" i="1"/>
  <c r="C34" i="1"/>
  <c r="D18" i="5"/>
  <c r="C18" i="5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<sst xmlns="http://schemas.openxmlformats.org/spreadsheetml/2006/main" count="139" uniqueCount="37">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</sst>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7" zoomScaleNormal="100" workbookViewId="0">
      <selection activeCell="C42" sqref="C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6368</v>
      </c>
      <c r="D5" s="28">
        <v>482818.91</v>
      </c>
    </row>
    <row r="6" spans="2:8" x14ac:dyDescent="0.25">
      <c r="B6" s="1" t="s">
        <v>5</v>
      </c>
      <c r="C6" s="6">
        <v>3353</v>
      </c>
      <c r="D6" s="28">
        <v>312844.80999999994</v>
      </c>
    </row>
    <row r="7" spans="2:8" x14ac:dyDescent="0.25">
      <c r="B7" s="1" t="s">
        <v>6</v>
      </c>
      <c r="C7" s="6">
        <v>7883</v>
      </c>
      <c r="D7" s="28">
        <v>237390.37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37939</v>
      </c>
      <c r="D9" s="28">
        <v>410962.3</v>
      </c>
      <c r="E9" s="14"/>
      <c r="F9" s="7"/>
    </row>
    <row r="10" spans="2:8" x14ac:dyDescent="0.25">
      <c r="B10" s="3" t="s">
        <v>8</v>
      </c>
      <c r="C10" s="8">
        <f>SUM(C5:C9)</f>
        <v>56582</v>
      </c>
      <c r="D10" s="4">
        <f>SUM(D5:D9)</f>
        <v>1444016.39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126</v>
      </c>
      <c r="D14" s="28">
        <v>53845.599999999999</v>
      </c>
    </row>
    <row r="15" spans="2:8" x14ac:dyDescent="0.25">
      <c r="B15" s="1" t="s">
        <v>5</v>
      </c>
      <c r="C15" s="6">
        <v>285</v>
      </c>
      <c r="D15" s="28">
        <v>67573.89</v>
      </c>
    </row>
    <row r="16" spans="2:8" x14ac:dyDescent="0.25">
      <c r="B16" s="1" t="s">
        <v>6</v>
      </c>
      <c r="C16" s="6">
        <v>394</v>
      </c>
      <c r="D16" s="28">
        <v>40943</v>
      </c>
    </row>
    <row r="17" spans="2:4" x14ac:dyDescent="0.25">
      <c r="B17" s="1" t="s">
        <v>7</v>
      </c>
      <c r="C17" s="7">
        <v>15153</v>
      </c>
      <c r="D17" s="28">
        <v>99668.78</v>
      </c>
    </row>
    <row r="18" spans="2:4" x14ac:dyDescent="0.25">
      <c r="B18" s="3" t="s">
        <v>8</v>
      </c>
      <c r="C18" s="8">
        <f>SUM(C14:C17)</f>
        <v>15958</v>
      </c>
      <c r="D18" s="4">
        <f>SUM(D14:D17)</f>
        <v>262031.27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4996</v>
      </c>
      <c r="D22" s="28">
        <v>169199.96</v>
      </c>
    </row>
    <row r="23" spans="2:4" x14ac:dyDescent="0.25">
      <c r="B23" s="1" t="s">
        <v>5</v>
      </c>
      <c r="C23" s="6">
        <v>1339</v>
      </c>
      <c r="D23" s="28">
        <v>34865</v>
      </c>
    </row>
    <row r="24" spans="2:4" x14ac:dyDescent="0.25">
      <c r="B24" s="1" t="s">
        <v>6</v>
      </c>
      <c r="C24" s="6">
        <v>3815</v>
      </c>
      <c r="D24" s="28">
        <v>51358.520000000004</v>
      </c>
    </row>
    <row r="25" spans="2:4" x14ac:dyDescent="0.25">
      <c r="B25" s="1" t="s">
        <v>7</v>
      </c>
      <c r="C25" s="6">
        <v>1029</v>
      </c>
      <c r="D25" s="28">
        <v>399</v>
      </c>
    </row>
    <row r="26" spans="2:4" x14ac:dyDescent="0.25">
      <c r="B26" s="10" t="s">
        <v>8</v>
      </c>
      <c r="C26" s="8">
        <f>SUM(C22:C25)</f>
        <v>11179</v>
      </c>
      <c r="D26" s="4">
        <f>SUM(D22:D25)</f>
        <v>255822.47999999998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409</v>
      </c>
      <c r="D30" s="28">
        <v>38621.11</v>
      </c>
    </row>
    <row r="31" spans="2:4" x14ac:dyDescent="0.25">
      <c r="B31" s="9" t="s">
        <v>5</v>
      </c>
      <c r="C31" s="6">
        <v>1341</v>
      </c>
      <c r="D31" s="28">
        <v>51836.31</v>
      </c>
    </row>
    <row r="32" spans="2:4" x14ac:dyDescent="0.25">
      <c r="B32" s="9" t="s">
        <v>6</v>
      </c>
      <c r="C32" s="6">
        <v>185</v>
      </c>
      <c r="D32" s="28">
        <v>36203.589999999997</v>
      </c>
    </row>
    <row r="33" spans="2:4" x14ac:dyDescent="0.25">
      <c r="B33" s="9" t="s">
        <v>7</v>
      </c>
      <c r="C33" s="6">
        <v>1283</v>
      </c>
      <c r="D33" s="28">
        <v>48244.709999999992</v>
      </c>
    </row>
    <row r="34" spans="2:4" x14ac:dyDescent="0.25">
      <c r="B34" s="10" t="s">
        <v>8</v>
      </c>
      <c r="C34" s="8">
        <f>SUM(C30:C33)</f>
        <v>3218</v>
      </c>
      <c r="D34" s="4">
        <f>SUM(D30:D33)</f>
        <v>174905.71999999997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23</v>
      </c>
      <c r="D38" s="28">
        <v>2665.44</v>
      </c>
    </row>
    <row r="39" spans="2:4" x14ac:dyDescent="0.25">
      <c r="B39" s="1" t="s">
        <v>5</v>
      </c>
      <c r="C39" s="6">
        <v>42</v>
      </c>
      <c r="D39" s="28">
        <v>468</v>
      </c>
    </row>
    <row r="40" spans="2:4" x14ac:dyDescent="0.25">
      <c r="B40" s="1" t="s">
        <v>6</v>
      </c>
      <c r="C40" s="6">
        <v>4</v>
      </c>
      <c r="D40" s="28">
        <v>3165</v>
      </c>
    </row>
    <row r="41" spans="2:4" x14ac:dyDescent="0.25">
      <c r="B41" s="1" t="s">
        <v>7</v>
      </c>
      <c r="C41" s="6">
        <v>743</v>
      </c>
      <c r="D41" s="28">
        <v>14601</v>
      </c>
    </row>
    <row r="42" spans="2:4" x14ac:dyDescent="0.25">
      <c r="B42" s="3" t="s">
        <v>8</v>
      </c>
      <c r="C42" s="8">
        <f>SUM(C38:C41)</f>
        <v>812</v>
      </c>
      <c r="D42" s="4">
        <f>SUM(D38:D41)</f>
        <v>20899.440000000002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87749</v>
      </c>
      <c r="D50" s="13">
        <f>SUMIF(B:B, "Total general", D:D)</f>
        <v>2157675.2999999998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13" sqref="C1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8587</v>
      </c>
      <c r="D5" s="28">
        <v>175413.53</v>
      </c>
      <c r="E5" s="11"/>
    </row>
    <row r="6" spans="2:8" x14ac:dyDescent="0.25">
      <c r="B6" s="1" t="s">
        <v>5</v>
      </c>
      <c r="C6" s="27">
        <v>6055</v>
      </c>
      <c r="D6" s="28">
        <v>87692</v>
      </c>
    </row>
    <row r="7" spans="2:8" x14ac:dyDescent="0.25">
      <c r="B7" s="1" t="s">
        <v>6</v>
      </c>
      <c r="C7" s="27">
        <v>5106</v>
      </c>
      <c r="D7" s="28">
        <v>135203.4</v>
      </c>
    </row>
    <row r="8" spans="2:8" x14ac:dyDescent="0.25">
      <c r="B8" s="5" t="s">
        <v>11</v>
      </c>
      <c r="C8" s="27">
        <v>2739</v>
      </c>
      <c r="D8" s="28">
        <v>100</v>
      </c>
    </row>
    <row r="9" spans="2:8" x14ac:dyDescent="0.25">
      <c r="B9" s="1" t="s">
        <v>7</v>
      </c>
      <c r="C9" s="27">
        <v>2914</v>
      </c>
      <c r="D9" s="28">
        <v>31464.45</v>
      </c>
      <c r="E9" s="14"/>
      <c r="F9" s="7"/>
    </row>
    <row r="10" spans="2:8" x14ac:dyDescent="0.25">
      <c r="B10" s="3" t="s">
        <v>8</v>
      </c>
      <c r="C10" s="8">
        <f>SUM(C5:C9)</f>
        <v>25401</v>
      </c>
      <c r="D10" s="4">
        <f>SUM(D5:D9)</f>
        <v>429873.38000000006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4885</v>
      </c>
      <c r="D14" s="28">
        <v>165959.96</v>
      </c>
    </row>
    <row r="15" spans="2:8" x14ac:dyDescent="0.25">
      <c r="B15" s="1" t="s">
        <v>5</v>
      </c>
      <c r="C15" s="26">
        <v>768</v>
      </c>
      <c r="D15" s="28">
        <v>24187</v>
      </c>
    </row>
    <row r="16" spans="2:8" x14ac:dyDescent="0.25">
      <c r="B16" s="1" t="s">
        <v>6</v>
      </c>
      <c r="C16" s="26">
        <v>3491</v>
      </c>
      <c r="D16" s="28">
        <v>49692.520000000004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9170</v>
      </c>
      <c r="D18" s="4">
        <f>SUM(D14:D17)</f>
        <v>240238.47999999998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206</v>
      </c>
      <c r="D22" s="28">
        <v>2556</v>
      </c>
    </row>
    <row r="23" spans="2:4" x14ac:dyDescent="0.25">
      <c r="B23" s="1" t="s">
        <v>5</v>
      </c>
      <c r="C23">
        <v>303</v>
      </c>
      <c r="D23" s="28">
        <v>4305</v>
      </c>
    </row>
    <row r="24" spans="2:4" x14ac:dyDescent="0.25">
      <c r="B24" s="1" t="s">
        <v>6</v>
      </c>
      <c r="C24">
        <v>224</v>
      </c>
      <c r="D24" s="28">
        <v>1099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7956.04</v>
      </c>
    </row>
    <row r="27" spans="2:4" x14ac:dyDescent="0.25">
      <c r="B27" s="3" t="s">
        <v>8</v>
      </c>
      <c r="C27" s="8">
        <f>SUM(C22:C26)</f>
        <v>1036</v>
      </c>
      <c r="D27" s="4">
        <f>SUM(D22:D26)</f>
        <v>15916.04</v>
      </c>
    </row>
    <row r="29" spans="2:4" x14ac:dyDescent="0.25">
      <c r="B29" s="30" t="s">
        <v>34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1331</v>
      </c>
    </row>
    <row r="32" spans="2:4" x14ac:dyDescent="0.25">
      <c r="B32" s="1" t="s">
        <v>5</v>
      </c>
      <c r="C32" s="25">
        <v>0</v>
      </c>
      <c r="D32" s="25">
        <v>0</v>
      </c>
    </row>
    <row r="33" spans="2:4" x14ac:dyDescent="0.25">
      <c r="B33" s="1" t="s">
        <v>6</v>
      </c>
      <c r="C33">
        <v>1</v>
      </c>
      <c r="D33" s="25">
        <v>0</v>
      </c>
    </row>
    <row r="34" spans="2:4" x14ac:dyDescent="0.25">
      <c r="B34" s="1" t="s">
        <v>7</v>
      </c>
      <c r="C34">
        <v>331</v>
      </c>
      <c r="D34" s="28">
        <v>2156</v>
      </c>
    </row>
    <row r="35" spans="2:4" x14ac:dyDescent="0.25">
      <c r="B35" s="3" t="s">
        <v>8</v>
      </c>
      <c r="C35" s="8">
        <f>SUM(C31:C34)</f>
        <v>335</v>
      </c>
      <c r="D35" s="4">
        <f>SUM(D31:D34)</f>
        <v>3487</v>
      </c>
    </row>
    <row r="37" spans="2:4" x14ac:dyDescent="0.25">
      <c r="B37" s="31" t="s">
        <v>9</v>
      </c>
      <c r="C37" s="31"/>
      <c r="D37" s="31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>
        <v>2</v>
      </c>
      <c r="D39" s="28">
        <v>9</v>
      </c>
    </row>
    <row r="40" spans="2:4" x14ac:dyDescent="0.25">
      <c r="B40" s="9" t="s">
        <v>5</v>
      </c>
      <c r="C40">
        <v>1</v>
      </c>
      <c r="D40" s="25">
        <v>0</v>
      </c>
    </row>
    <row r="41" spans="2:4" x14ac:dyDescent="0.25">
      <c r="B41" s="9" t="s">
        <v>7</v>
      </c>
      <c r="C41">
        <v>167</v>
      </c>
      <c r="D41" s="28">
        <v>2851</v>
      </c>
    </row>
    <row r="42" spans="2:4" x14ac:dyDescent="0.25">
      <c r="B42" s="10" t="s">
        <v>8</v>
      </c>
      <c r="C42" s="8">
        <f>SUM(C39:C41)</f>
        <v>170</v>
      </c>
      <c r="D42" s="4">
        <f>SUM(D39:D41)</f>
        <v>2860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8">
        <v>557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557</v>
      </c>
    </row>
    <row r="50" spans="2:4" x14ac:dyDescent="0.25">
      <c r="B50" s="12" t="s">
        <v>12</v>
      </c>
      <c r="C50" s="13">
        <f>SUMIF(B:B, "Total general", C:C)</f>
        <v>36179</v>
      </c>
      <c r="D50" s="13">
        <f>SUMIF(B:B, "Total general", D:D)</f>
        <v>692931.90000000014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13686</v>
      </c>
      <c r="D3" s="14">
        <f>SUMIF('CDC-OLGUIN'!B:B, "Extrajudicial - 0 a 28 semanas de atraso", 'CDC-OLGUIN'!D:D)</f>
        <v>345269.49</v>
      </c>
    </row>
    <row r="4" spans="2:6" x14ac:dyDescent="0.25">
      <c r="B4" s="1" t="s">
        <v>5</v>
      </c>
      <c r="C4" s="6">
        <f>SUMIF('CDC-OLGUIN'!B:B, "Extrajudicial - 29 a 39 semanas de atraso", 'CDC-OLGUIN'!C:C)</f>
        <v>7127</v>
      </c>
      <c r="D4" s="14">
        <f>SUMIF('CDC-OLGUIN'!B:B, "Extrajudicial - 29 a 39 semanas de atraso", 'CDC-OLGUIN'!D:D)</f>
        <v>116184</v>
      </c>
    </row>
    <row r="5" spans="2:6" x14ac:dyDescent="0.25">
      <c r="B5" s="1" t="s">
        <v>6</v>
      </c>
      <c r="C5" s="6">
        <f>SUMIF('CDC-OLGUIN'!B:B, "Extrajudicial - 40 a 55 semanas de atraso", 'CDC-OLGUIN'!C:C)</f>
        <v>8822</v>
      </c>
      <c r="D5" s="14">
        <f>SUMIF('CDC-OLGUIN'!B:B, "Extrajudicial - 40 a 55 semanas de atraso", 'CDC-OLGUIN'!D:D)</f>
        <v>185994.91999999998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</v>
      </c>
    </row>
    <row r="7" spans="2:6" x14ac:dyDescent="0.25">
      <c r="B7" s="1" t="s">
        <v>7</v>
      </c>
      <c r="C7" s="6">
        <f>SUMIF('CDC-OLGUIN'!B:B, "Mas 55 semanas de atraso", 'CDC-OLGUIN'!C:C)</f>
        <v>3805</v>
      </c>
      <c r="D7" s="6">
        <f>SUMIF('CDC-OLGUIN'!B:B, "Mas 55 semanas de atraso", 'CDC-OLGUIN'!D:D)</f>
        <v>45383.49</v>
      </c>
      <c r="E7" s="14"/>
      <c r="F7" s="7"/>
    </row>
    <row r="8" spans="2:6" x14ac:dyDescent="0.25">
      <c r="B8" s="3" t="s">
        <v>8</v>
      </c>
      <c r="C8" s="8">
        <f>SUM(C3:C7)</f>
        <v>36179</v>
      </c>
      <c r="D8" s="4">
        <f>SUM(D3:D7)</f>
        <v>692931.89999999991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11922</v>
      </c>
      <c r="E6" s="16">
        <f>SUMIF('REPORTE DIARIO'!B:B,'EPR 26 JUN'!C6, 'REPORTE DIARIO'!D:D)</f>
        <v>747151.0199999999</v>
      </c>
      <c r="F6" s="16">
        <f>J6*D6</f>
        <v>749382.85714285716</v>
      </c>
      <c r="G6" s="16">
        <f>+E6-F6</f>
        <v>-2231.8371428572573</v>
      </c>
      <c r="H6" s="15">
        <f>ABS(G6/F6)</f>
        <v>2.9782335178662827E-3</v>
      </c>
      <c r="I6" s="16">
        <f>E6/D6</f>
        <v>62.669939607448406</v>
      </c>
      <c r="J6" s="16">
        <f>(220/7)*2</f>
        <v>62.857142857142854</v>
      </c>
      <c r="K6" s="16">
        <f>+I6-J6</f>
        <v>-0.18720324969444846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6360</v>
      </c>
      <c r="E7" s="16">
        <f>SUMIF('REPORTE DIARIO'!B:B,'EPR 26 JUN'!C7, 'REPORTE DIARIO'!D:D)</f>
        <v>467588.00999999995</v>
      </c>
      <c r="F7" s="16">
        <f>J7*D7</f>
        <v>199885.71428571429</v>
      </c>
      <c r="G7" s="16">
        <f>+E7-F7</f>
        <v>267702.29571428569</v>
      </c>
      <c r="H7" s="15">
        <f>ABS(G7/F7)</f>
        <v>1.339276779588336</v>
      </c>
      <c r="I7" s="16">
        <f>E7/D7</f>
        <v>73.520127358490555</v>
      </c>
      <c r="J7" s="16">
        <f>(110/7)*2</f>
        <v>31.428571428571427</v>
      </c>
      <c r="K7" s="16">
        <f t="shared" ref="K7:K9" si="0">+I7-J7</f>
        <v>42.091555929919124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12281</v>
      </c>
      <c r="E8" s="16">
        <f>SUMIF('REPORTE DIARIO'!B:B,'EPR 26 JUN'!C8, 'REPORTE DIARIO'!D:D)</f>
        <v>369060.48</v>
      </c>
      <c r="F8" s="16">
        <f>J8*D8</f>
        <v>157898.57142857142</v>
      </c>
      <c r="G8" s="16">
        <f>+E8-F8</f>
        <v>211161.90857142856</v>
      </c>
      <c r="H8" s="15">
        <f>ABS(G8/F8)</f>
        <v>1.3373262763618599</v>
      </c>
      <c r="I8" s="16">
        <f>E8/D8</f>
        <v>30.051337838938196</v>
      </c>
      <c r="J8" s="16">
        <f>(45/7)*2</f>
        <v>12.857142857142858</v>
      </c>
      <c r="K8" s="16">
        <f t="shared" si="0"/>
        <v>17.194194981795338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56147</v>
      </c>
      <c r="E9" s="16">
        <f>SUMIF('REPORTE DIARIO'!B:B,'EPR 26 JUN'!C9, 'REPORTE DIARIO'!D:D)</f>
        <v>573875.78999999992</v>
      </c>
      <c r="F9" s="16">
        <f>J9*D9</f>
        <v>240630</v>
      </c>
      <c r="G9" s="16">
        <f>+E9-F9</f>
        <v>333245.78999999992</v>
      </c>
      <c r="H9" s="15">
        <f>ABS(G9/F9)</f>
        <v>1.3848887919212065</v>
      </c>
      <c r="I9" s="16">
        <f>E9/D9</f>
        <v>10.220951965376599</v>
      </c>
      <c r="J9" s="16">
        <f>(15/7)*2</f>
        <v>4.2857142857142856</v>
      </c>
      <c r="K9" s="16">
        <f t="shared" si="0"/>
        <v>5.9352376796623139</v>
      </c>
    </row>
    <row r="10" spans="2:12" x14ac:dyDescent="0.25">
      <c r="B10" s="16"/>
      <c r="C10" s="19" t="s">
        <v>16</v>
      </c>
      <c r="D10" s="24">
        <f>SUM(D6:D9)</f>
        <v>86710</v>
      </c>
      <c r="E10" s="20">
        <f>SUM(E6:E9)</f>
        <v>2157675.2999999998</v>
      </c>
      <c r="F10" s="20">
        <f>SUM(F6:F9)</f>
        <v>1347797.142857143</v>
      </c>
      <c r="G10" s="20">
        <f>+E10-F10</f>
        <v>809878.15714285686</v>
      </c>
      <c r="H10" s="21">
        <f>ABS(G10/F10)</f>
        <v>0.60089024630667154</v>
      </c>
      <c r="I10" s="20">
        <f>E10/D10</f>
        <v>24.88381155576058</v>
      </c>
      <c r="J10" s="20">
        <f>F10/D10</f>
        <v>15.543733627691649</v>
      </c>
      <c r="K10" s="20">
        <f>I10-J10</f>
        <v>9.340077928068931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2025-10-19T02:15:39Z</dcterms:modified>
</cp:coreProperties>
</file>