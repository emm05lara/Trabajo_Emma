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6 AGO\NOCHE\"/>
    </mc:Choice>
  </mc:AlternateContent>
  <xr:revisionPtr revIDLastSave="0" documentId="13_ncr:1_{68F5DA67-E25A-42E4-A77C-2F0C92591E7E}" xr6:coauthVersionLast="47" xr6:coauthVersionMax="47" xr10:uidLastSave="{00000000-0000-0000-0000-000000000000}"/>
  <bookViews>
    <workbookView xWindow="15015" yWindow="172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5" l="1"/>
  <c r="D60" i="5"/>
  <c r="C60" i="5"/>
  <c r="D7" i="6"/>
  <c r="D6" i="6"/>
  <c r="D5" i="6"/>
  <c r="D4" i="6"/>
  <c r="D3" i="6"/>
  <c r="C7" i="6"/>
  <c r="C6" i="6"/>
  <c r="C5" i="6"/>
  <c r="C4" i="6"/>
  <c r="C3" i="6"/>
  <c r="D52" i="5"/>
  <c r="D34" i="5"/>
  <c r="C34" i="5"/>
  <c r="D51" i="1"/>
  <c r="C51" i="1"/>
  <c r="D68" i="5"/>
  <c r="C68" i="5"/>
  <c r="C52" i="5"/>
  <c r="D43" i="5"/>
  <c r="C43" i="5"/>
  <c r="C27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<sst xmlns="http://schemas.openxmlformats.org/spreadsheetml/2006/main" count="187" uniqueCount="40">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</sst>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4" zoomScaleNormal="100" workbookViewId="0">
      <selection activeCell="C40" sqref="C40: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22</v>
      </c>
      <c r="D5" s="26">
        <v>0</v>
      </c>
    </row>
    <row r="6" spans="2:8" x14ac:dyDescent="0.25">
      <c r="B6" s="1" t="s">
        <v>5</v>
      </c>
      <c r="C6" s="6">
        <v>8912</v>
      </c>
      <c r="D6" s="25">
        <v>229870.11</v>
      </c>
    </row>
    <row r="7" spans="2:8" x14ac:dyDescent="0.25">
      <c r="B7" s="1" t="s">
        <v>6</v>
      </c>
      <c r="C7" s="6">
        <v>7167</v>
      </c>
      <c r="D7" s="25">
        <v>85003.099999999991</v>
      </c>
    </row>
    <row r="8" spans="2:8" x14ac:dyDescent="0.25">
      <c r="B8" s="5" t="s">
        <v>12</v>
      </c>
      <c r="C8" s="7">
        <v>1232</v>
      </c>
      <c r="D8" s="25">
        <v>1500</v>
      </c>
    </row>
    <row r="9" spans="2:8" x14ac:dyDescent="0.25">
      <c r="B9" s="1" t="s">
        <v>7</v>
      </c>
      <c r="C9" s="6">
        <v>33833</v>
      </c>
      <c r="D9" s="25">
        <v>213540.72999999992</v>
      </c>
      <c r="E9" s="14"/>
      <c r="F9" s="7"/>
    </row>
    <row r="10" spans="2:8" x14ac:dyDescent="0.25">
      <c r="B10" s="3" t="s">
        <v>8</v>
      </c>
      <c r="C10" s="8">
        <f>SUM(C5:C9)</f>
        <v>51166</v>
      </c>
      <c r="D10" s="4">
        <f>SUM(D5:D9)</f>
        <v>529913.93999999994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8</v>
      </c>
      <c r="D14" s="25">
        <v>400</v>
      </c>
    </row>
    <row r="15" spans="2:8" x14ac:dyDescent="0.25">
      <c r="B15" s="9" t="s">
        <v>5</v>
      </c>
      <c r="C15" s="6">
        <v>2869</v>
      </c>
      <c r="D15" s="25">
        <v>206218.46000000005</v>
      </c>
    </row>
    <row r="16" spans="2:8" x14ac:dyDescent="0.25">
      <c r="B16" s="9" t="s">
        <v>6</v>
      </c>
      <c r="C16" s="6">
        <v>522</v>
      </c>
      <c r="D16" s="25">
        <v>11227.36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12689</v>
      </c>
      <c r="D18" s="25">
        <v>84150.169999999984</v>
      </c>
    </row>
    <row r="19" spans="2:4" x14ac:dyDescent="0.25">
      <c r="B19" s="10" t="s">
        <v>8</v>
      </c>
      <c r="C19" s="8">
        <f>SUM(C14:C18)</f>
        <v>16089</v>
      </c>
      <c r="D19" s="4">
        <f>SUM(D14:D18)</f>
        <v>301995.99000000005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2419</v>
      </c>
      <c r="D24" s="25">
        <v>64658.740000000005</v>
      </c>
    </row>
    <row r="25" spans="2:4" x14ac:dyDescent="0.25">
      <c r="B25" s="1" t="s">
        <v>6</v>
      </c>
      <c r="C25" s="6">
        <v>3329</v>
      </c>
      <c r="D25" s="25">
        <v>20863.620000000003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18172</v>
      </c>
      <c r="D27" s="25">
        <v>18958.22</v>
      </c>
    </row>
    <row r="28" spans="2:4" x14ac:dyDescent="0.25">
      <c r="B28" s="3" t="s">
        <v>8</v>
      </c>
      <c r="C28" s="8">
        <f>SUM(C23:C27)</f>
        <v>23920</v>
      </c>
      <c r="D28" s="4">
        <f>SUM(D23:D27)</f>
        <v>104480.58000000002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21</v>
      </c>
      <c r="D32" s="26">
        <v>0</v>
      </c>
    </row>
    <row r="33" spans="2:4" x14ac:dyDescent="0.25">
      <c r="B33" s="9" t="s">
        <v>5</v>
      </c>
      <c r="C33" s="6">
        <v>1446</v>
      </c>
      <c r="D33" s="25">
        <v>41789.329999999994</v>
      </c>
    </row>
    <row r="34" spans="2:4" x14ac:dyDescent="0.25">
      <c r="B34" s="9" t="s">
        <v>6</v>
      </c>
      <c r="C34" s="6">
        <v>1272</v>
      </c>
      <c r="D34" s="25">
        <v>16328.12</v>
      </c>
    </row>
    <row r="35" spans="2:4" x14ac:dyDescent="0.25">
      <c r="B35" s="9" t="s">
        <v>7</v>
      </c>
      <c r="C35" s="6">
        <v>2770</v>
      </c>
      <c r="D35" s="25">
        <v>7740.3600000000006</v>
      </c>
    </row>
    <row r="36" spans="2:4" x14ac:dyDescent="0.25">
      <c r="B36" s="10" t="s">
        <v>8</v>
      </c>
      <c r="C36" s="8">
        <f>SUM(C32:C35)</f>
        <v>5509</v>
      </c>
      <c r="D36" s="4">
        <f>SUM(D32:D35)</f>
        <v>65857.81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1091</v>
      </c>
      <c r="D40" s="25">
        <v>15412.960000000001</v>
      </c>
    </row>
    <row r="41" spans="2:4" x14ac:dyDescent="0.25">
      <c r="B41" s="1" t="s">
        <v>5</v>
      </c>
      <c r="C41" s="6">
        <v>3915</v>
      </c>
      <c r="D41" s="25">
        <v>15383.61</v>
      </c>
    </row>
    <row r="42" spans="2:4" x14ac:dyDescent="0.25">
      <c r="B42" s="1" t="s">
        <v>6</v>
      </c>
      <c r="C42" s="6">
        <v>1680</v>
      </c>
      <c r="D42" s="25">
        <v>3489.2</v>
      </c>
    </row>
    <row r="43" spans="2:4" x14ac:dyDescent="0.25">
      <c r="B43" s="1" t="s">
        <v>7</v>
      </c>
      <c r="C43" s="6">
        <v>369</v>
      </c>
      <c r="D43" s="25">
        <v>3204</v>
      </c>
    </row>
    <row r="44" spans="2:4" x14ac:dyDescent="0.25">
      <c r="B44" s="3" t="s">
        <v>8</v>
      </c>
      <c r="C44" s="8">
        <f>SUM(C40:C43)</f>
        <v>7055</v>
      </c>
      <c r="D44" s="4">
        <f>SUM(D40:D43)</f>
        <v>37489.769999999997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1078</v>
      </c>
      <c r="D48" s="25">
        <v>11337</v>
      </c>
    </row>
    <row r="49" spans="2:4" x14ac:dyDescent="0.25">
      <c r="B49" s="1" t="s">
        <v>5</v>
      </c>
      <c r="C49" s="6">
        <v>2350</v>
      </c>
      <c r="D49" s="25">
        <v>9737</v>
      </c>
    </row>
    <row r="50" spans="2:4" x14ac:dyDescent="0.25">
      <c r="B50" s="1" t="s">
        <v>6</v>
      </c>
      <c r="C50" s="6">
        <v>671</v>
      </c>
      <c r="D50" s="25">
        <v>500</v>
      </c>
    </row>
    <row r="51" spans="2:4" x14ac:dyDescent="0.25">
      <c r="B51" s="10" t="s">
        <v>8</v>
      </c>
      <c r="C51" s="8">
        <f>SUM(C48:C50)</f>
        <v>4099</v>
      </c>
      <c r="D51" s="4">
        <f>SUM(D48:D50)</f>
        <v>21574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564</v>
      </c>
      <c r="D56" s="25">
        <v>9783.1200000000008</v>
      </c>
    </row>
    <row r="57" spans="2:4" x14ac:dyDescent="0.25">
      <c r="B57" s="1" t="s">
        <v>6</v>
      </c>
      <c r="C57" s="6">
        <v>454</v>
      </c>
      <c r="D57" s="25">
        <v>1917</v>
      </c>
    </row>
    <row r="58" spans="2:4" x14ac:dyDescent="0.25">
      <c r="B58" s="1" t="s">
        <v>7</v>
      </c>
      <c r="C58" s="6">
        <v>1241</v>
      </c>
      <c r="D58" s="25">
        <v>3699</v>
      </c>
    </row>
    <row r="59" spans="2:4" x14ac:dyDescent="0.25">
      <c r="B59" s="3" t="s">
        <v>8</v>
      </c>
      <c r="C59" s="8">
        <f>SUM(C55:C58)</f>
        <v>2259</v>
      </c>
      <c r="D59" s="4">
        <f>SUM(D55:D58)</f>
        <v>15399.12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0</v>
      </c>
      <c r="D64" s="26">
        <v>0</v>
      </c>
    </row>
    <row r="65" spans="2:4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110097</v>
      </c>
      <c r="D67" s="13">
        <f>SUMIF(B:B, "Total general", D:D)</f>
        <v>1076711.2100000002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  <c r="E5" s="11"/>
    </row>
    <row r="6" spans="2:8" x14ac:dyDescent="0.25">
      <c r="B6" s="1" t="s">
        <v>5</v>
      </c>
      <c r="C6" s="27">
        <v>14904</v>
      </c>
      <c r="D6" s="25">
        <v>65119.44</v>
      </c>
    </row>
    <row r="7" spans="2:8" x14ac:dyDescent="0.25">
      <c r="B7" s="1" t="s">
        <v>6</v>
      </c>
      <c r="C7" s="27">
        <v>9062</v>
      </c>
      <c r="D7" s="25">
        <v>19349.98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62630</v>
      </c>
      <c r="D9" s="25">
        <v>4054</v>
      </c>
      <c r="E9" s="14"/>
      <c r="F9" s="7"/>
    </row>
    <row r="10" spans="2:8" x14ac:dyDescent="0.25">
      <c r="B10" s="3" t="s">
        <v>8</v>
      </c>
      <c r="C10" s="8">
        <f>SUM(C5:C9)</f>
        <v>89341</v>
      </c>
      <c r="D10" s="4">
        <f>SUM(D5:D9)</f>
        <v>88523.42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1091</v>
      </c>
      <c r="D14" s="25">
        <v>15412.960000000001</v>
      </c>
    </row>
    <row r="15" spans="2:8" x14ac:dyDescent="0.25">
      <c r="B15" s="1" t="s">
        <v>5</v>
      </c>
      <c r="C15" s="6">
        <v>3915</v>
      </c>
      <c r="D15" s="25">
        <v>14923.59</v>
      </c>
    </row>
    <row r="16" spans="2:8" x14ac:dyDescent="0.25">
      <c r="B16" s="1" t="s">
        <v>6</v>
      </c>
      <c r="C16" s="6">
        <v>1680</v>
      </c>
      <c r="D16" s="25">
        <v>3489.2000000000003</v>
      </c>
    </row>
    <row r="17" spans="2:4" x14ac:dyDescent="0.25">
      <c r="B17" s="1" t="s">
        <v>7</v>
      </c>
      <c r="C17" s="6">
        <v>369</v>
      </c>
      <c r="D17" s="25">
        <v>3204</v>
      </c>
    </row>
    <row r="18" spans="2:4" x14ac:dyDescent="0.25">
      <c r="B18" s="3" t="s">
        <v>8</v>
      </c>
      <c r="C18" s="8">
        <f>SUM(C14:C17)</f>
        <v>7055</v>
      </c>
      <c r="D18" s="4">
        <f>SUM(D14:D17)</f>
        <v>37029.75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19</v>
      </c>
      <c r="D23" s="25">
        <v>4267.8100000000004</v>
      </c>
    </row>
    <row r="24" spans="2:4" x14ac:dyDescent="0.25">
      <c r="B24" s="1" t="s">
        <v>6</v>
      </c>
      <c r="C24">
        <v>76</v>
      </c>
      <c r="D24" s="25">
        <v>1050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6932</v>
      </c>
    </row>
    <row r="27" spans="2:4" x14ac:dyDescent="0.25">
      <c r="B27" s="3" t="s">
        <v>8</v>
      </c>
      <c r="C27" s="8">
        <f>SUM(C22:C26)</f>
        <v>399</v>
      </c>
      <c r="D27" s="4">
        <f>SUM(D22:D26)</f>
        <v>12249.810000000001</v>
      </c>
    </row>
    <row r="29" spans="2:4" x14ac:dyDescent="0.25">
      <c r="B29" s="29" t="s">
        <v>11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870</v>
      </c>
      <c r="D31" s="25">
        <v>11337</v>
      </c>
    </row>
    <row r="32" spans="2:4" x14ac:dyDescent="0.25">
      <c r="B32" s="1" t="s">
        <v>5</v>
      </c>
      <c r="C32">
        <v>745</v>
      </c>
      <c r="D32" s="25">
        <v>300</v>
      </c>
    </row>
    <row r="33" spans="2:4" x14ac:dyDescent="0.25">
      <c r="B33" s="1" t="s">
        <v>6</v>
      </c>
      <c r="C33">
        <v>627</v>
      </c>
      <c r="D33" s="25">
        <v>500</v>
      </c>
    </row>
    <row r="34" spans="2:4" x14ac:dyDescent="0.25">
      <c r="B34" s="10" t="s">
        <v>8</v>
      </c>
      <c r="C34" s="8">
        <f>SUM(C31:C33)</f>
        <v>2242</v>
      </c>
      <c r="D34" s="4">
        <f>SUM(D31:D33)</f>
        <v>12137</v>
      </c>
    </row>
    <row r="36" spans="2:4" x14ac:dyDescent="0.25">
      <c r="B36" s="29" t="s">
        <v>10</v>
      </c>
      <c r="C36" s="29"/>
      <c r="D36" s="29"/>
    </row>
    <row r="37" spans="2:4" x14ac:dyDescent="0.25">
      <c r="B37" s="4" t="s">
        <v>1</v>
      </c>
      <c r="C37" s="4" t="s">
        <v>2</v>
      </c>
      <c r="D37" s="4" t="s">
        <v>3</v>
      </c>
    </row>
    <row r="38" spans="2:4" x14ac:dyDescent="0.25">
      <c r="B38" s="9" t="s">
        <v>4</v>
      </c>
      <c r="C38" s="11">
        <v>0</v>
      </c>
      <c r="D38" s="7">
        <v>0</v>
      </c>
    </row>
    <row r="39" spans="2:4" x14ac:dyDescent="0.25">
      <c r="B39" s="9" t="s">
        <v>5</v>
      </c>
      <c r="C39">
        <v>6</v>
      </c>
      <c r="D39" s="25">
        <v>826</v>
      </c>
    </row>
    <row r="40" spans="2:4" x14ac:dyDescent="0.25">
      <c r="B40" s="9" t="s">
        <v>6</v>
      </c>
      <c r="C40">
        <v>4</v>
      </c>
      <c r="D40" s="7">
        <v>0</v>
      </c>
    </row>
    <row r="41" spans="2:4" x14ac:dyDescent="0.25">
      <c r="B41" s="5" t="s">
        <v>12</v>
      </c>
      <c r="C41" s="7">
        <v>0</v>
      </c>
      <c r="D41" s="7">
        <v>0</v>
      </c>
    </row>
    <row r="42" spans="2:4" x14ac:dyDescent="0.25">
      <c r="B42" s="9" t="s">
        <v>7</v>
      </c>
      <c r="C42">
        <v>167</v>
      </c>
      <c r="D42" s="7">
        <v>0</v>
      </c>
    </row>
    <row r="43" spans="2:4" x14ac:dyDescent="0.25">
      <c r="B43" s="10" t="s">
        <v>8</v>
      </c>
      <c r="C43" s="8">
        <f>SUM(C38:C42)</f>
        <v>177</v>
      </c>
      <c r="D43" s="4">
        <f>SUM(D38:D42)</f>
        <v>826</v>
      </c>
    </row>
    <row r="45" spans="2:4" x14ac:dyDescent="0.25">
      <c r="B45" s="28" t="s">
        <v>36</v>
      </c>
      <c r="C45" s="28"/>
      <c r="D45" s="28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1" t="s">
        <v>4</v>
      </c>
      <c r="C47" s="11">
        <v>0</v>
      </c>
      <c r="D47" s="26">
        <v>0</v>
      </c>
    </row>
    <row r="48" spans="2:4" x14ac:dyDescent="0.25">
      <c r="B48" s="1" t="s">
        <v>5</v>
      </c>
      <c r="C48">
        <v>5</v>
      </c>
      <c r="D48" s="26">
        <v>0</v>
      </c>
    </row>
    <row r="49" spans="2:4" x14ac:dyDescent="0.25">
      <c r="B49" s="1" t="s">
        <v>6</v>
      </c>
      <c r="C49">
        <v>43</v>
      </c>
      <c r="D49" s="25">
        <v>219.68</v>
      </c>
    </row>
    <row r="50" spans="2:4" x14ac:dyDescent="0.25">
      <c r="B50" s="5" t="s">
        <v>12</v>
      </c>
      <c r="C50" s="11">
        <v>0</v>
      </c>
      <c r="D50" s="26">
        <v>0</v>
      </c>
    </row>
    <row r="51" spans="2:4" x14ac:dyDescent="0.25">
      <c r="B51" s="1" t="s">
        <v>7</v>
      </c>
      <c r="C51">
        <v>333</v>
      </c>
      <c r="D51" s="26">
        <v>0</v>
      </c>
    </row>
    <row r="52" spans="2:4" x14ac:dyDescent="0.25">
      <c r="B52" s="3" t="s">
        <v>8</v>
      </c>
      <c r="C52" s="8">
        <f>SUM(C47:C51)</f>
        <v>381</v>
      </c>
      <c r="D52" s="4">
        <f>SUM(D47:D51)</f>
        <v>219.68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7</v>
      </c>
      <c r="D58" s="26">
        <v>0</v>
      </c>
    </row>
    <row r="59" spans="2:4" x14ac:dyDescent="0.25">
      <c r="B59" s="1" t="s">
        <v>7</v>
      </c>
      <c r="C59">
        <v>64</v>
      </c>
      <c r="D59" s="26">
        <v>0</v>
      </c>
    </row>
    <row r="60" spans="2:4" x14ac:dyDescent="0.25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99732</v>
      </c>
      <c r="D70" s="13">
        <f>SUMIF(B:B, "Total general", D:D)</f>
        <v>150985.66</v>
      </c>
    </row>
  </sheetData>
  <mergeCells count="9">
    <mergeCell ref="B62:D62"/>
    <mergeCell ref="B54:D54"/>
    <mergeCell ref="B29:D29"/>
    <mergeCell ref="B1:D1"/>
    <mergeCell ref="B3:D3"/>
    <mergeCell ref="B12:D12"/>
    <mergeCell ref="B20:D20"/>
    <mergeCell ref="B36:D36"/>
    <mergeCell ref="B45:D45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1967</v>
      </c>
      <c r="D3" s="14">
        <f>SUMIF('CDC-OLGUIN'!B:B, "Extrajudicial - 0 a 28 semanas de atraso", 'CDC-OLGUIN'!D:D)</f>
        <v>26749.96</v>
      </c>
    </row>
    <row r="4" spans="2:6" x14ac:dyDescent="0.25">
      <c r="B4" s="1" t="s">
        <v>5</v>
      </c>
      <c r="C4" s="6">
        <f>SUMIF('CDC-OLGUIN'!B:B, "Extrajudicial - 29 a 39 semanas de atraso", 'CDC-OLGUIN'!C:C)</f>
        <v>19597</v>
      </c>
      <c r="D4" s="14">
        <f>SUMIF('CDC-OLGUIN'!B:B, "Extrajudicial - 29 a 39 semanas de atraso", 'CDC-OLGUIN'!D:D)</f>
        <v>85436.84</v>
      </c>
    </row>
    <row r="5" spans="2:6" x14ac:dyDescent="0.25">
      <c r="B5" s="1" t="s">
        <v>6</v>
      </c>
      <c r="C5" s="6">
        <f>SUMIF('CDC-OLGUIN'!B:B, "Extrajudicial - 40 a 55 semanas de atraso", 'CDC-OLGUIN'!C:C)</f>
        <v>11501</v>
      </c>
      <c r="D5" s="14">
        <f>SUMIF('CDC-OLGUIN'!B:B, "Extrajudicial - 40 a 55 semanas de atraso", 'CDC-OLGUIN'!D:D)</f>
        <v>24608.86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63927</v>
      </c>
      <c r="D7" s="6">
        <f>SUMIF('CDC-OLGUIN'!B:B, "Mas 55 semanas de atraso", 'CDC-OLGUIN'!D:D)</f>
        <v>14190</v>
      </c>
      <c r="E7" s="14"/>
      <c r="F7" s="7"/>
    </row>
    <row r="8" spans="2:6" x14ac:dyDescent="0.25">
      <c r="B8" s="3" t="s">
        <v>8</v>
      </c>
      <c r="C8" s="8">
        <f>SUM(C3:C7)</f>
        <v>99732</v>
      </c>
      <c r="D8" s="4">
        <f>SUM(D3:D7)</f>
        <v>150985.65999999997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2220</v>
      </c>
      <c r="E6" s="16">
        <f>SUMIF('REPORTE DIARIO'!B:B,'EPR 26 JUN'!C6, 'REPORTE DIARIO'!D:D)</f>
        <v>27149.96</v>
      </c>
      <c r="F6" s="16">
        <f>J6*D6</f>
        <v>139542.85714285713</v>
      </c>
      <c r="G6" s="16">
        <f>+E6-F6</f>
        <v>-112392.89714285714</v>
      </c>
      <c r="H6" s="15">
        <f>ABS(G6/F6)</f>
        <v>0.80543640458640464</v>
      </c>
      <c r="I6" s="16">
        <f>E6/D6</f>
        <v>12.229711711711712</v>
      </c>
      <c r="J6" s="16">
        <f>(220/7)*2</f>
        <v>62.857142857142854</v>
      </c>
      <c r="K6" s="16">
        <f>+I6-J6</f>
        <v>-50.627431145431146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22475</v>
      </c>
      <c r="E7" s="16">
        <f>SUMIF('REPORTE DIARIO'!B:B,'EPR 26 JUN'!C7, 'REPORTE DIARIO'!D:D)</f>
        <v>577440.37</v>
      </c>
      <c r="F7" s="16">
        <f>J7*D7</f>
        <v>706357.14285714284</v>
      </c>
      <c r="G7" s="16">
        <f>+E7-F7</f>
        <v>-128916.77285714285</v>
      </c>
      <c r="H7" s="15">
        <f>ABS(G7/F7)</f>
        <v>0.18250933562544239</v>
      </c>
      <c r="I7" s="16">
        <f>E7/D7</f>
        <v>25.692563737486097</v>
      </c>
      <c r="J7" s="16">
        <f>(110/7)*2</f>
        <v>31.428571428571427</v>
      </c>
      <c r="K7" s="16">
        <f t="shared" ref="K7:K9" si="0">+I7-J7</f>
        <v>-5.7360076910853302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15095</v>
      </c>
      <c r="E8" s="16">
        <f>SUMIF('REPORTE DIARIO'!B:B,'EPR 26 JUN'!C8, 'REPORTE DIARIO'!D:D)</f>
        <v>139328.4</v>
      </c>
      <c r="F8" s="16">
        <f>J8*D8</f>
        <v>194078.57142857145</v>
      </c>
      <c r="G8" s="16">
        <f>+E8-F8</f>
        <v>-54750.171428571455</v>
      </c>
      <c r="H8" s="15">
        <f>ABS(G8/F8)</f>
        <v>0.28210312465496312</v>
      </c>
      <c r="I8" s="16">
        <f>E8/D8</f>
        <v>9.2301026830076172</v>
      </c>
      <c r="J8" s="16">
        <f>(45/7)*2</f>
        <v>12.857142857142858</v>
      </c>
      <c r="K8" s="16">
        <f t="shared" si="0"/>
        <v>-3.6270401741352405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69074</v>
      </c>
      <c r="E9" s="16">
        <f>SUMIF('REPORTE DIARIO'!B:B,'EPR 26 JUN'!C9, 'REPORTE DIARIO'!D:D)</f>
        <v>331292.47999999986</v>
      </c>
      <c r="F9" s="16">
        <f>J9*D9</f>
        <v>296031.42857142858</v>
      </c>
      <c r="G9" s="16">
        <f>+E9-F9</f>
        <v>35261.051428571285</v>
      </c>
      <c r="H9" s="15">
        <f>ABS(G9/F9)</f>
        <v>0.11911252666222649</v>
      </c>
      <c r="I9" s="16">
        <f>E9/D9</f>
        <v>4.7961965428381133</v>
      </c>
      <c r="J9" s="16">
        <f>(15/7)*2</f>
        <v>4.2857142857142856</v>
      </c>
      <c r="K9" s="16">
        <f t="shared" si="0"/>
        <v>0.51048225712382767</v>
      </c>
    </row>
    <row r="10" spans="2:12" x14ac:dyDescent="0.25">
      <c r="B10" s="16"/>
      <c r="C10" s="19" t="s">
        <v>17</v>
      </c>
      <c r="D10" s="24">
        <f>SUM(D6:D9)</f>
        <v>108864</v>
      </c>
      <c r="E10" s="20">
        <f>SUM(E6:E9)</f>
        <v>1075211.21</v>
      </c>
      <c r="F10" s="20">
        <f>SUM(F6:F9)</f>
        <v>1336010</v>
      </c>
      <c r="G10" s="20">
        <f>+E10-F10</f>
        <v>-260798.79000000004</v>
      </c>
      <c r="H10" s="21">
        <f>ABS(G10/F10)</f>
        <v>0.19520721401785918</v>
      </c>
      <c r="I10" s="20">
        <f>E10/D10</f>
        <v>9.8766461823927099</v>
      </c>
      <c r="J10" s="20">
        <f>F10/D10</f>
        <v>12.27228468547913</v>
      </c>
      <c r="K10" s="20">
        <f>I10-J10</f>
        <v>-2.3956385030864205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2025-08-25T17:25:27Z</cp:lastPrinted>
  <dcterms:created xsi:type="dcterms:W3CDTF">2025-01-27T15:11:28Z</dcterms:created>
  <dcterms:modified xsi:type="dcterms:W3CDTF">2025-08-27T02:23:58Z</dcterms:modified>
</cp:coreProperties>
</file>