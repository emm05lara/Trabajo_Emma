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5\25 AGO\MAÑANA\"/>
    </mc:Choice>
  </mc:AlternateContent>
  <xr:revisionPtr revIDLastSave="0" documentId="13_ncr:1_{76237395-1D7A-4A3D-BBB0-0BDB07852582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5" l="1"/>
  <c r="D60" i="5"/>
  <c r="D7" i="6"/>
  <c r="D6" i="6"/>
  <c r="D5" i="6"/>
  <c r="D4" i="6"/>
  <c r="D3" i="6"/>
  <c r="C7" i="6"/>
  <c r="C6" i="6"/>
  <c r="C5" i="6"/>
  <c r="C4" i="6"/>
  <c r="C3" i="6"/>
  <c r="D19" i="5"/>
  <c r="D43" i="5"/>
  <c r="C43" i="5"/>
  <c r="D59" i="1"/>
  <c r="C59" i="1"/>
  <c r="D68" i="5"/>
  <c r="C68" i="5"/>
  <c r="C19" i="5"/>
  <c r="D52" i="5"/>
  <c r="C52" i="5"/>
  <c r="D36" i="5"/>
  <c r="C36" i="5"/>
  <c r="D65" i="1"/>
  <c r="C65" i="1"/>
  <c r="D10" i="5"/>
  <c r="D27" i="5"/>
  <c r="C27" i="5"/>
  <c r="C10" i="5"/>
  <c r="J9" i="3"/>
  <c r="J8" i="3"/>
  <c r="J7" i="3"/>
  <c r="J6" i="3"/>
  <c r="C52" i="1"/>
  <c r="D8" i="6" l="1"/>
  <c r="C8" i="6"/>
  <c r="D70" i="5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<sst xmlns="http://schemas.openxmlformats.org/spreadsheetml/2006/main" count="187" uniqueCount="40">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</sst>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30" zoomScaleNormal="100" workbookViewId="0">
      <selection activeCell="C40" sqref="C40:C43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6">
        <v>0</v>
      </c>
    </row>
    <row r="6" spans="2:8" x14ac:dyDescent="0.3">
      <c r="B6" s="1" t="s">
        <v>5</v>
      </c>
      <c r="C6" s="6">
        <v>8895</v>
      </c>
      <c r="D6" s="25">
        <v>1226189.7799999998</v>
      </c>
    </row>
    <row r="7" spans="2:8" x14ac:dyDescent="0.3">
      <c r="B7" s="1" t="s">
        <v>6</v>
      </c>
      <c r="C7" s="6">
        <v>7123</v>
      </c>
      <c r="D7" s="25">
        <v>383937.73</v>
      </c>
    </row>
    <row r="8" spans="2:8" x14ac:dyDescent="0.3">
      <c r="B8" s="5" t="s">
        <v>12</v>
      </c>
      <c r="C8" s="7">
        <v>1232</v>
      </c>
      <c r="D8" s="26">
        <v>0</v>
      </c>
    </row>
    <row r="9" spans="2:8" x14ac:dyDescent="0.3">
      <c r="B9" s="1" t="s">
        <v>7</v>
      </c>
      <c r="C9" s="6">
        <v>33774</v>
      </c>
      <c r="D9" s="25">
        <v>575477.29999999993</v>
      </c>
      <c r="E9" s="14"/>
      <c r="F9" s="7"/>
    </row>
    <row r="10" spans="2:8" x14ac:dyDescent="0.3">
      <c r="B10" s="3" t="s">
        <v>8</v>
      </c>
      <c r="C10" s="8">
        <f>SUM(C5:C9)</f>
        <v>51025</v>
      </c>
      <c r="D10" s="4">
        <f>SUM(D5:D9)</f>
        <v>2185604.8099999996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7</v>
      </c>
      <c r="D14" s="25">
        <v>7674.27</v>
      </c>
    </row>
    <row r="15" spans="2:8" x14ac:dyDescent="0.3">
      <c r="B15" s="9" t="s">
        <v>5</v>
      </c>
      <c r="C15" s="6">
        <v>2863</v>
      </c>
      <c r="D15" s="25">
        <v>424970.41000000003</v>
      </c>
    </row>
    <row r="16" spans="2:8" x14ac:dyDescent="0.3">
      <c r="B16" s="9" t="s">
        <v>6</v>
      </c>
      <c r="C16" s="6">
        <v>519</v>
      </c>
      <c r="D16" s="25">
        <v>70255.709999999992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12682</v>
      </c>
      <c r="D18" s="25">
        <v>272382.92</v>
      </c>
    </row>
    <row r="19" spans="2:4" x14ac:dyDescent="0.3">
      <c r="B19" s="10" t="s">
        <v>8</v>
      </c>
      <c r="C19" s="8">
        <f>SUM(C14:C18)</f>
        <v>16072</v>
      </c>
      <c r="D19" s="4">
        <f>SUM(D14:D18)</f>
        <v>775322.31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2421</v>
      </c>
      <c r="D24" s="25">
        <v>207959.91999999998</v>
      </c>
    </row>
    <row r="25" spans="2:4" x14ac:dyDescent="0.3">
      <c r="B25" s="1" t="s">
        <v>6</v>
      </c>
      <c r="C25" s="6">
        <v>3338</v>
      </c>
      <c r="D25" s="25">
        <v>223462.87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18178</v>
      </c>
      <c r="D27" s="25">
        <v>125391</v>
      </c>
    </row>
    <row r="28" spans="2:4" x14ac:dyDescent="0.3">
      <c r="B28" s="3" t="s">
        <v>8</v>
      </c>
      <c r="C28" s="8">
        <f>SUM(C23:C27)</f>
        <v>23937</v>
      </c>
      <c r="D28" s="4">
        <f>SUM(D23:D27)</f>
        <v>556813.79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5">
        <v>2044</v>
      </c>
    </row>
    <row r="33" spans="2:4" x14ac:dyDescent="0.3">
      <c r="B33" s="9" t="s">
        <v>5</v>
      </c>
      <c r="C33" s="6">
        <v>1418</v>
      </c>
      <c r="D33" s="25">
        <v>207981.58999999997</v>
      </c>
    </row>
    <row r="34" spans="2:4" x14ac:dyDescent="0.3">
      <c r="B34" s="9" t="s">
        <v>6</v>
      </c>
      <c r="C34" s="6">
        <v>1223</v>
      </c>
      <c r="D34" s="25">
        <v>82473.430000000008</v>
      </c>
    </row>
    <row r="35" spans="2:4" x14ac:dyDescent="0.3">
      <c r="B35" s="9" t="s">
        <v>7</v>
      </c>
      <c r="C35" s="6">
        <v>2696</v>
      </c>
      <c r="D35" s="25">
        <v>38226.800000000003</v>
      </c>
    </row>
    <row r="36" spans="2:4" x14ac:dyDescent="0.3">
      <c r="B36" s="10" t="s">
        <v>8</v>
      </c>
      <c r="C36" s="8">
        <f>SUM(C32:C35)</f>
        <v>5337</v>
      </c>
      <c r="D36" s="4">
        <f>SUM(D32:D35)</f>
        <v>330725.81999999995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881</v>
      </c>
      <c r="D40" s="25">
        <v>45924.62</v>
      </c>
    </row>
    <row r="41" spans="2:4" x14ac:dyDescent="0.3">
      <c r="B41" s="1" t="s">
        <v>5</v>
      </c>
      <c r="C41" s="6">
        <v>3913</v>
      </c>
      <c r="D41" s="25">
        <v>110968.15</v>
      </c>
    </row>
    <row r="42" spans="2:4" x14ac:dyDescent="0.3">
      <c r="B42" s="1" t="s">
        <v>6</v>
      </c>
      <c r="C42" s="6">
        <v>1636</v>
      </c>
      <c r="D42" s="25">
        <v>13912</v>
      </c>
    </row>
    <row r="43" spans="2:4" x14ac:dyDescent="0.3">
      <c r="B43" s="1" t="s">
        <v>7</v>
      </c>
      <c r="C43" s="6">
        <v>369</v>
      </c>
      <c r="D43" s="25">
        <v>37913.5</v>
      </c>
    </row>
    <row r="44" spans="2:4" x14ac:dyDescent="0.3">
      <c r="B44" s="3" t="s">
        <v>8</v>
      </c>
      <c r="C44" s="8">
        <f>SUM(C40:C43)</f>
        <v>6799</v>
      </c>
      <c r="D44" s="4">
        <f>SUM(D40:D43)</f>
        <v>208718.27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0</v>
      </c>
      <c r="D48" s="26">
        <v>0</v>
      </c>
    </row>
    <row r="49" spans="2:4" x14ac:dyDescent="0.3">
      <c r="B49" s="1" t="s">
        <v>5</v>
      </c>
      <c r="C49" s="6">
        <v>564</v>
      </c>
      <c r="D49" s="25">
        <v>61461.05</v>
      </c>
    </row>
    <row r="50" spans="2:4" x14ac:dyDescent="0.3">
      <c r="B50" s="1" t="s">
        <v>6</v>
      </c>
      <c r="C50" s="6">
        <v>455</v>
      </c>
      <c r="D50" s="25">
        <v>5181</v>
      </c>
    </row>
    <row r="51" spans="2:4" x14ac:dyDescent="0.3">
      <c r="B51" s="1" t="s">
        <v>7</v>
      </c>
      <c r="C51" s="6">
        <v>1243</v>
      </c>
      <c r="D51" s="25">
        <v>8562</v>
      </c>
    </row>
    <row r="52" spans="2:4" x14ac:dyDescent="0.3">
      <c r="B52" s="3" t="s">
        <v>8</v>
      </c>
      <c r="C52" s="8">
        <f>SUM(C48:C51)</f>
        <v>2262</v>
      </c>
      <c r="D52" s="4">
        <f>SUM(D48:D51)</f>
        <v>75204.05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870</v>
      </c>
      <c r="D56" s="25">
        <v>12202</v>
      </c>
    </row>
    <row r="57" spans="2:4" x14ac:dyDescent="0.3">
      <c r="B57" s="1" t="s">
        <v>5</v>
      </c>
      <c r="C57" s="6">
        <v>2351</v>
      </c>
      <c r="D57" s="25">
        <v>40640.6</v>
      </c>
    </row>
    <row r="58" spans="2:4" x14ac:dyDescent="0.3">
      <c r="B58" s="1" t="s">
        <v>6</v>
      </c>
      <c r="C58" s="6">
        <v>629</v>
      </c>
      <c r="D58" s="25">
        <v>400</v>
      </c>
    </row>
    <row r="59" spans="2:4" x14ac:dyDescent="0.3">
      <c r="B59" s="10" t="s">
        <v>8</v>
      </c>
      <c r="C59" s="8">
        <f>SUM(C56:C58)</f>
        <v>3850</v>
      </c>
      <c r="D59" s="4">
        <f>SUM(D56:D58)</f>
        <v>53242.6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0</v>
      </c>
      <c r="D64" s="25">
        <v>32925.479999999996</v>
      </c>
    </row>
    <row r="65" spans="2:4" x14ac:dyDescent="0.3">
      <c r="B65" s="3" t="s">
        <v>8</v>
      </c>
      <c r="C65" s="8">
        <f>SUM(C63:C64)</f>
        <v>0</v>
      </c>
      <c r="D65" s="4">
        <f>SUM(D63:D64)</f>
        <v>32925.479999999996</v>
      </c>
    </row>
    <row r="67" spans="2:4" x14ac:dyDescent="0.3">
      <c r="B67" s="12" t="s">
        <v>13</v>
      </c>
      <c r="C67" s="13">
        <f>SUMIF(B:B, "Total general", C:C)</f>
        <v>109282</v>
      </c>
      <c r="D67" s="13">
        <f>SUMIF(B:B, "Total general", D:D)</f>
        <v>4218557.13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40" zoomScaleNormal="100" workbookViewId="0">
      <selection activeCell="C66" sqref="C6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  <c r="E5" s="11"/>
    </row>
    <row r="6" spans="2:8" x14ac:dyDescent="0.3">
      <c r="B6" s="1" t="s">
        <v>5</v>
      </c>
      <c r="C6" s="27">
        <v>14914</v>
      </c>
      <c r="D6" s="25">
        <v>422457.92</v>
      </c>
    </row>
    <row r="7" spans="2:8" x14ac:dyDescent="0.3">
      <c r="B7" s="1" t="s">
        <v>6</v>
      </c>
      <c r="C7" s="27">
        <v>9057</v>
      </c>
      <c r="D7" s="25">
        <v>108741.04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62630</v>
      </c>
      <c r="D9" s="25">
        <v>26723</v>
      </c>
      <c r="E9" s="14"/>
      <c r="F9" s="7"/>
    </row>
    <row r="10" spans="2:8" x14ac:dyDescent="0.3">
      <c r="B10" s="3" t="s">
        <v>8</v>
      </c>
      <c r="C10" s="8">
        <f>SUM(C5:C9)</f>
        <v>89346</v>
      </c>
      <c r="D10" s="4">
        <f>SUM(D5:D9)</f>
        <v>557921.96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11">
        <v>0</v>
      </c>
      <c r="D14" s="26">
        <v>0</v>
      </c>
    </row>
    <row r="15" spans="2:8" x14ac:dyDescent="0.3">
      <c r="B15" s="1" t="s">
        <v>5</v>
      </c>
      <c r="C15">
        <v>6</v>
      </c>
      <c r="D15" s="25">
        <v>3127</v>
      </c>
    </row>
    <row r="16" spans="2:8" x14ac:dyDescent="0.3">
      <c r="B16" s="1" t="s">
        <v>6</v>
      </c>
      <c r="C16">
        <v>43</v>
      </c>
      <c r="D16" s="25">
        <v>141846.87</v>
      </c>
    </row>
    <row r="17" spans="2:4" x14ac:dyDescent="0.3">
      <c r="B17" s="5" t="s">
        <v>12</v>
      </c>
      <c r="C17" s="11">
        <v>0</v>
      </c>
      <c r="D17" s="26">
        <v>0</v>
      </c>
    </row>
    <row r="18" spans="2:4" x14ac:dyDescent="0.3">
      <c r="B18" s="1" t="s">
        <v>7</v>
      </c>
      <c r="C18">
        <v>333</v>
      </c>
      <c r="D18" s="25">
        <v>2276</v>
      </c>
    </row>
    <row r="19" spans="2:4" x14ac:dyDescent="0.3">
      <c r="B19" s="3" t="s">
        <v>8</v>
      </c>
      <c r="C19" s="8">
        <f>SUM(C14:C18)</f>
        <v>382</v>
      </c>
      <c r="D19" s="4">
        <f>SUM(D14:D18)</f>
        <v>147249.87</v>
      </c>
    </row>
    <row r="21" spans="2:4" x14ac:dyDescent="0.3">
      <c r="B21" s="28" t="s">
        <v>31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9" t="s">
        <v>4</v>
      </c>
      <c r="C23" s="6">
        <v>881</v>
      </c>
      <c r="D23" s="25">
        <v>45736.62</v>
      </c>
    </row>
    <row r="24" spans="2:4" x14ac:dyDescent="0.3">
      <c r="B24" s="1" t="s">
        <v>5</v>
      </c>
      <c r="C24" s="6">
        <v>3913</v>
      </c>
      <c r="D24" s="25">
        <v>78335.22</v>
      </c>
    </row>
    <row r="25" spans="2:4" x14ac:dyDescent="0.3">
      <c r="B25" s="1" t="s">
        <v>6</v>
      </c>
      <c r="C25" s="6">
        <v>1636</v>
      </c>
      <c r="D25" s="25">
        <v>13912</v>
      </c>
    </row>
    <row r="26" spans="2:4" x14ac:dyDescent="0.3">
      <c r="B26" s="1" t="s">
        <v>7</v>
      </c>
      <c r="C26" s="6">
        <v>369</v>
      </c>
      <c r="D26" s="25">
        <v>4190</v>
      </c>
    </row>
    <row r="27" spans="2:4" x14ac:dyDescent="0.3">
      <c r="B27" s="3" t="s">
        <v>8</v>
      </c>
      <c r="C27" s="8">
        <f>SUM(C23:C26)</f>
        <v>6799</v>
      </c>
      <c r="D27" s="4">
        <f>SUM(D23:D26)</f>
        <v>142173.84</v>
      </c>
    </row>
    <row r="29" spans="2:4" x14ac:dyDescent="0.3">
      <c r="B29" s="28" t="s">
        <v>0</v>
      </c>
      <c r="C29" s="28"/>
      <c r="D29" s="28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1" t="s">
        <v>4</v>
      </c>
      <c r="C31" s="27">
        <v>0</v>
      </c>
      <c r="D31" s="26">
        <v>0</v>
      </c>
    </row>
    <row r="32" spans="2:4" x14ac:dyDescent="0.3">
      <c r="B32" s="1" t="s">
        <v>5</v>
      </c>
      <c r="C32">
        <v>19</v>
      </c>
      <c r="D32" s="25">
        <v>11235</v>
      </c>
    </row>
    <row r="33" spans="2:4" x14ac:dyDescent="0.3">
      <c r="B33" s="1" t="s">
        <v>6</v>
      </c>
      <c r="C33">
        <v>77</v>
      </c>
      <c r="D33" s="25">
        <v>1689</v>
      </c>
    </row>
    <row r="34" spans="2:4" x14ac:dyDescent="0.3">
      <c r="B34" s="5" t="s">
        <v>12</v>
      </c>
      <c r="C34">
        <v>1</v>
      </c>
      <c r="D34" s="26">
        <v>0</v>
      </c>
    </row>
    <row r="35" spans="2:4" x14ac:dyDescent="0.3">
      <c r="B35" s="1" t="s">
        <v>7</v>
      </c>
      <c r="C35">
        <v>303</v>
      </c>
      <c r="D35" s="25">
        <v>15079</v>
      </c>
    </row>
    <row r="36" spans="2:4" x14ac:dyDescent="0.3">
      <c r="B36" s="3" t="s">
        <v>8</v>
      </c>
      <c r="C36" s="8">
        <f>SUM(C31:C35)</f>
        <v>400</v>
      </c>
      <c r="D36" s="4">
        <f>SUM(D31:D35)</f>
        <v>28003</v>
      </c>
    </row>
    <row r="38" spans="2:4" x14ac:dyDescent="0.3">
      <c r="B38" s="29" t="s">
        <v>11</v>
      </c>
      <c r="C38" s="29"/>
      <c r="D38" s="29"/>
    </row>
    <row r="39" spans="2:4" x14ac:dyDescent="0.3">
      <c r="B39" s="4" t="s">
        <v>1</v>
      </c>
      <c r="C39" s="4" t="s">
        <v>2</v>
      </c>
      <c r="D39" s="4" t="s">
        <v>3</v>
      </c>
    </row>
    <row r="40" spans="2:4" x14ac:dyDescent="0.3">
      <c r="B40" s="9" t="s">
        <v>4</v>
      </c>
      <c r="C40">
        <v>652</v>
      </c>
      <c r="D40" s="25">
        <v>12202</v>
      </c>
    </row>
    <row r="41" spans="2:4" x14ac:dyDescent="0.3">
      <c r="B41" s="1" t="s">
        <v>5</v>
      </c>
      <c r="C41">
        <v>745</v>
      </c>
      <c r="D41" s="25">
        <v>7229</v>
      </c>
    </row>
    <row r="42" spans="2:4" x14ac:dyDescent="0.3">
      <c r="B42" s="1" t="s">
        <v>6</v>
      </c>
      <c r="C42">
        <v>468</v>
      </c>
      <c r="D42" s="25">
        <v>400</v>
      </c>
    </row>
    <row r="43" spans="2:4" x14ac:dyDescent="0.3">
      <c r="B43" s="10" t="s">
        <v>8</v>
      </c>
      <c r="C43" s="8">
        <f>SUM(C40:C42)</f>
        <v>1865</v>
      </c>
      <c r="D43" s="4">
        <f>SUM(D40:D42)</f>
        <v>19831</v>
      </c>
    </row>
    <row r="45" spans="2:4" x14ac:dyDescent="0.3">
      <c r="B45" s="29" t="s">
        <v>10</v>
      </c>
      <c r="C45" s="29"/>
      <c r="D45" s="29"/>
    </row>
    <row r="46" spans="2:4" x14ac:dyDescent="0.3">
      <c r="B46" s="4" t="s">
        <v>1</v>
      </c>
      <c r="C46" s="4" t="s">
        <v>2</v>
      </c>
      <c r="D46" s="4" t="s">
        <v>3</v>
      </c>
    </row>
    <row r="47" spans="2:4" x14ac:dyDescent="0.3">
      <c r="B47" s="9" t="s">
        <v>4</v>
      </c>
      <c r="C47" s="11">
        <v>0</v>
      </c>
      <c r="D47" s="7">
        <v>0</v>
      </c>
    </row>
    <row r="48" spans="2:4" x14ac:dyDescent="0.3">
      <c r="B48" s="9" t="s">
        <v>5</v>
      </c>
      <c r="C48">
        <v>6</v>
      </c>
      <c r="D48" s="25">
        <v>3619</v>
      </c>
    </row>
    <row r="49" spans="2:4" x14ac:dyDescent="0.3">
      <c r="B49" s="9" t="s">
        <v>6</v>
      </c>
      <c r="C49">
        <v>10</v>
      </c>
      <c r="D49" s="7">
        <v>0</v>
      </c>
    </row>
    <row r="50" spans="2:4" x14ac:dyDescent="0.3">
      <c r="B50" s="5" t="s">
        <v>12</v>
      </c>
      <c r="C50" s="7">
        <v>0</v>
      </c>
      <c r="D50" s="7">
        <v>0</v>
      </c>
    </row>
    <row r="51" spans="2:4" x14ac:dyDescent="0.3">
      <c r="B51" s="9" t="s">
        <v>7</v>
      </c>
      <c r="C51">
        <v>168</v>
      </c>
      <c r="D51" s="25">
        <v>1999.25</v>
      </c>
    </row>
    <row r="52" spans="2:4" x14ac:dyDescent="0.3">
      <c r="B52" s="10" t="s">
        <v>8</v>
      </c>
      <c r="C52" s="8">
        <f>SUM(C47:C51)</f>
        <v>184</v>
      </c>
      <c r="D52" s="4">
        <f>SUM(D47:D51)</f>
        <v>5618.25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9</v>
      </c>
      <c r="D58" s="26">
        <v>0</v>
      </c>
    </row>
    <row r="59" spans="2:4" x14ac:dyDescent="0.3">
      <c r="B59" s="1" t="s">
        <v>7</v>
      </c>
      <c r="C59">
        <v>64</v>
      </c>
      <c r="D59" s="25">
        <v>758</v>
      </c>
    </row>
    <row r="60" spans="2:4" x14ac:dyDescent="0.3">
      <c r="B60" s="3" t="s">
        <v>8</v>
      </c>
      <c r="C60" s="8">
        <f>SUM(C56:C59)</f>
        <v>76</v>
      </c>
      <c r="D60" s="4">
        <f>SUM(D56:D59)</f>
        <v>758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99115</v>
      </c>
      <c r="D70" s="13">
        <f>SUMIF(B:B, "Total general", D:D)</f>
        <v>901555.91999999993</v>
      </c>
    </row>
  </sheetData>
  <mergeCells count="9">
    <mergeCell ref="B62:D62"/>
    <mergeCell ref="B54:D54"/>
    <mergeCell ref="B38:D38"/>
    <mergeCell ref="B1:D1"/>
    <mergeCell ref="B3:D3"/>
    <mergeCell ref="B21:D21"/>
    <mergeCell ref="B29:D29"/>
    <mergeCell ref="B45:D45"/>
    <mergeCell ref="B12:D12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1539</v>
      </c>
      <c r="D3" s="14">
        <f>SUMIF('CDC-OLGUIN'!B:B, "Extrajudicial - 0 a 28 semanas de atraso", 'CDC-OLGUIN'!D:D)</f>
        <v>57938.62</v>
      </c>
    </row>
    <row r="4" spans="2:6" x14ac:dyDescent="0.3">
      <c r="B4" s="1" t="s">
        <v>5</v>
      </c>
      <c r="C4" s="6">
        <f>SUMIF('CDC-OLGUIN'!B:B, "Extrajudicial - 29 a 39 semanas de atraso", 'CDC-OLGUIN'!C:C)</f>
        <v>19606</v>
      </c>
      <c r="D4" s="14">
        <f>SUMIF('CDC-OLGUIN'!B:B, "Extrajudicial - 29 a 39 semanas de atraso", 'CDC-OLGUIN'!D:D)</f>
        <v>526003.14</v>
      </c>
    </row>
    <row r="5" spans="2:6" x14ac:dyDescent="0.3">
      <c r="B5" s="1" t="s">
        <v>6</v>
      </c>
      <c r="C5" s="6">
        <f>SUMIF('CDC-OLGUIN'!B:B, "Extrajudicial - 40 a 55 semanas de atraso", 'CDC-OLGUIN'!C:C)</f>
        <v>11302</v>
      </c>
      <c r="D5" s="14">
        <f>SUMIF('CDC-OLGUIN'!B:B, "Extrajudicial - 40 a 55 semanas de atraso", 'CDC-OLGUIN'!D:D)</f>
        <v>266588.90999999997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63928</v>
      </c>
      <c r="D7" s="6">
        <f>SUMIF('CDC-OLGUIN'!B:B, "Mas 55 semanas de atraso", 'CDC-OLGUIN'!D:D)</f>
        <v>51025.25</v>
      </c>
      <c r="E7" s="14"/>
      <c r="F7" s="7"/>
    </row>
    <row r="8" spans="2:6" x14ac:dyDescent="0.3">
      <c r="B8" s="3" t="s">
        <v>8</v>
      </c>
      <c r="C8" s="8">
        <f>SUM(C3:C7)</f>
        <v>99115</v>
      </c>
      <c r="D8" s="4">
        <f>SUM(D3:D7)</f>
        <v>901555.91999999993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1759</v>
      </c>
      <c r="E6" s="16">
        <f>SUMIF('REPORTE DIARIO'!B:B,'EPR 26 JUN'!C6, 'REPORTE DIARIO'!D:D)</f>
        <v>67844.89</v>
      </c>
      <c r="F6" s="16">
        <f>J6*D6</f>
        <v>110565.71428571428</v>
      </c>
      <c r="G6" s="16">
        <f>+E6-F6</f>
        <v>-42720.824285714276</v>
      </c>
      <c r="H6" s="15">
        <f>ABS(G6/F6)</f>
        <v>0.3863840120936482</v>
      </c>
      <c r="I6" s="16">
        <f>E6/D6</f>
        <v>38.570147811256398</v>
      </c>
      <c r="J6" s="16">
        <f>(220/7)*2</f>
        <v>62.857142857142854</v>
      </c>
      <c r="K6" s="16">
        <f>+I6-J6</f>
        <v>-24.286995045886457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22425</v>
      </c>
      <c r="E7" s="16">
        <f>SUMIF('REPORTE DIARIO'!B:B,'EPR 26 JUN'!C7, 'REPORTE DIARIO'!D:D)</f>
        <v>2313096.9799999995</v>
      </c>
      <c r="F7" s="16">
        <f>J7*D7</f>
        <v>704785.7142857142</v>
      </c>
      <c r="G7" s="16">
        <f>+E7-F7</f>
        <v>1608311.2657142854</v>
      </c>
      <c r="H7" s="15">
        <f>ABS(G7/F7)</f>
        <v>2.2819861883044492</v>
      </c>
      <c r="I7" s="16">
        <f>E7/D7</f>
        <v>103.14813734671124</v>
      </c>
      <c r="J7" s="16">
        <f>(110/7)*2</f>
        <v>31.428571428571427</v>
      </c>
      <c r="K7" s="16">
        <f t="shared" ref="K7:K9" si="0">+I7-J7</f>
        <v>71.719565918139807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14923</v>
      </c>
      <c r="E8" s="16">
        <f>SUMIF('REPORTE DIARIO'!B:B,'EPR 26 JUN'!C8, 'REPORTE DIARIO'!D:D)</f>
        <v>779622.74</v>
      </c>
      <c r="F8" s="16">
        <f>J8*D8</f>
        <v>191867.14285714287</v>
      </c>
      <c r="G8" s="16">
        <f>+E8-F8</f>
        <v>587755.59714285715</v>
      </c>
      <c r="H8" s="15">
        <f>ABS(G8/F8)</f>
        <v>3.0633467950292985</v>
      </c>
      <c r="I8" s="16">
        <f>E8/D8</f>
        <v>52.243030221805263</v>
      </c>
      <c r="J8" s="16">
        <f>(45/7)*2</f>
        <v>12.857142857142858</v>
      </c>
      <c r="K8" s="16">
        <f t="shared" si="0"/>
        <v>39.385887364662409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68942</v>
      </c>
      <c r="E9" s="16">
        <f>SUMIF('REPORTE DIARIO'!B:B,'EPR 26 JUN'!C9, 'REPORTE DIARIO'!D:D)</f>
        <v>1057953.52</v>
      </c>
      <c r="F9" s="16">
        <f>J9*D9</f>
        <v>295465.71428571426</v>
      </c>
      <c r="G9" s="16">
        <f>+E9-F9</f>
        <v>762487.8057142857</v>
      </c>
      <c r="H9" s="15">
        <f>ABS(G9/F9)</f>
        <v>2.5806304043012003</v>
      </c>
      <c r="I9" s="16">
        <f>E9/D9</f>
        <v>15.345558875576572</v>
      </c>
      <c r="J9" s="16">
        <f>(15/7)*2</f>
        <v>4.2857142857142856</v>
      </c>
      <c r="K9" s="16">
        <f t="shared" si="0"/>
        <v>11.059844589862287</v>
      </c>
    </row>
    <row r="10" spans="2:12" x14ac:dyDescent="0.3">
      <c r="B10" s="16"/>
      <c r="C10" s="19" t="s">
        <v>17</v>
      </c>
      <c r="D10" s="24">
        <f>SUM(D6:D9)</f>
        <v>108049</v>
      </c>
      <c r="E10" s="20">
        <f>SUM(E6:E9)</f>
        <v>4218518.129999999</v>
      </c>
      <c r="F10" s="20">
        <f>SUM(F6:F9)</f>
        <v>1302684.2857142857</v>
      </c>
      <c r="G10" s="20">
        <f>+E10-F10</f>
        <v>2915833.8442857135</v>
      </c>
      <c r="H10" s="21">
        <f>ABS(G10/F10)</f>
        <v>2.238327333999357</v>
      </c>
      <c r="I10" s="20">
        <f>E10/D10</f>
        <v>39.04263926551841</v>
      </c>
      <c r="J10" s="20">
        <f>F10/D10</f>
        <v>12.056421491307514</v>
      </c>
      <c r="K10" s="20">
        <f>I10-J10</f>
        <v>26.986217774210896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2025-08-25T17:25:27Z</cp:lastPrinted>
  <dcterms:created xsi:type="dcterms:W3CDTF">2025-01-27T15:11:28Z</dcterms:created>
  <dcterms:modified xsi:type="dcterms:W3CDTF">2025-08-25T17:35:47Z</dcterms:modified>
</cp:coreProperties>
</file>