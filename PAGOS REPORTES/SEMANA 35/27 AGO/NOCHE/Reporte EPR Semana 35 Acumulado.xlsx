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7 AGO\NOCHE\"/>
    </mc:Choice>
  </mc:AlternateContent>
  <xr:revisionPtr revIDLastSave="0" documentId="13_ncr:1_{A3D4C2D9-A038-4711-9252-DDE49A2D2078}" xr6:coauthVersionLast="47" xr6:coauthVersionMax="47" xr10:uidLastSave="{00000000-0000-0000-0000-000000000000}"/>
  <bookViews>
    <workbookView xWindow="15705" yWindow="241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36" i="1"/>
  <c r="C36" i="1"/>
  <c r="D59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<sst xmlns="http://schemas.openxmlformats.org/spreadsheetml/2006/main" count="187" uniqueCount="40">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</sst>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3" zoomScaleNormal="100" workbookViewId="0">
      <selection activeCell="C65" sqref="C6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15</v>
      </c>
      <c r="D5" s="25">
        <v>76</v>
      </c>
    </row>
    <row r="6" spans="2:8" x14ac:dyDescent="0.25">
      <c r="B6" s="1" t="s">
        <v>5</v>
      </c>
      <c r="C6" s="6">
        <v>8765</v>
      </c>
      <c r="D6" s="25">
        <v>287328.21999999997</v>
      </c>
    </row>
    <row r="7" spans="2:8" x14ac:dyDescent="0.25">
      <c r="B7" s="1" t="s">
        <v>6</v>
      </c>
      <c r="C7" s="6">
        <v>7481</v>
      </c>
      <c r="D7" s="25">
        <v>98144.1</v>
      </c>
    </row>
    <row r="8" spans="2:8" x14ac:dyDescent="0.25">
      <c r="B8" s="5" t="s">
        <v>12</v>
      </c>
      <c r="C8" s="7">
        <v>1232</v>
      </c>
      <c r="D8" s="25">
        <v>1500</v>
      </c>
    </row>
    <row r="9" spans="2:8" x14ac:dyDescent="0.25">
      <c r="B9" s="1" t="s">
        <v>7</v>
      </c>
      <c r="C9" s="6">
        <v>33718</v>
      </c>
      <c r="D9" s="25">
        <v>259659.79999999996</v>
      </c>
      <c r="E9" s="14"/>
      <c r="F9" s="7"/>
    </row>
    <row r="10" spans="2:8" x14ac:dyDescent="0.25">
      <c r="B10" s="3" t="s">
        <v>8</v>
      </c>
      <c r="C10" s="8">
        <f>SUM(C5:C9)</f>
        <v>51211</v>
      </c>
      <c r="D10" s="4">
        <f>SUM(D5:D9)</f>
        <v>646708.11999999988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6</v>
      </c>
      <c r="D14" s="25">
        <v>5631.33</v>
      </c>
    </row>
    <row r="15" spans="2:8" x14ac:dyDescent="0.25">
      <c r="B15" s="9" t="s">
        <v>5</v>
      </c>
      <c r="C15" s="6">
        <v>2732</v>
      </c>
      <c r="D15" s="25">
        <v>229430.57000000004</v>
      </c>
    </row>
    <row r="16" spans="2:8" x14ac:dyDescent="0.25">
      <c r="B16" s="9" t="s">
        <v>6</v>
      </c>
      <c r="C16" s="6">
        <v>963</v>
      </c>
      <c r="D16" s="25">
        <v>30780.510000000002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12297</v>
      </c>
      <c r="D18" s="25">
        <v>127417.33000000002</v>
      </c>
    </row>
    <row r="19" spans="2:4" x14ac:dyDescent="0.25">
      <c r="B19" s="10" t="s">
        <v>8</v>
      </c>
      <c r="C19" s="8">
        <f>SUM(C14:C18)</f>
        <v>15999</v>
      </c>
      <c r="D19" s="4">
        <f>SUM(D14:D18)</f>
        <v>393259.74000000005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2321</v>
      </c>
      <c r="D24" s="25">
        <v>78081.87</v>
      </c>
    </row>
    <row r="25" spans="2:4" x14ac:dyDescent="0.25">
      <c r="B25" s="1" t="s">
        <v>6</v>
      </c>
      <c r="C25" s="6">
        <v>3318</v>
      </c>
      <c r="D25" s="25">
        <v>25146.81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18167</v>
      </c>
      <c r="D27" s="25">
        <v>24655.83</v>
      </c>
    </row>
    <row r="28" spans="2:4" x14ac:dyDescent="0.25">
      <c r="B28" s="3" t="s">
        <v>8</v>
      </c>
      <c r="C28" s="8">
        <f>SUM(C23:C27)</f>
        <v>23806</v>
      </c>
      <c r="D28" s="4">
        <f>SUM(D23:D27)</f>
        <v>127884.51</v>
      </c>
    </row>
    <row r="30" spans="2:4" x14ac:dyDescent="0.25">
      <c r="B30" s="28" t="s">
        <v>31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1142</v>
      </c>
      <c r="D32" s="25">
        <v>32001.47</v>
      </c>
    </row>
    <row r="33" spans="2:4" x14ac:dyDescent="0.25">
      <c r="B33" s="1" t="s">
        <v>5</v>
      </c>
      <c r="C33" s="6">
        <v>3444</v>
      </c>
      <c r="D33" s="25">
        <v>49837.75</v>
      </c>
    </row>
    <row r="34" spans="2:4" x14ac:dyDescent="0.25">
      <c r="B34" s="1" t="s">
        <v>6</v>
      </c>
      <c r="C34" s="6">
        <v>1920</v>
      </c>
      <c r="D34" s="25">
        <v>11603.04</v>
      </c>
    </row>
    <row r="35" spans="2:4" x14ac:dyDescent="0.25">
      <c r="B35" s="1" t="s">
        <v>7</v>
      </c>
      <c r="C35" s="6">
        <v>369</v>
      </c>
      <c r="D35" s="25">
        <v>3404</v>
      </c>
    </row>
    <row r="36" spans="2:4" x14ac:dyDescent="0.25">
      <c r="B36" s="3" t="s">
        <v>8</v>
      </c>
      <c r="C36" s="8">
        <f>SUM(C32:C35)</f>
        <v>6875</v>
      </c>
      <c r="D36" s="4">
        <f>SUM(D32:D35)</f>
        <v>96846.260000000009</v>
      </c>
    </row>
    <row r="38" spans="2:4" x14ac:dyDescent="0.25">
      <c r="B38" s="28" t="s">
        <v>9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16</v>
      </c>
      <c r="D40" s="26">
        <v>0</v>
      </c>
    </row>
    <row r="41" spans="2:4" x14ac:dyDescent="0.25">
      <c r="B41" s="9" t="s">
        <v>5</v>
      </c>
      <c r="C41" s="6">
        <v>1463</v>
      </c>
      <c r="D41" s="25">
        <v>67162.78</v>
      </c>
    </row>
    <row r="42" spans="2:4" x14ac:dyDescent="0.25">
      <c r="B42" s="9" t="s">
        <v>6</v>
      </c>
      <c r="C42" s="6">
        <v>1585</v>
      </c>
      <c r="D42" s="25">
        <v>18297.120000000003</v>
      </c>
    </row>
    <row r="43" spans="2:4" x14ac:dyDescent="0.25">
      <c r="B43" s="9" t="s">
        <v>7</v>
      </c>
      <c r="C43" s="6">
        <v>2787</v>
      </c>
      <c r="D43" s="25">
        <v>8849.18</v>
      </c>
    </row>
    <row r="44" spans="2:4" x14ac:dyDescent="0.25">
      <c r="B44" s="10" t="s">
        <v>8</v>
      </c>
      <c r="C44" s="8">
        <f>SUM(C40:C43)</f>
        <v>5851</v>
      </c>
      <c r="D44" s="4">
        <f>SUM(D40:D43)</f>
        <v>94309.079999999987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1129</v>
      </c>
      <c r="D48" s="25">
        <v>12122</v>
      </c>
    </row>
    <row r="49" spans="2:4" x14ac:dyDescent="0.25">
      <c r="B49" s="1" t="s">
        <v>5</v>
      </c>
      <c r="C49" s="6">
        <v>2349</v>
      </c>
      <c r="D49" s="25">
        <v>12182</v>
      </c>
    </row>
    <row r="50" spans="2:4" x14ac:dyDescent="0.25">
      <c r="B50" s="1" t="s">
        <v>6</v>
      </c>
      <c r="C50" s="6">
        <v>911</v>
      </c>
      <c r="D50" s="25">
        <v>500</v>
      </c>
    </row>
    <row r="51" spans="2:4" x14ac:dyDescent="0.25">
      <c r="B51" s="10" t="s">
        <v>8</v>
      </c>
      <c r="C51" s="8">
        <f>SUM(C48:C50)</f>
        <v>4389</v>
      </c>
      <c r="D51" s="4">
        <f>SUM(D48:D50)</f>
        <v>24804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12354.1</v>
      </c>
    </row>
    <row r="57" spans="2:4" x14ac:dyDescent="0.25">
      <c r="B57" s="1" t="s">
        <v>6</v>
      </c>
      <c r="C57" s="6">
        <v>449</v>
      </c>
      <c r="D57" s="25">
        <v>1917</v>
      </c>
    </row>
    <row r="58" spans="2:4" x14ac:dyDescent="0.25">
      <c r="B58" s="1" t="s">
        <v>7</v>
      </c>
      <c r="C58" s="6">
        <v>1241</v>
      </c>
      <c r="D58" s="25">
        <v>3699</v>
      </c>
    </row>
    <row r="59" spans="2:4" x14ac:dyDescent="0.25">
      <c r="B59" s="3" t="s">
        <v>8</v>
      </c>
      <c r="C59" s="8">
        <f>SUM(C55:C58)</f>
        <v>2254</v>
      </c>
      <c r="D59" s="4">
        <f>SUM(D55:D58)</f>
        <v>17970.099999999999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110385</v>
      </c>
      <c r="D67" s="13">
        <f>SUMIF(B:B, "Total general", D:D)</f>
        <v>1401781.81</v>
      </c>
    </row>
  </sheetData>
  <mergeCells count="8">
    <mergeCell ref="B3:D3"/>
    <mergeCell ref="B12:D12"/>
    <mergeCell ref="B38:D38"/>
    <mergeCell ref="B61:D61"/>
    <mergeCell ref="B46:D46"/>
    <mergeCell ref="B30:D30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18" zoomScaleNormal="100" workbookViewId="0">
      <selection activeCell="A69" sqref="A6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14757</v>
      </c>
      <c r="D6" s="25">
        <v>96754.010000000009</v>
      </c>
    </row>
    <row r="7" spans="2:8" x14ac:dyDescent="0.25">
      <c r="B7" s="1" t="s">
        <v>6</v>
      </c>
      <c r="C7" s="27">
        <v>9112</v>
      </c>
      <c r="D7" s="25">
        <v>26801.71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62663</v>
      </c>
      <c r="D9" s="25">
        <v>4054</v>
      </c>
      <c r="E9" s="14"/>
      <c r="F9" s="7"/>
    </row>
    <row r="10" spans="2:8" x14ac:dyDescent="0.25">
      <c r="B10" s="3" t="s">
        <v>8</v>
      </c>
      <c r="C10" s="8">
        <f>SUM(C5:C9)</f>
        <v>89277</v>
      </c>
      <c r="D10" s="4">
        <f>SUM(D5:D9)</f>
        <v>127609.72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880</v>
      </c>
      <c r="D14" s="25">
        <v>32001.47</v>
      </c>
    </row>
    <row r="15" spans="2:8" x14ac:dyDescent="0.25">
      <c r="B15" s="1" t="s">
        <v>5</v>
      </c>
      <c r="C15">
        <v>2224</v>
      </c>
      <c r="D15" s="25">
        <v>46315.41</v>
      </c>
    </row>
    <row r="16" spans="2:8" x14ac:dyDescent="0.25">
      <c r="B16" s="1" t="s">
        <v>6</v>
      </c>
      <c r="C16">
        <v>1633</v>
      </c>
      <c r="D16" s="25">
        <v>11603.04</v>
      </c>
    </row>
    <row r="17" spans="2:4" x14ac:dyDescent="0.25">
      <c r="B17" s="1" t="s">
        <v>7</v>
      </c>
      <c r="C17">
        <v>367</v>
      </c>
      <c r="D17" s="25">
        <v>3404</v>
      </c>
    </row>
    <row r="18" spans="2:4" x14ac:dyDescent="0.25">
      <c r="B18" s="3" t="s">
        <v>8</v>
      </c>
      <c r="C18" s="8">
        <f>SUM(C14:C17)</f>
        <v>5104</v>
      </c>
      <c r="D18" s="4">
        <f>SUM(D14:D17)</f>
        <v>93323.920000000013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870</v>
      </c>
      <c r="D22" s="25">
        <v>12122</v>
      </c>
    </row>
    <row r="23" spans="2:4" x14ac:dyDescent="0.25">
      <c r="B23" s="1" t="s">
        <v>5</v>
      </c>
      <c r="C23">
        <v>744</v>
      </c>
      <c r="D23" s="25">
        <v>300</v>
      </c>
    </row>
    <row r="24" spans="2:4" x14ac:dyDescent="0.25">
      <c r="B24" s="1" t="s">
        <v>6</v>
      </c>
      <c r="C24">
        <v>628</v>
      </c>
      <c r="D24" s="25">
        <v>500</v>
      </c>
    </row>
    <row r="25" spans="2:4" x14ac:dyDescent="0.25">
      <c r="B25" s="10" t="s">
        <v>8</v>
      </c>
      <c r="C25" s="8">
        <f>SUM(C22:C24)</f>
        <v>2242</v>
      </c>
      <c r="D25" s="4">
        <f>SUM(D22:D24)</f>
        <v>12922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5196.93</v>
      </c>
    </row>
    <row r="31" spans="2:4" x14ac:dyDescent="0.25">
      <c r="B31" s="1" t="s">
        <v>6</v>
      </c>
      <c r="C31">
        <v>76</v>
      </c>
      <c r="D31" s="25">
        <v>1050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6932</v>
      </c>
    </row>
    <row r="34" spans="2:4" x14ac:dyDescent="0.25">
      <c r="B34" s="3" t="s">
        <v>8</v>
      </c>
      <c r="C34" s="8">
        <f>SUM(C29:C33)</f>
        <v>397</v>
      </c>
      <c r="D34" s="4">
        <f>SUM(D29:D33)</f>
        <v>13178.93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6">
        <v>0</v>
      </c>
    </row>
    <row r="40" spans="2:4" x14ac:dyDescent="0.25">
      <c r="B40" s="1" t="s">
        <v>6</v>
      </c>
      <c r="C40">
        <v>43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988</v>
      </c>
    </row>
    <row r="43" spans="2:4" x14ac:dyDescent="0.25">
      <c r="B43" s="3" t="s">
        <v>8</v>
      </c>
      <c r="C43" s="8">
        <f>SUM(C38:C42)</f>
        <v>380</v>
      </c>
      <c r="D43" s="4">
        <f>SUM(D38:D42)</f>
        <v>1097.8399999999999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7">
        <v>0</v>
      </c>
    </row>
    <row r="49" spans="2:4" x14ac:dyDescent="0.25">
      <c r="B49" s="9" t="s">
        <v>6</v>
      </c>
      <c r="C49">
        <v>4</v>
      </c>
      <c r="D49" s="7">
        <v>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7">
        <v>0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0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7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97712</v>
      </c>
      <c r="D70" s="13">
        <f>SUMIF(B:B, "Total general", D:D)</f>
        <v>248132.41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1756</v>
      </c>
      <c r="D3" s="14">
        <f>SUMIF('CDC-OLGUIN'!B:B, "Extrajudicial - 0 a 28 semanas de atraso", 'CDC-OLGUIN'!D:D)</f>
        <v>44123.47</v>
      </c>
    </row>
    <row r="4" spans="2:6" x14ac:dyDescent="0.25">
      <c r="B4" s="1" t="s">
        <v>5</v>
      </c>
      <c r="C4" s="6">
        <f>SUMIF('CDC-OLGUIN'!B:B, "Extrajudicial - 29 a 39 semanas de atraso", 'CDC-OLGUIN'!C:C)</f>
        <v>17753</v>
      </c>
      <c r="D4" s="14">
        <f>SUMIF('CDC-OLGUIN'!B:B, "Extrajudicial - 29 a 39 semanas de atraso", 'CDC-OLGUIN'!D:D)</f>
        <v>148566.35</v>
      </c>
    </row>
    <row r="5" spans="2:6" x14ac:dyDescent="0.25">
      <c r="B5" s="1" t="s">
        <v>6</v>
      </c>
      <c r="C5" s="6">
        <f>SUMIF('CDC-OLGUIN'!B:B, "Extrajudicial - 40 a 55 semanas de atraso", 'CDC-OLGUIN'!C:C)</f>
        <v>11505</v>
      </c>
      <c r="D5" s="14">
        <f>SUMIF('CDC-OLGUIN'!B:B, "Extrajudicial - 40 a 55 semanas de atraso", 'CDC-OLGUIN'!D:D)</f>
        <v>40064.589999999997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63958</v>
      </c>
      <c r="D7" s="6">
        <f>SUMIF('CDC-OLGUIN'!B:B, "Mas 55 semanas de atraso", 'CDC-OLGUIN'!D:D)</f>
        <v>15378</v>
      </c>
      <c r="E7" s="14"/>
      <c r="F7" s="7"/>
    </row>
    <row r="8" spans="2:6" x14ac:dyDescent="0.25">
      <c r="B8" s="3" t="s">
        <v>8</v>
      </c>
      <c r="C8" s="8">
        <f>SUM(C3:C7)</f>
        <v>97712</v>
      </c>
      <c r="D8" s="4">
        <f>SUM(D3:D7)</f>
        <v>248132.41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2308</v>
      </c>
      <c r="E6" s="16">
        <f>SUMIF('REPORTE DIARIO'!B:B,'EPR 26 JUN'!C6, 'REPORTE DIARIO'!D:D)</f>
        <v>49830.8</v>
      </c>
      <c r="F6" s="16">
        <f>J6*D6</f>
        <v>145074.28571428571</v>
      </c>
      <c r="G6" s="16">
        <f>+E6-F6</f>
        <v>-95243.485714285707</v>
      </c>
      <c r="H6" s="15">
        <f>ABS(G6/F6)</f>
        <v>0.65651528281077676</v>
      </c>
      <c r="I6" s="16">
        <f>E6/D6</f>
        <v>21.59046793760832</v>
      </c>
      <c r="J6" s="16">
        <f>(220/7)*2</f>
        <v>62.857142857142854</v>
      </c>
      <c r="K6" s="16">
        <f>+I6-J6</f>
        <v>-41.266674919534537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21638</v>
      </c>
      <c r="E7" s="16">
        <f>SUMIF('REPORTE DIARIO'!B:B,'EPR 26 JUN'!C7, 'REPORTE DIARIO'!D:D)</f>
        <v>736377.29</v>
      </c>
      <c r="F7" s="16">
        <f>J7*D7</f>
        <v>680051.42857142852</v>
      </c>
      <c r="G7" s="16">
        <f>+E7-F7</f>
        <v>56325.861428571516</v>
      </c>
      <c r="H7" s="15">
        <f>ABS(G7/F7)</f>
        <v>8.2825885017099685E-2</v>
      </c>
      <c r="I7" s="16">
        <f>E7/D7</f>
        <v>34.03167067196599</v>
      </c>
      <c r="J7" s="16">
        <f>(110/7)*2</f>
        <v>31.428571428571427</v>
      </c>
      <c r="K7" s="16">
        <f t="shared" ref="K7:K9" si="0">+I7-J7</f>
        <v>2.6030992433945634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16627</v>
      </c>
      <c r="E8" s="16">
        <f>SUMIF('REPORTE DIARIO'!B:B,'EPR 26 JUN'!C8, 'REPORTE DIARIO'!D:D)</f>
        <v>186388.58000000002</v>
      </c>
      <c r="F8" s="16">
        <f>J8*D8</f>
        <v>213775.71428571429</v>
      </c>
      <c r="G8" s="16">
        <f>+E8-F8</f>
        <v>-27387.134285714274</v>
      </c>
      <c r="H8" s="15">
        <f>ABS(G8/F8)</f>
        <v>0.12811153211309578</v>
      </c>
      <c r="I8" s="16">
        <f>E8/D8</f>
        <v>11.20999458711734</v>
      </c>
      <c r="J8" s="16">
        <f>(45/7)*2</f>
        <v>12.857142857142858</v>
      </c>
      <c r="K8" s="16">
        <f t="shared" si="0"/>
        <v>-1.647148270025518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68579</v>
      </c>
      <c r="E9" s="16">
        <f>SUMIF('REPORTE DIARIO'!B:B,'EPR 26 JUN'!C9, 'REPORTE DIARIO'!D:D)</f>
        <v>427685.14</v>
      </c>
      <c r="F9" s="16">
        <f>J9*D9</f>
        <v>293910</v>
      </c>
      <c r="G9" s="16">
        <f>+E9-F9</f>
        <v>133775.14000000001</v>
      </c>
      <c r="H9" s="15">
        <f>ABS(G9/F9)</f>
        <v>0.45515681671259917</v>
      </c>
      <c r="I9" s="16">
        <f>E9/D9</f>
        <v>6.2363863573397103</v>
      </c>
      <c r="J9" s="16">
        <f>(15/7)*2</f>
        <v>4.2857142857142856</v>
      </c>
      <c r="K9" s="16">
        <f t="shared" si="0"/>
        <v>1.9506720716254247</v>
      </c>
    </row>
    <row r="10" spans="2:12" x14ac:dyDescent="0.25">
      <c r="B10" s="16"/>
      <c r="C10" s="19" t="s">
        <v>17</v>
      </c>
      <c r="D10" s="24">
        <f>SUM(D6:D9)</f>
        <v>109152</v>
      </c>
      <c r="E10" s="20">
        <f>SUM(E6:E9)</f>
        <v>1400281.81</v>
      </c>
      <c r="F10" s="20">
        <f>SUM(F6:F9)</f>
        <v>1332811.4285714286</v>
      </c>
      <c r="G10" s="20">
        <f>+E10-F10</f>
        <v>67470.381428571418</v>
      </c>
      <c r="H10" s="21">
        <f>ABS(G10/F10)</f>
        <v>5.0622601203899803E-2</v>
      </c>
      <c r="I10" s="20">
        <f>E10/D10</f>
        <v>12.828732501465847</v>
      </c>
      <c r="J10" s="20">
        <f>F10/D10</f>
        <v>12.210600159148973</v>
      </c>
      <c r="K10" s="20">
        <f>I10-J10</f>
        <v>0.61813234231687453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2025-08-27T17:25:34Z</cp:lastPrinted>
  <dcterms:created xsi:type="dcterms:W3CDTF">2025-01-27T15:11:28Z</dcterms:created>
  <dcterms:modified xsi:type="dcterms:W3CDTF">2025-08-28T03:05:06Z</dcterms:modified>
</cp:coreProperties>
</file>