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5\27 AGO\MAÑANA\"/>
    </mc:Choice>
  </mc:AlternateContent>
  <xr:revisionPtr revIDLastSave="0" documentId="13_ncr:1_{0375F5F8-739F-4364-A9AD-6492C55CF9AE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5" l="1"/>
  <c r="D60" i="5"/>
  <c r="C60" i="5"/>
  <c r="D7" i="6"/>
  <c r="D6" i="6"/>
  <c r="D5" i="6"/>
  <c r="D4" i="6"/>
  <c r="D3" i="6"/>
  <c r="C7" i="6"/>
  <c r="C6" i="6"/>
  <c r="C5" i="6"/>
  <c r="C4" i="6"/>
  <c r="C3" i="6"/>
  <c r="D43" i="5"/>
  <c r="D25" i="5"/>
  <c r="C25" i="5"/>
  <c r="D51" i="1"/>
  <c r="C51" i="1"/>
  <c r="D68" i="5"/>
  <c r="C68" i="5"/>
  <c r="C43" i="5"/>
  <c r="D52" i="5"/>
  <c r="C52" i="5"/>
  <c r="C34" i="5"/>
  <c r="D65" i="1"/>
  <c r="C65" i="1"/>
  <c r="D10" i="5"/>
  <c r="D18" i="5"/>
  <c r="C18" i="5"/>
  <c r="C10" i="5"/>
  <c r="J9" i="3"/>
  <c r="J8" i="3"/>
  <c r="J7" i="3"/>
  <c r="J6" i="3"/>
  <c r="C59" i="1"/>
  <c r="D8" i="6" l="1"/>
  <c r="C8" i="6"/>
  <c r="D70" i="5"/>
  <c r="C70" i="5"/>
  <c r="C28" i="1"/>
  <c r="D28" i="1"/>
  <c r="D19" i="1"/>
  <c r="C19" i="1"/>
  <c r="D6" i="3"/>
  <c r="D44" i="1"/>
  <c r="C44" i="1"/>
  <c r="D59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<sst xmlns="http://schemas.openxmlformats.org/spreadsheetml/2006/main" count="187" uniqueCount="40">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</sst>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49" zoomScaleNormal="100" workbookViewId="0">
      <selection activeCell="B3" sqref="B3:D6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</v>
      </c>
      <c r="D5" s="25">
        <v>76</v>
      </c>
    </row>
    <row r="6" spans="2:8" x14ac:dyDescent="0.3">
      <c r="B6" s="1" t="s">
        <v>5</v>
      </c>
      <c r="C6" s="6">
        <v>8766</v>
      </c>
      <c r="D6" s="25">
        <v>246537.22</v>
      </c>
    </row>
    <row r="7" spans="2:8" x14ac:dyDescent="0.3">
      <c r="B7" s="1" t="s">
        <v>6</v>
      </c>
      <c r="C7" s="6">
        <v>7167</v>
      </c>
      <c r="D7" s="25">
        <v>89648.1</v>
      </c>
    </row>
    <row r="8" spans="2:8" x14ac:dyDescent="0.3">
      <c r="B8" s="5" t="s">
        <v>12</v>
      </c>
      <c r="C8" s="7">
        <v>1232</v>
      </c>
      <c r="D8" s="25">
        <v>1500</v>
      </c>
    </row>
    <row r="9" spans="2:8" x14ac:dyDescent="0.3">
      <c r="B9" s="1" t="s">
        <v>7</v>
      </c>
      <c r="C9" s="6">
        <v>33830</v>
      </c>
      <c r="D9" s="25">
        <v>237282.79999999996</v>
      </c>
      <c r="E9" s="14"/>
      <c r="F9" s="7"/>
    </row>
    <row r="10" spans="2:8" x14ac:dyDescent="0.3">
      <c r="B10" s="3" t="s">
        <v>8</v>
      </c>
      <c r="C10" s="8">
        <f>SUM(C5:C9)</f>
        <v>50996</v>
      </c>
      <c r="D10" s="4">
        <f>SUM(D5:D9)</f>
        <v>575044.12</v>
      </c>
      <c r="E10" s="11" t="s">
        <v>14</v>
      </c>
    </row>
    <row r="12" spans="2:8" x14ac:dyDescent="0.3">
      <c r="B12" s="29" t="s">
        <v>10</v>
      </c>
      <c r="C12" s="29"/>
      <c r="D12" s="29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6</v>
      </c>
      <c r="D14" s="25">
        <v>400</v>
      </c>
    </row>
    <row r="15" spans="2:8" x14ac:dyDescent="0.3">
      <c r="B15" s="9" t="s">
        <v>5</v>
      </c>
      <c r="C15" s="6">
        <v>2726</v>
      </c>
      <c r="D15" s="25">
        <v>216079.99000000005</v>
      </c>
    </row>
    <row r="16" spans="2:8" x14ac:dyDescent="0.3">
      <c r="B16" s="9" t="s">
        <v>6</v>
      </c>
      <c r="C16" s="6">
        <v>519</v>
      </c>
      <c r="D16" s="25">
        <v>11557.36</v>
      </c>
    </row>
    <row r="17" spans="2:4" x14ac:dyDescent="0.3">
      <c r="B17" s="5" t="s">
        <v>12</v>
      </c>
      <c r="C17" s="7">
        <v>1</v>
      </c>
      <c r="D17" s="26">
        <v>0</v>
      </c>
    </row>
    <row r="18" spans="2:4" x14ac:dyDescent="0.3">
      <c r="B18" s="9" t="s">
        <v>7</v>
      </c>
      <c r="C18" s="6">
        <v>12687</v>
      </c>
      <c r="D18" s="25">
        <v>85293.62000000001</v>
      </c>
    </row>
    <row r="19" spans="2:4" x14ac:dyDescent="0.3">
      <c r="B19" s="10" t="s">
        <v>8</v>
      </c>
      <c r="C19" s="8">
        <f>SUM(C14:C18)</f>
        <v>15939</v>
      </c>
      <c r="D19" s="4">
        <f>SUM(D14:D18)</f>
        <v>313330.97000000003</v>
      </c>
    </row>
    <row r="21" spans="2:4" x14ac:dyDescent="0.3">
      <c r="B21" s="28" t="s">
        <v>36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0</v>
      </c>
      <c r="D23" s="26">
        <v>0</v>
      </c>
    </row>
    <row r="24" spans="2:4" x14ac:dyDescent="0.3">
      <c r="B24" s="1" t="s">
        <v>5</v>
      </c>
      <c r="C24" s="6">
        <v>2324</v>
      </c>
      <c r="D24" s="25">
        <v>72912.87</v>
      </c>
    </row>
    <row r="25" spans="2:4" x14ac:dyDescent="0.3">
      <c r="B25" s="1" t="s">
        <v>6</v>
      </c>
      <c r="C25" s="6">
        <v>3318</v>
      </c>
      <c r="D25" s="25">
        <v>20910.810000000001</v>
      </c>
    </row>
    <row r="26" spans="2:4" x14ac:dyDescent="0.3">
      <c r="B26" s="5" t="s">
        <v>12</v>
      </c>
      <c r="C26" s="6">
        <v>0</v>
      </c>
      <c r="D26" s="11">
        <v>0</v>
      </c>
    </row>
    <row r="27" spans="2:4" x14ac:dyDescent="0.3">
      <c r="B27" s="1" t="s">
        <v>7</v>
      </c>
      <c r="C27" s="7">
        <v>18171</v>
      </c>
      <c r="D27" s="25">
        <v>21193.83</v>
      </c>
    </row>
    <row r="28" spans="2:4" x14ac:dyDescent="0.3">
      <c r="B28" s="3" t="s">
        <v>8</v>
      </c>
      <c r="C28" s="8">
        <f>SUM(C23:C27)</f>
        <v>23813</v>
      </c>
      <c r="D28" s="4">
        <f>SUM(D23:D27)</f>
        <v>115017.51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0</v>
      </c>
      <c r="D32" s="26">
        <v>0</v>
      </c>
    </row>
    <row r="33" spans="2:4" x14ac:dyDescent="0.3">
      <c r="B33" s="9" t="s">
        <v>5</v>
      </c>
      <c r="C33" s="6">
        <v>1455</v>
      </c>
      <c r="D33" s="25">
        <v>53835.43</v>
      </c>
    </row>
    <row r="34" spans="2:4" x14ac:dyDescent="0.3">
      <c r="B34" s="9" t="s">
        <v>6</v>
      </c>
      <c r="C34" s="6">
        <v>1272</v>
      </c>
      <c r="D34" s="25">
        <v>16427.120000000003</v>
      </c>
    </row>
    <row r="35" spans="2:4" x14ac:dyDescent="0.3">
      <c r="B35" s="9" t="s">
        <v>7</v>
      </c>
      <c r="C35" s="6">
        <v>2770</v>
      </c>
      <c r="D35" s="25">
        <v>8096.18</v>
      </c>
    </row>
    <row r="36" spans="2:4" x14ac:dyDescent="0.3">
      <c r="B36" s="10" t="s">
        <v>8</v>
      </c>
      <c r="C36" s="8">
        <f>SUM(C32:C35)</f>
        <v>5497</v>
      </c>
      <c r="D36" s="4">
        <f>SUM(D32:D35)</f>
        <v>78358.73000000001</v>
      </c>
    </row>
    <row r="38" spans="2:4" x14ac:dyDescent="0.3">
      <c r="B38" s="28" t="s">
        <v>31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1091</v>
      </c>
      <c r="D40" s="25">
        <v>27821.61</v>
      </c>
    </row>
    <row r="41" spans="2:4" x14ac:dyDescent="0.3">
      <c r="B41" s="1" t="s">
        <v>5</v>
      </c>
      <c r="C41" s="6">
        <v>3439</v>
      </c>
      <c r="D41" s="25">
        <v>15670.42</v>
      </c>
    </row>
    <row r="42" spans="2:4" x14ac:dyDescent="0.3">
      <c r="B42" s="1" t="s">
        <v>6</v>
      </c>
      <c r="C42" s="6">
        <v>1680</v>
      </c>
      <c r="D42" s="25">
        <v>10905.04</v>
      </c>
    </row>
    <row r="43" spans="2:4" x14ac:dyDescent="0.3">
      <c r="B43" s="1" t="s">
        <v>7</v>
      </c>
      <c r="C43" s="6">
        <v>369</v>
      </c>
      <c r="D43" s="25">
        <v>3204</v>
      </c>
    </row>
    <row r="44" spans="2:4" x14ac:dyDescent="0.3">
      <c r="B44" s="3" t="s">
        <v>8</v>
      </c>
      <c r="C44" s="8">
        <f>SUM(C40:C43)</f>
        <v>6579</v>
      </c>
      <c r="D44" s="4">
        <f>SUM(D40:D43)</f>
        <v>57601.07</v>
      </c>
    </row>
    <row r="46" spans="2:4" x14ac:dyDescent="0.3">
      <c r="B46" s="29" t="s">
        <v>11</v>
      </c>
      <c r="C46" s="29"/>
      <c r="D46" s="29"/>
    </row>
    <row r="47" spans="2:4" x14ac:dyDescent="0.3">
      <c r="B47" s="4" t="s">
        <v>1</v>
      </c>
      <c r="C47" s="4" t="s">
        <v>2</v>
      </c>
      <c r="D47" s="4" t="s">
        <v>3</v>
      </c>
    </row>
    <row r="48" spans="2:4" x14ac:dyDescent="0.3">
      <c r="B48" s="9" t="s">
        <v>4</v>
      </c>
      <c r="C48" s="6">
        <v>1078</v>
      </c>
      <c r="D48" s="25">
        <v>11822</v>
      </c>
    </row>
    <row r="49" spans="2:4" x14ac:dyDescent="0.3">
      <c r="B49" s="1" t="s">
        <v>5</v>
      </c>
      <c r="C49" s="6">
        <v>2348</v>
      </c>
      <c r="D49" s="25">
        <v>10122</v>
      </c>
    </row>
    <row r="50" spans="2:4" x14ac:dyDescent="0.3">
      <c r="B50" s="1" t="s">
        <v>6</v>
      </c>
      <c r="C50" s="6">
        <v>671</v>
      </c>
      <c r="D50" s="25">
        <v>500</v>
      </c>
    </row>
    <row r="51" spans="2:4" x14ac:dyDescent="0.3">
      <c r="B51" s="10" t="s">
        <v>8</v>
      </c>
      <c r="C51" s="8">
        <f>SUM(C48:C50)</f>
        <v>4097</v>
      </c>
      <c r="D51" s="4">
        <f>SUM(D48:D50)</f>
        <v>22444</v>
      </c>
    </row>
    <row r="53" spans="2:4" x14ac:dyDescent="0.3">
      <c r="B53" s="28" t="s">
        <v>30</v>
      </c>
      <c r="C53" s="28"/>
      <c r="D53" s="28"/>
    </row>
    <row r="54" spans="2:4" x14ac:dyDescent="0.3">
      <c r="B54" s="2" t="s">
        <v>1</v>
      </c>
      <c r="C54" s="2" t="s">
        <v>2</v>
      </c>
      <c r="D54" s="2" t="s">
        <v>3</v>
      </c>
    </row>
    <row r="55" spans="2:4" x14ac:dyDescent="0.3">
      <c r="B55" s="9" t="s">
        <v>4</v>
      </c>
      <c r="C55" s="6">
        <v>0</v>
      </c>
      <c r="D55" s="26">
        <v>0</v>
      </c>
    </row>
    <row r="56" spans="2:4" x14ac:dyDescent="0.3">
      <c r="B56" s="1" t="s">
        <v>5</v>
      </c>
      <c r="C56" s="6">
        <v>564</v>
      </c>
      <c r="D56" s="25">
        <v>9783.1</v>
      </c>
    </row>
    <row r="57" spans="2:4" x14ac:dyDescent="0.3">
      <c r="B57" s="1" t="s">
        <v>6</v>
      </c>
      <c r="C57" s="6">
        <v>450</v>
      </c>
      <c r="D57" s="25">
        <v>1917</v>
      </c>
    </row>
    <row r="58" spans="2:4" x14ac:dyDescent="0.3">
      <c r="B58" s="1" t="s">
        <v>7</v>
      </c>
      <c r="C58" s="6">
        <v>1241</v>
      </c>
      <c r="D58" s="25">
        <v>3699</v>
      </c>
    </row>
    <row r="59" spans="2:4" x14ac:dyDescent="0.3">
      <c r="B59" s="3" t="s">
        <v>8</v>
      </c>
      <c r="C59" s="8">
        <f>SUM(C55:C58)</f>
        <v>2255</v>
      </c>
      <c r="D59" s="4">
        <f>SUM(D55:D58)</f>
        <v>15399.1</v>
      </c>
    </row>
    <row r="61" spans="2:4" x14ac:dyDescent="0.3">
      <c r="B61" s="28" t="s">
        <v>38</v>
      </c>
      <c r="C61" s="28"/>
      <c r="D61" s="28"/>
    </row>
    <row r="62" spans="2:4" x14ac:dyDescent="0.3">
      <c r="B62" s="2" t="s">
        <v>1</v>
      </c>
      <c r="C62" s="2" t="s">
        <v>2</v>
      </c>
      <c r="D62" s="2" t="s">
        <v>3</v>
      </c>
    </row>
    <row r="63" spans="2:4" x14ac:dyDescent="0.3">
      <c r="B63" s="9" t="s">
        <v>4</v>
      </c>
      <c r="C63" s="6">
        <v>0</v>
      </c>
      <c r="D63" s="26">
        <v>0</v>
      </c>
    </row>
    <row r="64" spans="2:4" x14ac:dyDescent="0.3">
      <c r="B64" s="1" t="s">
        <v>5</v>
      </c>
      <c r="C64" s="6">
        <v>0</v>
      </c>
      <c r="D64" s="26">
        <v>0</v>
      </c>
    </row>
    <row r="65" spans="2:4" x14ac:dyDescent="0.3">
      <c r="B65" s="3" t="s">
        <v>8</v>
      </c>
      <c r="C65" s="8">
        <f>SUM(C63:C64)</f>
        <v>0</v>
      </c>
      <c r="D65" s="4">
        <f>SUM(D63:D64)</f>
        <v>0</v>
      </c>
    </row>
    <row r="67" spans="2:4" x14ac:dyDescent="0.3">
      <c r="B67" s="12" t="s">
        <v>13</v>
      </c>
      <c r="C67" s="13">
        <f>SUMIF(B:B, "Total general", C:C)</f>
        <v>109176</v>
      </c>
      <c r="D67" s="13">
        <f>SUMIF(B:B, "Total general", D:D)</f>
        <v>1177195.5000000002</v>
      </c>
    </row>
  </sheetData>
  <mergeCells count="8">
    <mergeCell ref="B3:D3"/>
    <mergeCell ref="B12:D12"/>
    <mergeCell ref="B30:D30"/>
    <mergeCell ref="B61:D61"/>
    <mergeCell ref="B46:D46"/>
    <mergeCell ref="B38:D38"/>
    <mergeCell ref="B21:D21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zoomScaleNormal="100" workbookViewId="0">
      <selection activeCell="D2" sqref="D2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</v>
      </c>
      <c r="D5" s="26">
        <v>0</v>
      </c>
      <c r="E5" s="11"/>
    </row>
    <row r="6" spans="2:8" x14ac:dyDescent="0.3">
      <c r="B6" s="1" t="s">
        <v>5</v>
      </c>
      <c r="C6" s="27">
        <v>14904</v>
      </c>
      <c r="D6" s="25">
        <v>83434.010000000009</v>
      </c>
    </row>
    <row r="7" spans="2:8" x14ac:dyDescent="0.3">
      <c r="B7" s="1" t="s">
        <v>6</v>
      </c>
      <c r="C7" s="27">
        <v>9062</v>
      </c>
      <c r="D7" s="25">
        <v>24084.71</v>
      </c>
    </row>
    <row r="8" spans="2:8" x14ac:dyDescent="0.3">
      <c r="B8" s="5" t="s">
        <v>12</v>
      </c>
      <c r="C8" s="27">
        <v>2739</v>
      </c>
      <c r="D8" s="26">
        <v>0</v>
      </c>
    </row>
    <row r="9" spans="2:8" x14ac:dyDescent="0.3">
      <c r="B9" s="1" t="s">
        <v>7</v>
      </c>
      <c r="C9" s="27">
        <v>62630</v>
      </c>
      <c r="D9" s="25">
        <v>4054</v>
      </c>
      <c r="E9" s="14"/>
      <c r="F9" s="7"/>
    </row>
    <row r="10" spans="2:8" x14ac:dyDescent="0.3">
      <c r="B10" s="3" t="s">
        <v>8</v>
      </c>
      <c r="C10" s="8">
        <f>SUM(C5:C9)</f>
        <v>89341</v>
      </c>
      <c r="D10" s="4">
        <f>SUM(D5:D9)</f>
        <v>111572.72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 s="6">
        <v>1091</v>
      </c>
      <c r="D14" s="25">
        <v>27821.609999999997</v>
      </c>
    </row>
    <row r="15" spans="2:8" x14ac:dyDescent="0.3">
      <c r="B15" s="1" t="s">
        <v>5</v>
      </c>
      <c r="C15" s="6">
        <v>3915</v>
      </c>
      <c r="D15" s="25">
        <v>15210.41</v>
      </c>
    </row>
    <row r="16" spans="2:8" x14ac:dyDescent="0.3">
      <c r="B16" s="1" t="s">
        <v>6</v>
      </c>
      <c r="C16" s="6">
        <v>1680</v>
      </c>
      <c r="D16" s="25">
        <v>10905.04</v>
      </c>
    </row>
    <row r="17" spans="2:4" x14ac:dyDescent="0.3">
      <c r="B17" s="1" t="s">
        <v>7</v>
      </c>
      <c r="C17" s="6">
        <v>369</v>
      </c>
      <c r="D17" s="25">
        <v>3204</v>
      </c>
    </row>
    <row r="18" spans="2:4" x14ac:dyDescent="0.3">
      <c r="B18" s="3" t="s">
        <v>8</v>
      </c>
      <c r="C18" s="8">
        <f>SUM(C14:C17)</f>
        <v>7055</v>
      </c>
      <c r="D18" s="4">
        <f>SUM(D14:D17)</f>
        <v>57141.06</v>
      </c>
    </row>
    <row r="20" spans="2:4" x14ac:dyDescent="0.3">
      <c r="B20" s="29" t="s">
        <v>11</v>
      </c>
      <c r="C20" s="29"/>
      <c r="D20" s="29"/>
    </row>
    <row r="21" spans="2:4" x14ac:dyDescent="0.3">
      <c r="B21" s="4" t="s">
        <v>1</v>
      </c>
      <c r="C21" s="4" t="s">
        <v>2</v>
      </c>
      <c r="D21" s="4" t="s">
        <v>3</v>
      </c>
    </row>
    <row r="22" spans="2:4" x14ac:dyDescent="0.3">
      <c r="B22" s="9" t="s">
        <v>4</v>
      </c>
      <c r="C22">
        <v>870</v>
      </c>
      <c r="D22" s="25">
        <v>11822</v>
      </c>
    </row>
    <row r="23" spans="2:4" x14ac:dyDescent="0.3">
      <c r="B23" s="1" t="s">
        <v>5</v>
      </c>
      <c r="C23">
        <v>745</v>
      </c>
      <c r="D23" s="25">
        <v>300</v>
      </c>
    </row>
    <row r="24" spans="2:4" x14ac:dyDescent="0.3">
      <c r="B24" s="1" t="s">
        <v>6</v>
      </c>
      <c r="C24">
        <v>627</v>
      </c>
      <c r="D24" s="25">
        <v>500</v>
      </c>
    </row>
    <row r="25" spans="2:4" x14ac:dyDescent="0.3">
      <c r="B25" s="10" t="s">
        <v>8</v>
      </c>
      <c r="C25" s="8">
        <f>SUM(C22:C24)</f>
        <v>2242</v>
      </c>
      <c r="D25" s="4">
        <f>SUM(D22:D24)</f>
        <v>12622</v>
      </c>
    </row>
    <row r="27" spans="2:4" x14ac:dyDescent="0.3">
      <c r="B27" s="28" t="s">
        <v>0</v>
      </c>
      <c r="C27" s="28"/>
      <c r="D27" s="28"/>
    </row>
    <row r="28" spans="2:4" x14ac:dyDescent="0.3">
      <c r="B28" s="2" t="s">
        <v>1</v>
      </c>
      <c r="C28" s="2" t="s">
        <v>2</v>
      </c>
      <c r="D28" s="2" t="s">
        <v>3</v>
      </c>
    </row>
    <row r="29" spans="2:4" x14ac:dyDescent="0.3">
      <c r="B29" s="1" t="s">
        <v>4</v>
      </c>
      <c r="C29" s="27">
        <v>0</v>
      </c>
      <c r="D29" s="26">
        <v>0</v>
      </c>
    </row>
    <row r="30" spans="2:4" x14ac:dyDescent="0.3">
      <c r="B30" s="1" t="s">
        <v>5</v>
      </c>
      <c r="C30">
        <v>19</v>
      </c>
      <c r="D30" s="25">
        <v>4266.93</v>
      </c>
    </row>
    <row r="31" spans="2:4" x14ac:dyDescent="0.3">
      <c r="B31" s="1" t="s">
        <v>6</v>
      </c>
      <c r="C31">
        <v>76</v>
      </c>
      <c r="D31" s="25">
        <v>1050</v>
      </c>
    </row>
    <row r="32" spans="2:4" x14ac:dyDescent="0.3">
      <c r="B32" s="5" t="s">
        <v>12</v>
      </c>
      <c r="C32">
        <v>1</v>
      </c>
      <c r="D32" s="26">
        <v>0</v>
      </c>
    </row>
    <row r="33" spans="2:4" x14ac:dyDescent="0.3">
      <c r="B33" s="1" t="s">
        <v>7</v>
      </c>
      <c r="C33">
        <v>303</v>
      </c>
      <c r="D33" s="25">
        <v>6932</v>
      </c>
    </row>
    <row r="34" spans="2:4" x14ac:dyDescent="0.3">
      <c r="B34" s="3" t="s">
        <v>8</v>
      </c>
      <c r="C34" s="8">
        <f>SUM(C29:C33)</f>
        <v>399</v>
      </c>
      <c r="D34" s="4">
        <f>SUM(D29:D33)</f>
        <v>12248.93</v>
      </c>
    </row>
    <row r="36" spans="2:4" x14ac:dyDescent="0.3">
      <c r="B36" s="28" t="s">
        <v>36</v>
      </c>
      <c r="C36" s="28"/>
      <c r="D36" s="28"/>
    </row>
    <row r="37" spans="2:4" x14ac:dyDescent="0.3">
      <c r="B37" s="2" t="s">
        <v>1</v>
      </c>
      <c r="C37" s="2" t="s">
        <v>2</v>
      </c>
      <c r="D37" s="2" t="s">
        <v>3</v>
      </c>
    </row>
    <row r="38" spans="2:4" x14ac:dyDescent="0.3">
      <c r="B38" s="1" t="s">
        <v>4</v>
      </c>
      <c r="C38" s="11">
        <v>0</v>
      </c>
      <c r="D38" s="26">
        <v>0</v>
      </c>
    </row>
    <row r="39" spans="2:4" x14ac:dyDescent="0.3">
      <c r="B39" s="1" t="s">
        <v>5</v>
      </c>
      <c r="C39">
        <v>5</v>
      </c>
      <c r="D39" s="26">
        <v>0</v>
      </c>
    </row>
    <row r="40" spans="2:4" x14ac:dyDescent="0.3">
      <c r="B40" s="1" t="s">
        <v>6</v>
      </c>
      <c r="C40">
        <v>43</v>
      </c>
      <c r="D40" s="25">
        <v>109.84</v>
      </c>
    </row>
    <row r="41" spans="2:4" x14ac:dyDescent="0.3">
      <c r="B41" s="5" t="s">
        <v>12</v>
      </c>
      <c r="C41" s="11">
        <v>0</v>
      </c>
      <c r="D41" s="26">
        <v>0</v>
      </c>
    </row>
    <row r="42" spans="2:4" x14ac:dyDescent="0.3">
      <c r="B42" s="1" t="s">
        <v>7</v>
      </c>
      <c r="C42">
        <v>333</v>
      </c>
      <c r="D42" s="25">
        <v>388</v>
      </c>
    </row>
    <row r="43" spans="2:4" x14ac:dyDescent="0.3">
      <c r="B43" s="3" t="s">
        <v>8</v>
      </c>
      <c r="C43" s="8">
        <f>SUM(C38:C42)</f>
        <v>381</v>
      </c>
      <c r="D43" s="4">
        <f>SUM(D38:D42)</f>
        <v>497.84000000000003</v>
      </c>
    </row>
    <row r="45" spans="2:4" x14ac:dyDescent="0.3">
      <c r="B45" s="29" t="s">
        <v>10</v>
      </c>
      <c r="C45" s="29"/>
      <c r="D45" s="29"/>
    </row>
    <row r="46" spans="2:4" x14ac:dyDescent="0.3">
      <c r="B46" s="4" t="s">
        <v>1</v>
      </c>
      <c r="C46" s="4" t="s">
        <v>2</v>
      </c>
      <c r="D46" s="4" t="s">
        <v>3</v>
      </c>
    </row>
    <row r="47" spans="2:4" x14ac:dyDescent="0.3">
      <c r="B47" s="9" t="s">
        <v>4</v>
      </c>
      <c r="C47" s="11">
        <v>0</v>
      </c>
      <c r="D47" s="7">
        <v>0</v>
      </c>
    </row>
    <row r="48" spans="2:4" x14ac:dyDescent="0.3">
      <c r="B48" s="9" t="s">
        <v>5</v>
      </c>
      <c r="C48">
        <v>6</v>
      </c>
      <c r="D48" s="7">
        <v>0</v>
      </c>
    </row>
    <row r="49" spans="2:4" x14ac:dyDescent="0.3">
      <c r="B49" s="9" t="s">
        <v>6</v>
      </c>
      <c r="C49">
        <v>4</v>
      </c>
      <c r="D49" s="7">
        <v>0</v>
      </c>
    </row>
    <row r="50" spans="2:4" x14ac:dyDescent="0.3">
      <c r="B50" s="5" t="s">
        <v>12</v>
      </c>
      <c r="C50" s="7">
        <v>0</v>
      </c>
      <c r="D50" s="7">
        <v>0</v>
      </c>
    </row>
    <row r="51" spans="2:4" x14ac:dyDescent="0.3">
      <c r="B51" s="9" t="s">
        <v>7</v>
      </c>
      <c r="C51">
        <v>167</v>
      </c>
      <c r="D51" s="7">
        <v>0</v>
      </c>
    </row>
    <row r="52" spans="2:4" x14ac:dyDescent="0.3">
      <c r="B52" s="10" t="s">
        <v>8</v>
      </c>
      <c r="C52" s="8">
        <f>SUM(C47:C51)</f>
        <v>177</v>
      </c>
      <c r="D52" s="4">
        <f>SUM(D47:D51)</f>
        <v>0</v>
      </c>
    </row>
    <row r="54" spans="2:4" x14ac:dyDescent="0.3">
      <c r="B54" s="28" t="s">
        <v>30</v>
      </c>
      <c r="C54" s="28"/>
      <c r="D54" s="28"/>
    </row>
    <row r="55" spans="2:4" x14ac:dyDescent="0.3">
      <c r="B55" s="2" t="s">
        <v>1</v>
      </c>
      <c r="C55" s="2" t="s">
        <v>2</v>
      </c>
      <c r="D55" s="2" t="s">
        <v>3</v>
      </c>
    </row>
    <row r="56" spans="2:4" x14ac:dyDescent="0.3">
      <c r="B56" s="9" t="s">
        <v>4</v>
      </c>
      <c r="C56" s="26">
        <v>0</v>
      </c>
      <c r="D56" s="26">
        <v>0</v>
      </c>
    </row>
    <row r="57" spans="2:4" x14ac:dyDescent="0.3">
      <c r="B57" s="1" t="s">
        <v>5</v>
      </c>
      <c r="C57">
        <v>3</v>
      </c>
      <c r="D57" s="26">
        <v>0</v>
      </c>
    </row>
    <row r="58" spans="2:4" x14ac:dyDescent="0.3">
      <c r="B58" s="1" t="s">
        <v>6</v>
      </c>
      <c r="C58">
        <v>7</v>
      </c>
      <c r="D58" s="26">
        <v>0</v>
      </c>
    </row>
    <row r="59" spans="2:4" x14ac:dyDescent="0.3">
      <c r="B59" s="1" t="s">
        <v>7</v>
      </c>
      <c r="C59">
        <v>64</v>
      </c>
      <c r="D59" s="26">
        <v>0</v>
      </c>
    </row>
    <row r="60" spans="2:4" x14ac:dyDescent="0.3">
      <c r="B60" s="3" t="s">
        <v>8</v>
      </c>
      <c r="C60" s="8">
        <f>SUM(C56:C59)</f>
        <v>74</v>
      </c>
      <c r="D60" s="4">
        <f>SUM(D56:D59)</f>
        <v>0</v>
      </c>
    </row>
    <row r="62" spans="2:4" x14ac:dyDescent="0.3">
      <c r="B62" s="28" t="s">
        <v>9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6">
        <v>0</v>
      </c>
      <c r="D64" s="26">
        <v>0</v>
      </c>
    </row>
    <row r="65" spans="2:4" x14ac:dyDescent="0.3">
      <c r="B65" s="9" t="s">
        <v>5</v>
      </c>
      <c r="C65" s="6">
        <v>0</v>
      </c>
      <c r="D65" s="26">
        <v>0</v>
      </c>
    </row>
    <row r="66" spans="2:4" x14ac:dyDescent="0.3">
      <c r="B66" s="9" t="s">
        <v>6</v>
      </c>
      <c r="C66">
        <v>2</v>
      </c>
      <c r="D66" s="26">
        <v>0</v>
      </c>
    </row>
    <row r="67" spans="2:4" x14ac:dyDescent="0.3">
      <c r="B67" s="9" t="s">
        <v>7</v>
      </c>
      <c r="C67">
        <v>61</v>
      </c>
      <c r="D67" s="26">
        <v>0</v>
      </c>
    </row>
    <row r="68" spans="2:4" x14ac:dyDescent="0.3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3">
      <c r="B70" s="12" t="s">
        <v>13</v>
      </c>
      <c r="C70" s="13">
        <f>SUMIF(B:B, "Total general", C:C)</f>
        <v>99732</v>
      </c>
      <c r="D70" s="13">
        <f>SUMIF(B:B, "Total general", D:D)</f>
        <v>194082.55</v>
      </c>
    </row>
  </sheetData>
  <mergeCells count="9">
    <mergeCell ref="B62:D62"/>
    <mergeCell ref="B54:D54"/>
    <mergeCell ref="B20:D20"/>
    <mergeCell ref="B1:D1"/>
    <mergeCell ref="B3:D3"/>
    <mergeCell ref="B12:D12"/>
    <mergeCell ref="B27:D27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28" t="s">
        <v>39</v>
      </c>
      <c r="C1" s="28"/>
      <c r="D1" s="28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1967</v>
      </c>
      <c r="D3" s="14">
        <f>SUMIF('CDC-OLGUIN'!B:B, "Extrajudicial - 0 a 28 semanas de atraso", 'CDC-OLGUIN'!D:D)</f>
        <v>39643.61</v>
      </c>
    </row>
    <row r="4" spans="2:6" x14ac:dyDescent="0.3">
      <c r="B4" s="1" t="s">
        <v>5</v>
      </c>
      <c r="C4" s="6">
        <f>SUMIF('CDC-OLGUIN'!B:B, "Extrajudicial - 29 a 39 semanas de atraso", 'CDC-OLGUIN'!C:C)</f>
        <v>19597</v>
      </c>
      <c r="D4" s="14">
        <f>SUMIF('CDC-OLGUIN'!B:B, "Extrajudicial - 29 a 39 semanas de atraso", 'CDC-OLGUIN'!D:D)</f>
        <v>103211.35</v>
      </c>
    </row>
    <row r="5" spans="2:6" x14ac:dyDescent="0.3">
      <c r="B5" s="1" t="s">
        <v>6</v>
      </c>
      <c r="C5" s="6">
        <f>SUMIF('CDC-OLGUIN'!B:B, "Extrajudicial - 40 a 55 semanas de atraso", 'CDC-OLGUIN'!C:C)</f>
        <v>11501</v>
      </c>
      <c r="D5" s="14">
        <f>SUMIF('CDC-OLGUIN'!B:B, "Extrajudicial - 40 a 55 semanas de atraso", 'CDC-OLGUIN'!D:D)</f>
        <v>36649.589999999997</v>
      </c>
    </row>
    <row r="6" spans="2:6" x14ac:dyDescent="0.3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3">
      <c r="B7" s="1" t="s">
        <v>7</v>
      </c>
      <c r="C7" s="6">
        <f>SUMIF('CDC-OLGUIN'!B:B, "Mas 55 semanas de atraso", 'CDC-OLGUIN'!C:C)</f>
        <v>63927</v>
      </c>
      <c r="D7" s="6">
        <f>SUMIF('CDC-OLGUIN'!B:B, "Mas 55 semanas de atraso", 'CDC-OLGUIN'!D:D)</f>
        <v>14578</v>
      </c>
      <c r="E7" s="14"/>
      <c r="F7" s="7"/>
    </row>
    <row r="8" spans="2:6" x14ac:dyDescent="0.3">
      <c r="B8" s="3" t="s">
        <v>8</v>
      </c>
      <c r="C8" s="8">
        <f>SUM(C3:C7)</f>
        <v>99732</v>
      </c>
      <c r="D8" s="4">
        <f>SUM(D3:D7)</f>
        <v>194082.55000000002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2176</v>
      </c>
      <c r="E6" s="16">
        <f>SUMIF('REPORTE DIARIO'!B:B,'EPR 26 JUN'!C6, 'REPORTE DIARIO'!D:D)</f>
        <v>40119.61</v>
      </c>
      <c r="F6" s="16">
        <f>J6*D6</f>
        <v>136777.14285714284</v>
      </c>
      <c r="G6" s="16">
        <f>+E6-F6</f>
        <v>-96657.53285714284</v>
      </c>
      <c r="H6" s="15">
        <f>ABS(G6/F6)</f>
        <v>0.70667898771724591</v>
      </c>
      <c r="I6" s="16">
        <f>E6/D6</f>
        <v>18.437320772058825</v>
      </c>
      <c r="J6" s="16">
        <f>(220/7)*2</f>
        <v>62.857142857142854</v>
      </c>
      <c r="K6" s="16">
        <f>+I6-J6</f>
        <v>-44.419822085084029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21622</v>
      </c>
      <c r="E7" s="16">
        <f>SUMIF('REPORTE DIARIO'!B:B,'EPR 26 JUN'!C7, 'REPORTE DIARIO'!D:D)</f>
        <v>624941.03000000014</v>
      </c>
      <c r="F7" s="16">
        <f>J7*D7</f>
        <v>679548.57142857136</v>
      </c>
      <c r="G7" s="16">
        <f>+E7-F7</f>
        <v>-54607.541428571218</v>
      </c>
      <c r="H7" s="15">
        <f>ABS(G7/F7)</f>
        <v>8.0358555259373562E-2</v>
      </c>
      <c r="I7" s="16">
        <f>E7/D7</f>
        <v>28.903016834705401</v>
      </c>
      <c r="J7" s="16">
        <f>(110/7)*2</f>
        <v>31.428571428571427</v>
      </c>
      <c r="K7" s="16">
        <f t="shared" ref="K7:K9" si="0">+I7-J7</f>
        <v>-2.5255545938660262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15077</v>
      </c>
      <c r="E8" s="16">
        <f>SUMIF('REPORTE DIARIO'!B:B,'EPR 26 JUN'!C8, 'REPORTE DIARIO'!D:D)</f>
        <v>151865.43000000002</v>
      </c>
      <c r="F8" s="16">
        <f>J8*D8</f>
        <v>193847.14285714287</v>
      </c>
      <c r="G8" s="16">
        <f>+E8-F8</f>
        <v>-41981.712857142847</v>
      </c>
      <c r="H8" s="15">
        <f>ABS(G8/F8)</f>
        <v>0.21657122327607164</v>
      </c>
      <c r="I8" s="16">
        <f>E8/D8</f>
        <v>10.072655700736222</v>
      </c>
      <c r="J8" s="16">
        <f>(45/7)*2</f>
        <v>12.857142857142858</v>
      </c>
      <c r="K8" s="16">
        <f t="shared" si="0"/>
        <v>-2.7844871564066356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69068</v>
      </c>
      <c r="E9" s="16">
        <f>SUMIF('REPORTE DIARIO'!B:B,'EPR 26 JUN'!C9, 'REPORTE DIARIO'!D:D)</f>
        <v>358769.43</v>
      </c>
      <c r="F9" s="16">
        <f>J9*D9</f>
        <v>296005.71428571426</v>
      </c>
      <c r="G9" s="16">
        <f>+E9-F9</f>
        <v>62763.715714285732</v>
      </c>
      <c r="H9" s="15">
        <f>ABS(G9/F9)</f>
        <v>0.21203548676666481</v>
      </c>
      <c r="I9" s="16">
        <f>E9/D9</f>
        <v>5.1944378004285632</v>
      </c>
      <c r="J9" s="16">
        <f>(15/7)*2</f>
        <v>4.2857142857142856</v>
      </c>
      <c r="K9" s="16">
        <f t="shared" si="0"/>
        <v>0.90872351471427759</v>
      </c>
    </row>
    <row r="10" spans="2:12" x14ac:dyDescent="0.3">
      <c r="B10" s="16"/>
      <c r="C10" s="19" t="s">
        <v>17</v>
      </c>
      <c r="D10" s="24">
        <f>SUM(D6:D9)</f>
        <v>107943</v>
      </c>
      <c r="E10" s="20">
        <f>SUM(E6:E9)</f>
        <v>1175695.5000000002</v>
      </c>
      <c r="F10" s="20">
        <f>SUM(F6:F9)</f>
        <v>1306178.5714285714</v>
      </c>
      <c r="G10" s="20">
        <f>+E10-F10</f>
        <v>-130483.07142857113</v>
      </c>
      <c r="H10" s="21">
        <f>ABS(G10/F10)</f>
        <v>9.9896809121482841E-2</v>
      </c>
      <c r="I10" s="20">
        <f>E10/D10</f>
        <v>10.891817903893724</v>
      </c>
      <c r="J10" s="20">
        <f>F10/D10</f>
        <v>12.10063247666427</v>
      </c>
      <c r="K10" s="20">
        <f>I10-J10</f>
        <v>-1.2088145727705459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2025-08-27T17:25:34Z</cp:lastPrinted>
  <dcterms:created xsi:type="dcterms:W3CDTF">2025-01-27T15:11:28Z</dcterms:created>
  <dcterms:modified xsi:type="dcterms:W3CDTF">2025-08-27T17:31:32Z</dcterms:modified>
</cp:coreProperties>
</file>