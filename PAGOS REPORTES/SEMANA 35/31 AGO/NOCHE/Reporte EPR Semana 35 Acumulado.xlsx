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31 AGO\NOCHE\"/>
    </mc:Choice>
  </mc:AlternateContent>
  <xr:revisionPtr revIDLastSave="0" documentId="13_ncr:1_{7D406734-FBEF-44A9-A58C-2DD596D114C2}" xr6:coauthVersionLast="47" xr6:coauthVersionMax="47" xr10:uidLastSave="{00000000-0000-0000-0000-000000000000}"/>
  <bookViews>
    <workbookView xWindow="23295" yWindow="10005" windowWidth="11130" windowHeight="6570" firstSheet="1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0" i="5" l="1"/>
  <c r="D27" i="5"/>
  <c r="D60" i="5"/>
  <c r="C60" i="5"/>
  <c r="D7" i="6"/>
  <c r="D6" i="6"/>
  <c r="D5" i="6"/>
  <c r="D4" i="6"/>
  <c r="D3" i="6"/>
  <c r="C7" i="6"/>
  <c r="C6" i="6"/>
  <c r="C5" i="6"/>
  <c r="C4" i="6"/>
  <c r="C3" i="6"/>
  <c r="D43" i="5"/>
  <c r="D34" i="5"/>
  <c r="C34" i="5"/>
  <c r="D51" i="1"/>
  <c r="C51" i="1"/>
  <c r="D68" i="5"/>
  <c r="C68" i="5"/>
  <c r="C43" i="5"/>
  <c r="D52" i="5"/>
  <c r="C52" i="5"/>
  <c r="C27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28" i="1"/>
  <c r="D28" i="1"/>
  <c r="D19" i="1"/>
  <c r="C19" i="1"/>
  <c r="D6" i="3"/>
  <c r="D44" i="1"/>
  <c r="C44" i="1"/>
  <c r="D59" i="1"/>
  <c r="D36" i="1" l="1"/>
  <c r="C36" i="1"/>
  <c r="D10" i="1"/>
  <c r="C10" i="1"/>
  <c r="C67" i="1" s="1"/>
  <c r="F6" i="3"/>
  <c r="E7" i="3"/>
  <c r="E8" i="3"/>
  <c r="E9" i="3"/>
  <c r="E6" i="3"/>
  <c r="D7" i="3"/>
  <c r="F7" i="3" s="1"/>
  <c r="D8" i="3"/>
  <c r="F8" i="3" s="1"/>
  <c r="D9" i="3"/>
  <c r="F9" i="3" s="1"/>
  <c r="D67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<sst xmlns="http://schemas.openxmlformats.org/spreadsheetml/2006/main" count="187" uniqueCount="40">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</sst>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28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35</v>
      </c>
      <c r="D5" s="25">
        <v>76</v>
      </c>
    </row>
    <row r="6" spans="2:8" x14ac:dyDescent="0.25">
      <c r="B6" s="1" t="s">
        <v>5</v>
      </c>
      <c r="C6" s="6">
        <v>8886</v>
      </c>
      <c r="D6" s="25">
        <v>1011605.5399999999</v>
      </c>
    </row>
    <row r="7" spans="2:8" x14ac:dyDescent="0.25">
      <c r="B7" s="1" t="s">
        <v>6</v>
      </c>
      <c r="C7" s="6">
        <v>7520</v>
      </c>
      <c r="D7" s="25">
        <v>381472.38999999996</v>
      </c>
    </row>
    <row r="8" spans="2:8" x14ac:dyDescent="0.25">
      <c r="B8" s="5" t="s">
        <v>12</v>
      </c>
      <c r="C8" s="7">
        <v>1232</v>
      </c>
      <c r="D8" s="25">
        <v>6500</v>
      </c>
    </row>
    <row r="9" spans="2:8" x14ac:dyDescent="0.25">
      <c r="B9" s="1" t="s">
        <v>7</v>
      </c>
      <c r="C9" s="6">
        <v>34037</v>
      </c>
      <c r="D9" s="25">
        <v>778399.48</v>
      </c>
      <c r="E9" s="14"/>
      <c r="F9" s="7"/>
    </row>
    <row r="10" spans="2:8" x14ac:dyDescent="0.25">
      <c r="B10" s="3" t="s">
        <v>8</v>
      </c>
      <c r="C10" s="8">
        <f>SUM(C5:C9)</f>
        <v>51710</v>
      </c>
      <c r="D10" s="4">
        <f>SUM(D5:D9)</f>
        <v>2178053.41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9</v>
      </c>
      <c r="D14" s="25">
        <v>5820.33</v>
      </c>
    </row>
    <row r="15" spans="2:8" x14ac:dyDescent="0.25">
      <c r="B15" s="9" t="s">
        <v>5</v>
      </c>
      <c r="C15" s="6">
        <v>2736</v>
      </c>
      <c r="D15" s="25">
        <v>446903.18000000005</v>
      </c>
    </row>
    <row r="16" spans="2:8" x14ac:dyDescent="0.25">
      <c r="B16" s="9" t="s">
        <v>6</v>
      </c>
      <c r="C16" s="6">
        <v>923</v>
      </c>
      <c r="D16" s="25">
        <v>58544.71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12946</v>
      </c>
      <c r="D18" s="25">
        <v>196491.08</v>
      </c>
    </row>
    <row r="19" spans="2:4" x14ac:dyDescent="0.25">
      <c r="B19" s="10" t="s">
        <v>8</v>
      </c>
      <c r="C19" s="8">
        <f>SUM(C14:C18)</f>
        <v>16615</v>
      </c>
      <c r="D19" s="4">
        <f>SUM(D14:D18)</f>
        <v>707798.3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2302</v>
      </c>
      <c r="D24" s="25">
        <v>214241.19999999998</v>
      </c>
    </row>
    <row r="25" spans="2:4" x14ac:dyDescent="0.25">
      <c r="B25" s="1" t="s">
        <v>6</v>
      </c>
      <c r="C25" s="6">
        <v>3090</v>
      </c>
      <c r="D25" s="25">
        <v>69978.850000000006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18150</v>
      </c>
      <c r="D27" s="25">
        <v>129213.58</v>
      </c>
    </row>
    <row r="28" spans="2:4" x14ac:dyDescent="0.25">
      <c r="B28" s="3" t="s">
        <v>8</v>
      </c>
      <c r="C28" s="8">
        <f>SUM(C23:C27)</f>
        <v>23542</v>
      </c>
      <c r="D28" s="4">
        <f>SUM(D23:D27)</f>
        <v>413433.63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35</v>
      </c>
      <c r="D32" s="25">
        <v>1638</v>
      </c>
    </row>
    <row r="33" spans="2:4" x14ac:dyDescent="0.25">
      <c r="B33" s="9" t="s">
        <v>5</v>
      </c>
      <c r="C33" s="6">
        <v>1602</v>
      </c>
      <c r="D33" s="25">
        <v>171948.47000000003</v>
      </c>
    </row>
    <row r="34" spans="2:4" x14ac:dyDescent="0.25">
      <c r="B34" s="9" t="s">
        <v>6</v>
      </c>
      <c r="C34" s="6">
        <v>1667</v>
      </c>
      <c r="D34" s="25">
        <v>56003.12</v>
      </c>
    </row>
    <row r="35" spans="2:4" x14ac:dyDescent="0.25">
      <c r="B35" s="9" t="s">
        <v>7</v>
      </c>
      <c r="C35" s="6">
        <v>3117</v>
      </c>
      <c r="D35" s="25">
        <v>37492.19</v>
      </c>
    </row>
    <row r="36" spans="2:4" x14ac:dyDescent="0.25">
      <c r="B36" s="10" t="s">
        <v>8</v>
      </c>
      <c r="C36" s="8">
        <f>SUM(C32:C35)</f>
        <v>6421</v>
      </c>
      <c r="D36" s="4">
        <f>SUM(D32:D35)</f>
        <v>267081.78000000003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>
        <v>1175</v>
      </c>
      <c r="D40" s="25">
        <v>59046.559999999998</v>
      </c>
    </row>
    <row r="41" spans="2:4" x14ac:dyDescent="0.25">
      <c r="B41" s="1" t="s">
        <v>5</v>
      </c>
      <c r="C41">
        <v>3430</v>
      </c>
      <c r="D41" s="25">
        <v>95980.660000000018</v>
      </c>
    </row>
    <row r="42" spans="2:4" x14ac:dyDescent="0.25">
      <c r="B42" s="1" t="s">
        <v>6</v>
      </c>
      <c r="C42">
        <v>1910</v>
      </c>
      <c r="D42" s="25">
        <v>31571.879999999997</v>
      </c>
    </row>
    <row r="43" spans="2:4" x14ac:dyDescent="0.25">
      <c r="B43" s="1" t="s">
        <v>7</v>
      </c>
      <c r="C43">
        <v>369</v>
      </c>
      <c r="D43" s="25">
        <v>3404</v>
      </c>
    </row>
    <row r="44" spans="2:4" x14ac:dyDescent="0.25">
      <c r="B44" s="3" t="s">
        <v>8</v>
      </c>
      <c r="C44" s="8">
        <f>SUM(C40:C43)</f>
        <v>6884</v>
      </c>
      <c r="D44" s="4">
        <f>SUM(D40:D43)</f>
        <v>190003.10000000003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1389</v>
      </c>
      <c r="D48" s="25">
        <v>28247</v>
      </c>
    </row>
    <row r="49" spans="2:4" x14ac:dyDescent="0.25">
      <c r="B49" s="1" t="s">
        <v>5</v>
      </c>
      <c r="C49" s="6">
        <v>2349</v>
      </c>
      <c r="D49" s="25">
        <v>50012.6</v>
      </c>
    </row>
    <row r="50" spans="2:4" x14ac:dyDescent="0.25">
      <c r="B50" s="1" t="s">
        <v>6</v>
      </c>
      <c r="C50" s="6">
        <v>996</v>
      </c>
      <c r="D50" s="25">
        <v>3150</v>
      </c>
    </row>
    <row r="51" spans="2:4" x14ac:dyDescent="0.25">
      <c r="B51" s="10" t="s">
        <v>8</v>
      </c>
      <c r="C51" s="8">
        <f>SUM(C48:C50)</f>
        <v>4734</v>
      </c>
      <c r="D51" s="4">
        <f>SUM(D48:D50)</f>
        <v>81409.600000000006</v>
      </c>
    </row>
    <row r="53" spans="2:4" x14ac:dyDescent="0.25">
      <c r="B53" s="28" t="s">
        <v>30</v>
      </c>
      <c r="C53" s="28"/>
      <c r="D53" s="28"/>
    </row>
    <row r="54" spans="2:4" x14ac:dyDescent="0.25">
      <c r="B54" s="2" t="s">
        <v>1</v>
      </c>
      <c r="C54" s="2" t="s">
        <v>2</v>
      </c>
      <c r="D54" s="2" t="s">
        <v>3</v>
      </c>
    </row>
    <row r="55" spans="2:4" x14ac:dyDescent="0.25">
      <c r="B55" s="9" t="s">
        <v>4</v>
      </c>
      <c r="C55" s="6">
        <v>0</v>
      </c>
      <c r="D55" s="26">
        <v>0</v>
      </c>
    </row>
    <row r="56" spans="2:4" x14ac:dyDescent="0.25">
      <c r="B56" s="1" t="s">
        <v>5</v>
      </c>
      <c r="C56" s="6">
        <v>320</v>
      </c>
      <c r="D56" s="25">
        <v>51384.100000000006</v>
      </c>
    </row>
    <row r="57" spans="2:4" x14ac:dyDescent="0.25">
      <c r="B57" s="1" t="s">
        <v>6</v>
      </c>
      <c r="C57" s="6">
        <v>564</v>
      </c>
      <c r="D57" s="25">
        <v>4827</v>
      </c>
    </row>
    <row r="58" spans="2:4" x14ac:dyDescent="0.25">
      <c r="B58" s="1" t="s">
        <v>7</v>
      </c>
      <c r="C58" s="6">
        <v>1241</v>
      </c>
      <c r="D58" s="25">
        <v>16686</v>
      </c>
    </row>
    <row r="59" spans="2:4" x14ac:dyDescent="0.25">
      <c r="B59" s="3" t="s">
        <v>8</v>
      </c>
      <c r="C59" s="8">
        <f>SUM(C55:C58)</f>
        <v>2125</v>
      </c>
      <c r="D59" s="4">
        <f>SUM(D55:D58)</f>
        <v>72897.100000000006</v>
      </c>
    </row>
    <row r="60" spans="2:4" hidden="1" x14ac:dyDescent="0.25"/>
    <row r="61" spans="2:4" hidden="1" x14ac:dyDescent="0.25">
      <c r="B61" s="28" t="s">
        <v>38</v>
      </c>
      <c r="C61" s="28"/>
      <c r="D61" s="28"/>
    </row>
    <row r="62" spans="2:4" hidden="1" x14ac:dyDescent="0.25">
      <c r="B62" s="2" t="s">
        <v>1</v>
      </c>
      <c r="C62" s="2" t="s">
        <v>2</v>
      </c>
      <c r="D62" s="2" t="s">
        <v>3</v>
      </c>
    </row>
    <row r="63" spans="2:4" hidden="1" x14ac:dyDescent="0.25">
      <c r="B63" s="9" t="s">
        <v>4</v>
      </c>
      <c r="C63" s="6">
        <v>0</v>
      </c>
      <c r="D63" s="26">
        <v>0</v>
      </c>
    </row>
    <row r="64" spans="2:4" hidden="1" x14ac:dyDescent="0.25">
      <c r="B64" s="1" t="s">
        <v>5</v>
      </c>
      <c r="C64" s="6">
        <v>0</v>
      </c>
      <c r="D64" s="26">
        <v>0</v>
      </c>
    </row>
    <row r="65" spans="2:4" hidden="1" x14ac:dyDescent="0.25">
      <c r="B65" s="3" t="s">
        <v>8</v>
      </c>
      <c r="C65" s="8">
        <f>SUM(C63:C64)</f>
        <v>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112031</v>
      </c>
      <c r="D67" s="13">
        <f>SUMIF(B:B, "Total general", D:D)</f>
        <v>3910676.9200000004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C9" sqref="C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143</v>
      </c>
      <c r="D5" s="26">
        <v>0</v>
      </c>
      <c r="E5" s="11"/>
    </row>
    <row r="6" spans="2:8" x14ac:dyDescent="0.25">
      <c r="B6" s="1" t="s">
        <v>5</v>
      </c>
      <c r="C6" s="27">
        <v>14716</v>
      </c>
      <c r="D6" s="25">
        <v>217642.22</v>
      </c>
    </row>
    <row r="7" spans="2:8" x14ac:dyDescent="0.25">
      <c r="B7" s="1" t="s">
        <v>6</v>
      </c>
      <c r="C7" s="27">
        <v>8529</v>
      </c>
      <c r="D7" s="25">
        <v>82855.42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63284</v>
      </c>
      <c r="D9" s="25">
        <v>30698.65</v>
      </c>
      <c r="E9" s="14"/>
      <c r="F9" s="7"/>
    </row>
    <row r="10" spans="2:8" x14ac:dyDescent="0.25">
      <c r="B10" s="3" t="s">
        <v>8</v>
      </c>
      <c r="C10" s="8">
        <f>SUM(C5:C9)</f>
        <v>89411</v>
      </c>
      <c r="D10" s="4">
        <f>SUM(D5:D9)</f>
        <v>331196.29000000004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1175</v>
      </c>
      <c r="D14" s="25">
        <v>59046.559999999998</v>
      </c>
    </row>
    <row r="15" spans="2:8" x14ac:dyDescent="0.25">
      <c r="B15" s="1" t="s">
        <v>5</v>
      </c>
      <c r="C15">
        <v>3430</v>
      </c>
      <c r="D15" s="25">
        <v>95513.660000000018</v>
      </c>
    </row>
    <row r="16" spans="2:8" x14ac:dyDescent="0.25">
      <c r="B16" s="1" t="s">
        <v>6</v>
      </c>
      <c r="C16">
        <v>1910</v>
      </c>
      <c r="D16" s="25">
        <v>31571.879999999997</v>
      </c>
    </row>
    <row r="17" spans="2:4" x14ac:dyDescent="0.25">
      <c r="B17" s="1" t="s">
        <v>7</v>
      </c>
      <c r="C17">
        <v>369</v>
      </c>
      <c r="D17" s="25">
        <v>3404</v>
      </c>
    </row>
    <row r="18" spans="2:4" x14ac:dyDescent="0.25">
      <c r="B18" s="3" t="s">
        <v>8</v>
      </c>
      <c r="C18" s="8">
        <f>SUM(C14:C17)</f>
        <v>6884</v>
      </c>
      <c r="D18" s="4">
        <f>SUM(D14:D17)</f>
        <v>189536.10000000003</v>
      </c>
    </row>
    <row r="20" spans="2:4" x14ac:dyDescent="0.25">
      <c r="B20" s="28" t="s">
        <v>0</v>
      </c>
      <c r="C20" s="28"/>
      <c r="D20" s="28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17</v>
      </c>
      <c r="D23" s="25">
        <v>9777.93</v>
      </c>
    </row>
    <row r="24" spans="2:4" x14ac:dyDescent="0.25">
      <c r="B24" s="1" t="s">
        <v>6</v>
      </c>
      <c r="C24">
        <v>73</v>
      </c>
      <c r="D24" s="25">
        <v>4677</v>
      </c>
    </row>
    <row r="25" spans="2:4" x14ac:dyDescent="0.25">
      <c r="B25" s="5" t="s">
        <v>12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44543</v>
      </c>
    </row>
    <row r="27" spans="2:4" x14ac:dyDescent="0.25">
      <c r="B27" s="3" t="s">
        <v>8</v>
      </c>
      <c r="C27" s="8">
        <f>SUM(C22:C26)</f>
        <v>394</v>
      </c>
      <c r="D27" s="4">
        <f>SUM(D22:D26)</f>
        <v>58997.93</v>
      </c>
    </row>
    <row r="29" spans="2:4" x14ac:dyDescent="0.25">
      <c r="B29" s="29" t="s">
        <v>11</v>
      </c>
      <c r="C29" s="29"/>
      <c r="D29" s="29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1160</v>
      </c>
      <c r="D31" s="25">
        <v>28247</v>
      </c>
    </row>
    <row r="32" spans="2:4" x14ac:dyDescent="0.25">
      <c r="B32" s="1" t="s">
        <v>5</v>
      </c>
      <c r="C32">
        <v>743</v>
      </c>
      <c r="D32" s="25">
        <v>15040.599999999999</v>
      </c>
    </row>
    <row r="33" spans="2:4" x14ac:dyDescent="0.25">
      <c r="B33" s="1" t="s">
        <v>6</v>
      </c>
      <c r="C33">
        <v>907</v>
      </c>
      <c r="D33" s="25">
        <v>3150</v>
      </c>
    </row>
    <row r="34" spans="2:4" x14ac:dyDescent="0.25">
      <c r="B34" s="10" t="s">
        <v>8</v>
      </c>
      <c r="C34" s="8">
        <f>SUM(C31:C33)</f>
        <v>2810</v>
      </c>
      <c r="D34" s="4">
        <f>SUM(D31:D33)</f>
        <v>46437.599999999999</v>
      </c>
    </row>
    <row r="36" spans="2:4" x14ac:dyDescent="0.25">
      <c r="B36" s="28" t="s">
        <v>36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11">
        <v>0</v>
      </c>
      <c r="D38" s="26">
        <v>0</v>
      </c>
    </row>
    <row r="39" spans="2:4" x14ac:dyDescent="0.25">
      <c r="B39" s="1" t="s">
        <v>5</v>
      </c>
      <c r="C39">
        <v>4</v>
      </c>
      <c r="D39" s="25">
        <v>2560</v>
      </c>
    </row>
    <row r="40" spans="2:4" x14ac:dyDescent="0.25">
      <c r="B40" s="1" t="s">
        <v>6</v>
      </c>
      <c r="C40">
        <v>38</v>
      </c>
      <c r="D40" s="25">
        <v>109.84</v>
      </c>
    </row>
    <row r="41" spans="2:4" x14ac:dyDescent="0.25">
      <c r="B41" s="5" t="s">
        <v>12</v>
      </c>
      <c r="C41" s="11">
        <v>0</v>
      </c>
      <c r="D41" s="26">
        <v>0</v>
      </c>
    </row>
    <row r="42" spans="2:4" x14ac:dyDescent="0.25">
      <c r="B42" s="1" t="s">
        <v>7</v>
      </c>
      <c r="C42">
        <v>333</v>
      </c>
      <c r="D42" s="25">
        <v>11362</v>
      </c>
    </row>
    <row r="43" spans="2:4" x14ac:dyDescent="0.25">
      <c r="B43" s="3" t="s">
        <v>8</v>
      </c>
      <c r="C43" s="8">
        <f>SUM(C38:C42)</f>
        <v>375</v>
      </c>
      <c r="D43" s="4">
        <f>SUM(D38:D42)</f>
        <v>14031.84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11">
        <v>0</v>
      </c>
      <c r="D47" s="7">
        <v>0</v>
      </c>
    </row>
    <row r="48" spans="2:4" x14ac:dyDescent="0.25">
      <c r="B48" s="9" t="s">
        <v>5</v>
      </c>
      <c r="C48">
        <v>4</v>
      </c>
      <c r="D48" s="25">
        <v>3469.31</v>
      </c>
    </row>
    <row r="49" spans="2:4" x14ac:dyDescent="0.25">
      <c r="B49" s="9" t="s">
        <v>6</v>
      </c>
      <c r="C49">
        <v>4</v>
      </c>
      <c r="D49" s="25">
        <v>300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167</v>
      </c>
      <c r="D51" s="25">
        <v>1988</v>
      </c>
    </row>
    <row r="52" spans="2:4" x14ac:dyDescent="0.25">
      <c r="B52" s="10" t="s">
        <v>8</v>
      </c>
      <c r="C52" s="8">
        <f>SUM(C47:C51)</f>
        <v>175</v>
      </c>
      <c r="D52" s="4">
        <f>SUM(D47:D51)</f>
        <v>5757.3099999999995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5</v>
      </c>
      <c r="D58" s="26">
        <v>0</v>
      </c>
    </row>
    <row r="59" spans="2:4" x14ac:dyDescent="0.25">
      <c r="B59" s="1" t="s">
        <v>7</v>
      </c>
      <c r="C59">
        <v>64</v>
      </c>
      <c r="D59" s="25">
        <v>557</v>
      </c>
    </row>
    <row r="60" spans="2:4" x14ac:dyDescent="0.25">
      <c r="B60" s="3" t="s">
        <v>8</v>
      </c>
      <c r="C60" s="8">
        <f>SUM(C56:C59)</f>
        <v>72</v>
      </c>
      <c r="D60" s="4">
        <f>SUM(D56:D59)</f>
        <v>557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100184</v>
      </c>
      <c r="D70" s="13">
        <f>SUMIF(B:B, "Total general", D:D)</f>
        <v>646514.07000000007</v>
      </c>
    </row>
  </sheetData>
  <mergeCells count="9">
    <mergeCell ref="B62:D62"/>
    <mergeCell ref="B54:D54"/>
    <mergeCell ref="B29:D29"/>
    <mergeCell ref="B1:D1"/>
    <mergeCell ref="B3:D3"/>
    <mergeCell ref="B12:D12"/>
    <mergeCell ref="B20:D20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2478</v>
      </c>
      <c r="D3" s="14">
        <f>SUMIF('CDC-OLGUIN'!B:B, "Extrajudicial - 0 a 28 semanas de atraso", 'CDC-OLGUIN'!D:D)</f>
        <v>87293.56</v>
      </c>
    </row>
    <row r="4" spans="2:6" x14ac:dyDescent="0.25">
      <c r="B4" s="1" t="s">
        <v>5</v>
      </c>
      <c r="C4" s="6">
        <f>SUMIF('CDC-OLGUIN'!B:B, "Extrajudicial - 29 a 39 semanas de atraso", 'CDC-OLGUIN'!C:C)</f>
        <v>18917</v>
      </c>
      <c r="D4" s="14">
        <f>SUMIF('CDC-OLGUIN'!B:B, "Extrajudicial - 29 a 39 semanas de atraso", 'CDC-OLGUIN'!D:D)</f>
        <v>344003.72</v>
      </c>
    </row>
    <row r="5" spans="2:6" x14ac:dyDescent="0.25">
      <c r="B5" s="1" t="s">
        <v>6</v>
      </c>
      <c r="C5" s="6">
        <f>SUMIF('CDC-OLGUIN'!B:B, "Extrajudicial - 40 a 55 semanas de atraso", 'CDC-OLGUIN'!C:C)</f>
        <v>11468</v>
      </c>
      <c r="D5" s="14">
        <f>SUMIF('CDC-OLGUIN'!B:B, "Extrajudicial - 40 a 55 semanas de atraso", 'CDC-OLGUIN'!D:D)</f>
        <v>122664.13999999998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64581</v>
      </c>
      <c r="D7" s="6">
        <f>SUMIF('CDC-OLGUIN'!B:B, "Mas 55 semanas de atraso", 'CDC-OLGUIN'!D:D)</f>
        <v>92552.65</v>
      </c>
      <c r="E7" s="14"/>
      <c r="F7" s="7"/>
    </row>
    <row r="8" spans="2:6" x14ac:dyDescent="0.25">
      <c r="B8" s="3" t="s">
        <v>8</v>
      </c>
      <c r="C8" s="8">
        <f>SUM(C3:C7)</f>
        <v>100184</v>
      </c>
      <c r="D8" s="4">
        <f>SUM(D3:D7)</f>
        <v>646514.06999999995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2643</v>
      </c>
      <c r="E6" s="16">
        <f>SUMIF('REPORTE DIARIO'!B:B,'EPR 26 JUN'!C6, 'REPORTE DIARIO'!D:D)</f>
        <v>94827.89</v>
      </c>
      <c r="F6" s="16">
        <f>J6*D6</f>
        <v>166131.42857142855</v>
      </c>
      <c r="G6" s="16">
        <f>+E6-F6</f>
        <v>-71303.538571428551</v>
      </c>
      <c r="H6" s="15">
        <f>ABS(G6/F6)</f>
        <v>0.42919957520723689</v>
      </c>
      <c r="I6" s="16">
        <f>E6/D6</f>
        <v>35.878883844116537</v>
      </c>
      <c r="J6" s="16">
        <f>(220/7)*2</f>
        <v>62.857142857142854</v>
      </c>
      <c r="K6" s="16">
        <f>+I6-J6</f>
        <v>-26.978259013026317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21625</v>
      </c>
      <c r="E7" s="16">
        <f>SUMIF('REPORTE DIARIO'!B:B,'EPR 26 JUN'!C7, 'REPORTE DIARIO'!D:D)</f>
        <v>2042075.75</v>
      </c>
      <c r="F7" s="16">
        <f>J7*D7</f>
        <v>679642.85714285716</v>
      </c>
      <c r="G7" s="16">
        <f>+E7-F7</f>
        <v>1362432.8928571427</v>
      </c>
      <c r="H7" s="15">
        <f>ABS(G7/F7)</f>
        <v>2.0046306358381503</v>
      </c>
      <c r="I7" s="16">
        <f>E7/D7</f>
        <v>94.431248554913296</v>
      </c>
      <c r="J7" s="16">
        <f>(110/7)*2</f>
        <v>31.428571428571427</v>
      </c>
      <c r="K7" s="16">
        <f t="shared" ref="K7:K9" si="0">+I7-J7</f>
        <v>63.002677126341865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16670</v>
      </c>
      <c r="E8" s="16">
        <f>SUMIF('REPORTE DIARIO'!B:B,'EPR 26 JUN'!C8, 'REPORTE DIARIO'!D:D)</f>
        <v>605547.94999999995</v>
      </c>
      <c r="F8" s="16">
        <f>J8*D8</f>
        <v>214328.57142857145</v>
      </c>
      <c r="G8" s="16">
        <f>+E8-F8</f>
        <v>391219.37857142847</v>
      </c>
      <c r="H8" s="15">
        <f>ABS(G8/F8)</f>
        <v>1.8253253682596808</v>
      </c>
      <c r="I8" s="16">
        <f>E8/D8</f>
        <v>36.325611877624475</v>
      </c>
      <c r="J8" s="16">
        <f>(45/7)*2</f>
        <v>12.857142857142858</v>
      </c>
      <c r="K8" s="16">
        <f t="shared" si="0"/>
        <v>23.468469020481617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69860</v>
      </c>
      <c r="E9" s="16">
        <f>SUMIF('REPORTE DIARIO'!B:B,'EPR 26 JUN'!C9, 'REPORTE DIARIO'!D:D)</f>
        <v>1161686.3299999998</v>
      </c>
      <c r="F9" s="16">
        <f>J9*D9</f>
        <v>299400</v>
      </c>
      <c r="G9" s="16">
        <f>+E9-F9</f>
        <v>862286.32999999984</v>
      </c>
      <c r="H9" s="15">
        <f>ABS(G9/F9)</f>
        <v>2.8800478623914492</v>
      </c>
      <c r="I9" s="16">
        <f>E9/D9</f>
        <v>16.62877655310621</v>
      </c>
      <c r="J9" s="16">
        <f>(15/7)*2</f>
        <v>4.2857142857142856</v>
      </c>
      <c r="K9" s="16">
        <f t="shared" si="0"/>
        <v>12.343062267391925</v>
      </c>
    </row>
    <row r="10" spans="2:12" x14ac:dyDescent="0.25">
      <c r="B10" s="16"/>
      <c r="C10" s="19" t="s">
        <v>17</v>
      </c>
      <c r="D10" s="24">
        <f>SUM(D6:D9)</f>
        <v>110798</v>
      </c>
      <c r="E10" s="20">
        <f>SUM(E6:E9)</f>
        <v>3904137.92</v>
      </c>
      <c r="F10" s="20">
        <f>SUM(F6:F9)</f>
        <v>1359502.857142857</v>
      </c>
      <c r="G10" s="20">
        <f>+E10-F10</f>
        <v>2544635.0628571426</v>
      </c>
      <c r="H10" s="21">
        <f>ABS(G10/F10)</f>
        <v>1.871739400537171</v>
      </c>
      <c r="I10" s="20">
        <f>E10/D10</f>
        <v>35.236537843643383</v>
      </c>
      <c r="J10" s="20">
        <f>F10/D10</f>
        <v>12.270102864156907</v>
      </c>
      <c r="K10" s="20">
        <f>I10-J10</f>
        <v>22.966434979486475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2025-08-29T15:04:33Z</cp:lastPrinted>
  <dcterms:created xsi:type="dcterms:W3CDTF">2025-01-27T15:11:28Z</dcterms:created>
  <dcterms:modified xsi:type="dcterms:W3CDTF">2025-09-01T04:46:14Z</dcterms:modified>
</cp:coreProperties>
</file>