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5\31 AGO\TARDE1\"/>
    </mc:Choice>
  </mc:AlternateContent>
  <xr:revisionPtr revIDLastSave="0" documentId="13_ncr:1_{362C66A5-3A0B-445B-9E94-141307EDC680}" xr6:coauthVersionLast="47" xr6:coauthVersionMax="47" xr10:uidLastSave="{00000000-0000-0000-0000-000000000000}"/>
  <bookViews>
    <workbookView xWindow="-108" yWindow="-108" windowWidth="23256" windowHeight="12456" activeTab="2" xr2:uid="{C7FC872E-EF30-4CB6-8905-B096F35AA43B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3" l="1"/>
  <c r="D10" i="2"/>
  <c r="D7" i="1"/>
</calcChain>
</file>

<file path=xl/sharedStrings.xml><?xml version="1.0" encoding="utf-8"?>
<sst xmlns="http://schemas.openxmlformats.org/spreadsheetml/2006/main" count="132" uniqueCount="27">
  <si>
    <t>Etiquetas de fila</t>
  </si>
  <si>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</si>
  <si>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</si>
  <si>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</si>
  <si>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</si>
  <si>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</si>
  <si>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</si>
  <si>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</si>
  <si>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</si>
  <si>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</si>
  <si>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</si>
  <si>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</si>
  <si>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OLGUIN</t>
  </si>
  <si>
    <t>SOFIA</t>
  </si>
  <si>
    <t>TOTAL COBRADO</t>
  </si>
  <si>
    <t>Producto</t>
  </si>
  <si>
    <t>CONSUMO</t>
  </si>
  <si>
    <t>CREDIMAX</t>
  </si>
  <si>
    <t>ITALIKA</t>
  </si>
  <si>
    <t>OTROS</t>
  </si>
  <si>
    <t>REESTRUCTURA</t>
  </si>
  <si>
    <t>TOR</t>
  </si>
  <si>
    <t>MAZ</t>
  </si>
  <si>
    <t>TOTAL COBRAADO</t>
  </si>
  <si>
    <t>CDC 100</t>
  </si>
  <si>
    <t>ETIQUETA PROYECTO CDC</t>
  </si>
  <si>
    <t>Segmento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</si>
</sst>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09C6C-E96F-4C8B-BB8D-7FF6D5E3B90C}">
  <dimension ref="B2:D48"/>
  <sheetViews>
    <sheetView topLeftCell="A39" workbookViewId="0">
      <selection activeCell="B2" sqref="B2:C48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15</v>
      </c>
      <c r="C3" s="1" t="s">
        <v>1</v>
      </c>
    </row>
    <row r="4" spans="2:4" x14ac:dyDescent="0.3">
      <c r="B4" s="2" t="s">
        <v>2</v>
      </c>
      <c r="C4" s="3">
        <v>94609.709999999992</v>
      </c>
    </row>
    <row r="5" spans="2:4" x14ac:dyDescent="0.3">
      <c r="B5" s="2" t="s">
        <v>3</v>
      </c>
      <c r="C5" s="3">
        <v>15927</v>
      </c>
    </row>
    <row r="6" spans="2:4" ht="15" thickBot="1" x14ac:dyDescent="0.35">
      <c r="B6" s="2" t="s">
        <v>4</v>
      </c>
      <c r="C6" s="3">
        <v>32935.090000000004</v>
      </c>
      <c r="D6" s="1" t="s">
        <v>14</v>
      </c>
    </row>
    <row r="7" spans="2:4" ht="15" thickTop="1" x14ac:dyDescent="0.3">
      <c r="B7" s="4" t="s">
        <v>5</v>
      </c>
      <c r="C7" s="5">
        <v>143471.79999999999</v>
      </c>
      <c r="D7" s="5">
        <f>SUMIF(B:B, "Total general", C:C)</f>
        <v>239297.69999999998</v>
      </c>
    </row>
    <row r="9" spans="2:4" x14ac:dyDescent="0.3">
      <c r="B9" s="6" t="s">
        <v>8</v>
      </c>
      <c r="C9" s="6"/>
    </row>
    <row r="10" spans="2:4" x14ac:dyDescent="0.3">
      <c r="B10" s="1" t="s">
        <v>15</v>
      </c>
      <c r="C10" s="1" t="s">
        <v>1</v>
      </c>
    </row>
    <row r="11" spans="2:4" x14ac:dyDescent="0.3">
      <c r="B11" s="2" t="s">
        <v>2</v>
      </c>
      <c r="C11" s="3">
        <v>18590</v>
      </c>
    </row>
    <row r="12" spans="2:4" x14ac:dyDescent="0.3">
      <c r="B12" s="2" t="s">
        <v>3</v>
      </c>
      <c r="C12" s="3">
        <v>1060</v>
      </c>
    </row>
    <row r="13" spans="2:4" ht="15" thickBot="1" x14ac:dyDescent="0.35">
      <c r="B13" s="2" t="s">
        <v>4</v>
      </c>
      <c r="C13" s="3">
        <v>19423.12</v>
      </c>
    </row>
    <row r="14" spans="2:4" ht="15" thickTop="1" x14ac:dyDescent="0.3">
      <c r="B14" s="4" t="s">
        <v>5</v>
      </c>
      <c r="C14" s="5">
        <v>39073.119999999995</v>
      </c>
    </row>
    <row r="16" spans="2:4" x14ac:dyDescent="0.3">
      <c r="B16" s="6" t="s">
        <v>13</v>
      </c>
      <c r="C16" s="6"/>
    </row>
    <row r="17" spans="2:3" x14ac:dyDescent="0.3">
      <c r="B17" s="1" t="s">
        <v>15</v>
      </c>
      <c r="C17" s="1" t="s">
        <v>1</v>
      </c>
    </row>
    <row r="18" spans="2:3" x14ac:dyDescent="0.3">
      <c r="B18" s="2" t="s">
        <v>2</v>
      </c>
      <c r="C18" s="3">
        <v>18875</v>
      </c>
    </row>
    <row r="19" spans="2:3" x14ac:dyDescent="0.3">
      <c r="B19" s="2" t="s">
        <v>3</v>
      </c>
      <c r="C19" s="3">
        <v>3875</v>
      </c>
    </row>
    <row r="20" spans="2:3" ht="15" thickBot="1" x14ac:dyDescent="0.35">
      <c r="B20" s="2" t="s">
        <v>4</v>
      </c>
      <c r="C20" s="3">
        <v>1911</v>
      </c>
    </row>
    <row r="21" spans="2:3" ht="15" thickTop="1" x14ac:dyDescent="0.3">
      <c r="B21" s="4" t="s">
        <v>5</v>
      </c>
      <c r="C21" s="5">
        <v>24661</v>
      </c>
    </row>
    <row r="23" spans="2:3" x14ac:dyDescent="0.3">
      <c r="B23" s="6" t="s">
        <v>7</v>
      </c>
      <c r="C23" s="6"/>
    </row>
    <row r="24" spans="2:3" x14ac:dyDescent="0.3">
      <c r="B24" s="1" t="s">
        <v>15</v>
      </c>
      <c r="C24" s="1" t="s">
        <v>1</v>
      </c>
    </row>
    <row r="25" spans="2:3" x14ac:dyDescent="0.3">
      <c r="B25" s="2" t="s">
        <v>2</v>
      </c>
      <c r="C25" s="3">
        <v>3878</v>
      </c>
    </row>
    <row r="26" spans="2:3" x14ac:dyDescent="0.3">
      <c r="B26" s="2" t="s">
        <v>3</v>
      </c>
      <c r="C26" s="3">
        <v>2625</v>
      </c>
    </row>
    <row r="27" spans="2:3" ht="15" thickBot="1" x14ac:dyDescent="0.35">
      <c r="B27" s="2" t="s">
        <v>4</v>
      </c>
      <c r="C27" s="3">
        <v>4858</v>
      </c>
    </row>
    <row r="28" spans="2:3" ht="15" thickTop="1" x14ac:dyDescent="0.3">
      <c r="B28" s="4" t="s">
        <v>5</v>
      </c>
      <c r="C28" s="5">
        <v>11361</v>
      </c>
    </row>
    <row r="30" spans="2:3" x14ac:dyDescent="0.3">
      <c r="B30" s="6" t="s">
        <v>10</v>
      </c>
      <c r="C30" s="6"/>
    </row>
    <row r="31" spans="2:3" x14ac:dyDescent="0.3">
      <c r="B31" s="1" t="s">
        <v>15</v>
      </c>
      <c r="C31" s="1" t="s">
        <v>1</v>
      </c>
    </row>
    <row r="32" spans="2:3" x14ac:dyDescent="0.3">
      <c r="B32" s="2" t="s">
        <v>11</v>
      </c>
      <c r="C32" s="3">
        <v>6955</v>
      </c>
    </row>
    <row r="33" spans="2:3" x14ac:dyDescent="0.3">
      <c r="B33" s="2" t="s">
        <v>2</v>
      </c>
      <c r="C33" s="3">
        <v>2792.46</v>
      </c>
    </row>
    <row r="34" spans="2:3" ht="15" thickBot="1" x14ac:dyDescent="0.35">
      <c r="B34" s="2" t="s">
        <v>3</v>
      </c>
      <c r="C34" s="3">
        <v>200</v>
      </c>
    </row>
    <row r="35" spans="2:3" ht="15" thickTop="1" x14ac:dyDescent="0.3">
      <c r="B35" s="4" t="s">
        <v>5</v>
      </c>
      <c r="C35" s="5">
        <v>9947.4599999999991</v>
      </c>
    </row>
    <row r="37" spans="2:3" x14ac:dyDescent="0.3">
      <c r="B37" s="6" t="s">
        <v>9</v>
      </c>
      <c r="C37" s="6"/>
    </row>
    <row r="38" spans="2:3" x14ac:dyDescent="0.3">
      <c r="B38" s="1" t="s">
        <v>15</v>
      </c>
      <c r="C38" s="1" t="s">
        <v>1</v>
      </c>
    </row>
    <row r="39" spans="2:3" x14ac:dyDescent="0.3">
      <c r="B39" s="2" t="s">
        <v>2</v>
      </c>
      <c r="C39" s="3">
        <v>5383</v>
      </c>
    </row>
    <row r="40" spans="2:3" ht="15" thickBot="1" x14ac:dyDescent="0.35">
      <c r="B40" s="2" t="s">
        <v>4</v>
      </c>
      <c r="C40" s="3">
        <v>587</v>
      </c>
    </row>
    <row r="41" spans="2:3" ht="15" thickTop="1" x14ac:dyDescent="0.3">
      <c r="B41" s="4" t="s">
        <v>5</v>
      </c>
      <c r="C41" s="5">
        <v>5970</v>
      </c>
    </row>
    <row r="43" spans="2:3" x14ac:dyDescent="0.3">
      <c r="B43" s="6" t="s">
        <v>12</v>
      </c>
      <c r="C43" s="6"/>
    </row>
    <row r="44" spans="2:3" x14ac:dyDescent="0.3">
      <c r="B44" s="1" t="s">
        <v>15</v>
      </c>
      <c r="C44" s="1" t="s">
        <v>1</v>
      </c>
    </row>
    <row r="45" spans="2:3" x14ac:dyDescent="0.3">
      <c r="B45" s="2" t="s">
        <v>11</v>
      </c>
      <c r="C45" s="3">
        <v>1336</v>
      </c>
    </row>
    <row r="46" spans="2:3" x14ac:dyDescent="0.3">
      <c r="B46" s="2" t="s">
        <v>2</v>
      </c>
      <c r="C46" s="3">
        <v>3158.48</v>
      </c>
    </row>
    <row r="47" spans="2:3" ht="15" thickBot="1" x14ac:dyDescent="0.35">
      <c r="B47" s="2" t="s">
        <v>3</v>
      </c>
      <c r="C47" s="3">
        <v>318.84000000000003</v>
      </c>
    </row>
    <row r="48" spans="2:3" ht="15" thickTop="1" x14ac:dyDescent="0.3">
      <c r="B48" s="4" t="s">
        <v>5</v>
      </c>
      <c r="C48" s="5">
        <v>4813.32</v>
      </c>
    </row>
  </sheetData>
  <mergeCells count="7">
    <mergeCell ref="B16:C16"/>
    <mergeCell ref="B2:C2"/>
    <mergeCell ref="B23:C23"/>
    <mergeCell ref="B9:C9"/>
    <mergeCell ref="B37:C37"/>
    <mergeCell ref="B30:C30"/>
    <mergeCell ref="B43:C43"/>
  </mergeCells>
  <pageMargins left="0.7" right="0.7" top="0.75" bottom="0.75" header="0.3" footer="0.3"/>
  <pageSetup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453E9-D908-436C-B9A9-94F775BFACAE}">
  <dimension ref="B2:D49"/>
  <sheetViews>
    <sheetView topLeftCell="A36" workbookViewId="0">
      <selection activeCell="B2" sqref="B2:D49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6.33203125" bestFit="1" customWidth="1"/>
  </cols>
  <sheetData>
    <row r="2" spans="2:4" x14ac:dyDescent="0.3">
      <c r="B2" s="6" t="s">
        <v>6</v>
      </c>
      <c r="C2" s="6"/>
    </row>
    <row r="3" spans="2:4" x14ac:dyDescent="0.3">
      <c r="B3" s="1" t="s">
        <v>0</v>
      </c>
      <c r="C3" s="1" t="s">
        <v>1</v>
      </c>
    </row>
    <row r="4" spans="2:4" x14ac:dyDescent="0.3">
      <c r="B4" s="2" t="s">
        <v>16</v>
      </c>
      <c r="C4" s="3">
        <v>2742</v>
      </c>
    </row>
    <row r="5" spans="2:4" x14ac:dyDescent="0.3">
      <c r="B5" s="2" t="s">
        <v>17</v>
      </c>
      <c r="C5" s="3">
        <v>2611</v>
      </c>
    </row>
    <row r="6" spans="2:4" x14ac:dyDescent="0.3">
      <c r="B6" s="2" t="s">
        <v>18</v>
      </c>
      <c r="C6" s="3">
        <v>380</v>
      </c>
    </row>
    <row r="7" spans="2:4" x14ac:dyDescent="0.3">
      <c r="B7" s="2" t="s">
        <v>19</v>
      </c>
      <c r="C7" s="3">
        <v>64443.74</v>
      </c>
    </row>
    <row r="8" spans="2:4" x14ac:dyDescent="0.3">
      <c r="B8" s="2" t="s">
        <v>20</v>
      </c>
      <c r="C8" s="3">
        <v>4500</v>
      </c>
    </row>
    <row r="9" spans="2:4" ht="15" thickBot="1" x14ac:dyDescent="0.35">
      <c r="B9" s="2" t="s">
        <v>21</v>
      </c>
      <c r="C9" s="3">
        <v>68795.06</v>
      </c>
      <c r="D9" s="1" t="s">
        <v>23</v>
      </c>
    </row>
    <row r="10" spans="2:4" ht="15" thickTop="1" x14ac:dyDescent="0.3">
      <c r="B10" s="4" t="s">
        <v>5</v>
      </c>
      <c r="C10" s="5">
        <v>143471.79999999999</v>
      </c>
      <c r="D10" s="5">
        <f>SUMIF(B:B, "Total general", C:C)</f>
        <v>239297.69999999998</v>
      </c>
    </row>
    <row r="12" spans="2:4" x14ac:dyDescent="0.3">
      <c r="B12" s="6" t="s">
        <v>8</v>
      </c>
      <c r="C12" s="6"/>
    </row>
    <row r="13" spans="2:4" x14ac:dyDescent="0.3">
      <c r="B13" s="1" t="s">
        <v>0</v>
      </c>
      <c r="C13" s="1" t="s">
        <v>1</v>
      </c>
    </row>
    <row r="14" spans="2:4" ht="15" thickBot="1" x14ac:dyDescent="0.35">
      <c r="B14" s="2" t="s">
        <v>21</v>
      </c>
      <c r="C14" s="3">
        <v>39073.119999999995</v>
      </c>
    </row>
    <row r="15" spans="2:4" ht="15" thickTop="1" x14ac:dyDescent="0.3">
      <c r="B15" s="4" t="s">
        <v>5</v>
      </c>
      <c r="C15" s="5">
        <v>39073.119999999995</v>
      </c>
    </row>
    <row r="17" spans="2:3" x14ac:dyDescent="0.3">
      <c r="B17" s="6" t="s">
        <v>13</v>
      </c>
      <c r="C17" s="6"/>
    </row>
    <row r="18" spans="2:3" x14ac:dyDescent="0.3">
      <c r="B18" s="1" t="s">
        <v>0</v>
      </c>
      <c r="C18" s="1" t="s">
        <v>1</v>
      </c>
    </row>
    <row r="19" spans="2:3" ht="15" thickBot="1" x14ac:dyDescent="0.35">
      <c r="B19" s="2" t="s">
        <v>21</v>
      </c>
      <c r="C19" s="3">
        <v>24661</v>
      </c>
    </row>
    <row r="20" spans="2:3" ht="15" thickTop="1" x14ac:dyDescent="0.3">
      <c r="B20" s="4" t="s">
        <v>5</v>
      </c>
      <c r="C20" s="5">
        <v>24661</v>
      </c>
    </row>
    <row r="22" spans="2:3" x14ac:dyDescent="0.3">
      <c r="B22" s="6" t="s">
        <v>7</v>
      </c>
      <c r="C22" s="6"/>
    </row>
    <row r="23" spans="2:3" x14ac:dyDescent="0.3">
      <c r="B23" s="1" t="s">
        <v>0</v>
      </c>
      <c r="C23" s="1" t="s">
        <v>1</v>
      </c>
    </row>
    <row r="24" spans="2:3" x14ac:dyDescent="0.3">
      <c r="B24" s="2" t="s">
        <v>16</v>
      </c>
      <c r="C24" s="3">
        <v>325</v>
      </c>
    </row>
    <row r="25" spans="2:3" x14ac:dyDescent="0.3">
      <c r="B25" s="2" t="s">
        <v>17</v>
      </c>
      <c r="C25" s="3">
        <v>5266</v>
      </c>
    </row>
    <row r="26" spans="2:3" x14ac:dyDescent="0.3">
      <c r="B26" s="2" t="s">
        <v>22</v>
      </c>
      <c r="C26" s="3">
        <v>484</v>
      </c>
    </row>
    <row r="27" spans="2:3" ht="15" thickBot="1" x14ac:dyDescent="0.35">
      <c r="B27" s="2" t="s">
        <v>21</v>
      </c>
      <c r="C27" s="3">
        <v>5286</v>
      </c>
    </row>
    <row r="28" spans="2:3" ht="15" thickTop="1" x14ac:dyDescent="0.3">
      <c r="B28" s="4" t="s">
        <v>5</v>
      </c>
      <c r="C28" s="5">
        <v>11361</v>
      </c>
    </row>
    <row r="30" spans="2:3" x14ac:dyDescent="0.3">
      <c r="B30" s="6" t="s">
        <v>10</v>
      </c>
      <c r="C30" s="6"/>
    </row>
    <row r="31" spans="2:3" x14ac:dyDescent="0.3">
      <c r="B31" s="1" t="s">
        <v>0</v>
      </c>
      <c r="C31" s="1" t="s">
        <v>1</v>
      </c>
    </row>
    <row r="32" spans="2:3" x14ac:dyDescent="0.3">
      <c r="B32" s="2" t="s">
        <v>16</v>
      </c>
      <c r="C32" s="3">
        <v>1136</v>
      </c>
    </row>
    <row r="33" spans="2:3" x14ac:dyDescent="0.3">
      <c r="B33" s="2" t="s">
        <v>17</v>
      </c>
      <c r="C33" s="3">
        <v>6813</v>
      </c>
    </row>
    <row r="34" spans="2:3" x14ac:dyDescent="0.3">
      <c r="B34" s="2" t="s">
        <v>20</v>
      </c>
      <c r="C34" s="3">
        <v>200</v>
      </c>
    </row>
    <row r="35" spans="2:3" ht="15" thickBot="1" x14ac:dyDescent="0.35">
      <c r="B35" s="2" t="s">
        <v>21</v>
      </c>
      <c r="C35" s="3">
        <v>1798.46</v>
      </c>
    </row>
    <row r="36" spans="2:3" ht="15" thickTop="1" x14ac:dyDescent="0.3">
      <c r="B36" s="4" t="s">
        <v>5</v>
      </c>
      <c r="C36" s="5">
        <v>9947.4599999999991</v>
      </c>
    </row>
    <row r="38" spans="2:3" x14ac:dyDescent="0.3">
      <c r="B38" s="6" t="s">
        <v>9</v>
      </c>
      <c r="C38" s="6"/>
    </row>
    <row r="39" spans="2:3" x14ac:dyDescent="0.3">
      <c r="B39" s="1" t="s">
        <v>0</v>
      </c>
      <c r="C39" s="1" t="s">
        <v>1</v>
      </c>
    </row>
    <row r="40" spans="2:3" x14ac:dyDescent="0.3">
      <c r="B40" s="2" t="s">
        <v>20</v>
      </c>
      <c r="C40" s="3">
        <v>1139</v>
      </c>
    </row>
    <row r="41" spans="2:3" ht="15" thickBot="1" x14ac:dyDescent="0.35">
      <c r="B41" s="2" t="s">
        <v>21</v>
      </c>
      <c r="C41" s="3">
        <v>4831</v>
      </c>
    </row>
    <row r="42" spans="2:3" ht="15" thickTop="1" x14ac:dyDescent="0.3">
      <c r="B42" s="4" t="s">
        <v>5</v>
      </c>
      <c r="C42" s="5">
        <v>5970</v>
      </c>
    </row>
    <row r="44" spans="2:3" x14ac:dyDescent="0.3">
      <c r="B44" s="6" t="s">
        <v>12</v>
      </c>
      <c r="C44" s="6"/>
    </row>
    <row r="45" spans="2:3" x14ac:dyDescent="0.3">
      <c r="B45" s="1" t="s">
        <v>0</v>
      </c>
      <c r="C45" s="1" t="s">
        <v>1</v>
      </c>
    </row>
    <row r="46" spans="2:3" x14ac:dyDescent="0.3">
      <c r="B46" s="2" t="s">
        <v>16</v>
      </c>
      <c r="C46" s="3">
        <v>1991</v>
      </c>
    </row>
    <row r="47" spans="2:3" x14ac:dyDescent="0.3">
      <c r="B47" s="2" t="s">
        <v>17</v>
      </c>
      <c r="C47" s="3">
        <v>536</v>
      </c>
    </row>
    <row r="48" spans="2:3" ht="15" thickBot="1" x14ac:dyDescent="0.35">
      <c r="B48" s="2" t="s">
        <v>21</v>
      </c>
      <c r="C48" s="3">
        <v>2286.3200000000002</v>
      </c>
    </row>
    <row r="49" spans="2:3" ht="15" thickTop="1" x14ac:dyDescent="0.3">
      <c r="B49" s="4" t="s">
        <v>5</v>
      </c>
      <c r="C49" s="5">
        <v>4813.32</v>
      </c>
    </row>
  </sheetData>
  <mergeCells count="7">
    <mergeCell ref="B44:C44"/>
    <mergeCell ref="B2:C2"/>
    <mergeCell ref="B12:C12"/>
    <mergeCell ref="B17:C17"/>
    <mergeCell ref="B22:C22"/>
    <mergeCell ref="B30:C30"/>
    <mergeCell ref="B38:C38"/>
  </mergeCells>
  <pageMargins left="0.7" right="0.7" top="0.75" bottom="0.75" header="0.3" footer="0.3"/>
  <pageSetup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485E-AFCD-43D9-AC16-2C216255C92D}">
  <dimension ref="B2:D32"/>
  <sheetViews>
    <sheetView tabSelected="1" topLeftCell="A32" workbookViewId="0">
      <selection activeCell="B2" sqref="B2:D3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">
        <v>25</v>
      </c>
      <c r="C2" s="6"/>
    </row>
    <row r="3" spans="2:4" x14ac:dyDescent="0.3">
      <c r="B3" s="6" t="s">
        <v>24</v>
      </c>
      <c r="C3" s="6"/>
    </row>
    <row r="4" spans="2:4" x14ac:dyDescent="0.3">
      <c r="B4" s="1" t="s">
        <v>26</v>
      </c>
      <c r="C4" s="1" t="s">
        <v>1</v>
      </c>
    </row>
    <row r="5" spans="2:4" x14ac:dyDescent="0.3">
      <c r="B5" s="2" t="s">
        <v>2</v>
      </c>
      <c r="C5" s="3">
        <v>14065</v>
      </c>
    </row>
    <row r="6" spans="2:4" x14ac:dyDescent="0.3">
      <c r="B6" s="2" t="s">
        <v>3</v>
      </c>
      <c r="C6" s="3">
        <v>3619.04</v>
      </c>
    </row>
    <row r="7" spans="2:4" ht="15" thickBot="1" x14ac:dyDescent="0.35">
      <c r="B7" s="2" t="s">
        <v>4</v>
      </c>
      <c r="C7" s="3">
        <v>20</v>
      </c>
      <c r="D7" s="1" t="s">
        <v>14</v>
      </c>
    </row>
    <row r="8" spans="2:4" ht="15" thickTop="1" x14ac:dyDescent="0.3">
      <c r="B8" s="4" t="s">
        <v>5</v>
      </c>
      <c r="C8" s="5">
        <v>17704.04</v>
      </c>
      <c r="D8" s="5">
        <f>SUMIF(B:B, "Total general", C:C)</f>
        <v>33997.82</v>
      </c>
    </row>
    <row r="10" spans="2:4" x14ac:dyDescent="0.3">
      <c r="B10" s="6" t="s">
        <v>10</v>
      </c>
      <c r="C10" s="6"/>
    </row>
    <row r="11" spans="2:4" x14ac:dyDescent="0.3">
      <c r="B11" s="1" t="s">
        <v>26</v>
      </c>
      <c r="C11" s="1" t="s">
        <v>1</v>
      </c>
    </row>
    <row r="12" spans="2:4" x14ac:dyDescent="0.3">
      <c r="B12" s="2" t="s">
        <v>11</v>
      </c>
      <c r="C12" s="3">
        <v>6955</v>
      </c>
    </row>
    <row r="13" spans="2:4" x14ac:dyDescent="0.3">
      <c r="B13" s="2" t="s">
        <v>2</v>
      </c>
      <c r="C13" s="3">
        <v>1048.46</v>
      </c>
    </row>
    <row r="14" spans="2:4" ht="15" thickBot="1" x14ac:dyDescent="0.35">
      <c r="B14" s="2" t="s">
        <v>3</v>
      </c>
      <c r="C14" s="3">
        <v>200</v>
      </c>
    </row>
    <row r="15" spans="2:4" ht="15" thickTop="1" x14ac:dyDescent="0.3">
      <c r="B15" s="4" t="s">
        <v>5</v>
      </c>
      <c r="C15" s="5">
        <v>8203.4599999999991</v>
      </c>
    </row>
    <row r="17" spans="2:3" x14ac:dyDescent="0.3">
      <c r="B17" s="6" t="s">
        <v>12</v>
      </c>
      <c r="C17" s="6"/>
    </row>
    <row r="18" spans="2:3" x14ac:dyDescent="0.3">
      <c r="B18" s="1" t="s">
        <v>26</v>
      </c>
      <c r="C18" s="1" t="s">
        <v>1</v>
      </c>
    </row>
    <row r="19" spans="2:3" x14ac:dyDescent="0.3">
      <c r="B19" s="2" t="s">
        <v>11</v>
      </c>
      <c r="C19" s="3">
        <v>1336</v>
      </c>
    </row>
    <row r="20" spans="2:3" x14ac:dyDescent="0.3">
      <c r="B20" s="2" t="s">
        <v>2</v>
      </c>
      <c r="C20" s="3">
        <v>3158.48</v>
      </c>
    </row>
    <row r="21" spans="2:3" ht="15" thickBot="1" x14ac:dyDescent="0.35">
      <c r="B21" s="2" t="s">
        <v>3</v>
      </c>
      <c r="C21" s="3">
        <v>318.84000000000003</v>
      </c>
    </row>
    <row r="22" spans="2:3" ht="15" thickTop="1" x14ac:dyDescent="0.3">
      <c r="B22" s="4" t="s">
        <v>5</v>
      </c>
      <c r="C22" s="5">
        <v>4813.32</v>
      </c>
    </row>
    <row r="24" spans="2:3" x14ac:dyDescent="0.3">
      <c r="B24" s="6" t="s">
        <v>8</v>
      </c>
      <c r="C24" s="6"/>
    </row>
    <row r="25" spans="2:3" x14ac:dyDescent="0.3">
      <c r="B25" s="1" t="s">
        <v>26</v>
      </c>
      <c r="C25" s="1" t="s">
        <v>1</v>
      </c>
    </row>
    <row r="26" spans="2:3" ht="15" thickBot="1" x14ac:dyDescent="0.35">
      <c r="B26" s="2" t="s">
        <v>2</v>
      </c>
      <c r="C26" s="3">
        <v>1650</v>
      </c>
    </row>
    <row r="27" spans="2:3" ht="15" thickTop="1" x14ac:dyDescent="0.3">
      <c r="B27" s="4" t="s">
        <v>5</v>
      </c>
      <c r="C27" s="5">
        <v>1650</v>
      </c>
    </row>
    <row r="29" spans="2:3" x14ac:dyDescent="0.3">
      <c r="B29" s="6" t="s">
        <v>6</v>
      </c>
      <c r="C29" s="6"/>
    </row>
    <row r="30" spans="2:3" x14ac:dyDescent="0.3">
      <c r="B30" s="1" t="s">
        <v>26</v>
      </c>
      <c r="C30" s="1" t="s">
        <v>1</v>
      </c>
    </row>
    <row r="31" spans="2:3" ht="15" thickBot="1" x14ac:dyDescent="0.35">
      <c r="B31" s="2" t="s">
        <v>3</v>
      </c>
      <c r="C31" s="3">
        <v>1627</v>
      </c>
    </row>
    <row r="32" spans="2:3" ht="15" thickTop="1" x14ac:dyDescent="0.3">
      <c r="B32" s="4" t="s">
        <v>5</v>
      </c>
      <c r="C32" s="5">
        <v>1627</v>
      </c>
    </row>
  </sheetData>
  <mergeCells count="6">
    <mergeCell ref="B3:C3"/>
    <mergeCell ref="B2:C2"/>
    <mergeCell ref="B24:C24"/>
    <mergeCell ref="B10:C10"/>
    <mergeCell ref="B17:C17"/>
    <mergeCell ref="B29:C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cp:lastPrinted>2025-08-31T20:18:52Z</cp:lastPrinted>
  <dcterms:created xsi:type="dcterms:W3CDTF">2025-08-31T20:01:54Z</dcterms:created>
  <dcterms:modified xsi:type="dcterms:W3CDTF">2025-08-31T20:18:54Z</dcterms:modified>
</cp:coreProperties>
</file>