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9 AGO\NOCHE\"/>
    </mc:Choice>
  </mc:AlternateContent>
  <xr:revisionPtr revIDLastSave="0" documentId="13_ncr:1_{F6EB1C95-26CC-4065-80F7-8D562106B692}" xr6:coauthVersionLast="47" xr6:coauthVersionMax="47" xr10:uidLastSave="{00000000-0000-0000-0000-000000000000}"/>
  <bookViews>
    <workbookView xWindow="17085" yWindow="379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<sst xmlns="http://schemas.openxmlformats.org/spreadsheetml/2006/main" count="187" uniqueCount="40">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</sst>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52" zoomScaleNormal="100" workbookViewId="0">
      <selection activeCell="C59" sqref="C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38</v>
      </c>
      <c r="D5" s="25">
        <v>76</v>
      </c>
    </row>
    <row r="6" spans="2:8" x14ac:dyDescent="0.25">
      <c r="B6" s="1" t="s">
        <v>5</v>
      </c>
      <c r="C6" s="6">
        <v>8797</v>
      </c>
      <c r="D6" s="25">
        <v>558907.39000000013</v>
      </c>
    </row>
    <row r="7" spans="2:8" x14ac:dyDescent="0.25">
      <c r="B7" s="1" t="s">
        <v>6</v>
      </c>
      <c r="C7" s="6">
        <v>7515</v>
      </c>
      <c r="D7" s="25">
        <v>216420.58000000002</v>
      </c>
    </row>
    <row r="8" spans="2:8" x14ac:dyDescent="0.25">
      <c r="B8" s="5" t="s">
        <v>12</v>
      </c>
      <c r="C8" s="7">
        <v>1232</v>
      </c>
      <c r="D8" s="25">
        <v>6500</v>
      </c>
    </row>
    <row r="9" spans="2:8" x14ac:dyDescent="0.25">
      <c r="B9" s="1" t="s">
        <v>7</v>
      </c>
      <c r="C9" s="6">
        <v>33818</v>
      </c>
      <c r="D9" s="25">
        <v>507396.91000000009</v>
      </c>
      <c r="E9" s="14"/>
      <c r="F9" s="7"/>
    </row>
    <row r="10" spans="2:8" x14ac:dyDescent="0.25">
      <c r="B10" s="3" t="s">
        <v>8</v>
      </c>
      <c r="C10" s="8">
        <f>SUM(C5:C9)</f>
        <v>51400</v>
      </c>
      <c r="D10" s="4">
        <f>SUM(D5:D9)</f>
        <v>1289300.8800000004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0</v>
      </c>
      <c r="D14" s="25">
        <v>5820.33</v>
      </c>
    </row>
    <row r="15" spans="2:8" x14ac:dyDescent="0.25">
      <c r="B15" s="9" t="s">
        <v>5</v>
      </c>
      <c r="C15" s="6">
        <v>2308</v>
      </c>
      <c r="D15" s="25">
        <v>304182.1700000001</v>
      </c>
    </row>
    <row r="16" spans="2:8" x14ac:dyDescent="0.25">
      <c r="B16" s="9" t="s">
        <v>6</v>
      </c>
      <c r="C16" s="6">
        <v>3247</v>
      </c>
      <c r="D16" s="25">
        <v>45551.71</v>
      </c>
    </row>
    <row r="17" spans="2:4" x14ac:dyDescent="0.25">
      <c r="B17" s="5" t="s">
        <v>12</v>
      </c>
      <c r="C17" s="7">
        <v>0</v>
      </c>
      <c r="D17" s="25">
        <v>39</v>
      </c>
    </row>
    <row r="18" spans="2:4" x14ac:dyDescent="0.25">
      <c r="B18" s="9" t="s">
        <v>7</v>
      </c>
      <c r="C18" s="6">
        <v>18155</v>
      </c>
      <c r="D18" s="25">
        <v>134988.33999999997</v>
      </c>
    </row>
    <row r="19" spans="2:4" x14ac:dyDescent="0.25">
      <c r="B19" s="10" t="s">
        <v>8</v>
      </c>
      <c r="C19" s="8">
        <f>SUM(C14:C18)</f>
        <v>23710</v>
      </c>
      <c r="D19" s="4">
        <f>SUM(D14:D18)</f>
        <v>490581.5500000001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2308</v>
      </c>
      <c r="D24" s="25">
        <v>111025.2</v>
      </c>
    </row>
    <row r="25" spans="2:4" x14ac:dyDescent="0.25">
      <c r="B25" s="1" t="s">
        <v>6</v>
      </c>
      <c r="C25" s="6">
        <v>3247</v>
      </c>
      <c r="D25" s="25">
        <v>35070.909999999996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18155</v>
      </c>
      <c r="D27" s="25">
        <v>75766.579999999987</v>
      </c>
    </row>
    <row r="28" spans="2:4" x14ac:dyDescent="0.25">
      <c r="B28" s="3" t="s">
        <v>8</v>
      </c>
      <c r="C28" s="8">
        <f>SUM(C23:C27)</f>
        <v>23710</v>
      </c>
      <c r="D28" s="4">
        <f>SUM(D23:D27)</f>
        <v>221862.68999999997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39</v>
      </c>
      <c r="D32" s="26">
        <v>0</v>
      </c>
    </row>
    <row r="33" spans="2:4" x14ac:dyDescent="0.25">
      <c r="B33" s="9" t="s">
        <v>5</v>
      </c>
      <c r="C33" s="6">
        <v>1506</v>
      </c>
      <c r="D33" s="25">
        <v>102317.74</v>
      </c>
    </row>
    <row r="34" spans="2:4" x14ac:dyDescent="0.25">
      <c r="B34" s="9" t="s">
        <v>6</v>
      </c>
      <c r="C34" s="6">
        <v>1630</v>
      </c>
      <c r="D34" s="25">
        <v>22797.119999999999</v>
      </c>
    </row>
    <row r="35" spans="2:4" x14ac:dyDescent="0.25">
      <c r="B35" s="9" t="s">
        <v>7</v>
      </c>
      <c r="C35" s="6">
        <v>2894</v>
      </c>
      <c r="D35" s="25">
        <v>18569.189999999999</v>
      </c>
    </row>
    <row r="36" spans="2:4" x14ac:dyDescent="0.25">
      <c r="B36" s="10" t="s">
        <v>8</v>
      </c>
      <c r="C36" s="8">
        <f>SUM(C32:C35)</f>
        <v>6069</v>
      </c>
      <c r="D36" s="4">
        <f>SUM(D32:D35)</f>
        <v>143684.04999999999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1206</v>
      </c>
      <c r="D40" s="25">
        <v>34824.46</v>
      </c>
    </row>
    <row r="41" spans="2:4" x14ac:dyDescent="0.25">
      <c r="B41" s="1" t="s">
        <v>5</v>
      </c>
      <c r="C41" s="6">
        <v>3437</v>
      </c>
      <c r="D41" s="25">
        <v>66339.960000000021</v>
      </c>
    </row>
    <row r="42" spans="2:4" x14ac:dyDescent="0.25">
      <c r="B42" s="1" t="s">
        <v>6</v>
      </c>
      <c r="C42" s="6">
        <v>1961</v>
      </c>
      <c r="D42" s="25">
        <v>14065.04</v>
      </c>
    </row>
    <row r="43" spans="2:4" x14ac:dyDescent="0.25">
      <c r="B43" s="1" t="s">
        <v>7</v>
      </c>
      <c r="C43" s="6">
        <v>369</v>
      </c>
      <c r="D43" s="25">
        <v>3404</v>
      </c>
    </row>
    <row r="44" spans="2:4" x14ac:dyDescent="0.25">
      <c r="B44" s="3" t="s">
        <v>8</v>
      </c>
      <c r="C44" s="8">
        <f>SUM(C40:C43)</f>
        <v>6973</v>
      </c>
      <c r="D44" s="4">
        <f>SUM(D40:D43)</f>
        <v>118633.46000000002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1191</v>
      </c>
      <c r="D48" s="25">
        <v>17530</v>
      </c>
    </row>
    <row r="49" spans="2:4" x14ac:dyDescent="0.25">
      <c r="B49" s="1" t="s">
        <v>5</v>
      </c>
      <c r="C49" s="6">
        <v>2350</v>
      </c>
      <c r="D49" s="25">
        <v>24863.68</v>
      </c>
    </row>
    <row r="50" spans="2:4" x14ac:dyDescent="0.25">
      <c r="B50" s="1" t="s">
        <v>6</v>
      </c>
      <c r="C50" s="6">
        <v>953</v>
      </c>
      <c r="D50" s="25">
        <v>2450</v>
      </c>
    </row>
    <row r="51" spans="2:4" x14ac:dyDescent="0.25">
      <c r="B51" s="10" t="s">
        <v>8</v>
      </c>
      <c r="C51" s="8">
        <f>SUM(C48:C50)</f>
        <v>4494</v>
      </c>
      <c r="D51" s="4">
        <f>SUM(D48:D50)</f>
        <v>44843.68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27873.100000000002</v>
      </c>
    </row>
    <row r="57" spans="2:4" x14ac:dyDescent="0.25">
      <c r="B57" s="1" t="s">
        <v>6</v>
      </c>
      <c r="C57" s="6">
        <v>405</v>
      </c>
      <c r="D57" s="25">
        <v>3175</v>
      </c>
    </row>
    <row r="58" spans="2:4" x14ac:dyDescent="0.25">
      <c r="B58" s="1" t="s">
        <v>7</v>
      </c>
      <c r="C58" s="6">
        <v>1241</v>
      </c>
      <c r="D58" s="25">
        <v>10778</v>
      </c>
    </row>
    <row r="59" spans="2:4" x14ac:dyDescent="0.25">
      <c r="B59" s="3" t="s">
        <v>8</v>
      </c>
      <c r="C59" s="8">
        <f>SUM(C55:C58)</f>
        <v>2210</v>
      </c>
      <c r="D59" s="4">
        <f>SUM(D55:D58)</f>
        <v>41826.100000000006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118566</v>
      </c>
      <c r="D67" s="13">
        <f>SUMIF(B:B, "Total general", D:D)</f>
        <v>2350732.4100000006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46" zoomScaleNormal="100" workbookViewId="0">
      <selection activeCell="D58" sqref="D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14754</v>
      </c>
      <c r="D6" s="25">
        <v>133498.81</v>
      </c>
    </row>
    <row r="7" spans="2:8" x14ac:dyDescent="0.25">
      <c r="B7" s="1" t="s">
        <v>6</v>
      </c>
      <c r="C7" s="27">
        <v>9107</v>
      </c>
      <c r="D7" s="25">
        <v>47415.299999999996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62668</v>
      </c>
      <c r="D9" s="25">
        <v>14906.65</v>
      </c>
      <c r="E9" s="14"/>
      <c r="F9" s="7"/>
    </row>
    <row r="10" spans="2:8" x14ac:dyDescent="0.25">
      <c r="B10" s="3" t="s">
        <v>8</v>
      </c>
      <c r="C10" s="8">
        <f>SUM(C5:C9)</f>
        <v>89274</v>
      </c>
      <c r="D10" s="4">
        <f>SUM(D5:D9)</f>
        <v>195820.75999999998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1140</v>
      </c>
      <c r="D14" s="25">
        <v>34824.46</v>
      </c>
    </row>
    <row r="15" spans="2:8" x14ac:dyDescent="0.25">
      <c r="B15" s="1" t="s">
        <v>5</v>
      </c>
      <c r="C15">
        <v>2228</v>
      </c>
      <c r="D15" s="25">
        <v>65879.960000000021</v>
      </c>
    </row>
    <row r="16" spans="2:8" x14ac:dyDescent="0.25">
      <c r="B16" s="1" t="s">
        <v>6</v>
      </c>
      <c r="C16">
        <v>1917</v>
      </c>
      <c r="D16" s="25">
        <v>14065.04</v>
      </c>
    </row>
    <row r="17" spans="2:4" x14ac:dyDescent="0.25">
      <c r="B17" s="1" t="s">
        <v>7</v>
      </c>
      <c r="C17">
        <v>367</v>
      </c>
      <c r="D17" s="25">
        <v>3404</v>
      </c>
    </row>
    <row r="18" spans="2:4" x14ac:dyDescent="0.25">
      <c r="B18" s="3" t="s">
        <v>8</v>
      </c>
      <c r="C18" s="8">
        <f>SUM(C14:C17)</f>
        <v>5652</v>
      </c>
      <c r="D18" s="4">
        <f>SUM(D14:D17)</f>
        <v>118173.46000000002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1126</v>
      </c>
      <c r="D22" s="25">
        <v>17530</v>
      </c>
    </row>
    <row r="23" spans="2:4" x14ac:dyDescent="0.25">
      <c r="B23" s="1" t="s">
        <v>5</v>
      </c>
      <c r="C23">
        <v>745</v>
      </c>
      <c r="D23" s="25">
        <v>8439.68</v>
      </c>
    </row>
    <row r="24" spans="2:4" x14ac:dyDescent="0.25">
      <c r="B24" s="1" t="s">
        <v>6</v>
      </c>
      <c r="C24">
        <v>910</v>
      </c>
      <c r="D24" s="25">
        <v>2450</v>
      </c>
    </row>
    <row r="25" spans="2:4" x14ac:dyDescent="0.25">
      <c r="B25" s="10" t="s">
        <v>8</v>
      </c>
      <c r="C25" s="8">
        <f>SUM(C22:C24)</f>
        <v>2781</v>
      </c>
      <c r="D25" s="4">
        <f>SUM(D22:D24)</f>
        <v>28419.68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6">
        <v>0</v>
      </c>
    </row>
    <row r="30" spans="2:4" x14ac:dyDescent="0.25">
      <c r="B30" s="1" t="s">
        <v>5</v>
      </c>
      <c r="C30">
        <v>17</v>
      </c>
      <c r="D30" s="25">
        <v>8259.93</v>
      </c>
    </row>
    <row r="31" spans="2:4" x14ac:dyDescent="0.25">
      <c r="B31" s="1" t="s">
        <v>6</v>
      </c>
      <c r="C31">
        <v>76</v>
      </c>
      <c r="D31" s="25">
        <v>1050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303</v>
      </c>
      <c r="D33" s="25">
        <v>9232</v>
      </c>
    </row>
    <row r="34" spans="2:4" x14ac:dyDescent="0.25">
      <c r="B34" s="3" t="s">
        <v>8</v>
      </c>
      <c r="C34" s="8">
        <f>SUM(C29:C33)</f>
        <v>397</v>
      </c>
      <c r="D34" s="4">
        <f>SUM(D29:D33)</f>
        <v>18541.93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5">
        <v>2259</v>
      </c>
    </row>
    <row r="40" spans="2:4" x14ac:dyDescent="0.25">
      <c r="B40" s="1" t="s">
        <v>6</v>
      </c>
      <c r="C40">
        <v>43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988</v>
      </c>
    </row>
    <row r="43" spans="2:4" x14ac:dyDescent="0.25">
      <c r="B43" s="3" t="s">
        <v>8</v>
      </c>
      <c r="C43" s="8">
        <f>SUM(C38:C42)</f>
        <v>380</v>
      </c>
      <c r="D43" s="4">
        <f>SUM(D38:D42)</f>
        <v>3356.84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25">
        <v>826</v>
      </c>
    </row>
    <row r="49" spans="2:4" x14ac:dyDescent="0.25">
      <c r="B49" s="9" t="s">
        <v>6</v>
      </c>
      <c r="C49">
        <v>4</v>
      </c>
      <c r="D49" s="25">
        <v>300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7">
        <v>0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1126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7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98796</v>
      </c>
      <c r="D70" s="13">
        <f>SUMIF(B:B, "Total general", D:D)</f>
        <v>365438.67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2272</v>
      </c>
      <c r="D3" s="14">
        <f>SUMIF('CDC-OLGUIN'!B:B, "Extrajudicial - 0 a 28 semanas de atraso", 'CDC-OLGUIN'!D:D)</f>
        <v>52354.46</v>
      </c>
    </row>
    <row r="4" spans="2:6" x14ac:dyDescent="0.25">
      <c r="B4" s="1" t="s">
        <v>5</v>
      </c>
      <c r="C4" s="6">
        <f>SUMIF('CDC-OLGUIN'!B:B, "Extrajudicial - 29 a 39 semanas de atraso", 'CDC-OLGUIN'!C:C)</f>
        <v>17755</v>
      </c>
      <c r="D4" s="14">
        <f>SUMIF('CDC-OLGUIN'!B:B, "Extrajudicial - 29 a 39 semanas de atraso", 'CDC-OLGUIN'!D:D)</f>
        <v>219163.38</v>
      </c>
    </row>
    <row r="5" spans="2:6" x14ac:dyDescent="0.25">
      <c r="B5" s="1" t="s">
        <v>6</v>
      </c>
      <c r="C5" s="6">
        <f>SUMIF('CDC-OLGUIN'!B:B, "Extrajudicial - 40 a 55 semanas de atraso", 'CDC-OLGUIN'!C:C)</f>
        <v>12066</v>
      </c>
      <c r="D5" s="14">
        <f>SUMIF('CDC-OLGUIN'!B:B, "Extrajudicial - 40 a 55 semanas de atraso", 'CDC-OLGUIN'!D:D)</f>
        <v>65390.179999999993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63963</v>
      </c>
      <c r="D7" s="6">
        <f>SUMIF('CDC-OLGUIN'!B:B, "Mas 55 semanas de atraso", 'CDC-OLGUIN'!D:D)</f>
        <v>28530.65</v>
      </c>
      <c r="E7" s="14"/>
      <c r="F7" s="7"/>
    </row>
    <row r="8" spans="2:6" x14ac:dyDescent="0.25">
      <c r="B8" s="3" t="s">
        <v>8</v>
      </c>
      <c r="C8" s="8">
        <f>SUM(C3:C7)</f>
        <v>98796</v>
      </c>
      <c r="D8" s="4">
        <f>SUM(D3:D7)</f>
        <v>365438.67000000004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2474</v>
      </c>
      <c r="E6" s="16">
        <f>SUMIF('REPORTE DIARIO'!B:B,'EPR 26 JUN'!C6, 'REPORTE DIARIO'!D:D)</f>
        <v>58250.79</v>
      </c>
      <c r="F6" s="16">
        <f>J6*D6</f>
        <v>155508.57142857142</v>
      </c>
      <c r="G6" s="16">
        <f>+E6-F6</f>
        <v>-97257.781428571412</v>
      </c>
      <c r="H6" s="15">
        <f>ABS(G6/F6)</f>
        <v>0.62541749650914968</v>
      </c>
      <c r="I6" s="16">
        <f>E6/D6</f>
        <v>23.545185933710592</v>
      </c>
      <c r="J6" s="16">
        <f>(220/7)*2</f>
        <v>62.857142857142854</v>
      </c>
      <c r="K6" s="16">
        <f>+I6-J6</f>
        <v>-39.311956923432263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21270</v>
      </c>
      <c r="E7" s="16">
        <f>SUMIF('REPORTE DIARIO'!B:B,'EPR 26 JUN'!C7, 'REPORTE DIARIO'!D:D)</f>
        <v>1195509.2400000002</v>
      </c>
      <c r="F7" s="16">
        <f>J7*D7</f>
        <v>668485.7142857142</v>
      </c>
      <c r="G7" s="16">
        <f>+E7-F7</f>
        <v>527023.52571428602</v>
      </c>
      <c r="H7" s="15">
        <f>ABS(G7/F7)</f>
        <v>0.7883841261700224</v>
      </c>
      <c r="I7" s="16">
        <f>E7/D7</f>
        <v>56.206358251057836</v>
      </c>
      <c r="J7" s="16">
        <f>(110/7)*2</f>
        <v>31.428571428571427</v>
      </c>
      <c r="K7" s="16">
        <f t="shared" ref="K7:K9" si="0">+I7-J7</f>
        <v>24.777786822486409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18958</v>
      </c>
      <c r="E8" s="16">
        <f>SUMIF('REPORTE DIARIO'!B:B,'EPR 26 JUN'!C8, 'REPORTE DIARIO'!D:D)</f>
        <v>339530.36</v>
      </c>
      <c r="F8" s="16">
        <f>J8*D8</f>
        <v>243745.71428571429</v>
      </c>
      <c r="G8" s="16">
        <f>+E8-F8</f>
        <v>95784.645714285696</v>
      </c>
      <c r="H8" s="15">
        <f>ABS(G8/F8)</f>
        <v>0.39296955843912268</v>
      </c>
      <c r="I8" s="16">
        <f>E8/D8</f>
        <v>17.909608608503007</v>
      </c>
      <c r="J8" s="16">
        <f>(45/7)*2</f>
        <v>12.857142857142858</v>
      </c>
      <c r="K8" s="16">
        <f t="shared" si="0"/>
        <v>5.052465751360149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74632</v>
      </c>
      <c r="E9" s="16">
        <f>SUMIF('REPORTE DIARIO'!B:B,'EPR 26 JUN'!C9, 'REPORTE DIARIO'!D:D)</f>
        <v>750903.0199999999</v>
      </c>
      <c r="F9" s="16">
        <f>J9*D9</f>
        <v>319851.42857142858</v>
      </c>
      <c r="G9" s="16">
        <f>+E9-F9</f>
        <v>431051.59142857132</v>
      </c>
      <c r="H9" s="15">
        <f>ABS(G9/F9)</f>
        <v>1.3476619233930036</v>
      </c>
      <c r="I9" s="16">
        <f>E9/D9</f>
        <v>10.061408243112872</v>
      </c>
      <c r="J9" s="16">
        <f>(15/7)*2</f>
        <v>4.2857142857142856</v>
      </c>
      <c r="K9" s="16">
        <f t="shared" si="0"/>
        <v>5.7756939573985866</v>
      </c>
    </row>
    <row r="10" spans="2:12" x14ac:dyDescent="0.25">
      <c r="B10" s="16"/>
      <c r="C10" s="19" t="s">
        <v>17</v>
      </c>
      <c r="D10" s="24">
        <f>SUM(D6:D9)</f>
        <v>117334</v>
      </c>
      <c r="E10" s="20">
        <f>SUM(E6:E9)</f>
        <v>2344193.41</v>
      </c>
      <c r="F10" s="20">
        <f>SUM(F6:F9)</f>
        <v>1387591.4285714286</v>
      </c>
      <c r="G10" s="20">
        <f>+E10-F10</f>
        <v>956601.98142857151</v>
      </c>
      <c r="H10" s="21">
        <f>ABS(G10/F10)</f>
        <v>0.6893974420218385</v>
      </c>
      <c r="I10" s="20">
        <f>E10/D10</f>
        <v>19.978807592002319</v>
      </c>
      <c r="J10" s="20">
        <f>F10/D10</f>
        <v>11.825996118528549</v>
      </c>
      <c r="K10" s="20">
        <f>I10-J10</f>
        <v>8.1528114734737702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2025-08-29T15:04:33Z</cp:lastPrinted>
  <dcterms:created xsi:type="dcterms:W3CDTF">2025-01-27T15:11:28Z</dcterms:created>
  <dcterms:modified xsi:type="dcterms:W3CDTF">2025-08-30T01:48:09Z</dcterms:modified>
</cp:coreProperties>
</file>