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5\29 AGO\"/>
    </mc:Choice>
  </mc:AlternateContent>
  <xr:revisionPtr revIDLastSave="0" documentId="13_ncr:1_{DD0340D2-1D74-468E-8E7C-E475B0015874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<sst xmlns="http://schemas.openxmlformats.org/spreadsheetml/2006/main" count="187" uniqueCount="40">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</sst>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28</v>
      </c>
      <c r="D5" s="25">
        <v>76</v>
      </c>
    </row>
    <row r="6" spans="2:8" x14ac:dyDescent="0.3">
      <c r="B6" s="1" t="s">
        <v>5</v>
      </c>
      <c r="C6" s="6">
        <v>8779</v>
      </c>
      <c r="D6" s="25">
        <v>394873.62000000011</v>
      </c>
    </row>
    <row r="7" spans="2:8" x14ac:dyDescent="0.3">
      <c r="B7" s="1" t="s">
        <v>6</v>
      </c>
      <c r="C7" s="6">
        <v>7481</v>
      </c>
      <c r="D7" s="25">
        <v>177615.58000000002</v>
      </c>
    </row>
    <row r="8" spans="2:8" x14ac:dyDescent="0.3">
      <c r="B8" s="5" t="s">
        <v>12</v>
      </c>
      <c r="C8" s="7">
        <v>1232</v>
      </c>
      <c r="D8" s="25">
        <v>1500</v>
      </c>
    </row>
    <row r="9" spans="2:8" x14ac:dyDescent="0.3">
      <c r="B9" s="1" t="s">
        <v>7</v>
      </c>
      <c r="C9" s="6">
        <v>33721</v>
      </c>
      <c r="D9" s="25">
        <v>443268.65000000008</v>
      </c>
      <c r="E9" s="14"/>
      <c r="F9" s="7"/>
    </row>
    <row r="10" spans="2:8" x14ac:dyDescent="0.3">
      <c r="B10" s="3" t="s">
        <v>8</v>
      </c>
      <c r="C10" s="8">
        <f>SUM(C5:C9)</f>
        <v>51241</v>
      </c>
      <c r="D10" s="4">
        <f>SUM(D5:D9)</f>
        <v>1017333.8500000003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9</v>
      </c>
      <c r="D14" s="25">
        <v>5820.33</v>
      </c>
    </row>
    <row r="15" spans="2:8" x14ac:dyDescent="0.3">
      <c r="B15" s="9" t="s">
        <v>5</v>
      </c>
      <c r="C15" s="6">
        <v>2733</v>
      </c>
      <c r="D15" s="25">
        <v>270579.28000000009</v>
      </c>
    </row>
    <row r="16" spans="2:8" x14ac:dyDescent="0.3">
      <c r="B16" s="9" t="s">
        <v>6</v>
      </c>
      <c r="C16" s="6">
        <v>962</v>
      </c>
      <c r="D16" s="25">
        <v>40055.71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12298</v>
      </c>
      <c r="D18" s="25">
        <v>132126.33999999997</v>
      </c>
    </row>
    <row r="19" spans="2:4" x14ac:dyDescent="0.3">
      <c r="B19" s="10" t="s">
        <v>8</v>
      </c>
      <c r="C19" s="8">
        <f>SUM(C14:C18)</f>
        <v>16003</v>
      </c>
      <c r="D19" s="4">
        <f>SUM(D14:D18)</f>
        <v>448620.66000000009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2320</v>
      </c>
      <c r="D24" s="25">
        <v>91353.87</v>
      </c>
    </row>
    <row r="25" spans="2:4" x14ac:dyDescent="0.3">
      <c r="B25" s="1" t="s">
        <v>6</v>
      </c>
      <c r="C25" s="6">
        <v>3318</v>
      </c>
      <c r="D25" s="25">
        <v>28347.81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18167</v>
      </c>
      <c r="D27" s="25">
        <v>36691.579999999994</v>
      </c>
    </row>
    <row r="28" spans="2:4" x14ac:dyDescent="0.3">
      <c r="B28" s="3" t="s">
        <v>8</v>
      </c>
      <c r="C28" s="8">
        <f>SUM(C23:C27)</f>
        <v>23805</v>
      </c>
      <c r="D28" s="4">
        <f>SUM(D23:D27)</f>
        <v>156393.25999999998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27</v>
      </c>
      <c r="D32" s="26">
        <v>0</v>
      </c>
    </row>
    <row r="33" spans="2:4" x14ac:dyDescent="0.3">
      <c r="B33" s="9" t="s">
        <v>5</v>
      </c>
      <c r="C33" s="6">
        <v>1479</v>
      </c>
      <c r="D33" s="25">
        <v>83451.740000000005</v>
      </c>
    </row>
    <row r="34" spans="2:4" x14ac:dyDescent="0.3">
      <c r="B34" s="9" t="s">
        <v>6</v>
      </c>
      <c r="C34" s="6">
        <v>1588</v>
      </c>
      <c r="D34" s="25">
        <v>20406.12</v>
      </c>
    </row>
    <row r="35" spans="2:4" x14ac:dyDescent="0.3">
      <c r="B35" s="9" t="s">
        <v>7</v>
      </c>
      <c r="C35" s="6">
        <v>2791</v>
      </c>
      <c r="D35" s="25">
        <v>17351.18</v>
      </c>
    </row>
    <row r="36" spans="2:4" x14ac:dyDescent="0.3">
      <c r="B36" s="10" t="s">
        <v>8</v>
      </c>
      <c r="C36" s="8">
        <f>SUM(C32:C35)</f>
        <v>5885</v>
      </c>
      <c r="D36" s="4">
        <f>SUM(D32:D35)</f>
        <v>121209.04000000001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1176</v>
      </c>
      <c r="D40" s="25">
        <v>33281.46</v>
      </c>
    </row>
    <row r="41" spans="2:4" x14ac:dyDescent="0.3">
      <c r="B41" s="1" t="s">
        <v>5</v>
      </c>
      <c r="C41" s="6">
        <v>3443</v>
      </c>
      <c r="D41" s="25">
        <v>57074.750000000007</v>
      </c>
    </row>
    <row r="42" spans="2:4" x14ac:dyDescent="0.3">
      <c r="B42" s="1" t="s">
        <v>6</v>
      </c>
      <c r="C42" s="6">
        <v>1921</v>
      </c>
      <c r="D42" s="25">
        <v>13565.04</v>
      </c>
    </row>
    <row r="43" spans="2:4" x14ac:dyDescent="0.3">
      <c r="B43" s="1" t="s">
        <v>7</v>
      </c>
      <c r="C43" s="6">
        <v>369</v>
      </c>
      <c r="D43" s="25">
        <v>3404</v>
      </c>
    </row>
    <row r="44" spans="2:4" x14ac:dyDescent="0.3">
      <c r="B44" s="3" t="s">
        <v>8</v>
      </c>
      <c r="C44" s="8">
        <f>SUM(C40:C43)</f>
        <v>6909</v>
      </c>
      <c r="D44" s="4">
        <f>SUM(D40:D43)</f>
        <v>107325.25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1161</v>
      </c>
      <c r="D48" s="25">
        <v>13122</v>
      </c>
    </row>
    <row r="49" spans="2:4" x14ac:dyDescent="0.3">
      <c r="B49" s="1" t="s">
        <v>5</v>
      </c>
      <c r="C49" s="6">
        <v>2349</v>
      </c>
      <c r="D49" s="25">
        <v>20699.68</v>
      </c>
    </row>
    <row r="50" spans="2:4" x14ac:dyDescent="0.3">
      <c r="B50" s="1" t="s">
        <v>6</v>
      </c>
      <c r="C50" s="6">
        <v>911</v>
      </c>
      <c r="D50" s="25">
        <v>1282</v>
      </c>
    </row>
    <row r="51" spans="2:4" x14ac:dyDescent="0.3">
      <c r="B51" s="10" t="s">
        <v>8</v>
      </c>
      <c r="C51" s="8">
        <f>SUM(C48:C50)</f>
        <v>4421</v>
      </c>
      <c r="D51" s="4">
        <f>SUM(D48:D50)</f>
        <v>35103.68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564</v>
      </c>
      <c r="D56" s="25">
        <v>17496.100000000002</v>
      </c>
    </row>
    <row r="57" spans="2:4" x14ac:dyDescent="0.3">
      <c r="B57" s="1" t="s">
        <v>6</v>
      </c>
      <c r="C57" s="6">
        <v>447</v>
      </c>
      <c r="D57" s="25">
        <v>3175</v>
      </c>
    </row>
    <row r="58" spans="2:4" x14ac:dyDescent="0.3">
      <c r="B58" s="1" t="s">
        <v>7</v>
      </c>
      <c r="C58" s="6">
        <v>1241</v>
      </c>
      <c r="D58" s="25">
        <v>7485</v>
      </c>
    </row>
    <row r="59" spans="2:4" x14ac:dyDescent="0.3">
      <c r="B59" s="3" t="s">
        <v>8</v>
      </c>
      <c r="C59" s="8">
        <f>SUM(C55:C58)</f>
        <v>2252</v>
      </c>
      <c r="D59" s="4">
        <f>SUM(D55:D58)</f>
        <v>28156.100000000002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0</v>
      </c>
      <c r="D64" s="26">
        <v>0</v>
      </c>
    </row>
    <row r="65" spans="2:4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110516</v>
      </c>
      <c r="D67" s="13">
        <f>SUMIF(B:B, "Total general", D:D)</f>
        <v>1914141.8400000005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50" zoomScaleNormal="100" workbookViewId="0">
      <selection activeCell="D68" sqref="D6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6</v>
      </c>
      <c r="D5" s="26">
        <v>0</v>
      </c>
      <c r="E5" s="11"/>
    </row>
    <row r="6" spans="2:8" x14ac:dyDescent="0.3">
      <c r="B6" s="1" t="s">
        <v>5</v>
      </c>
      <c r="C6" s="27">
        <v>14754</v>
      </c>
      <c r="D6" s="25">
        <v>119460.01000000001</v>
      </c>
    </row>
    <row r="7" spans="2:8" x14ac:dyDescent="0.3">
      <c r="B7" s="1" t="s">
        <v>6</v>
      </c>
      <c r="C7" s="27">
        <v>9107</v>
      </c>
      <c r="D7" s="25">
        <v>43237.71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62668</v>
      </c>
      <c r="D9" s="25">
        <v>8554.65</v>
      </c>
      <c r="E9" s="14"/>
      <c r="F9" s="7"/>
    </row>
    <row r="10" spans="2:8" x14ac:dyDescent="0.3">
      <c r="B10" s="3" t="s">
        <v>8</v>
      </c>
      <c r="C10" s="8">
        <f>SUM(C5:C9)</f>
        <v>89274</v>
      </c>
      <c r="D10" s="4">
        <f>SUM(D5:D9)</f>
        <v>171252.37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1140</v>
      </c>
      <c r="D14" s="25">
        <v>33281.46</v>
      </c>
    </row>
    <row r="15" spans="2:8" x14ac:dyDescent="0.3">
      <c r="B15" s="1" t="s">
        <v>5</v>
      </c>
      <c r="C15">
        <v>2228</v>
      </c>
      <c r="D15" s="25">
        <v>56614.750000000007</v>
      </c>
    </row>
    <row r="16" spans="2:8" x14ac:dyDescent="0.3">
      <c r="B16" s="1" t="s">
        <v>6</v>
      </c>
      <c r="C16">
        <v>1917</v>
      </c>
      <c r="D16" s="25">
        <v>13565.04</v>
      </c>
    </row>
    <row r="17" spans="2:4" x14ac:dyDescent="0.3">
      <c r="B17" s="1" t="s">
        <v>7</v>
      </c>
      <c r="C17">
        <v>367</v>
      </c>
      <c r="D17" s="25">
        <v>3404</v>
      </c>
    </row>
    <row r="18" spans="2:4" x14ac:dyDescent="0.3">
      <c r="B18" s="3" t="s">
        <v>8</v>
      </c>
      <c r="C18" s="8">
        <f>SUM(C14:C17)</f>
        <v>5652</v>
      </c>
      <c r="D18" s="4">
        <f>SUM(D14:D17)</f>
        <v>106865.25</v>
      </c>
    </row>
    <row r="20" spans="2:4" x14ac:dyDescent="0.3">
      <c r="B20" s="29" t="s">
        <v>11</v>
      </c>
      <c r="C20" s="29"/>
      <c r="D20" s="29"/>
    </row>
    <row r="21" spans="2:4" x14ac:dyDescent="0.3">
      <c r="B21" s="4" t="s">
        <v>1</v>
      </c>
      <c r="C21" s="4" t="s">
        <v>2</v>
      </c>
      <c r="D21" s="4" t="s">
        <v>3</v>
      </c>
    </row>
    <row r="22" spans="2:4" x14ac:dyDescent="0.3">
      <c r="B22" s="9" t="s">
        <v>4</v>
      </c>
      <c r="C22">
        <v>1126</v>
      </c>
      <c r="D22" s="25">
        <v>13122</v>
      </c>
    </row>
    <row r="23" spans="2:4" x14ac:dyDescent="0.3">
      <c r="B23" s="1" t="s">
        <v>5</v>
      </c>
      <c r="C23">
        <v>745</v>
      </c>
      <c r="D23" s="25">
        <v>7723.68</v>
      </c>
    </row>
    <row r="24" spans="2:4" x14ac:dyDescent="0.3">
      <c r="B24" s="1" t="s">
        <v>6</v>
      </c>
      <c r="C24">
        <v>910</v>
      </c>
      <c r="D24" s="25">
        <v>1282</v>
      </c>
    </row>
    <row r="25" spans="2:4" x14ac:dyDescent="0.3">
      <c r="B25" s="10" t="s">
        <v>8</v>
      </c>
      <c r="C25" s="8">
        <f>SUM(C22:C24)</f>
        <v>2781</v>
      </c>
      <c r="D25" s="4">
        <f>SUM(D22:D24)</f>
        <v>22127.68</v>
      </c>
    </row>
    <row r="27" spans="2:4" x14ac:dyDescent="0.3">
      <c r="B27" s="28" t="s">
        <v>0</v>
      </c>
      <c r="C27" s="28"/>
      <c r="D27" s="28"/>
    </row>
    <row r="28" spans="2:4" x14ac:dyDescent="0.3">
      <c r="B28" s="2" t="s">
        <v>1</v>
      </c>
      <c r="C28" s="2" t="s">
        <v>2</v>
      </c>
      <c r="D28" s="2" t="s">
        <v>3</v>
      </c>
    </row>
    <row r="29" spans="2:4" x14ac:dyDescent="0.3">
      <c r="B29" s="1" t="s">
        <v>4</v>
      </c>
      <c r="C29" s="27">
        <v>0</v>
      </c>
      <c r="D29" s="26">
        <v>0</v>
      </c>
    </row>
    <row r="30" spans="2:4" x14ac:dyDescent="0.3">
      <c r="B30" s="1" t="s">
        <v>5</v>
      </c>
      <c r="C30">
        <v>17</v>
      </c>
      <c r="D30" s="25">
        <v>6738.93</v>
      </c>
    </row>
    <row r="31" spans="2:4" x14ac:dyDescent="0.3">
      <c r="B31" s="1" t="s">
        <v>6</v>
      </c>
      <c r="C31">
        <v>76</v>
      </c>
      <c r="D31" s="25">
        <v>1050</v>
      </c>
    </row>
    <row r="32" spans="2:4" x14ac:dyDescent="0.3">
      <c r="B32" s="5" t="s">
        <v>12</v>
      </c>
      <c r="C32">
        <v>1</v>
      </c>
      <c r="D32" s="26">
        <v>0</v>
      </c>
    </row>
    <row r="33" spans="2:4" x14ac:dyDescent="0.3">
      <c r="B33" s="1" t="s">
        <v>7</v>
      </c>
      <c r="C33">
        <v>303</v>
      </c>
      <c r="D33" s="25">
        <v>7332</v>
      </c>
    </row>
    <row r="34" spans="2:4" x14ac:dyDescent="0.3">
      <c r="B34" s="3" t="s">
        <v>8</v>
      </c>
      <c r="C34" s="8">
        <f>SUM(C29:C33)</f>
        <v>397</v>
      </c>
      <c r="D34" s="4">
        <f>SUM(D29:D33)</f>
        <v>15120.93</v>
      </c>
    </row>
    <row r="36" spans="2:4" x14ac:dyDescent="0.3">
      <c r="B36" s="28" t="s">
        <v>36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1" t="s">
        <v>4</v>
      </c>
      <c r="C38" s="11">
        <v>0</v>
      </c>
      <c r="D38" s="26">
        <v>0</v>
      </c>
    </row>
    <row r="39" spans="2:4" x14ac:dyDescent="0.3">
      <c r="B39" s="1" t="s">
        <v>5</v>
      </c>
      <c r="C39">
        <v>4</v>
      </c>
      <c r="D39" s="25">
        <v>2259</v>
      </c>
    </row>
    <row r="40" spans="2:4" x14ac:dyDescent="0.3">
      <c r="B40" s="1" t="s">
        <v>6</v>
      </c>
      <c r="C40">
        <v>43</v>
      </c>
      <c r="D40" s="25">
        <v>109.84</v>
      </c>
    </row>
    <row r="41" spans="2:4" x14ac:dyDescent="0.3">
      <c r="B41" s="5" t="s">
        <v>12</v>
      </c>
      <c r="C41" s="11">
        <v>0</v>
      </c>
      <c r="D41" s="26">
        <v>0</v>
      </c>
    </row>
    <row r="42" spans="2:4" x14ac:dyDescent="0.3">
      <c r="B42" s="1" t="s">
        <v>7</v>
      </c>
      <c r="C42">
        <v>333</v>
      </c>
      <c r="D42" s="25">
        <v>988</v>
      </c>
    </row>
    <row r="43" spans="2:4" x14ac:dyDescent="0.3">
      <c r="B43" s="3" t="s">
        <v>8</v>
      </c>
      <c r="C43" s="8">
        <f>SUM(C38:C42)</f>
        <v>380</v>
      </c>
      <c r="D43" s="4">
        <f>SUM(D38:D42)</f>
        <v>3356.84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4</v>
      </c>
      <c r="D48" s="25">
        <v>826</v>
      </c>
    </row>
    <row r="49" spans="2:4" x14ac:dyDescent="0.3">
      <c r="B49" s="9" t="s">
        <v>6</v>
      </c>
      <c r="C49">
        <v>4</v>
      </c>
      <c r="D49" s="25">
        <v>300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167</v>
      </c>
      <c r="D51" s="7">
        <v>0</v>
      </c>
    </row>
    <row r="52" spans="2:4" x14ac:dyDescent="0.3">
      <c r="B52" s="10" t="s">
        <v>8</v>
      </c>
      <c r="C52" s="8">
        <f>SUM(C47:C51)</f>
        <v>175</v>
      </c>
      <c r="D52" s="4">
        <f>SUM(D47:D51)</f>
        <v>1126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7</v>
      </c>
      <c r="D58" s="26">
        <v>0</v>
      </c>
    </row>
    <row r="59" spans="2:4" x14ac:dyDescent="0.3">
      <c r="B59" s="1" t="s">
        <v>7</v>
      </c>
      <c r="C59">
        <v>64</v>
      </c>
      <c r="D59" s="26">
        <v>0</v>
      </c>
    </row>
    <row r="60" spans="2:4" x14ac:dyDescent="0.3">
      <c r="B60" s="3" t="s">
        <v>8</v>
      </c>
      <c r="C60" s="8">
        <f>SUM(C56:C59)</f>
        <v>74</v>
      </c>
      <c r="D60" s="4">
        <f>SUM(D56:D59)</f>
        <v>0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98796</v>
      </c>
      <c r="D70" s="13">
        <f>SUMIF(B:B, "Total general", D:D)</f>
        <v>319849.07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2272</v>
      </c>
      <c r="D3" s="14">
        <f>SUMIF('CDC-OLGUIN'!B:B, "Extrajudicial - 0 a 28 semanas de atraso", 'CDC-OLGUIN'!D:D)</f>
        <v>46403.46</v>
      </c>
    </row>
    <row r="4" spans="2:6" x14ac:dyDescent="0.3">
      <c r="B4" s="1" t="s">
        <v>5</v>
      </c>
      <c r="C4" s="6">
        <f>SUMIF('CDC-OLGUIN'!B:B, "Extrajudicial - 29 a 39 semanas de atraso", 'CDC-OLGUIN'!C:C)</f>
        <v>17755</v>
      </c>
      <c r="D4" s="14">
        <f>SUMIF('CDC-OLGUIN'!B:B, "Extrajudicial - 29 a 39 semanas de atraso", 'CDC-OLGUIN'!D:D)</f>
        <v>193622.37</v>
      </c>
    </row>
    <row r="5" spans="2:6" x14ac:dyDescent="0.3">
      <c r="B5" s="1" t="s">
        <v>6</v>
      </c>
      <c r="C5" s="6">
        <f>SUMIF('CDC-OLGUIN'!B:B, "Extrajudicial - 40 a 55 semanas de atraso", 'CDC-OLGUIN'!C:C)</f>
        <v>12066</v>
      </c>
      <c r="D5" s="14">
        <f>SUMIF('CDC-OLGUIN'!B:B, "Extrajudicial - 40 a 55 semanas de atraso", 'CDC-OLGUIN'!D:D)</f>
        <v>59544.59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63963</v>
      </c>
      <c r="D7" s="6">
        <f>SUMIF('CDC-OLGUIN'!B:B, "Mas 55 semanas de atraso", 'CDC-OLGUIN'!D:D)</f>
        <v>20278.650000000001</v>
      </c>
      <c r="E7" s="14"/>
      <c r="F7" s="7"/>
    </row>
    <row r="8" spans="2:6" x14ac:dyDescent="0.3">
      <c r="B8" s="3" t="s">
        <v>8</v>
      </c>
      <c r="C8" s="8">
        <f>SUM(C3:C7)</f>
        <v>98796</v>
      </c>
      <c r="D8" s="4">
        <f>SUM(D3:D7)</f>
        <v>319849.07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2401</v>
      </c>
      <c r="E6" s="16">
        <f>SUMIF('REPORTE DIARIO'!B:B,'EPR 26 JUN'!C6, 'REPORTE DIARIO'!D:D)</f>
        <v>52299.79</v>
      </c>
      <c r="F6" s="16">
        <f>J6*D6</f>
        <v>150920</v>
      </c>
      <c r="G6" s="16">
        <f>+E6-F6</f>
        <v>-98620.209999999992</v>
      </c>
      <c r="H6" s="15">
        <f>ABS(G6/F6)</f>
        <v>0.6534601775775245</v>
      </c>
      <c r="I6" s="16">
        <f>E6/D6</f>
        <v>21.782503123698458</v>
      </c>
      <c r="J6" s="16">
        <f>(220/7)*2</f>
        <v>62.857142857142854</v>
      </c>
      <c r="K6" s="16">
        <f>+I6-J6</f>
        <v>-41.0746397334444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21667</v>
      </c>
      <c r="E7" s="16">
        <f>SUMIF('REPORTE DIARIO'!B:B,'EPR 26 JUN'!C7, 'REPORTE DIARIO'!D:D)</f>
        <v>935529.04000000015</v>
      </c>
      <c r="F7" s="16">
        <f>J7*D7</f>
        <v>680962.85714285716</v>
      </c>
      <c r="G7" s="16">
        <f>+E7-F7</f>
        <v>254566.18285714299</v>
      </c>
      <c r="H7" s="15">
        <f>ABS(G7/F7)</f>
        <v>0.37383269907735706</v>
      </c>
      <c r="I7" s="16">
        <f>E7/D7</f>
        <v>43.177599113859792</v>
      </c>
      <c r="J7" s="16">
        <f>(110/7)*2</f>
        <v>31.428571428571427</v>
      </c>
      <c r="K7" s="16">
        <f t="shared" ref="K7:K9" si="0">+I7-J7</f>
        <v>11.749027685288365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16628</v>
      </c>
      <c r="E8" s="16">
        <f>SUMIF('REPORTE DIARIO'!B:B,'EPR 26 JUN'!C8, 'REPORTE DIARIO'!D:D)</f>
        <v>284447.26</v>
      </c>
      <c r="F8" s="16">
        <f>J8*D8</f>
        <v>213788.57142857145</v>
      </c>
      <c r="G8" s="16">
        <f>+E8-F8</f>
        <v>70658.68857142856</v>
      </c>
      <c r="H8" s="15">
        <f>ABS(G8/F8)</f>
        <v>0.33050732365755209</v>
      </c>
      <c r="I8" s="16">
        <f>E8/D8</f>
        <v>17.106522732739958</v>
      </c>
      <c r="J8" s="16">
        <f>(45/7)*2</f>
        <v>12.857142857142858</v>
      </c>
      <c r="K8" s="16">
        <f t="shared" si="0"/>
        <v>4.2493798755971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68587</v>
      </c>
      <c r="E9" s="16">
        <f>SUMIF('REPORTE DIARIO'!B:B,'EPR 26 JUN'!C9, 'REPORTE DIARIO'!D:D)</f>
        <v>640326.75</v>
      </c>
      <c r="F9" s="16">
        <f>J9*D9</f>
        <v>293944.28571428568</v>
      </c>
      <c r="G9" s="16">
        <f>+E9-F9</f>
        <v>346382.46428571432</v>
      </c>
      <c r="H9" s="15">
        <f>ABS(G9/F9)</f>
        <v>1.1783949582282358</v>
      </c>
      <c r="I9" s="16">
        <f>E9/D9</f>
        <v>9.3359783924067248</v>
      </c>
      <c r="J9" s="16">
        <f>(15/7)*2</f>
        <v>4.2857142857142856</v>
      </c>
      <c r="K9" s="16">
        <f t="shared" si="0"/>
        <v>5.0502641066924392</v>
      </c>
    </row>
    <row r="10" spans="2:12" x14ac:dyDescent="0.3">
      <c r="B10" s="16"/>
      <c r="C10" s="19" t="s">
        <v>17</v>
      </c>
      <c r="D10" s="24">
        <f>SUM(D6:D9)</f>
        <v>109283</v>
      </c>
      <c r="E10" s="20">
        <f>SUM(E6:E9)</f>
        <v>1912602.8400000003</v>
      </c>
      <c r="F10" s="20">
        <f>SUM(F6:F9)</f>
        <v>1339615.7142857143</v>
      </c>
      <c r="G10" s="20">
        <f>+E10-F10</f>
        <v>572987.125714286</v>
      </c>
      <c r="H10" s="21">
        <f>ABS(G10/F10)</f>
        <v>0.42772499576104467</v>
      </c>
      <c r="I10" s="20">
        <f>E10/D10</f>
        <v>17.501375694298293</v>
      </c>
      <c r="J10" s="20">
        <f>F10/D10</f>
        <v>12.258226021299876</v>
      </c>
      <c r="K10" s="20">
        <f>I10-J10</f>
        <v>5.2431496729984168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2025-08-29T15:04:33Z</cp:lastPrinted>
  <dcterms:created xsi:type="dcterms:W3CDTF">2025-01-27T15:11:28Z</dcterms:created>
  <dcterms:modified xsi:type="dcterms:W3CDTF">2025-08-29T15:07:46Z</dcterms:modified>
</cp:coreProperties>
</file>