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0 AGO\MAÑANA\"/>
    </mc:Choice>
  </mc:AlternateContent>
  <xr:revisionPtr revIDLastSave="0" documentId="13_ncr:1_{918C166A-0738-4673-AFBE-4F5D669EB299}" xr6:coauthVersionLast="47" xr6:coauthVersionMax="47" xr10:uidLastSave="{00000000-0000-0000-0000-000000000000}"/>
  <bookViews>
    <workbookView xWindow="17085" yWindow="379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<sst xmlns="http://schemas.openxmlformats.org/spreadsheetml/2006/main" count="187" uniqueCount="40">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</sst>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37" zoomScaleNormal="100" workbookViewId="0">
      <selection activeCell="C63" sqref="C6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76</v>
      </c>
    </row>
    <row r="6" spans="2:8" x14ac:dyDescent="0.25">
      <c r="B6" s="1" t="s">
        <v>5</v>
      </c>
      <c r="C6" s="6">
        <v>8827</v>
      </c>
      <c r="D6" s="25">
        <v>616047.63</v>
      </c>
    </row>
    <row r="7" spans="2:8" x14ac:dyDescent="0.25">
      <c r="B7" s="1" t="s">
        <v>6</v>
      </c>
      <c r="C7" s="6">
        <v>7504</v>
      </c>
      <c r="D7" s="25">
        <v>229394.63</v>
      </c>
    </row>
    <row r="8" spans="2:8" x14ac:dyDescent="0.25">
      <c r="B8" s="5" t="s">
        <v>12</v>
      </c>
      <c r="C8" s="7">
        <v>1232</v>
      </c>
      <c r="D8" s="25">
        <v>6500</v>
      </c>
    </row>
    <row r="9" spans="2:8" x14ac:dyDescent="0.25">
      <c r="B9" s="1" t="s">
        <v>7</v>
      </c>
      <c r="C9" s="6">
        <v>33815</v>
      </c>
      <c r="D9" s="25">
        <v>529780.93000000017</v>
      </c>
      <c r="E9" s="14"/>
      <c r="F9" s="7"/>
    </row>
    <row r="10" spans="2:8" x14ac:dyDescent="0.25">
      <c r="B10" s="3" t="s">
        <v>8</v>
      </c>
      <c r="C10" s="8">
        <f>SUM(C5:C9)</f>
        <v>51379</v>
      </c>
      <c r="D10" s="4">
        <f>SUM(D5:D9)</f>
        <v>1381799.1900000002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</v>
      </c>
      <c r="D14" s="25">
        <v>5820.33</v>
      </c>
    </row>
    <row r="15" spans="2:8" x14ac:dyDescent="0.25">
      <c r="B15" s="9" t="s">
        <v>5</v>
      </c>
      <c r="C15" s="6">
        <v>2728</v>
      </c>
      <c r="D15" s="25">
        <v>325507.17000000004</v>
      </c>
    </row>
    <row r="16" spans="2:8" x14ac:dyDescent="0.25">
      <c r="B16" s="9" t="s">
        <v>6</v>
      </c>
      <c r="C16" s="6">
        <v>928</v>
      </c>
      <c r="D16" s="25">
        <v>48945.71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12923</v>
      </c>
      <c r="D18" s="25">
        <v>137469.33999999997</v>
      </c>
    </row>
    <row r="19" spans="2:4" x14ac:dyDescent="0.25">
      <c r="B19" s="10" t="s">
        <v>8</v>
      </c>
      <c r="C19" s="8">
        <f>SUM(C14:C18)</f>
        <v>16585</v>
      </c>
      <c r="D19" s="4">
        <f>SUM(D14:D18)</f>
        <v>517781.55000000005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2303</v>
      </c>
      <c r="D24" s="25">
        <v>120680.20000000001</v>
      </c>
    </row>
    <row r="25" spans="2:4" x14ac:dyDescent="0.25">
      <c r="B25" s="1" t="s">
        <v>6</v>
      </c>
      <c r="C25" s="6">
        <v>3151</v>
      </c>
      <c r="D25" s="25">
        <v>39261.909999999996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18153</v>
      </c>
      <c r="D27" s="25">
        <v>83621.579999999987</v>
      </c>
    </row>
    <row r="28" spans="2:4" x14ac:dyDescent="0.25">
      <c r="B28" s="3" t="s">
        <v>8</v>
      </c>
      <c r="C28" s="8">
        <f>SUM(C23:C27)</f>
        <v>23607</v>
      </c>
      <c r="D28" s="4">
        <f>SUM(D23:D27)</f>
        <v>243563.69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0</v>
      </c>
      <c r="D32" s="26">
        <v>0</v>
      </c>
    </row>
    <row r="33" spans="2:4" x14ac:dyDescent="0.25">
      <c r="B33" s="9" t="s">
        <v>5</v>
      </c>
      <c r="C33" s="6">
        <v>1536</v>
      </c>
      <c r="D33" s="25">
        <v>106503.74</v>
      </c>
    </row>
    <row r="34" spans="2:4" x14ac:dyDescent="0.25">
      <c r="B34" s="9" t="s">
        <v>6</v>
      </c>
      <c r="C34" s="6">
        <v>1630</v>
      </c>
      <c r="D34" s="25">
        <v>25801.119999999999</v>
      </c>
    </row>
    <row r="35" spans="2:4" x14ac:dyDescent="0.25">
      <c r="B35" s="9" t="s">
        <v>7</v>
      </c>
      <c r="C35" s="6">
        <v>2894</v>
      </c>
      <c r="D35" s="25">
        <v>19805.189999999999</v>
      </c>
    </row>
    <row r="36" spans="2:4" x14ac:dyDescent="0.25">
      <c r="B36" s="10" t="s">
        <v>8</v>
      </c>
      <c r="C36" s="8">
        <f>SUM(C32:C35)</f>
        <v>6060</v>
      </c>
      <c r="D36" s="4">
        <f>SUM(D32:D35)</f>
        <v>152110.05000000002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1206</v>
      </c>
      <c r="D40" s="25">
        <v>34824.46</v>
      </c>
    </row>
    <row r="41" spans="2:4" x14ac:dyDescent="0.25">
      <c r="B41" s="1" t="s">
        <v>5</v>
      </c>
      <c r="C41" s="6">
        <v>3429</v>
      </c>
      <c r="D41" s="25">
        <v>69408.94</v>
      </c>
    </row>
    <row r="42" spans="2:4" x14ac:dyDescent="0.25">
      <c r="B42" s="1" t="s">
        <v>6</v>
      </c>
      <c r="C42" s="6">
        <v>1957</v>
      </c>
      <c r="D42" s="25">
        <v>14964.04</v>
      </c>
    </row>
    <row r="43" spans="2:4" x14ac:dyDescent="0.25">
      <c r="B43" s="1" t="s">
        <v>7</v>
      </c>
      <c r="C43" s="6">
        <v>369</v>
      </c>
      <c r="D43" s="25">
        <v>3404</v>
      </c>
    </row>
    <row r="44" spans="2:4" x14ac:dyDescent="0.25">
      <c r="B44" s="3" t="s">
        <v>8</v>
      </c>
      <c r="C44" s="8">
        <f>SUM(C40:C43)</f>
        <v>6961</v>
      </c>
      <c r="D44" s="4">
        <f>SUM(D40:D43)</f>
        <v>122601.44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1191</v>
      </c>
      <c r="D48" s="25">
        <v>18384</v>
      </c>
    </row>
    <row r="49" spans="2:4" x14ac:dyDescent="0.25">
      <c r="B49" s="1" t="s">
        <v>5</v>
      </c>
      <c r="C49" s="6">
        <v>2347</v>
      </c>
      <c r="D49" s="25">
        <v>28807.68</v>
      </c>
    </row>
    <row r="50" spans="2:4" x14ac:dyDescent="0.25">
      <c r="B50" s="1" t="s">
        <v>6</v>
      </c>
      <c r="C50" s="6">
        <v>953</v>
      </c>
      <c r="D50" s="25">
        <v>2450</v>
      </c>
    </row>
    <row r="51" spans="2:4" x14ac:dyDescent="0.25">
      <c r="B51" s="10" t="s">
        <v>8</v>
      </c>
      <c r="C51" s="8">
        <f>SUM(C48:C50)</f>
        <v>4491</v>
      </c>
      <c r="D51" s="4">
        <f>SUM(D48:D50)</f>
        <v>49641.68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27873.100000000002</v>
      </c>
    </row>
    <row r="57" spans="2:4" x14ac:dyDescent="0.25">
      <c r="B57" s="1" t="s">
        <v>6</v>
      </c>
      <c r="C57" s="6">
        <v>351</v>
      </c>
      <c r="D57" s="25">
        <v>3175</v>
      </c>
    </row>
    <row r="58" spans="2:4" x14ac:dyDescent="0.25">
      <c r="B58" s="1" t="s">
        <v>7</v>
      </c>
      <c r="C58" s="6">
        <v>1241</v>
      </c>
      <c r="D58" s="25">
        <v>8335</v>
      </c>
    </row>
    <row r="59" spans="2:4" x14ac:dyDescent="0.25">
      <c r="B59" s="3" t="s">
        <v>8</v>
      </c>
      <c r="C59" s="8">
        <f>SUM(C55:C58)</f>
        <v>2156</v>
      </c>
      <c r="D59" s="4">
        <f>SUM(D55:D58)</f>
        <v>39383.100000000006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111239</v>
      </c>
      <c r="D67" s="13">
        <f>SUMIF(B:B, "Total general", D:D)</f>
        <v>2506880.7000000002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31" zoomScaleNormal="100" workbookViewId="0">
      <selection activeCell="G46" sqref="G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14754</v>
      </c>
      <c r="D6" s="25">
        <v>142604.80999999997</v>
      </c>
    </row>
    <row r="7" spans="2:8" x14ac:dyDescent="0.25">
      <c r="B7" s="1" t="s">
        <v>6</v>
      </c>
      <c r="C7" s="27">
        <v>9107</v>
      </c>
      <c r="D7" s="25">
        <v>65585.38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62668</v>
      </c>
      <c r="D9" s="25">
        <v>16656.650000000001</v>
      </c>
      <c r="E9" s="14"/>
      <c r="F9" s="7"/>
    </row>
    <row r="10" spans="2:8" x14ac:dyDescent="0.25">
      <c r="B10" s="3" t="s">
        <v>8</v>
      </c>
      <c r="C10" s="8">
        <f>SUM(C5:C9)</f>
        <v>89274</v>
      </c>
      <c r="D10" s="4">
        <f>SUM(D5:D9)</f>
        <v>224846.83999999997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1140</v>
      </c>
      <c r="D14" s="25">
        <v>34824.46</v>
      </c>
    </row>
    <row r="15" spans="2:8" x14ac:dyDescent="0.25">
      <c r="B15" s="1" t="s">
        <v>5</v>
      </c>
      <c r="C15">
        <v>2228</v>
      </c>
      <c r="D15" s="25">
        <v>68941.94</v>
      </c>
    </row>
    <row r="16" spans="2:8" x14ac:dyDescent="0.25">
      <c r="B16" s="1" t="s">
        <v>6</v>
      </c>
      <c r="C16">
        <v>1917</v>
      </c>
      <c r="D16" s="25">
        <v>14964.04</v>
      </c>
    </row>
    <row r="17" spans="2:4" x14ac:dyDescent="0.25">
      <c r="B17" s="1" t="s">
        <v>7</v>
      </c>
      <c r="C17">
        <v>367</v>
      </c>
      <c r="D17" s="25">
        <v>3404</v>
      </c>
    </row>
    <row r="18" spans="2:4" x14ac:dyDescent="0.25">
      <c r="B18" s="3" t="s">
        <v>8</v>
      </c>
      <c r="C18" s="8">
        <f>SUM(C14:C17)</f>
        <v>5652</v>
      </c>
      <c r="D18" s="4">
        <f>SUM(D14:D17)</f>
        <v>122134.44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1126</v>
      </c>
      <c r="D22" s="25">
        <v>18384</v>
      </c>
    </row>
    <row r="23" spans="2:4" x14ac:dyDescent="0.25">
      <c r="B23" s="1" t="s">
        <v>5</v>
      </c>
      <c r="C23">
        <v>745</v>
      </c>
      <c r="D23" s="25">
        <v>10289.68</v>
      </c>
    </row>
    <row r="24" spans="2:4" x14ac:dyDescent="0.25">
      <c r="B24" s="1" t="s">
        <v>6</v>
      </c>
      <c r="C24">
        <v>910</v>
      </c>
      <c r="D24" s="25">
        <v>2450</v>
      </c>
    </row>
    <row r="25" spans="2:4" x14ac:dyDescent="0.25">
      <c r="B25" s="10" t="s">
        <v>8</v>
      </c>
      <c r="C25" s="8">
        <f>SUM(C22:C24)</f>
        <v>2781</v>
      </c>
      <c r="D25" s="4">
        <f>SUM(D22:D24)</f>
        <v>31123.68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6">
        <v>0</v>
      </c>
    </row>
    <row r="30" spans="2:4" x14ac:dyDescent="0.25">
      <c r="B30" s="1" t="s">
        <v>5</v>
      </c>
      <c r="C30">
        <v>17</v>
      </c>
      <c r="D30" s="25">
        <v>8259.93</v>
      </c>
    </row>
    <row r="31" spans="2:4" x14ac:dyDescent="0.25">
      <c r="B31" s="1" t="s">
        <v>6</v>
      </c>
      <c r="C31">
        <v>76</v>
      </c>
      <c r="D31" s="25">
        <v>2550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303</v>
      </c>
      <c r="D33" s="25">
        <v>9769</v>
      </c>
    </row>
    <row r="34" spans="2:4" x14ac:dyDescent="0.25">
      <c r="B34" s="3" t="s">
        <v>8</v>
      </c>
      <c r="C34" s="8">
        <f>SUM(C29:C33)</f>
        <v>397</v>
      </c>
      <c r="D34" s="4">
        <f>SUM(D29:D33)</f>
        <v>20578.93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5">
        <v>2259</v>
      </c>
    </row>
    <row r="40" spans="2:4" x14ac:dyDescent="0.25">
      <c r="B40" s="1" t="s">
        <v>6</v>
      </c>
      <c r="C40">
        <v>43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6509</v>
      </c>
    </row>
    <row r="43" spans="2:4" x14ac:dyDescent="0.25">
      <c r="B43" s="3" t="s">
        <v>8</v>
      </c>
      <c r="C43" s="8">
        <f>SUM(C38:C42)</f>
        <v>380</v>
      </c>
      <c r="D43" s="4">
        <f>SUM(D38:D42)</f>
        <v>8877.84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25">
        <v>826</v>
      </c>
    </row>
    <row r="49" spans="2:4" x14ac:dyDescent="0.25">
      <c r="B49" s="9" t="s">
        <v>6</v>
      </c>
      <c r="C49">
        <v>4</v>
      </c>
      <c r="D49" s="25">
        <v>300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7">
        <v>0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1126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7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98796</v>
      </c>
      <c r="D70" s="13">
        <f>SUMIF(B:B, "Total general", D:D)</f>
        <v>408687.73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2272</v>
      </c>
      <c r="D3" s="14">
        <f>SUMIF('CDC-OLGUIN'!B:B, "Extrajudicial - 0 a 28 semanas de atraso", 'CDC-OLGUIN'!D:D)</f>
        <v>53208.46</v>
      </c>
    </row>
    <row r="4" spans="2:6" x14ac:dyDescent="0.25">
      <c r="B4" s="1" t="s">
        <v>5</v>
      </c>
      <c r="C4" s="6">
        <f>SUMIF('CDC-OLGUIN'!B:B, "Extrajudicial - 29 a 39 semanas de atraso", 'CDC-OLGUIN'!C:C)</f>
        <v>17755</v>
      </c>
      <c r="D4" s="14">
        <f>SUMIF('CDC-OLGUIN'!B:B, "Extrajudicial - 29 a 39 semanas de atraso", 'CDC-OLGUIN'!D:D)</f>
        <v>233181.35999999996</v>
      </c>
    </row>
    <row r="5" spans="2:6" x14ac:dyDescent="0.25">
      <c r="B5" s="1" t="s">
        <v>6</v>
      </c>
      <c r="C5" s="6">
        <f>SUMIF('CDC-OLGUIN'!B:B, "Extrajudicial - 40 a 55 semanas de atraso", 'CDC-OLGUIN'!C:C)</f>
        <v>12066</v>
      </c>
      <c r="D5" s="14">
        <f>SUMIF('CDC-OLGUIN'!B:B, "Extrajudicial - 40 a 55 semanas de atraso", 'CDC-OLGUIN'!D:D)</f>
        <v>85959.260000000009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63963</v>
      </c>
      <c r="D7" s="6">
        <f>SUMIF('CDC-OLGUIN'!B:B, "Mas 55 semanas de atraso", 'CDC-OLGUIN'!D:D)</f>
        <v>36338.65</v>
      </c>
      <c r="E7" s="14"/>
      <c r="F7" s="7"/>
    </row>
    <row r="8" spans="2:6" x14ac:dyDescent="0.25">
      <c r="B8" s="3" t="s">
        <v>8</v>
      </c>
      <c r="C8" s="8">
        <f>SUM(C3:C7)</f>
        <v>98796</v>
      </c>
      <c r="D8" s="4">
        <f>SUM(D3:D7)</f>
        <v>408687.73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2403</v>
      </c>
      <c r="E6" s="16">
        <f>SUMIF('REPORTE DIARIO'!B:B,'EPR 26 JUN'!C6, 'REPORTE DIARIO'!D:D)</f>
        <v>59104.79</v>
      </c>
      <c r="F6" s="16">
        <f>J6*D6</f>
        <v>151045.71428571429</v>
      </c>
      <c r="G6" s="16">
        <f>+E6-F6</f>
        <v>-91940.924285714282</v>
      </c>
      <c r="H6" s="15">
        <f>ABS(G6/F6)</f>
        <v>0.60869601445163235</v>
      </c>
      <c r="I6" s="16">
        <f>E6/D6</f>
        <v>24.596250520183105</v>
      </c>
      <c r="J6" s="16">
        <f>(220/7)*2</f>
        <v>62.857142857142854</v>
      </c>
      <c r="K6" s="16">
        <f>+I6-J6</f>
        <v>-38.260892336959749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21734</v>
      </c>
      <c r="E7" s="16">
        <f>SUMIF('REPORTE DIARIO'!B:B,'EPR 26 JUN'!C7, 'REPORTE DIARIO'!D:D)</f>
        <v>1294828.46</v>
      </c>
      <c r="F7" s="16">
        <f>J7*D7</f>
        <v>683068.57142857136</v>
      </c>
      <c r="G7" s="16">
        <f>+E7-F7</f>
        <v>611759.8885714286</v>
      </c>
      <c r="H7" s="15">
        <f>ABS(G7/F7)</f>
        <v>0.89560538159732983</v>
      </c>
      <c r="I7" s="16">
        <f>E7/D7</f>
        <v>59.576169135916075</v>
      </c>
      <c r="J7" s="16">
        <f>(110/7)*2</f>
        <v>31.428571428571427</v>
      </c>
      <c r="K7" s="16">
        <f t="shared" ref="K7:K9" si="0">+I7-J7</f>
        <v>28.147597707344648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16474</v>
      </c>
      <c r="E8" s="16">
        <f>SUMIF('REPORTE DIARIO'!B:B,'EPR 26 JUN'!C8, 'REPORTE DIARIO'!D:D)</f>
        <v>363992.41</v>
      </c>
      <c r="F8" s="16">
        <f>J8*D8</f>
        <v>211808.57142857145</v>
      </c>
      <c r="G8" s="16">
        <f>+E8-F8</f>
        <v>152183.83857142853</v>
      </c>
      <c r="H8" s="15">
        <f>ABS(G8/F8)</f>
        <v>0.71849707282856456</v>
      </c>
      <c r="I8" s="16">
        <f>E8/D8</f>
        <v>22.094962364938691</v>
      </c>
      <c r="J8" s="16">
        <f>(45/7)*2</f>
        <v>12.857142857142858</v>
      </c>
      <c r="K8" s="16">
        <f t="shared" si="0"/>
        <v>9.2378195077958338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69395</v>
      </c>
      <c r="E9" s="16">
        <f>SUMIF('REPORTE DIARIO'!B:B,'EPR 26 JUN'!C9, 'REPORTE DIARIO'!D:D)</f>
        <v>782416.04</v>
      </c>
      <c r="F9" s="16">
        <f>J9*D9</f>
        <v>297407.14285714284</v>
      </c>
      <c r="G9" s="16">
        <f>+E9-F9</f>
        <v>485008.8971428572</v>
      </c>
      <c r="H9" s="15">
        <f>ABS(G9/F9)</f>
        <v>1.6307910176045346</v>
      </c>
      <c r="I9" s="16">
        <f>E9/D9</f>
        <v>11.274818646876577</v>
      </c>
      <c r="J9" s="16">
        <f>(15/7)*2</f>
        <v>4.2857142857142856</v>
      </c>
      <c r="K9" s="16">
        <f t="shared" si="0"/>
        <v>6.9891043611622914</v>
      </c>
    </row>
    <row r="10" spans="2:12" x14ac:dyDescent="0.25">
      <c r="B10" s="16"/>
      <c r="C10" s="19" t="s">
        <v>17</v>
      </c>
      <c r="D10" s="24">
        <f>SUM(D6:D9)</f>
        <v>110006</v>
      </c>
      <c r="E10" s="20">
        <f>SUM(E6:E9)</f>
        <v>2500341.7000000002</v>
      </c>
      <c r="F10" s="20">
        <f>SUM(F6:F9)</f>
        <v>1343330</v>
      </c>
      <c r="G10" s="20">
        <f>+E10-F10</f>
        <v>1157011.7000000002</v>
      </c>
      <c r="H10" s="21">
        <f>ABS(G10/F10)</f>
        <v>0.86130116948181024</v>
      </c>
      <c r="I10" s="20">
        <f>E10/D10</f>
        <v>22.729139319673475</v>
      </c>
      <c r="J10" s="20">
        <f>F10/D10</f>
        <v>12.211424831372835</v>
      </c>
      <c r="K10" s="20">
        <f>I10-J10</f>
        <v>10.517714488300641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2025-08-29T15:04:33Z</cp:lastPrinted>
  <dcterms:created xsi:type="dcterms:W3CDTF">2025-01-27T15:11:28Z</dcterms:created>
  <dcterms:modified xsi:type="dcterms:W3CDTF">2025-08-30T15:06:32Z</dcterms:modified>
</cp:coreProperties>
</file>