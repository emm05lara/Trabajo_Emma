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30 AGO\TARDE1\"/>
    </mc:Choice>
  </mc:AlternateContent>
  <xr:revisionPtr revIDLastSave="0" documentId="13_ncr:1_{269CD986-EB6A-4587-8C94-458F98356F69}" xr6:coauthVersionLast="47" xr6:coauthVersionMax="47" xr10:uidLastSave="{00000000-0000-0000-0000-000000000000}"/>
  <bookViews>
    <workbookView xWindow="-108" yWindow="-108" windowWidth="23256" windowHeight="12456" activeTab="2" xr2:uid="{3FE9EE18-9EB9-43DA-9422-A715A67A5AA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<sst xmlns="http://schemas.openxmlformats.org/spreadsheetml/2006/main" count="124" uniqueCount="24">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</sst>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014E-A9BA-454C-AE1B-2F2BD0AD2F15}">
  <dimension ref="B2:D47"/>
  <sheetViews>
    <sheetView topLeftCell="A32" workbookViewId="0">
      <selection activeCell="B2" sqref="B2:D4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48966.26</v>
      </c>
    </row>
    <row r="5" spans="2:4" x14ac:dyDescent="0.3">
      <c r="B5" s="2" t="s">
        <v>2</v>
      </c>
      <c r="C5" s="3">
        <v>34047</v>
      </c>
    </row>
    <row r="6" spans="2:4" ht="15" thickBot="1" x14ac:dyDescent="0.35">
      <c r="B6" s="2" t="s">
        <v>3</v>
      </c>
      <c r="C6" s="3">
        <v>64595</v>
      </c>
      <c r="D6" s="1" t="s">
        <v>13</v>
      </c>
    </row>
    <row r="7" spans="2:4" ht="15" thickTop="1" x14ac:dyDescent="0.3">
      <c r="B7" s="4" t="s">
        <v>4</v>
      </c>
      <c r="C7" s="5">
        <v>147608.26</v>
      </c>
      <c r="D7" s="5">
        <f>SUMIF(B:B, "Total general", C:C)</f>
        <v>271279.75</v>
      </c>
    </row>
    <row r="9" spans="2:4" x14ac:dyDescent="0.3">
      <c r="B9" s="6" t="s">
        <v>6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44704</v>
      </c>
    </row>
    <row r="12" spans="2:4" x14ac:dyDescent="0.3">
      <c r="B12" s="2" t="s">
        <v>2</v>
      </c>
      <c r="C12" s="3">
        <v>2153</v>
      </c>
    </row>
    <row r="13" spans="2:4" ht="15" thickBot="1" x14ac:dyDescent="0.35">
      <c r="B13" s="2" t="s">
        <v>3</v>
      </c>
      <c r="C13" s="3">
        <v>6790</v>
      </c>
    </row>
    <row r="14" spans="2:4" ht="15" thickTop="1" x14ac:dyDescent="0.3">
      <c r="B14" s="4" t="s">
        <v>4</v>
      </c>
      <c r="C14" s="5">
        <v>53647</v>
      </c>
    </row>
    <row r="16" spans="2:4" x14ac:dyDescent="0.3">
      <c r="B16" s="6" t="s">
        <v>7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27055.919999999998</v>
      </c>
    </row>
    <row r="19" spans="2:3" x14ac:dyDescent="0.3">
      <c r="B19" s="2" t="s">
        <v>2</v>
      </c>
      <c r="C19" s="3">
        <v>1208</v>
      </c>
    </row>
    <row r="20" spans="2:3" ht="15" thickBot="1" x14ac:dyDescent="0.35">
      <c r="B20" s="2" t="s">
        <v>3</v>
      </c>
      <c r="C20" s="3">
        <v>11857</v>
      </c>
    </row>
    <row r="21" spans="2:3" ht="15" thickTop="1" x14ac:dyDescent="0.3">
      <c r="B21" s="4" t="s">
        <v>4</v>
      </c>
      <c r="C21" s="5">
        <v>40120.92</v>
      </c>
    </row>
    <row r="23" spans="2:3" x14ac:dyDescent="0.3">
      <c r="B23" s="6" t="s">
        <v>12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</v>
      </c>
      <c r="C25" s="3">
        <v>14232.57</v>
      </c>
    </row>
    <row r="26" spans="2:3" x14ac:dyDescent="0.3">
      <c r="B26" s="2" t="s">
        <v>2</v>
      </c>
      <c r="C26" s="3">
        <v>5022</v>
      </c>
    </row>
    <row r="27" spans="2:3" ht="15" thickBot="1" x14ac:dyDescent="0.35">
      <c r="B27" s="2" t="s">
        <v>3</v>
      </c>
      <c r="C27" s="3">
        <v>500</v>
      </c>
    </row>
    <row r="28" spans="2:3" ht="15" thickTop="1" x14ac:dyDescent="0.3">
      <c r="B28" s="4" t="s">
        <v>4</v>
      </c>
      <c r="C28" s="5">
        <v>19754.57</v>
      </c>
    </row>
    <row r="30" spans="2:3" x14ac:dyDescent="0.3">
      <c r="B30" s="6" t="s">
        <v>8</v>
      </c>
      <c r="C30" s="6"/>
    </row>
    <row r="31" spans="2:3" x14ac:dyDescent="0.3">
      <c r="B31" s="1" t="s">
        <v>14</v>
      </c>
      <c r="C31" s="1" t="s">
        <v>0</v>
      </c>
    </row>
    <row r="32" spans="2:3" x14ac:dyDescent="0.3">
      <c r="B32" s="2" t="s">
        <v>1</v>
      </c>
      <c r="C32" s="3">
        <v>1354</v>
      </c>
    </row>
    <row r="33" spans="2:3" ht="15" thickBot="1" x14ac:dyDescent="0.35">
      <c r="B33" s="2" t="s">
        <v>3</v>
      </c>
      <c r="C33" s="3">
        <v>3908</v>
      </c>
    </row>
    <row r="34" spans="2:3" ht="15" thickTop="1" x14ac:dyDescent="0.3">
      <c r="B34" s="4" t="s">
        <v>4</v>
      </c>
      <c r="C34" s="5">
        <v>5262</v>
      </c>
    </row>
    <row r="36" spans="2:3" x14ac:dyDescent="0.3">
      <c r="B36" s="6" t="s">
        <v>9</v>
      </c>
      <c r="C36" s="6"/>
    </row>
    <row r="37" spans="2:3" x14ac:dyDescent="0.3">
      <c r="B37" s="1" t="s">
        <v>14</v>
      </c>
      <c r="C37" s="1" t="s">
        <v>0</v>
      </c>
    </row>
    <row r="38" spans="2:3" x14ac:dyDescent="0.3">
      <c r="B38" s="2" t="s">
        <v>10</v>
      </c>
      <c r="C38" s="3">
        <v>357</v>
      </c>
    </row>
    <row r="39" spans="2:3" ht="15" thickBot="1" x14ac:dyDescent="0.35">
      <c r="B39" s="2" t="s">
        <v>1</v>
      </c>
      <c r="C39" s="3">
        <v>2998</v>
      </c>
    </row>
    <row r="40" spans="2:3" ht="15" thickTop="1" x14ac:dyDescent="0.3">
      <c r="B40" s="4" t="s">
        <v>4</v>
      </c>
      <c r="C40" s="5">
        <v>3355</v>
      </c>
    </row>
    <row r="42" spans="2:3" x14ac:dyDescent="0.3">
      <c r="B42" s="6" t="s">
        <v>11</v>
      </c>
      <c r="C42" s="6"/>
    </row>
    <row r="43" spans="2:3" x14ac:dyDescent="0.3">
      <c r="B43" s="1" t="s">
        <v>14</v>
      </c>
      <c r="C43" s="1" t="s">
        <v>0</v>
      </c>
    </row>
    <row r="44" spans="2:3" x14ac:dyDescent="0.3">
      <c r="B44" s="2" t="s">
        <v>10</v>
      </c>
      <c r="C44" s="3">
        <v>441</v>
      </c>
    </row>
    <row r="45" spans="2:3" x14ac:dyDescent="0.3">
      <c r="B45" s="2" t="s">
        <v>1</v>
      </c>
      <c r="C45" s="3">
        <v>591</v>
      </c>
    </row>
    <row r="46" spans="2:3" ht="15" thickBot="1" x14ac:dyDescent="0.35">
      <c r="B46" s="2" t="s">
        <v>2</v>
      </c>
      <c r="C46" s="3">
        <v>500</v>
      </c>
    </row>
    <row r="47" spans="2:3" ht="15" thickTop="1" x14ac:dyDescent="0.3">
      <c r="B47" s="4" t="s">
        <v>4</v>
      </c>
      <c r="C47" s="5">
        <v>1532</v>
      </c>
    </row>
  </sheetData>
  <mergeCells count="7">
    <mergeCell ref="B23:C23"/>
    <mergeCell ref="B2:C2"/>
    <mergeCell ref="B9:C9"/>
    <mergeCell ref="B16:C16"/>
    <mergeCell ref="B30:C30"/>
    <mergeCell ref="B36:C36"/>
    <mergeCell ref="B42:C42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DBBF-003D-43BD-A654-ABE6CAD4A582}">
  <dimension ref="B2:D48"/>
  <sheetViews>
    <sheetView topLeftCell="A36" workbookViewId="0">
      <selection activeCell="B2" sqref="B2:D4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21</v>
      </c>
      <c r="C3" s="1" t="s">
        <v>0</v>
      </c>
    </row>
    <row r="4" spans="2:4" x14ac:dyDescent="0.3">
      <c r="B4" s="2" t="s">
        <v>15</v>
      </c>
      <c r="C4" s="3">
        <v>3200</v>
      </c>
    </row>
    <row r="5" spans="2:4" x14ac:dyDescent="0.3">
      <c r="B5" s="2" t="s">
        <v>16</v>
      </c>
      <c r="C5" s="3">
        <v>1454</v>
      </c>
    </row>
    <row r="6" spans="2:4" x14ac:dyDescent="0.3">
      <c r="B6" s="2" t="s">
        <v>17</v>
      </c>
      <c r="C6" s="3">
        <v>1395</v>
      </c>
    </row>
    <row r="7" spans="2:4" x14ac:dyDescent="0.3">
      <c r="B7" s="2" t="s">
        <v>18</v>
      </c>
      <c r="C7" s="3">
        <v>12274</v>
      </c>
    </row>
    <row r="8" spans="2:4" x14ac:dyDescent="0.3">
      <c r="B8" s="2" t="s">
        <v>19</v>
      </c>
      <c r="C8" s="3">
        <v>1373</v>
      </c>
    </row>
    <row r="9" spans="2:4" ht="15" thickBot="1" x14ac:dyDescent="0.35">
      <c r="B9" s="2" t="s">
        <v>20</v>
      </c>
      <c r="C9" s="3">
        <v>127912.26</v>
      </c>
      <c r="D9" s="1" t="s">
        <v>13</v>
      </c>
    </row>
    <row r="10" spans="2:4" ht="15" thickTop="1" x14ac:dyDescent="0.3">
      <c r="B10" s="4" t="s">
        <v>4</v>
      </c>
      <c r="C10" s="5">
        <v>147608.26</v>
      </c>
      <c r="D10" s="5">
        <f>SUMIF(B:B, "Total general", C:C)</f>
        <v>271279.75</v>
      </c>
    </row>
    <row r="12" spans="2:4" x14ac:dyDescent="0.3">
      <c r="B12" s="6" t="s">
        <v>6</v>
      </c>
      <c r="C12" s="6"/>
    </row>
    <row r="13" spans="2:4" x14ac:dyDescent="0.3">
      <c r="B13" s="1" t="s">
        <v>21</v>
      </c>
      <c r="C13" s="1" t="s">
        <v>0</v>
      </c>
    </row>
    <row r="14" spans="2:4" x14ac:dyDescent="0.3">
      <c r="B14" s="2" t="s">
        <v>15</v>
      </c>
      <c r="C14" s="3">
        <v>38925</v>
      </c>
    </row>
    <row r="15" spans="2:4" x14ac:dyDescent="0.3">
      <c r="B15" s="2" t="s">
        <v>16</v>
      </c>
      <c r="C15" s="3">
        <v>6295</v>
      </c>
    </row>
    <row r="16" spans="2:4" x14ac:dyDescent="0.3">
      <c r="B16" s="2" t="s">
        <v>17</v>
      </c>
      <c r="C16" s="3">
        <v>400</v>
      </c>
    </row>
    <row r="17" spans="2:3" x14ac:dyDescent="0.3">
      <c r="B17" s="2" t="s">
        <v>18</v>
      </c>
      <c r="C17" s="3">
        <v>1953</v>
      </c>
    </row>
    <row r="18" spans="2:3" ht="15" thickBot="1" x14ac:dyDescent="0.35">
      <c r="B18" s="2" t="s">
        <v>20</v>
      </c>
      <c r="C18" s="3">
        <v>6074</v>
      </c>
    </row>
    <row r="19" spans="2:3" ht="15" thickTop="1" x14ac:dyDescent="0.3">
      <c r="B19" s="4" t="s">
        <v>4</v>
      </c>
      <c r="C19" s="5">
        <v>53647</v>
      </c>
    </row>
    <row r="21" spans="2:3" x14ac:dyDescent="0.3">
      <c r="B21" s="6" t="s">
        <v>7</v>
      </c>
      <c r="C21" s="6"/>
    </row>
    <row r="22" spans="2:3" x14ac:dyDescent="0.3">
      <c r="B22" s="1" t="s">
        <v>21</v>
      </c>
      <c r="C22" s="1" t="s">
        <v>0</v>
      </c>
    </row>
    <row r="23" spans="2:3" ht="15" thickBot="1" x14ac:dyDescent="0.35">
      <c r="B23" s="2" t="s">
        <v>20</v>
      </c>
      <c r="C23" s="3">
        <v>40120.92</v>
      </c>
    </row>
    <row r="24" spans="2:3" ht="15" thickTop="1" x14ac:dyDescent="0.3">
      <c r="B24" s="4" t="s">
        <v>4</v>
      </c>
      <c r="C24" s="5">
        <v>40120.92</v>
      </c>
    </row>
    <row r="26" spans="2:3" x14ac:dyDescent="0.3">
      <c r="B26" s="6" t="s">
        <v>12</v>
      </c>
      <c r="C26" s="6"/>
    </row>
    <row r="27" spans="2:3" x14ac:dyDescent="0.3">
      <c r="B27" s="1" t="s">
        <v>21</v>
      </c>
      <c r="C27" s="1" t="s">
        <v>0</v>
      </c>
    </row>
    <row r="28" spans="2:3" ht="15" thickBot="1" x14ac:dyDescent="0.35">
      <c r="B28" s="2" t="s">
        <v>20</v>
      </c>
      <c r="C28" s="3">
        <v>19754.57</v>
      </c>
    </row>
    <row r="29" spans="2:3" ht="15" thickTop="1" x14ac:dyDescent="0.3">
      <c r="B29" s="4" t="s">
        <v>4</v>
      </c>
      <c r="C29" s="5">
        <v>19754.57</v>
      </c>
    </row>
    <row r="31" spans="2:3" x14ac:dyDescent="0.3">
      <c r="B31" s="6" t="s">
        <v>8</v>
      </c>
      <c r="C31" s="6"/>
    </row>
    <row r="32" spans="2:3" x14ac:dyDescent="0.3">
      <c r="B32" s="1" t="s">
        <v>21</v>
      </c>
      <c r="C32" s="1" t="s">
        <v>0</v>
      </c>
    </row>
    <row r="33" spans="2:3" x14ac:dyDescent="0.3">
      <c r="B33" s="2" t="s">
        <v>18</v>
      </c>
      <c r="C33" s="3">
        <v>3908</v>
      </c>
    </row>
    <row r="34" spans="2:3" ht="15" thickBot="1" x14ac:dyDescent="0.35">
      <c r="B34" s="2" t="s">
        <v>20</v>
      </c>
      <c r="C34" s="3">
        <v>1354</v>
      </c>
    </row>
    <row r="35" spans="2:3" ht="15" thickTop="1" x14ac:dyDescent="0.3">
      <c r="B35" s="4" t="s">
        <v>4</v>
      </c>
      <c r="C35" s="5">
        <v>5262</v>
      </c>
    </row>
    <row r="37" spans="2:3" x14ac:dyDescent="0.3">
      <c r="B37" s="6" t="s">
        <v>9</v>
      </c>
      <c r="C37" s="6"/>
    </row>
    <row r="38" spans="2:3" x14ac:dyDescent="0.3">
      <c r="B38" s="1" t="s">
        <v>21</v>
      </c>
      <c r="C38" s="1" t="s">
        <v>0</v>
      </c>
    </row>
    <row r="39" spans="2:3" x14ac:dyDescent="0.3">
      <c r="B39" s="2" t="s">
        <v>15</v>
      </c>
      <c r="C39" s="3">
        <v>400</v>
      </c>
    </row>
    <row r="40" spans="2:3" x14ac:dyDescent="0.3">
      <c r="B40" s="2" t="s">
        <v>16</v>
      </c>
      <c r="C40" s="3">
        <v>2598</v>
      </c>
    </row>
    <row r="41" spans="2:3" ht="15" thickBot="1" x14ac:dyDescent="0.35">
      <c r="B41" s="2" t="s">
        <v>20</v>
      </c>
      <c r="C41" s="3">
        <v>357</v>
      </c>
    </row>
    <row r="42" spans="2:3" ht="15" thickTop="1" x14ac:dyDescent="0.3">
      <c r="B42" s="4" t="s">
        <v>4</v>
      </c>
      <c r="C42" s="5">
        <v>3355</v>
      </c>
    </row>
    <row r="44" spans="2:3" x14ac:dyDescent="0.3">
      <c r="B44" s="6" t="s">
        <v>11</v>
      </c>
      <c r="C44" s="6"/>
    </row>
    <row r="45" spans="2:3" x14ac:dyDescent="0.3">
      <c r="B45" s="1" t="s">
        <v>21</v>
      </c>
      <c r="C45" s="1" t="s">
        <v>0</v>
      </c>
    </row>
    <row r="46" spans="2:3" x14ac:dyDescent="0.3">
      <c r="B46" s="2" t="s">
        <v>15</v>
      </c>
      <c r="C46" s="3">
        <v>441</v>
      </c>
    </row>
    <row r="47" spans="2:3" ht="15" thickBot="1" x14ac:dyDescent="0.35">
      <c r="B47" s="2" t="s">
        <v>20</v>
      </c>
      <c r="C47" s="3">
        <v>1091</v>
      </c>
    </row>
    <row r="48" spans="2:3" ht="15" thickTop="1" x14ac:dyDescent="0.3">
      <c r="B48" s="4" t="s">
        <v>4</v>
      </c>
      <c r="C48" s="5">
        <v>1532</v>
      </c>
    </row>
  </sheetData>
  <mergeCells count="7">
    <mergeCell ref="B44:C44"/>
    <mergeCell ref="B2:C2"/>
    <mergeCell ref="B12:C12"/>
    <mergeCell ref="B21:C21"/>
    <mergeCell ref="B26:C26"/>
    <mergeCell ref="B31:C31"/>
    <mergeCell ref="B37:C37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2043-06ED-4824-ACE3-10B4B963B3C2}">
  <dimension ref="B2:D26"/>
  <sheetViews>
    <sheetView tabSelected="1" workbookViewId="0">
      <selection activeCell="B2" sqref="B2:D2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23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9297</v>
      </c>
    </row>
    <row r="6" spans="2:4" x14ac:dyDescent="0.3">
      <c r="B6" s="2" t="s">
        <v>2</v>
      </c>
      <c r="C6" s="3">
        <v>19052.080000000002</v>
      </c>
    </row>
    <row r="7" spans="2:4" ht="15" thickBot="1" x14ac:dyDescent="0.35">
      <c r="B7" s="2" t="s">
        <v>3</v>
      </c>
      <c r="C7" s="3">
        <v>900</v>
      </c>
      <c r="D7" s="1" t="s">
        <v>13</v>
      </c>
    </row>
    <row r="8" spans="2:4" ht="15" thickTop="1" x14ac:dyDescent="0.3">
      <c r="B8" s="4" t="s">
        <v>4</v>
      </c>
      <c r="C8" s="5">
        <v>29249.08</v>
      </c>
      <c r="D8" s="5">
        <f>SUMIF(B:B, "Total general", C:C)</f>
        <v>32720.390000000003</v>
      </c>
    </row>
    <row r="10" spans="2:4" x14ac:dyDescent="0.3">
      <c r="B10" s="6" t="s">
        <v>7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993.31</v>
      </c>
    </row>
    <row r="13" spans="2:4" ht="15" thickBot="1" x14ac:dyDescent="0.35">
      <c r="B13" s="2" t="s">
        <v>3</v>
      </c>
      <c r="C13" s="3">
        <v>546</v>
      </c>
    </row>
    <row r="14" spans="2:4" ht="15" thickTop="1" x14ac:dyDescent="0.3">
      <c r="B14" s="4" t="s">
        <v>4</v>
      </c>
      <c r="C14" s="5">
        <v>1539.31</v>
      </c>
    </row>
    <row r="16" spans="2:4" x14ac:dyDescent="0.3">
      <c r="B16" s="6" t="s">
        <v>11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10</v>
      </c>
      <c r="C18" s="3">
        <v>441</v>
      </c>
    </row>
    <row r="19" spans="2:3" x14ac:dyDescent="0.3">
      <c r="B19" s="2" t="s">
        <v>1</v>
      </c>
      <c r="C19" s="3">
        <v>591</v>
      </c>
    </row>
    <row r="20" spans="2:3" ht="15" thickBot="1" x14ac:dyDescent="0.35">
      <c r="B20" s="2" t="s">
        <v>2</v>
      </c>
      <c r="C20" s="3">
        <v>500</v>
      </c>
    </row>
    <row r="21" spans="2:3" ht="15" thickTop="1" x14ac:dyDescent="0.3">
      <c r="B21" s="4" t="s">
        <v>4</v>
      </c>
      <c r="C21" s="5">
        <v>1532</v>
      </c>
    </row>
    <row r="23" spans="2:3" x14ac:dyDescent="0.3">
      <c r="B23" s="6" t="s">
        <v>9</v>
      </c>
      <c r="C23" s="6"/>
    </row>
    <row r="24" spans="2:3" x14ac:dyDescent="0.3">
      <c r="B24" s="1" t="s">
        <v>14</v>
      </c>
      <c r="C24" s="1" t="s">
        <v>0</v>
      </c>
    </row>
    <row r="25" spans="2:3" ht="15" thickBot="1" x14ac:dyDescent="0.35">
      <c r="B25" s="2" t="s">
        <v>1</v>
      </c>
      <c r="C25" s="3">
        <v>400</v>
      </c>
    </row>
    <row r="26" spans="2:3" ht="15" thickTop="1" x14ac:dyDescent="0.3">
      <c r="B26" s="4" t="s">
        <v>4</v>
      </c>
      <c r="C26" s="5">
        <v>400</v>
      </c>
    </row>
  </sheetData>
  <mergeCells count="5">
    <mergeCell ref="B3:C3"/>
    <mergeCell ref="B2:C2"/>
    <mergeCell ref="B10:C10"/>
    <mergeCell ref="B23:C23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2025-08-30T18:50:41Z</cp:lastPrinted>
  <dcterms:created xsi:type="dcterms:W3CDTF">2025-08-30T18:44:30Z</dcterms:created>
  <dcterms:modified xsi:type="dcterms:W3CDTF">2025-08-30T18:50:43Z</dcterms:modified>
</cp:coreProperties>
</file>