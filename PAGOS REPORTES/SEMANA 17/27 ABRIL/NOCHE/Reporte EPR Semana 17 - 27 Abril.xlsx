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7 ABRIL\NOCHE\"/>
    </mc:Choice>
  </mc:AlternateContent>
  <xr:revisionPtr revIDLastSave="0" documentId="13_ncr:1_{53C0A971-272A-4B04-9928-E40C168CE2D7}" xr6:coauthVersionLast="47" xr6:coauthVersionMax="47" xr10:uidLastSave="{00000000-0000-0000-0000-000000000000}"/>
  <bookViews>
    <workbookView xWindow="18870" yWindow="5520" windowWidth="10005" windowHeight="5445" activeTab="2" xr2:uid="{4DC6C92A-CD8A-4966-829B-0B6A986E825B}"/>
  </bookViews>
  <sheets>
    <sheet name="REPORTE DIARIO" sheetId="1" r:id="rId1"/>
    <sheet name="DATA" sheetId="4" r:id="rId2"/>
    <sheet name="EPR 27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6" i="1" l="1"/>
  <c r="C56" i="1"/>
  <c r="D48" i="1"/>
  <c r="J6" i="3"/>
  <c r="C48" i="1"/>
  <c r="D27" i="1" l="1"/>
  <c r="C27" i="1"/>
  <c r="J9" i="3"/>
  <c r="J8" i="3"/>
  <c r="J7" i="3"/>
  <c r="D6" i="3"/>
  <c r="F6" i="3" s="1"/>
  <c r="D40" i="1"/>
  <c r="C40" i="1"/>
  <c r="D18" i="1"/>
  <c r="C18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8" i="1" l="1"/>
  <c r="D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<sst xmlns="http://schemas.openxmlformats.org/spreadsheetml/2006/main" count="87" uniqueCount="36">
  <si>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</si>
  <si>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</si>
  <si>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</si>
  <si>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</si>
  <si>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</si>
  <si>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</si>
  <si>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</si>
  <si>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</si>
  <si>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</si>
  <si>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</si>
  <si>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</si>
  <si>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</si>
  <si>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</si>
  <si>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</si>
  <si>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</si>
  <si>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</si>
  <si>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</si>
  <si>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</si>
  <si>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</si>
  <si>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</si>
  <si>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</si>
  <si>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</si>
  <si>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</si>
  <si>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</si>
  <si>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</si>
  <si>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</si>
  <si>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</si>
  <si>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</si>
  <si>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</si>
  <si>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</si>
  <si>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</si>
  <si>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</si>
  <si>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</si>
  <si>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</si>
  <si>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</si>
  <si>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COBRANZA 27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</si>
</sst>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7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4549</v>
      </c>
      <c r="D5" s="25">
        <v>85466.79</v>
      </c>
    </row>
    <row r="6" spans="2:8" x14ac:dyDescent="0.25">
      <c r="B6" s="1" t="s">
        <v>5</v>
      </c>
      <c r="C6" s="6">
        <v>4585</v>
      </c>
      <c r="D6" s="25">
        <v>78564.350000000006</v>
      </c>
    </row>
    <row r="7" spans="2:8" x14ac:dyDescent="0.25">
      <c r="B7" s="1" t="s">
        <v>6</v>
      </c>
      <c r="C7" s="6">
        <v>6196</v>
      </c>
      <c r="D7" s="25">
        <v>46851</v>
      </c>
    </row>
    <row r="8" spans="2:8" x14ac:dyDescent="0.25">
      <c r="B8" s="5" t="s">
        <v>12</v>
      </c>
      <c r="C8" s="7">
        <v>8</v>
      </c>
      <c r="D8" s="26">
        <v>0</v>
      </c>
    </row>
    <row r="9" spans="2:8" x14ac:dyDescent="0.25">
      <c r="B9" s="1" t="s">
        <v>7</v>
      </c>
      <c r="C9" s="6">
        <v>13440</v>
      </c>
      <c r="D9" s="25">
        <v>69898</v>
      </c>
    </row>
    <row r="10" spans="2:8" x14ac:dyDescent="0.25">
      <c r="B10" s="3" t="s">
        <v>8</v>
      </c>
      <c r="C10" s="8">
        <f>SUM(C5:C9)</f>
        <v>28778</v>
      </c>
      <c r="D10" s="4">
        <f>SUM(D5:D9)</f>
        <v>280780.14</v>
      </c>
    </row>
    <row r="12" spans="2:8" x14ac:dyDescent="0.25">
      <c r="B12" s="28" t="s">
        <v>10</v>
      </c>
      <c r="C12" s="28"/>
      <c r="D12" s="28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3999</v>
      </c>
      <c r="D14" s="25">
        <v>58097.840000000004</v>
      </c>
    </row>
    <row r="15" spans="2:8" x14ac:dyDescent="0.25">
      <c r="B15" s="9" t="s">
        <v>5</v>
      </c>
      <c r="C15" s="6">
        <v>2325</v>
      </c>
      <c r="D15" s="25">
        <v>12583.8</v>
      </c>
    </row>
    <row r="16" spans="2:8" x14ac:dyDescent="0.25">
      <c r="B16" s="9" t="s">
        <v>6</v>
      </c>
      <c r="C16" s="6">
        <v>1808</v>
      </c>
      <c r="D16" s="25">
        <v>7774</v>
      </c>
    </row>
    <row r="17" spans="2:11" x14ac:dyDescent="0.25">
      <c r="B17" s="9" t="s">
        <v>7</v>
      </c>
      <c r="C17" s="6">
        <v>9599</v>
      </c>
      <c r="D17" s="25">
        <v>13196</v>
      </c>
    </row>
    <row r="18" spans="2:11" x14ac:dyDescent="0.25">
      <c r="B18" s="10" t="s">
        <v>8</v>
      </c>
      <c r="C18" s="8">
        <f>SUM(C14:C17)</f>
        <v>17731</v>
      </c>
      <c r="D18" s="4">
        <f>SUM(D14:D17)</f>
        <v>91651.64</v>
      </c>
    </row>
    <row r="20" spans="2:11" x14ac:dyDescent="0.25">
      <c r="B20" s="27" t="s">
        <v>31</v>
      </c>
      <c r="C20" s="27"/>
      <c r="D20" s="27"/>
    </row>
    <row r="21" spans="2:11" x14ac:dyDescent="0.25">
      <c r="B21" s="2" t="s">
        <v>1</v>
      </c>
      <c r="C21" s="2" t="s">
        <v>2</v>
      </c>
      <c r="D21" s="2" t="s">
        <v>3</v>
      </c>
    </row>
    <row r="22" spans="2:11" x14ac:dyDescent="0.25">
      <c r="B22" s="1" t="s">
        <v>4</v>
      </c>
      <c r="C22" s="6">
        <v>2164</v>
      </c>
      <c r="D22" s="25">
        <v>29105.13</v>
      </c>
    </row>
    <row r="23" spans="2:11" x14ac:dyDescent="0.25">
      <c r="B23" s="1" t="s">
        <v>5</v>
      </c>
      <c r="C23" s="6">
        <v>1629</v>
      </c>
      <c r="D23" s="25">
        <v>17381</v>
      </c>
    </row>
    <row r="24" spans="2:11" x14ac:dyDescent="0.25">
      <c r="B24" s="1" t="s">
        <v>6</v>
      </c>
      <c r="C24" s="6">
        <v>3098</v>
      </c>
      <c r="D24" s="25">
        <v>7819</v>
      </c>
    </row>
    <row r="25" spans="2:11" x14ac:dyDescent="0.25">
      <c r="B25" s="5" t="s">
        <v>12</v>
      </c>
      <c r="C25" s="7">
        <v>2</v>
      </c>
      <c r="D25" s="24">
        <v>0</v>
      </c>
    </row>
    <row r="26" spans="2:11" x14ac:dyDescent="0.25">
      <c r="B26" s="1" t="s">
        <v>7</v>
      </c>
      <c r="C26" s="6">
        <v>21854</v>
      </c>
      <c r="D26" s="25">
        <v>21249</v>
      </c>
      <c r="K26" s="7"/>
    </row>
    <row r="27" spans="2:11" x14ac:dyDescent="0.25">
      <c r="B27" s="3" t="s">
        <v>8</v>
      </c>
      <c r="C27" s="8">
        <f>SUM(C22:C26)</f>
        <v>28747</v>
      </c>
      <c r="D27" s="4">
        <f>SUM(D22:D26)</f>
        <v>75554.13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336</v>
      </c>
      <c r="D31" s="25">
        <v>12643.35</v>
      </c>
    </row>
    <row r="32" spans="2:11" x14ac:dyDescent="0.25">
      <c r="B32" s="9" t="s">
        <v>5</v>
      </c>
      <c r="C32" s="6">
        <v>1314</v>
      </c>
      <c r="D32" s="25">
        <v>8993.7999999999993</v>
      </c>
    </row>
    <row r="33" spans="2:4" x14ac:dyDescent="0.25">
      <c r="B33" s="9" t="s">
        <v>6</v>
      </c>
      <c r="C33" s="6">
        <v>2383</v>
      </c>
      <c r="D33" s="25">
        <v>2565</v>
      </c>
    </row>
    <row r="34" spans="2:4" x14ac:dyDescent="0.25">
      <c r="B34" s="9" t="s">
        <v>7</v>
      </c>
      <c r="C34" s="6">
        <v>4264</v>
      </c>
      <c r="D34" s="25">
        <v>738</v>
      </c>
    </row>
    <row r="35" spans="2:4" x14ac:dyDescent="0.25">
      <c r="B35" s="10" t="s">
        <v>8</v>
      </c>
      <c r="C35" s="8">
        <f>SUM(C31:C34)</f>
        <v>8297</v>
      </c>
      <c r="D35" s="4">
        <f>SUM(D31:D34)</f>
        <v>24940.15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2039</v>
      </c>
      <c r="D39" s="25">
        <v>8369</v>
      </c>
    </row>
    <row r="40" spans="2:4" x14ac:dyDescent="0.25">
      <c r="B40" s="10" t="s">
        <v>8</v>
      </c>
      <c r="C40" s="8">
        <f>SUM(C39:C39)</f>
        <v>2039</v>
      </c>
      <c r="D40" s="4">
        <f>SUM(D39:D39)</f>
        <v>8369</v>
      </c>
    </row>
    <row r="42" spans="2:4" x14ac:dyDescent="0.25">
      <c r="B42" s="27" t="s">
        <v>32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6">
        <v>0</v>
      </c>
    </row>
    <row r="45" spans="2:4" x14ac:dyDescent="0.25">
      <c r="B45" s="1" t="s">
        <v>5</v>
      </c>
      <c r="C45" s="6">
        <v>347</v>
      </c>
      <c r="D45" s="26">
        <v>0</v>
      </c>
    </row>
    <row r="46" spans="2:4" x14ac:dyDescent="0.25">
      <c r="B46" s="1" t="s">
        <v>6</v>
      </c>
      <c r="C46" s="6">
        <v>292</v>
      </c>
      <c r="D46" s="26">
        <v>0</v>
      </c>
    </row>
    <row r="47" spans="2:4" x14ac:dyDescent="0.25">
      <c r="B47" s="1" t="s">
        <v>7</v>
      </c>
      <c r="C47" s="6">
        <v>1951</v>
      </c>
      <c r="D47" s="25">
        <v>1500</v>
      </c>
    </row>
    <row r="48" spans="2:4" x14ac:dyDescent="0.25">
      <c r="B48" s="3" t="s">
        <v>8</v>
      </c>
      <c r="C48" s="8">
        <f>SUM(C44:C47)</f>
        <v>2629</v>
      </c>
      <c r="D48" s="4">
        <f>SUM(D44:D47)</f>
        <v>1500</v>
      </c>
    </row>
    <row r="50" spans="2:4" x14ac:dyDescent="0.25">
      <c r="B50" s="27" t="s">
        <v>33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85</v>
      </c>
      <c r="D52" s="26">
        <v>0</v>
      </c>
    </row>
    <row r="53" spans="2:4" x14ac:dyDescent="0.25">
      <c r="B53" s="1" t="s">
        <v>5</v>
      </c>
      <c r="C53" s="6">
        <v>169</v>
      </c>
      <c r="D53" s="26">
        <v>0</v>
      </c>
    </row>
    <row r="54" spans="2:4" x14ac:dyDescent="0.25">
      <c r="B54" s="1" t="s">
        <v>6</v>
      </c>
      <c r="C54" s="6">
        <v>599</v>
      </c>
      <c r="D54" s="26">
        <v>0</v>
      </c>
    </row>
    <row r="55" spans="2:4" x14ac:dyDescent="0.25">
      <c r="B55" s="1" t="s">
        <v>7</v>
      </c>
      <c r="C55" s="6">
        <v>842</v>
      </c>
      <c r="D55" s="25">
        <v>1500</v>
      </c>
    </row>
    <row r="56" spans="2:4" x14ac:dyDescent="0.25">
      <c r="B56" s="3" t="s">
        <v>8</v>
      </c>
      <c r="C56" s="8">
        <f>SUM(C52:C55)</f>
        <v>1695</v>
      </c>
      <c r="D56" s="4">
        <f>SUM(D52:D55)</f>
        <v>1500</v>
      </c>
    </row>
    <row r="58" spans="2:4" x14ac:dyDescent="0.25">
      <c r="B58" s="11" t="s">
        <v>13</v>
      </c>
      <c r="C58" s="12">
        <f>SUM(C10+C35+C18+C40+C27+C48+C56)</f>
        <v>89916</v>
      </c>
      <c r="D58" s="12">
        <f>SUM(D10+D35+D18+D40+D27+D48+D56)</f>
        <v>484295.06000000006</v>
      </c>
    </row>
  </sheetData>
  <mergeCells count="7">
    <mergeCell ref="B50:D50"/>
    <mergeCell ref="B3:D3"/>
    <mergeCell ref="B29:D29"/>
    <mergeCell ref="B37:D37"/>
    <mergeCell ref="B42:D42"/>
    <mergeCell ref="B20:D20"/>
    <mergeCell ref="B12:D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27 ABR'!C6, 'REPORTE DIARIO'!C:C)</f>
        <v>13211</v>
      </c>
      <c r="E6" s="15">
        <f>SUMIF('REPORTE DIARIO'!B:B,'EPR 27 ABR'!C6, 'REPORTE DIARIO'!D:D)</f>
        <v>193682.11000000002</v>
      </c>
      <c r="F6" s="15">
        <f>J6*D6</f>
        <v>377457.1428571429</v>
      </c>
      <c r="G6" s="15">
        <f>+E6-F6</f>
        <v>-183775.03285714288</v>
      </c>
      <c r="H6" s="14">
        <f>ABS(G6/F6)</f>
        <v>0.48687655362955112</v>
      </c>
      <c r="I6" s="15">
        <f>E6/D6</f>
        <v>14.66066989629854</v>
      </c>
      <c r="J6" s="15">
        <f>200/7</f>
        <v>28.571428571428573</v>
      </c>
      <c r="K6" s="15">
        <f>+I6-J6</f>
        <v>-13.910758675130033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27 ABR'!C7, 'REPORTE DIARIO'!C:C)</f>
        <v>10369</v>
      </c>
      <c r="E7" s="15">
        <f>SUMIF('REPORTE DIARIO'!B:B,'EPR 27 ABR'!C7, 'REPORTE DIARIO'!D:D)</f>
        <v>117522.95000000001</v>
      </c>
      <c r="F7" s="15">
        <f>J7*D7</f>
        <v>162941.42857142855</v>
      </c>
      <c r="G7" s="15">
        <f>+E7-F7</f>
        <v>-45418.478571428539</v>
      </c>
      <c r="H7" s="14">
        <f>ABS(G7/F7)</f>
        <v>0.27874113397452177</v>
      </c>
      <c r="I7" s="15">
        <f>E7/D7</f>
        <v>11.334067894686084</v>
      </c>
      <c r="J7" s="15">
        <f>110/7</f>
        <v>15.714285714285714</v>
      </c>
      <c r="K7" s="15">
        <f t="shared" ref="K7:K9" si="0">+I7-J7</f>
        <v>-4.3802178195996291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27 ABR'!C8, 'REPORTE DIARIO'!C:C)</f>
        <v>14376</v>
      </c>
      <c r="E8" s="15">
        <f>SUMIF('REPORTE DIARIO'!B:B,'EPR 27 ABR'!C8, 'REPORTE DIARIO'!D:D)</f>
        <v>65009</v>
      </c>
      <c r="F8" s="15">
        <f>J8*D8</f>
        <v>92417.142857142855</v>
      </c>
      <c r="G8" s="15">
        <f>+E8-F8</f>
        <v>-27408.142857142855</v>
      </c>
      <c r="H8" s="14">
        <f>ABS(G8/F8)</f>
        <v>0.29656990045136955</v>
      </c>
      <c r="I8" s="15">
        <f>E8/D8</f>
        <v>4.5220506399554816</v>
      </c>
      <c r="J8" s="15">
        <f>45/7</f>
        <v>6.4285714285714288</v>
      </c>
      <c r="K8" s="15">
        <f t="shared" si="0"/>
        <v>-1.9065207886159472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27 ABR'!C9, 'REPORTE DIARIO'!C:C)</f>
        <v>51950</v>
      </c>
      <c r="E9" s="15">
        <f>SUMIF('REPORTE DIARIO'!B:B,'EPR 27 ABR'!C9, 'REPORTE DIARIO'!D:D)</f>
        <v>108081</v>
      </c>
      <c r="F9" s="15">
        <f>J9*D9</f>
        <v>111321.42857142857</v>
      </c>
      <c r="G9" s="15">
        <f>+E9-F9</f>
        <v>-3240.4285714285652</v>
      </c>
      <c r="H9" s="14">
        <f>ABS(G9/F9)</f>
        <v>2.9108758421559137E-2</v>
      </c>
      <c r="I9" s="15">
        <f>E9/D9</f>
        <v>2.0804812319538017</v>
      </c>
      <c r="J9" s="15">
        <f>15/7</f>
        <v>2.1428571428571428</v>
      </c>
      <c r="K9" s="15">
        <f t="shared" si="0"/>
        <v>-6.2375910903341047E-2</v>
      </c>
    </row>
    <row r="10" spans="2:12" x14ac:dyDescent="0.25">
      <c r="B10" s="15"/>
      <c r="C10" s="18" t="s">
        <v>16</v>
      </c>
      <c r="D10" s="23">
        <f>SUM(D6:D9)</f>
        <v>89906</v>
      </c>
      <c r="E10" s="19">
        <f>SUM(E6:E9)</f>
        <v>484295.06000000006</v>
      </c>
      <c r="F10" s="19">
        <f>SUM(F6:F9)</f>
        <v>744137.14285714284</v>
      </c>
      <c r="G10" s="19">
        <f>+E10-F10</f>
        <v>-259842.08285714278</v>
      </c>
      <c r="H10" s="20">
        <f>ABS(G10/F10)</f>
        <v>0.34918574533112168</v>
      </c>
      <c r="I10" s="19">
        <f>E10/D10</f>
        <v>5.3866823126376442</v>
      </c>
      <c r="J10" s="19">
        <f>F10/D10</f>
        <v>8.276835170702098</v>
      </c>
      <c r="K10" s="19">
        <f>I10-J10</f>
        <v>-2.8901528580644538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27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2025-04-28T03:10:42Z</dcterms:modified>
</cp:coreProperties>
</file>