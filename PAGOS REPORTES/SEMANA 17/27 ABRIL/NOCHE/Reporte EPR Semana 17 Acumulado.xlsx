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7 ABRIL\NOCHE\"/>
    </mc:Choice>
  </mc:AlternateContent>
  <xr:revisionPtr revIDLastSave="0" documentId="13_ncr:1_{27143221-445B-4810-ABBF-AC0913C6AE5E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7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J9" i="3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<sst xmlns="http://schemas.openxmlformats.org/spreadsheetml/2006/main" count="88" uniqueCount="37">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</sst>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zoomScaleNormal="100" workbookViewId="0">
      <selection activeCell="C5" sqref="C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4549</v>
      </c>
      <c r="D5" s="25">
        <v>654679.85000000009</v>
      </c>
    </row>
    <row r="6" spans="2:8" x14ac:dyDescent="0.25">
      <c r="B6" s="1" t="s">
        <v>5</v>
      </c>
      <c r="C6" s="6">
        <v>4585</v>
      </c>
      <c r="D6" s="25">
        <v>442716.92</v>
      </c>
    </row>
    <row r="7" spans="2:8" x14ac:dyDescent="0.25">
      <c r="B7" s="1" t="s">
        <v>6</v>
      </c>
      <c r="C7" s="6">
        <v>6196</v>
      </c>
      <c r="D7" s="25">
        <v>284767.83999999997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13440</v>
      </c>
      <c r="D9" s="25">
        <v>441254.47000000009</v>
      </c>
      <c r="E9" s="14"/>
      <c r="F9" s="7"/>
    </row>
    <row r="10" spans="2:8" x14ac:dyDescent="0.25">
      <c r="B10" s="3" t="s">
        <v>8</v>
      </c>
      <c r="C10" s="8">
        <f>SUM(C5:C9)</f>
        <v>28778</v>
      </c>
      <c r="D10" s="4">
        <f>SUM(D5:D9)</f>
        <v>1823419.08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3999</v>
      </c>
      <c r="D14" s="25">
        <v>462231.27000000014</v>
      </c>
    </row>
    <row r="15" spans="2:8" x14ac:dyDescent="0.25">
      <c r="B15" s="9" t="s">
        <v>5</v>
      </c>
      <c r="C15" s="6">
        <v>2325</v>
      </c>
      <c r="D15" s="25">
        <v>194708.8</v>
      </c>
    </row>
    <row r="16" spans="2:8" x14ac:dyDescent="0.25">
      <c r="B16" s="9" t="s">
        <v>6</v>
      </c>
      <c r="C16" s="6">
        <v>1808</v>
      </c>
      <c r="D16" s="25">
        <v>63833.429999999993</v>
      </c>
    </row>
    <row r="17" spans="2:11" x14ac:dyDescent="0.25">
      <c r="B17" s="9" t="s">
        <v>7</v>
      </c>
      <c r="C17" s="6">
        <v>9599</v>
      </c>
      <c r="D17" s="25">
        <v>55882.400000000001</v>
      </c>
    </row>
    <row r="18" spans="2:11" x14ac:dyDescent="0.25">
      <c r="B18" s="10" t="s">
        <v>8</v>
      </c>
      <c r="C18" s="8">
        <f>SUM(C14:C17)</f>
        <v>17731</v>
      </c>
      <c r="D18" s="4">
        <f>SUM(D14:D17)</f>
        <v>776655.9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2164</v>
      </c>
      <c r="D22" s="25">
        <v>235378.08</v>
      </c>
    </row>
    <row r="23" spans="2:11" x14ac:dyDescent="0.25">
      <c r="B23" s="1" t="s">
        <v>5</v>
      </c>
      <c r="C23" s="6">
        <v>1629</v>
      </c>
      <c r="D23" s="25">
        <v>136789.39000000001</v>
      </c>
    </row>
    <row r="24" spans="2:11" x14ac:dyDescent="0.25">
      <c r="B24" s="1" t="s">
        <v>6</v>
      </c>
      <c r="C24" s="6">
        <v>3098</v>
      </c>
      <c r="D24" s="25">
        <v>107077.6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21854</v>
      </c>
      <c r="D26" s="25">
        <v>181649.82</v>
      </c>
    </row>
    <row r="27" spans="2:11" x14ac:dyDescent="0.25">
      <c r="B27" s="3" t="s">
        <v>8</v>
      </c>
      <c r="C27" s="8">
        <f>SUM(C22:C26)</f>
        <v>28747</v>
      </c>
      <c r="D27" s="4">
        <f>SUM(D22:D26)</f>
        <v>660894.8899999999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336</v>
      </c>
      <c r="D31" s="25">
        <v>209902.61</v>
      </c>
    </row>
    <row r="32" spans="2:11" x14ac:dyDescent="0.25">
      <c r="B32" s="9" t="s">
        <v>5</v>
      </c>
      <c r="C32" s="6">
        <v>1314</v>
      </c>
      <c r="D32" s="25">
        <v>155431.26999999999</v>
      </c>
    </row>
    <row r="33" spans="2:4" x14ac:dyDescent="0.25">
      <c r="B33" s="9" t="s">
        <v>6</v>
      </c>
      <c r="C33" s="6">
        <v>2383</v>
      </c>
      <c r="D33" s="25">
        <v>59693.329999999994</v>
      </c>
    </row>
    <row r="34" spans="2:4" x14ac:dyDescent="0.25">
      <c r="B34" s="9" t="s">
        <v>7</v>
      </c>
      <c r="C34" s="6">
        <v>4264</v>
      </c>
      <c r="D34" s="25">
        <v>7082.51</v>
      </c>
    </row>
    <row r="35" spans="2:4" x14ac:dyDescent="0.25">
      <c r="B35" s="10" t="s">
        <v>8</v>
      </c>
      <c r="C35" s="8">
        <f>SUM(C31:C34)</f>
        <v>8297</v>
      </c>
      <c r="D35" s="4">
        <f>SUM(D31:D34)</f>
        <v>432109.72000000003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2039</v>
      </c>
      <c r="D39" s="25">
        <v>57505</v>
      </c>
    </row>
    <row r="40" spans="2:4" x14ac:dyDescent="0.25">
      <c r="B40" s="10" t="s">
        <v>8</v>
      </c>
      <c r="C40" s="8">
        <f>SUM(C39:C39)</f>
        <v>2039</v>
      </c>
      <c r="D40" s="4">
        <f>SUM(D39:D39)</f>
        <v>57505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2302</v>
      </c>
    </row>
    <row r="45" spans="2:4" x14ac:dyDescent="0.25">
      <c r="B45" s="1" t="s">
        <v>5</v>
      </c>
      <c r="C45" s="6">
        <v>347</v>
      </c>
      <c r="D45" s="25">
        <v>5886</v>
      </c>
    </row>
    <row r="46" spans="2:4" x14ac:dyDescent="0.25">
      <c r="B46" s="1" t="s">
        <v>6</v>
      </c>
      <c r="C46" s="6">
        <v>292</v>
      </c>
      <c r="D46" s="25">
        <v>1320</v>
      </c>
    </row>
    <row r="47" spans="2:4" x14ac:dyDescent="0.25">
      <c r="B47" s="1" t="s">
        <v>7</v>
      </c>
      <c r="C47" s="6">
        <v>1951</v>
      </c>
      <c r="D47" s="25">
        <v>24200.71</v>
      </c>
    </row>
    <row r="48" spans="2:4" x14ac:dyDescent="0.25">
      <c r="B48" s="3" t="s">
        <v>8</v>
      </c>
      <c r="C48" s="8">
        <f>SUM(C44:C47)</f>
        <v>2629</v>
      </c>
      <c r="D48" s="4">
        <f>SUM(D44:D47)</f>
        <v>33708.71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85</v>
      </c>
      <c r="D52" s="25">
        <v>1034.45</v>
      </c>
    </row>
    <row r="53" spans="2:4" x14ac:dyDescent="0.25">
      <c r="B53" s="1" t="s">
        <v>5</v>
      </c>
      <c r="C53" s="6">
        <v>169</v>
      </c>
      <c r="D53" s="25">
        <v>1500</v>
      </c>
    </row>
    <row r="54" spans="2:4" x14ac:dyDescent="0.25">
      <c r="B54" s="1" t="s">
        <v>6</v>
      </c>
      <c r="C54" s="6">
        <v>599</v>
      </c>
      <c r="D54" s="25">
        <v>1000</v>
      </c>
    </row>
    <row r="55" spans="2:4" x14ac:dyDescent="0.25">
      <c r="B55" s="1" t="s">
        <v>7</v>
      </c>
      <c r="C55" s="6">
        <v>842</v>
      </c>
      <c r="D55" s="25">
        <v>4086</v>
      </c>
    </row>
    <row r="56" spans="2:4" x14ac:dyDescent="0.25">
      <c r="B56" s="3" t="s">
        <v>8</v>
      </c>
      <c r="C56" s="8">
        <f>SUM(C52:C55)</f>
        <v>1695</v>
      </c>
      <c r="D56" s="4">
        <f>SUM(D52:D55)</f>
        <v>7620.45</v>
      </c>
    </row>
    <row r="58" spans="2:4" x14ac:dyDescent="0.25">
      <c r="B58" s="12" t="s">
        <v>13</v>
      </c>
      <c r="C58" s="13">
        <f>SUM(C10+C18+C35+C40+C27+C48+C56)</f>
        <v>89916</v>
      </c>
      <c r="D58" s="13">
        <f>SUM(D10+D18+D35+D40+D27+D48+D56)</f>
        <v>3791913.75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E9" sqref="E9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27 ABR'!C6, 'REPORTE DIARIO'!C:C)</f>
        <v>13211</v>
      </c>
      <c r="E6" s="16">
        <f>SUMIF('REPORTE DIARIO'!B:B,'EPR 27 ABR'!C6, 'REPORTE DIARIO'!D:D)</f>
        <v>1623033.26</v>
      </c>
      <c r="F6" s="16">
        <f>J6*D6</f>
        <v>2642200</v>
      </c>
      <c r="G6" s="16">
        <f>+E6-F6</f>
        <v>-1019166.74</v>
      </c>
      <c r="H6" s="15">
        <f>ABS(G6/F6)</f>
        <v>0.38572656876845052</v>
      </c>
      <c r="I6" s="16">
        <f>E6/D6</f>
        <v>122.8546862463099</v>
      </c>
      <c r="J6" s="16">
        <f>(200/7)*7</f>
        <v>200</v>
      </c>
      <c r="K6" s="16">
        <f>+I6-J6</f>
        <v>-77.145313753690104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27 ABR'!C7, 'REPORTE DIARIO'!C:C)</f>
        <v>10369</v>
      </c>
      <c r="E7" s="16">
        <f>SUMIF('REPORTE DIARIO'!B:B,'EPR 27 ABR'!C7, 'REPORTE DIARIO'!D:D)</f>
        <v>937032.38</v>
      </c>
      <c r="F7" s="16">
        <f>J7*D7</f>
        <v>1140590</v>
      </c>
      <c r="G7" s="16">
        <f>+E7-F7</f>
        <v>-203557.62</v>
      </c>
      <c r="H7" s="15">
        <f>ABS(G7/F7)</f>
        <v>0.17846695131467047</v>
      </c>
      <c r="I7" s="16">
        <f>E7/D7</f>
        <v>90.368635355386246</v>
      </c>
      <c r="J7" s="16">
        <f>(110/7)*7</f>
        <v>110</v>
      </c>
      <c r="K7" s="16">
        <f t="shared" ref="K7:K9" si="0">+I7-J7</f>
        <v>-19.631364644613754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27 ABR'!C8, 'REPORTE DIARIO'!C:C)</f>
        <v>14376</v>
      </c>
      <c r="E8" s="16">
        <f>SUMIF('REPORTE DIARIO'!B:B,'EPR 27 ABR'!C8, 'REPORTE DIARIO'!D:D)</f>
        <v>517692.2</v>
      </c>
      <c r="F8" s="16">
        <f>J8*D8</f>
        <v>646920</v>
      </c>
      <c r="G8" s="16">
        <f>+E8-F8</f>
        <v>-129227.79999999999</v>
      </c>
      <c r="H8" s="15">
        <f>ABS(G8/F8)</f>
        <v>0.19975854819761329</v>
      </c>
      <c r="I8" s="16">
        <f>E8/D8</f>
        <v>36.010865331107404</v>
      </c>
      <c r="J8" s="16">
        <f>(45/7)*7</f>
        <v>45</v>
      </c>
      <c r="K8" s="16">
        <f t="shared" si="0"/>
        <v>-8.9891346688925964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27 ABR'!C9, 'REPORTE DIARIO'!C:C)</f>
        <v>51950</v>
      </c>
      <c r="E9" s="16">
        <f>SUMIF('REPORTE DIARIO'!B:B,'EPR 27 ABR'!C9, 'REPORTE DIARIO'!D:D)</f>
        <v>714155.91000000015</v>
      </c>
      <c r="F9" s="16">
        <f>J9*D9</f>
        <v>779250</v>
      </c>
      <c r="G9" s="16">
        <f>+E9-F9</f>
        <v>-65094.089999999851</v>
      </c>
      <c r="H9" s="15">
        <f>ABS(G9/F9)</f>
        <v>8.353428296438864E-2</v>
      </c>
      <c r="I9" s="16">
        <f>E9/D9</f>
        <v>13.746985755534171</v>
      </c>
      <c r="J9" s="16">
        <f>(15/7)*7</f>
        <v>15</v>
      </c>
      <c r="K9" s="16">
        <f t="shared" si="0"/>
        <v>-1.2530142444658292</v>
      </c>
    </row>
    <row r="10" spans="2:12" x14ac:dyDescent="0.25">
      <c r="B10" s="16"/>
      <c r="C10" s="19" t="s">
        <v>17</v>
      </c>
      <c r="D10" s="24">
        <f>SUM(D6:D9)</f>
        <v>89906</v>
      </c>
      <c r="E10" s="20">
        <f>SUM(E6:E9)</f>
        <v>3791913.7500000005</v>
      </c>
      <c r="F10" s="20">
        <f>SUM(F6:F9)</f>
        <v>5208960</v>
      </c>
      <c r="G10" s="20">
        <f>+E10-F10</f>
        <v>-1417046.2499999995</v>
      </c>
      <c r="H10" s="21">
        <f>ABS(G10/F10)</f>
        <v>0.27204014812937699</v>
      </c>
      <c r="I10" s="20">
        <f>E10/D10</f>
        <v>42.176425933753038</v>
      </c>
      <c r="J10" s="20">
        <f>F10/D10</f>
        <v>57.937846194914691</v>
      </c>
      <c r="K10" s="20">
        <f>I10-J10</f>
        <v>-15.761420261161653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2025-04-29T22:45:23Z</dcterms:modified>
</cp:coreProperties>
</file>