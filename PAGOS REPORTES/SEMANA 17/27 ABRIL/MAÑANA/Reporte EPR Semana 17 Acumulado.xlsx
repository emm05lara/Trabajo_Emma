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17\27 ABRIL\MAÑANA\"/>
    </mc:Choice>
  </mc:AlternateContent>
  <xr:revisionPtr revIDLastSave="0" documentId="13_ncr:1_{71A620C9-8BEF-43B2-9C7E-BEA9E28D55BC}" xr6:coauthVersionLast="47" xr6:coauthVersionMax="47" xr10:uidLastSave="{00000000-0000-0000-0000-000000000000}"/>
  <bookViews>
    <workbookView xWindow="-108" yWindow="-108" windowWidth="23256" windowHeight="12456" activeTab="2" xr2:uid="{4DC6C92A-CD8A-4966-829B-0B6A986E825B}"/>
  </bookViews>
  <sheets>
    <sheet name="REPORTE DIARIO" sheetId="1" r:id="rId1"/>
    <sheet name="DATA" sheetId="4" r:id="rId2"/>
    <sheet name="EPR 25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6" i="1"/>
  <c r="C56" i="1"/>
  <c r="D48" i="1"/>
  <c r="C48" i="1"/>
  <c r="D27" i="1"/>
  <c r="C27" i="1"/>
  <c r="D40" i="1" l="1"/>
  <c r="C40" i="1"/>
  <c r="D35" i="1"/>
  <c r="C35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<sst xmlns="http://schemas.openxmlformats.org/spreadsheetml/2006/main" count="87" uniqueCount="36">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</sst>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45" zoomScaleNormal="100" workbookViewId="0">
      <selection activeCell="B3" sqref="B3:D58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6" t="s">
        <v>0</v>
      </c>
      <c r="C3" s="26"/>
      <c r="D3" s="26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4653</v>
      </c>
      <c r="D5" s="24">
        <v>569513.95000000007</v>
      </c>
    </row>
    <row r="6" spans="2:8" x14ac:dyDescent="0.3">
      <c r="B6" s="1" t="s">
        <v>5</v>
      </c>
      <c r="C6" s="6">
        <v>4676</v>
      </c>
      <c r="D6" s="24">
        <v>364551.57</v>
      </c>
    </row>
    <row r="7" spans="2:8" x14ac:dyDescent="0.3">
      <c r="B7" s="1" t="s">
        <v>6</v>
      </c>
      <c r="C7" s="6">
        <v>6102</v>
      </c>
      <c r="D7" s="24">
        <v>237916.83999999997</v>
      </c>
    </row>
    <row r="8" spans="2:8" x14ac:dyDescent="0.3">
      <c r="B8" s="5" t="s">
        <v>12</v>
      </c>
      <c r="C8" s="7">
        <v>8</v>
      </c>
      <c r="D8" s="25">
        <v>0</v>
      </c>
    </row>
    <row r="9" spans="2:8" x14ac:dyDescent="0.3">
      <c r="B9" s="1" t="s">
        <v>7</v>
      </c>
      <c r="C9" s="6">
        <v>13432</v>
      </c>
      <c r="D9" s="24">
        <v>371957.47000000009</v>
      </c>
      <c r="F9" s="7"/>
    </row>
    <row r="10" spans="2:8" x14ac:dyDescent="0.3">
      <c r="B10" s="3" t="s">
        <v>8</v>
      </c>
      <c r="C10" s="8">
        <f>SUM(C5:C9)</f>
        <v>28871</v>
      </c>
      <c r="D10" s="4">
        <f>SUM(D5:D9)</f>
        <v>1543939.83</v>
      </c>
    </row>
    <row r="12" spans="2:8" x14ac:dyDescent="0.3">
      <c r="B12" s="27" t="s">
        <v>10</v>
      </c>
      <c r="C12" s="27"/>
      <c r="D12" s="27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4108</v>
      </c>
      <c r="D14" s="24">
        <v>404583.43000000011</v>
      </c>
    </row>
    <row r="15" spans="2:8" x14ac:dyDescent="0.3">
      <c r="B15" s="9" t="s">
        <v>5</v>
      </c>
      <c r="C15" s="6">
        <v>2390</v>
      </c>
      <c r="D15" s="24">
        <v>182125</v>
      </c>
    </row>
    <row r="16" spans="2:8" x14ac:dyDescent="0.3">
      <c r="B16" s="9" t="s">
        <v>6</v>
      </c>
      <c r="C16" s="6">
        <v>1214</v>
      </c>
      <c r="D16" s="24">
        <v>56059.429999999993</v>
      </c>
    </row>
    <row r="17" spans="2:11" x14ac:dyDescent="0.3">
      <c r="B17" s="9" t="s">
        <v>7</v>
      </c>
      <c r="C17" s="6">
        <v>9597</v>
      </c>
      <c r="D17" s="24">
        <v>42686.400000000001</v>
      </c>
    </row>
    <row r="18" spans="2:11" x14ac:dyDescent="0.3">
      <c r="B18" s="10" t="s">
        <v>8</v>
      </c>
      <c r="C18" s="8">
        <f>SUM(C14:C17)</f>
        <v>17309</v>
      </c>
      <c r="D18" s="4">
        <f>SUM(D14:D17)</f>
        <v>685454.26000000013</v>
      </c>
    </row>
    <row r="20" spans="2:11" x14ac:dyDescent="0.3">
      <c r="B20" s="26" t="s">
        <v>31</v>
      </c>
      <c r="C20" s="26"/>
      <c r="D20" s="26"/>
    </row>
    <row r="21" spans="2:11" x14ac:dyDescent="0.3">
      <c r="B21" s="2" t="s">
        <v>1</v>
      </c>
      <c r="C21" s="2" t="s">
        <v>2</v>
      </c>
      <c r="D21" s="2" t="s">
        <v>3</v>
      </c>
    </row>
    <row r="22" spans="2:11" x14ac:dyDescent="0.3">
      <c r="B22" s="1" t="s">
        <v>4</v>
      </c>
      <c r="C22" s="6">
        <v>2318</v>
      </c>
      <c r="D22" s="24">
        <v>206272.94999999998</v>
      </c>
    </row>
    <row r="23" spans="2:11" x14ac:dyDescent="0.3">
      <c r="B23" s="1" t="s">
        <v>5</v>
      </c>
      <c r="C23" s="6">
        <v>1677</v>
      </c>
      <c r="D23" s="24">
        <v>119408.39</v>
      </c>
    </row>
    <row r="24" spans="2:11" x14ac:dyDescent="0.3">
      <c r="B24" s="1" t="s">
        <v>6</v>
      </c>
      <c r="C24" s="6">
        <v>3065</v>
      </c>
      <c r="D24" s="24">
        <v>99258.6</v>
      </c>
    </row>
    <row r="25" spans="2:11" x14ac:dyDescent="0.3">
      <c r="B25" s="5" t="s">
        <v>12</v>
      </c>
      <c r="C25" s="7">
        <v>2</v>
      </c>
      <c r="D25" s="25">
        <v>0</v>
      </c>
    </row>
    <row r="26" spans="2:11" x14ac:dyDescent="0.3">
      <c r="B26" s="1" t="s">
        <v>7</v>
      </c>
      <c r="C26" s="6">
        <v>21852</v>
      </c>
      <c r="D26" s="24">
        <v>160400.82</v>
      </c>
    </row>
    <row r="27" spans="2:11" x14ac:dyDescent="0.3">
      <c r="B27" s="3" t="s">
        <v>8</v>
      </c>
      <c r="C27" s="8">
        <f>SUM(C22:C26)</f>
        <v>28914</v>
      </c>
      <c r="D27" s="4">
        <f>SUM(D22:D26)</f>
        <v>585340.76</v>
      </c>
      <c r="K27" s="7"/>
    </row>
    <row r="29" spans="2:11" x14ac:dyDescent="0.3">
      <c r="B29" s="26" t="s">
        <v>9</v>
      </c>
      <c r="C29" s="26"/>
      <c r="D29" s="26"/>
    </row>
    <row r="30" spans="2:11" x14ac:dyDescent="0.3">
      <c r="B30" s="2" t="s">
        <v>1</v>
      </c>
      <c r="C30" s="2" t="s">
        <v>2</v>
      </c>
      <c r="D30" s="2" t="s">
        <v>3</v>
      </c>
    </row>
    <row r="31" spans="2:11" x14ac:dyDescent="0.3">
      <c r="B31" s="9" t="s">
        <v>4</v>
      </c>
      <c r="C31" s="6">
        <v>339</v>
      </c>
      <c r="D31" s="24">
        <v>197659.26</v>
      </c>
    </row>
    <row r="32" spans="2:11" x14ac:dyDescent="0.3">
      <c r="B32" s="9" t="s">
        <v>5</v>
      </c>
      <c r="C32" s="6">
        <v>1752</v>
      </c>
      <c r="D32" s="24">
        <v>146437.47</v>
      </c>
    </row>
    <row r="33" spans="2:4" x14ac:dyDescent="0.3">
      <c r="B33" s="9" t="s">
        <v>6</v>
      </c>
      <c r="C33" s="6">
        <v>2383</v>
      </c>
      <c r="D33" s="24">
        <v>57128.329999999994</v>
      </c>
    </row>
    <row r="34" spans="2:4" x14ac:dyDescent="0.3">
      <c r="B34" s="9" t="s">
        <v>7</v>
      </c>
      <c r="C34" s="6">
        <v>4264</v>
      </c>
      <c r="D34" s="24">
        <v>6344.51</v>
      </c>
    </row>
    <row r="35" spans="2:4" x14ac:dyDescent="0.3">
      <c r="B35" s="10" t="s">
        <v>8</v>
      </c>
      <c r="C35" s="8">
        <f>SUM(C31:C34)</f>
        <v>8738</v>
      </c>
      <c r="D35" s="4">
        <f>SUM(D31:D34)</f>
        <v>407569.57</v>
      </c>
    </row>
    <row r="37" spans="2:4" x14ac:dyDescent="0.3">
      <c r="B37" s="27" t="s">
        <v>11</v>
      </c>
      <c r="C37" s="27"/>
      <c r="D37" s="27"/>
    </row>
    <row r="38" spans="2:4" x14ac:dyDescent="0.3">
      <c r="B38" s="4" t="s">
        <v>1</v>
      </c>
      <c r="C38" s="4" t="s">
        <v>2</v>
      </c>
      <c r="D38" s="4" t="s">
        <v>3</v>
      </c>
    </row>
    <row r="39" spans="2:4" x14ac:dyDescent="0.3">
      <c r="B39" s="9" t="s">
        <v>4</v>
      </c>
      <c r="C39" s="6">
        <v>2083</v>
      </c>
      <c r="D39" s="24">
        <v>49136</v>
      </c>
    </row>
    <row r="40" spans="2:4" x14ac:dyDescent="0.3">
      <c r="B40" s="10" t="s">
        <v>8</v>
      </c>
      <c r="C40" s="8">
        <f>SUM(C39:C39)</f>
        <v>2083</v>
      </c>
      <c r="D40" s="4">
        <f>SUM(D39:D39)</f>
        <v>49136</v>
      </c>
    </row>
    <row r="42" spans="2:4" x14ac:dyDescent="0.3">
      <c r="B42" s="26" t="s">
        <v>32</v>
      </c>
      <c r="C42" s="26"/>
      <c r="D42" s="26"/>
    </row>
    <row r="43" spans="2:4" x14ac:dyDescent="0.3">
      <c r="B43" s="2" t="s">
        <v>1</v>
      </c>
      <c r="C43" s="2" t="s">
        <v>2</v>
      </c>
      <c r="D43" s="2" t="s">
        <v>3</v>
      </c>
    </row>
    <row r="44" spans="2:4" x14ac:dyDescent="0.3">
      <c r="B44" s="9" t="s">
        <v>4</v>
      </c>
      <c r="C44" s="6">
        <v>39</v>
      </c>
      <c r="D44" s="24">
        <v>2302</v>
      </c>
    </row>
    <row r="45" spans="2:4" x14ac:dyDescent="0.3">
      <c r="B45" s="1" t="s">
        <v>5</v>
      </c>
      <c r="C45" s="6">
        <v>330</v>
      </c>
      <c r="D45" s="24">
        <v>5886</v>
      </c>
    </row>
    <row r="46" spans="2:4" x14ac:dyDescent="0.3">
      <c r="B46" s="1" t="s">
        <v>6</v>
      </c>
      <c r="C46" s="6">
        <v>261</v>
      </c>
      <c r="D46" s="24">
        <v>1320</v>
      </c>
    </row>
    <row r="47" spans="2:4" x14ac:dyDescent="0.3">
      <c r="B47" s="1" t="s">
        <v>7</v>
      </c>
      <c r="C47" s="6">
        <v>1947</v>
      </c>
      <c r="D47" s="24">
        <v>22700.71</v>
      </c>
    </row>
    <row r="48" spans="2:4" x14ac:dyDescent="0.3">
      <c r="B48" s="3" t="s">
        <v>8</v>
      </c>
      <c r="C48" s="8">
        <f>SUM(C44:C47)</f>
        <v>2577</v>
      </c>
      <c r="D48" s="4">
        <f>SUM(D44:D47)</f>
        <v>32208.71</v>
      </c>
    </row>
    <row r="50" spans="2:4" x14ac:dyDescent="0.3">
      <c r="B50" s="26" t="s">
        <v>33</v>
      </c>
      <c r="C50" s="26"/>
      <c r="D50" s="26"/>
    </row>
    <row r="51" spans="2:4" x14ac:dyDescent="0.3">
      <c r="B51" s="2" t="s">
        <v>1</v>
      </c>
      <c r="C51" s="2" t="s">
        <v>2</v>
      </c>
      <c r="D51" s="2" t="s">
        <v>3</v>
      </c>
    </row>
    <row r="52" spans="2:4" x14ac:dyDescent="0.3">
      <c r="B52" s="9" t="s">
        <v>4</v>
      </c>
      <c r="C52" s="6">
        <v>85</v>
      </c>
      <c r="D52" s="24">
        <v>1034.45</v>
      </c>
    </row>
    <row r="53" spans="2:4" x14ac:dyDescent="0.3">
      <c r="B53" s="1" t="s">
        <v>5</v>
      </c>
      <c r="C53" s="6">
        <v>152</v>
      </c>
      <c r="D53" s="24">
        <v>1500</v>
      </c>
    </row>
    <row r="54" spans="2:4" x14ac:dyDescent="0.3">
      <c r="B54" s="1" t="s">
        <v>6</v>
      </c>
      <c r="C54" s="6">
        <v>566</v>
      </c>
      <c r="D54" s="24">
        <v>1000</v>
      </c>
    </row>
    <row r="55" spans="2:4" x14ac:dyDescent="0.3">
      <c r="B55" s="1" t="s">
        <v>7</v>
      </c>
      <c r="C55" s="6">
        <v>837</v>
      </c>
      <c r="D55" s="24">
        <v>2586</v>
      </c>
    </row>
    <row r="56" spans="2:4" x14ac:dyDescent="0.3">
      <c r="B56" s="3" t="s">
        <v>8</v>
      </c>
      <c r="C56" s="8">
        <f>SUM(C52:C55)</f>
        <v>1640</v>
      </c>
      <c r="D56" s="4">
        <f>SUM(D52:D55)</f>
        <v>6120.45</v>
      </c>
    </row>
    <row r="58" spans="2:4" x14ac:dyDescent="0.3">
      <c r="B58" s="11" t="s">
        <v>13</v>
      </c>
      <c r="C58" s="12">
        <f>SUM(C10+C18+C35+C40+C27+C48+C56)</f>
        <v>90132</v>
      </c>
      <c r="D58" s="12">
        <f>SUM(D10+D18+D35+D40+D27+D48+D56)</f>
        <v>3309769.58</v>
      </c>
    </row>
  </sheetData>
  <mergeCells count="7">
    <mergeCell ref="B50:D50"/>
    <mergeCell ref="B20:D20"/>
    <mergeCell ref="B42:D42"/>
    <mergeCell ref="B3:D3"/>
    <mergeCell ref="B12:D12"/>
    <mergeCell ref="B29:D29"/>
    <mergeCell ref="B37:D37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topLeftCell="B1" zoomScale="145" zoomScaleNormal="145" workbookViewId="0">
      <selection activeCell="B2" sqref="B2:K14"/>
    </sheetView>
  </sheetViews>
  <sheetFormatPr baseColWidth="10" defaultRowHeight="14.4" x14ac:dyDescent="0.3"/>
  <cols>
    <col min="2" max="2" width="18.109375" customWidth="1"/>
    <col min="3" max="3" width="34.441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7" t="s">
        <v>20</v>
      </c>
    </row>
    <row r="3" spans="2:12" x14ac:dyDescent="0.3">
      <c r="B3" s="16" t="s">
        <v>35</v>
      </c>
    </row>
    <row r="5" spans="2:12" x14ac:dyDescent="0.3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3">
      <c r="B6" s="15" t="s">
        <v>28</v>
      </c>
      <c r="C6" s="15" t="s">
        <v>4</v>
      </c>
      <c r="D6" s="22">
        <f>SUMIF('REPORTE DIARIO'!B:B,'EPR 25 ABR'!C6, 'REPORTE DIARIO'!C:C)</f>
        <v>13625</v>
      </c>
      <c r="E6" s="15">
        <f>SUMIF('REPORTE DIARIO'!B:B,'EPR 25 ABR'!C6, 'REPORTE DIARIO'!D:D)</f>
        <v>1430502.04</v>
      </c>
      <c r="F6" s="15">
        <f>J6*D6</f>
        <v>2725000</v>
      </c>
      <c r="G6" s="15">
        <f>+E6-F6</f>
        <v>-1294497.96</v>
      </c>
      <c r="H6" s="14">
        <f>ABS(G6/F6)</f>
        <v>0.47504512293577983</v>
      </c>
      <c r="I6" s="15">
        <f>E6/D6</f>
        <v>104.99097541284404</v>
      </c>
      <c r="J6" s="15">
        <f>(200/7)*7</f>
        <v>200</v>
      </c>
      <c r="K6" s="15">
        <f>+I6-J6</f>
        <v>-95.009024587155963</v>
      </c>
      <c r="L6" s="14"/>
    </row>
    <row r="7" spans="2:12" x14ac:dyDescent="0.3">
      <c r="B7" s="15" t="s">
        <v>29</v>
      </c>
      <c r="C7" s="15" t="s">
        <v>5</v>
      </c>
      <c r="D7" s="22">
        <f>SUMIF('REPORTE DIARIO'!B:B,'EPR 25 ABR'!C7, 'REPORTE DIARIO'!C:C)</f>
        <v>10977</v>
      </c>
      <c r="E7" s="15">
        <f>SUMIF('REPORTE DIARIO'!B:B,'EPR 25 ABR'!C7, 'REPORTE DIARIO'!D:D)</f>
        <v>819908.43</v>
      </c>
      <c r="F7" s="15">
        <f>J7*D7</f>
        <v>1207470</v>
      </c>
      <c r="G7" s="15">
        <f>+E7-F7</f>
        <v>-387561.56999999995</v>
      </c>
      <c r="H7" s="14">
        <f>ABS(G7/F7)</f>
        <v>0.3209699371412954</v>
      </c>
      <c r="I7" s="15">
        <f>E7/D7</f>
        <v>74.693306914457509</v>
      </c>
      <c r="J7" s="15">
        <f>(110/7)*7</f>
        <v>110</v>
      </c>
      <c r="K7" s="15">
        <f t="shared" ref="K7:K9" si="0">+I7-J7</f>
        <v>-35.306693085542491</v>
      </c>
      <c r="L7" s="14"/>
    </row>
    <row r="8" spans="2:12" x14ac:dyDescent="0.3">
      <c r="B8" s="15" t="s">
        <v>29</v>
      </c>
      <c r="C8" s="15" t="s">
        <v>6</v>
      </c>
      <c r="D8" s="22">
        <f>SUMIF('REPORTE DIARIO'!B:B,'EPR 25 ABR'!C8, 'REPORTE DIARIO'!C:C)</f>
        <v>13591</v>
      </c>
      <c r="E8" s="15">
        <f>SUMIF('REPORTE DIARIO'!B:B,'EPR 25 ABR'!C8, 'REPORTE DIARIO'!D:D)</f>
        <v>452683.2</v>
      </c>
      <c r="F8" s="15">
        <f>J8*D8</f>
        <v>611595</v>
      </c>
      <c r="G8" s="15">
        <f>+E8-F8</f>
        <v>-158911.79999999999</v>
      </c>
      <c r="H8" s="14">
        <f>ABS(G8/F8)</f>
        <v>0.25983175140411546</v>
      </c>
      <c r="I8" s="15">
        <f>E8/D8</f>
        <v>33.307571186814805</v>
      </c>
      <c r="J8" s="15">
        <f>(45/7)*7</f>
        <v>45</v>
      </c>
      <c r="K8" s="15">
        <f t="shared" si="0"/>
        <v>-11.692428813185195</v>
      </c>
      <c r="L8" s="14"/>
    </row>
    <row r="9" spans="2:12" x14ac:dyDescent="0.3">
      <c r="B9" s="15" t="s">
        <v>30</v>
      </c>
      <c r="C9" s="15" t="s">
        <v>7</v>
      </c>
      <c r="D9" s="22">
        <f>SUMIF('REPORTE DIARIO'!B:B,'EPR 25 ABR'!C9, 'REPORTE DIARIO'!C:C)</f>
        <v>51929</v>
      </c>
      <c r="E9" s="15">
        <f>SUMIF('REPORTE DIARIO'!B:B,'EPR 25 ABR'!C9, 'REPORTE DIARIO'!D:D)</f>
        <v>606675.91000000015</v>
      </c>
      <c r="F9" s="15">
        <f>J9*D9</f>
        <v>778935</v>
      </c>
      <c r="G9" s="15">
        <f>+E9-F9</f>
        <v>-172259.08999999985</v>
      </c>
      <c r="H9" s="14">
        <f>ABS(G9/F9)</f>
        <v>0.22114693780610686</v>
      </c>
      <c r="I9" s="15">
        <f>E9/D9</f>
        <v>11.682795932908396</v>
      </c>
      <c r="J9" s="15">
        <f>(15/7)*7</f>
        <v>15</v>
      </c>
      <c r="K9" s="15">
        <f t="shared" si="0"/>
        <v>-3.3172040670916036</v>
      </c>
    </row>
    <row r="10" spans="2:12" x14ac:dyDescent="0.3">
      <c r="B10" s="15"/>
      <c r="C10" s="18" t="s">
        <v>16</v>
      </c>
      <c r="D10" s="23">
        <f>SUM(D6:D9)</f>
        <v>90122</v>
      </c>
      <c r="E10" s="19">
        <f>SUM(E6:E9)</f>
        <v>3309769.5800000005</v>
      </c>
      <c r="F10" s="19">
        <f>SUM(F6:F9)</f>
        <v>5323000</v>
      </c>
      <c r="G10" s="19">
        <f>+E10-F10</f>
        <v>-2013230.4199999995</v>
      </c>
      <c r="H10" s="20">
        <f>ABS(G10/F10)</f>
        <v>0.37821349239150842</v>
      </c>
      <c r="I10" s="19">
        <f>E10/D10</f>
        <v>36.725434189210191</v>
      </c>
      <c r="J10" s="19">
        <f>F10/D10</f>
        <v>59.06437939681765</v>
      </c>
      <c r="K10" s="19">
        <f>I10-J10</f>
        <v>-22.338945207607459</v>
      </c>
    </row>
    <row r="12" spans="2:12" x14ac:dyDescent="0.3">
      <c r="B12" s="21" t="s">
        <v>23</v>
      </c>
      <c r="I12" s="13"/>
    </row>
    <row r="13" spans="2:12" x14ac:dyDescent="0.3">
      <c r="B13" t="s">
        <v>24</v>
      </c>
    </row>
    <row r="14" spans="2:12" x14ac:dyDescent="0.3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25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2025-04-27T16:01:07Z</cp:lastPrinted>
  <dcterms:created xsi:type="dcterms:W3CDTF">2025-01-27T15:11:28Z</dcterms:created>
  <dcterms:modified xsi:type="dcterms:W3CDTF">2025-04-27T16:01:10Z</dcterms:modified>
</cp:coreProperties>
</file>