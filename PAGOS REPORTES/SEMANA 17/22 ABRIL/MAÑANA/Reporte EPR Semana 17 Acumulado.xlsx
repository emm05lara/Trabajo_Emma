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7\22 ABRIL\MAÑANA\"/>
    </mc:Choice>
  </mc:AlternateContent>
  <xr:revisionPtr revIDLastSave="0" documentId="13_ncr:1_{34B6A146-C3CC-4A60-9B4D-C6F3CA28A909}" xr6:coauthVersionLast="47" xr6:coauthVersionMax="47" xr10:uidLastSave="{00000000-0000-0000-0000-000000000000}"/>
  <bookViews>
    <workbookView xWindow="8685" yWindow="8685" windowWidth="10770" windowHeight="10350" xr2:uid="{4DC6C92A-CD8A-4966-829B-0B6A986E825B}"/>
  </bookViews>
  <sheets>
    <sheet name="REPORTE DIARIO" sheetId="1" r:id="rId1"/>
    <sheet name="DATA" sheetId="4" r:id="rId2"/>
    <sheet name="EPR 22 AB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56" i="1"/>
  <c r="C56" i="1"/>
  <c r="D48" i="1"/>
  <c r="C48" i="1"/>
  <c r="D27" i="1"/>
  <c r="C27" i="1"/>
  <c r="D40" i="1" l="1"/>
  <c r="C40" i="1"/>
  <c r="D35" i="1"/>
  <c r="C35" i="1"/>
  <c r="D18" i="1"/>
  <c r="C18" i="1"/>
  <c r="D10" i="1"/>
  <c r="C10" i="1"/>
  <c r="D6" i="3"/>
  <c r="F6" i="3" s="1"/>
  <c r="E7" i="3"/>
  <c r="E8" i="3"/>
  <c r="E9" i="3"/>
  <c r="E6" i="3"/>
  <c r="D7" i="3"/>
  <c r="F7" i="3" s="1"/>
  <c r="D8" i="3"/>
  <c r="F8" i="3" s="1"/>
  <c r="D9" i="3"/>
  <c r="F9" i="3" s="1"/>
  <c r="D58" i="1" l="1"/>
  <c r="C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<sst xmlns="http://schemas.openxmlformats.org/spreadsheetml/2006/main" count="88" uniqueCount="37">
  <si>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</si>
  <si>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</si>
  <si>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</si>
  <si>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</si>
  <si>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</si>
  <si>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</si>
  <si>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</si>
  <si>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</si>
  <si>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</si>
  <si>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</si>
  <si>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</si>
  <si>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</si>
  <si>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</si>
  <si>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</si>
  <si>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</si>
  <si>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</si>
  <si>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</si>
  <si>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</si>
  <si>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</si>
  <si>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</si>
  <si>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</si>
  <si>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</si>
  <si>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</si>
  <si>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</si>
  <si>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</si>
  <si>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</si>
  <si>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</si>
  <si>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</si>
  <si>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</si>
  <si>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</si>
  <si>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</si>
  <si>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</si>
  <si>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SAMANTHA 2</t>
  </si>
  <si>
    <t>COBRANZA GENERAL  FEDERICO</t>
  </si>
  <si>
    <t>COBRANZA GENERAL  OLGUIN</t>
  </si>
  <si>
    <t>Samantha, Samantha 2, Sofia, Edith, Fernando, Olguin y Federico</t>
  </si>
  <si>
    <t>SALDO ACUMULADO SEMANA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</si>
</sst>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abSelected="1" topLeftCell="A34" zoomScaleNormal="100" workbookViewId="0">
      <selection activeCell="C56" sqref="C5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6552</v>
      </c>
      <c r="D5" s="25">
        <v>88200.92</v>
      </c>
    </row>
    <row r="6" spans="2:8" x14ac:dyDescent="0.25">
      <c r="B6" s="1" t="s">
        <v>5</v>
      </c>
      <c r="C6" s="6">
        <v>5184</v>
      </c>
      <c r="D6" s="25">
        <v>135328.56</v>
      </c>
    </row>
    <row r="7" spans="2:8" x14ac:dyDescent="0.25">
      <c r="B7" s="1" t="s">
        <v>6</v>
      </c>
      <c r="C7" s="6">
        <v>7224</v>
      </c>
      <c r="D7" s="25">
        <v>46919.020000000004</v>
      </c>
    </row>
    <row r="8" spans="2:8" x14ac:dyDescent="0.25">
      <c r="B8" s="5" t="s">
        <v>12</v>
      </c>
      <c r="C8" s="7">
        <v>21</v>
      </c>
      <c r="D8" s="26">
        <v>0</v>
      </c>
    </row>
    <row r="9" spans="2:8" x14ac:dyDescent="0.25">
      <c r="B9" s="1" t="s">
        <v>7</v>
      </c>
      <c r="C9" s="6">
        <v>21104</v>
      </c>
      <c r="D9" s="25">
        <v>61988.7</v>
      </c>
      <c r="F9" s="7"/>
    </row>
    <row r="10" spans="2:8" x14ac:dyDescent="0.25">
      <c r="B10" s="3" t="s">
        <v>8</v>
      </c>
      <c r="C10" s="8">
        <f>SUM(C5:C9)</f>
        <v>40085</v>
      </c>
      <c r="D10" s="4">
        <f>SUM(D5:D9)</f>
        <v>332437.2</v>
      </c>
      <c r="E10" s="11" t="s">
        <v>14</v>
      </c>
    </row>
    <row r="12" spans="2:8" x14ac:dyDescent="0.25">
      <c r="B12" s="28" t="s">
        <v>10</v>
      </c>
      <c r="C12" s="28"/>
      <c r="D12" s="28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2057</v>
      </c>
      <c r="D14" s="25">
        <v>48552.77</v>
      </c>
    </row>
    <row r="15" spans="2:8" x14ac:dyDescent="0.25">
      <c r="B15" s="9" t="s">
        <v>5</v>
      </c>
      <c r="C15" s="6">
        <v>2353</v>
      </c>
      <c r="D15" s="25">
        <v>29567</v>
      </c>
    </row>
    <row r="16" spans="2:8" x14ac:dyDescent="0.25">
      <c r="B16" s="9" t="s">
        <v>6</v>
      </c>
      <c r="C16" s="6">
        <v>1054</v>
      </c>
      <c r="D16" s="25">
        <v>4271</v>
      </c>
    </row>
    <row r="17" spans="2:11" x14ac:dyDescent="0.25">
      <c r="B17" s="9" t="s">
        <v>7</v>
      </c>
      <c r="C17" s="6">
        <v>9415</v>
      </c>
      <c r="D17" s="25">
        <v>4789</v>
      </c>
    </row>
    <row r="18" spans="2:11" x14ac:dyDescent="0.25">
      <c r="B18" s="10" t="s">
        <v>8</v>
      </c>
      <c r="C18" s="8">
        <f>SUM(C14:C17)</f>
        <v>14879</v>
      </c>
      <c r="D18" s="4">
        <f>SUM(D14:D17)</f>
        <v>87179.76999999999</v>
      </c>
    </row>
    <row r="20" spans="2:11" x14ac:dyDescent="0.25">
      <c r="B20" s="27" t="s">
        <v>32</v>
      </c>
      <c r="C20" s="27"/>
      <c r="D20" s="27"/>
    </row>
    <row r="21" spans="2:11" x14ac:dyDescent="0.25">
      <c r="B21" s="2" t="s">
        <v>1</v>
      </c>
      <c r="C21" s="2" t="s">
        <v>2</v>
      </c>
      <c r="D21" s="2" t="s">
        <v>3</v>
      </c>
    </row>
    <row r="22" spans="2:11" x14ac:dyDescent="0.25">
      <c r="B22" s="1" t="s">
        <v>4</v>
      </c>
      <c r="C22" s="6">
        <v>2419</v>
      </c>
      <c r="D22" s="25">
        <v>42812</v>
      </c>
    </row>
    <row r="23" spans="2:11" x14ac:dyDescent="0.25">
      <c r="B23" s="1" t="s">
        <v>5</v>
      </c>
      <c r="C23" s="6">
        <v>1625</v>
      </c>
      <c r="D23" s="25">
        <v>13981</v>
      </c>
    </row>
    <row r="24" spans="2:11" x14ac:dyDescent="0.25">
      <c r="B24" s="1" t="s">
        <v>6</v>
      </c>
      <c r="C24" s="6">
        <v>3348</v>
      </c>
      <c r="D24" s="25">
        <v>9718</v>
      </c>
    </row>
    <row r="25" spans="2:11" x14ac:dyDescent="0.25">
      <c r="B25" s="5" t="s">
        <v>12</v>
      </c>
      <c r="C25" s="6">
        <v>2</v>
      </c>
      <c r="D25" s="26">
        <v>0</v>
      </c>
    </row>
    <row r="26" spans="2:11" x14ac:dyDescent="0.25">
      <c r="B26" s="1" t="s">
        <v>7</v>
      </c>
      <c r="C26" s="7">
        <v>21642</v>
      </c>
      <c r="D26" s="25">
        <v>17367.71</v>
      </c>
    </row>
    <row r="27" spans="2:11" x14ac:dyDescent="0.25">
      <c r="B27" s="3" t="s">
        <v>8</v>
      </c>
      <c r="C27" s="8">
        <f>SUM(C22:C26)</f>
        <v>29036</v>
      </c>
      <c r="D27" s="4">
        <f>SUM(D22:D26)</f>
        <v>83878.709999999992</v>
      </c>
      <c r="K27" s="7"/>
    </row>
    <row r="29" spans="2:11" x14ac:dyDescent="0.25">
      <c r="B29" s="27" t="s">
        <v>9</v>
      </c>
      <c r="C29" s="27"/>
      <c r="D29" s="27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1349</v>
      </c>
      <c r="D31" s="25">
        <v>31469.8</v>
      </c>
    </row>
    <row r="32" spans="2:11" x14ac:dyDescent="0.25">
      <c r="B32" s="9" t="s">
        <v>5</v>
      </c>
      <c r="C32" s="6">
        <v>1929</v>
      </c>
      <c r="D32" s="25">
        <v>31587.75</v>
      </c>
    </row>
    <row r="33" spans="2:4" x14ac:dyDescent="0.25">
      <c r="B33" s="9" t="s">
        <v>6</v>
      </c>
      <c r="C33" s="6">
        <v>2534</v>
      </c>
      <c r="D33" s="25">
        <v>36003.519999999997</v>
      </c>
    </row>
    <row r="34" spans="2:4" x14ac:dyDescent="0.25">
      <c r="B34" s="9" t="s">
        <v>7</v>
      </c>
      <c r="C34" s="6">
        <v>4264</v>
      </c>
      <c r="D34" s="25">
        <v>1382</v>
      </c>
    </row>
    <row r="35" spans="2:4" x14ac:dyDescent="0.25">
      <c r="B35" s="10" t="s">
        <v>8</v>
      </c>
      <c r="C35" s="8">
        <f>SUM(C31:C34)</f>
        <v>10076</v>
      </c>
      <c r="D35" s="4">
        <f>SUM(D31:D34)</f>
        <v>100443.07</v>
      </c>
    </row>
    <row r="37" spans="2:4" x14ac:dyDescent="0.25">
      <c r="B37" s="28" t="s">
        <v>11</v>
      </c>
      <c r="C37" s="28"/>
      <c r="D37" s="28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1324</v>
      </c>
      <c r="D39" s="25">
        <v>17696</v>
      </c>
    </row>
    <row r="40" spans="2:4" x14ac:dyDescent="0.25">
      <c r="B40" s="10" t="s">
        <v>8</v>
      </c>
      <c r="C40" s="8">
        <f>SUM(C39:C39)</f>
        <v>1324</v>
      </c>
      <c r="D40" s="4">
        <f>SUM(D39:D39)</f>
        <v>17696</v>
      </c>
    </row>
    <row r="42" spans="2:4" x14ac:dyDescent="0.25">
      <c r="B42" s="27" t="s">
        <v>33</v>
      </c>
      <c r="C42" s="27"/>
      <c r="D42" s="27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>
        <v>39</v>
      </c>
      <c r="D44" s="25">
        <v>1144</v>
      </c>
    </row>
    <row r="45" spans="2:4" x14ac:dyDescent="0.25">
      <c r="B45" s="1" t="s">
        <v>5</v>
      </c>
      <c r="C45" s="6">
        <v>322</v>
      </c>
      <c r="D45" s="25">
        <v>1923</v>
      </c>
    </row>
    <row r="46" spans="2:4" x14ac:dyDescent="0.25">
      <c r="B46" s="1" t="s">
        <v>6</v>
      </c>
      <c r="C46" s="6">
        <v>255</v>
      </c>
      <c r="D46" s="26">
        <v>0</v>
      </c>
    </row>
    <row r="47" spans="2:4" x14ac:dyDescent="0.25">
      <c r="B47" s="1" t="s">
        <v>7</v>
      </c>
      <c r="C47" s="6">
        <v>1930</v>
      </c>
      <c r="D47" s="25">
        <v>1984</v>
      </c>
    </row>
    <row r="48" spans="2:4" x14ac:dyDescent="0.25">
      <c r="B48" s="3" t="s">
        <v>8</v>
      </c>
      <c r="C48" s="8">
        <f>SUM(C44:C47)</f>
        <v>2546</v>
      </c>
      <c r="D48" s="4">
        <f>SUM(D44:D47)</f>
        <v>5051</v>
      </c>
    </row>
    <row r="50" spans="2:4" x14ac:dyDescent="0.25">
      <c r="B50" s="27" t="s">
        <v>34</v>
      </c>
      <c r="C50" s="27"/>
      <c r="D50" s="27"/>
    </row>
    <row r="51" spans="2:4" x14ac:dyDescent="0.25">
      <c r="B51" s="2" t="s">
        <v>1</v>
      </c>
      <c r="C51" s="2" t="s">
        <v>2</v>
      </c>
      <c r="D51" s="2" t="s">
        <v>3</v>
      </c>
    </row>
    <row r="52" spans="2:4" x14ac:dyDescent="0.25">
      <c r="B52" s="9" t="s">
        <v>4</v>
      </c>
      <c r="C52" s="6">
        <v>86</v>
      </c>
      <c r="D52" s="26">
        <v>0</v>
      </c>
    </row>
    <row r="53" spans="2:4" x14ac:dyDescent="0.25">
      <c r="B53" s="1" t="s">
        <v>5</v>
      </c>
      <c r="C53" s="6">
        <v>91</v>
      </c>
      <c r="D53" s="26">
        <v>0</v>
      </c>
    </row>
    <row r="54" spans="2:4" x14ac:dyDescent="0.25">
      <c r="B54" s="1" t="s">
        <v>6</v>
      </c>
      <c r="C54" s="6">
        <v>412</v>
      </c>
      <c r="D54" s="26">
        <v>0</v>
      </c>
    </row>
    <row r="55" spans="2:4" x14ac:dyDescent="0.25">
      <c r="B55" s="1" t="s">
        <v>7</v>
      </c>
      <c r="C55" s="6">
        <v>505</v>
      </c>
      <c r="D55" s="26">
        <v>0</v>
      </c>
    </row>
    <row r="56" spans="2:4" x14ac:dyDescent="0.25">
      <c r="B56" s="3" t="s">
        <v>8</v>
      </c>
      <c r="C56" s="8">
        <f>SUM(C52:C55)</f>
        <v>1094</v>
      </c>
      <c r="D56" s="4">
        <f>SUM(D52:D55)</f>
        <v>0</v>
      </c>
    </row>
    <row r="58" spans="2:4" x14ac:dyDescent="0.25">
      <c r="B58" s="12" t="s">
        <v>13</v>
      </c>
      <c r="C58" s="13">
        <f>SUM(C10+C18+C35+C40+C27+C48+C56)</f>
        <v>99040</v>
      </c>
      <c r="D58" s="13">
        <f>SUM(D10+D18+D35+D40+D27+D48+D56)</f>
        <v>626685.75</v>
      </c>
    </row>
  </sheetData>
  <mergeCells count="7">
    <mergeCell ref="B50:D50"/>
    <mergeCell ref="B20:D20"/>
    <mergeCell ref="B42:D42"/>
    <mergeCell ref="B3:D3"/>
    <mergeCell ref="B12:D12"/>
    <mergeCell ref="B29:D29"/>
    <mergeCell ref="B37:D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J10" sqref="J10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6" t="s">
        <v>4</v>
      </c>
      <c r="D6" s="23">
        <f>SUMIF('REPORTE DIARIO'!B:B,'EPR 22 ABR'!C6, 'REPORTE DIARIO'!C:C)</f>
        <v>13826</v>
      </c>
      <c r="E6" s="16">
        <f>SUMIF('REPORTE DIARIO'!B:B,'EPR 22 ABR'!C6, 'REPORTE DIARIO'!D:D)</f>
        <v>229875.49</v>
      </c>
      <c r="F6" s="16">
        <f>J6*D6</f>
        <v>790057.14285714296</v>
      </c>
      <c r="G6" s="16">
        <f>+E6-F6</f>
        <v>-560181.65285714297</v>
      </c>
      <c r="H6" s="15">
        <f>ABS(G6/F6)</f>
        <v>0.7090394130623463</v>
      </c>
      <c r="I6" s="16">
        <f>E6/D6</f>
        <v>16.62631925358021</v>
      </c>
      <c r="J6" s="16">
        <f>(200/7)*2</f>
        <v>57.142857142857146</v>
      </c>
      <c r="K6" s="16">
        <f>+I6-J6</f>
        <v>-40.516537889276933</v>
      </c>
      <c r="L6" s="15"/>
    </row>
    <row r="7" spans="2:12" x14ac:dyDescent="0.25">
      <c r="B7" s="16" t="s">
        <v>30</v>
      </c>
      <c r="C7" s="16" t="s">
        <v>5</v>
      </c>
      <c r="D7" s="23">
        <f>SUMIF('REPORTE DIARIO'!B:B,'EPR 22 ABR'!C7, 'REPORTE DIARIO'!C:C)</f>
        <v>11504</v>
      </c>
      <c r="E7" s="16">
        <f>SUMIF('REPORTE DIARIO'!B:B,'EPR 22 ABR'!C7, 'REPORTE DIARIO'!D:D)</f>
        <v>212387.31</v>
      </c>
      <c r="F7" s="16">
        <f>J7*D7</f>
        <v>361554.28571428568</v>
      </c>
      <c r="G7" s="16">
        <f>+E7-F7</f>
        <v>-149166.97571428568</v>
      </c>
      <c r="H7" s="15">
        <f>ABS(G7/F7)</f>
        <v>0.41257144945631552</v>
      </c>
      <c r="I7" s="16">
        <f>E7/D7</f>
        <v>18.462040159944365</v>
      </c>
      <c r="J7" s="16">
        <f>(110/7)*2</f>
        <v>31.428571428571427</v>
      </c>
      <c r="K7" s="16">
        <f t="shared" ref="K7:K9" si="0">+I7-J7</f>
        <v>-12.966531268627062</v>
      </c>
      <c r="L7" s="15"/>
    </row>
    <row r="8" spans="2:12" x14ac:dyDescent="0.25">
      <c r="B8" s="16" t="s">
        <v>30</v>
      </c>
      <c r="C8" s="16" t="s">
        <v>6</v>
      </c>
      <c r="D8" s="23">
        <f>SUMIF('REPORTE DIARIO'!B:B,'EPR 22 ABR'!C8, 'REPORTE DIARIO'!C:C)</f>
        <v>14827</v>
      </c>
      <c r="E8" s="16">
        <f>SUMIF('REPORTE DIARIO'!B:B,'EPR 22 ABR'!C8, 'REPORTE DIARIO'!D:D)</f>
        <v>96911.540000000008</v>
      </c>
      <c r="F8" s="16">
        <f>J8*D8</f>
        <v>190632.85714285716</v>
      </c>
      <c r="G8" s="16">
        <f>+E8-F8</f>
        <v>-93721.317142857151</v>
      </c>
      <c r="H8" s="15">
        <f>ABS(G8/F8)</f>
        <v>0.4916325472299034</v>
      </c>
      <c r="I8" s="16">
        <f>E8/D8</f>
        <v>6.5361529641869565</v>
      </c>
      <c r="J8" s="16">
        <f>(45/7)*2</f>
        <v>12.857142857142858</v>
      </c>
      <c r="K8" s="16">
        <f t="shared" si="0"/>
        <v>-6.3209898929559012</v>
      </c>
      <c r="L8" s="15"/>
    </row>
    <row r="9" spans="2:12" x14ac:dyDescent="0.25">
      <c r="B9" s="16" t="s">
        <v>31</v>
      </c>
      <c r="C9" s="16" t="s">
        <v>7</v>
      </c>
      <c r="D9" s="23">
        <f>SUMIF('REPORTE DIARIO'!B:B,'EPR 22 ABR'!C9, 'REPORTE DIARIO'!C:C)</f>
        <v>58860</v>
      </c>
      <c r="E9" s="16">
        <f>SUMIF('REPORTE DIARIO'!B:B,'EPR 22 ABR'!C9, 'REPORTE DIARIO'!D:D)</f>
        <v>87511.41</v>
      </c>
      <c r="F9" s="16">
        <f>J9*D9</f>
        <v>252257.14285714284</v>
      </c>
      <c r="G9" s="16">
        <f>+E9-F9</f>
        <v>-164745.73285714284</v>
      </c>
      <c r="H9" s="15">
        <f>ABS(G9/F9)</f>
        <v>0.65308649337410807</v>
      </c>
      <c r="I9" s="16">
        <f>E9/D9</f>
        <v>1.4867721712538227</v>
      </c>
      <c r="J9" s="16">
        <f>(15/7)*2</f>
        <v>4.2857142857142856</v>
      </c>
      <c r="K9" s="16">
        <f t="shared" si="0"/>
        <v>-2.7989421144604627</v>
      </c>
    </row>
    <row r="10" spans="2:12" x14ac:dyDescent="0.25">
      <c r="B10" s="16"/>
      <c r="C10" s="19" t="s">
        <v>17</v>
      </c>
      <c r="D10" s="24">
        <f>SUM(D6:D9)</f>
        <v>99017</v>
      </c>
      <c r="E10" s="20">
        <f>SUM(E6:E9)</f>
        <v>626685.75</v>
      </c>
      <c r="F10" s="20">
        <f>SUM(F6:F9)</f>
        <v>1594501.4285714286</v>
      </c>
      <c r="G10" s="20">
        <f>+E10-F10</f>
        <v>-967815.67857142864</v>
      </c>
      <c r="H10" s="21">
        <f>ABS(G10/F10)</f>
        <v>0.60697071901561706</v>
      </c>
      <c r="I10" s="20">
        <f>E10/D10</f>
        <v>6.3290722805174866</v>
      </c>
      <c r="J10" s="20">
        <f>F10/D10</f>
        <v>16.103309821257245</v>
      </c>
      <c r="K10" s="20">
        <f>I10-J10</f>
        <v>-9.7742375407397581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35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22 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2025-04-13T02:12:51Z</cp:lastPrinted>
  <dcterms:created xsi:type="dcterms:W3CDTF">2025-01-27T15:11:28Z</dcterms:created>
  <dcterms:modified xsi:type="dcterms:W3CDTF">2025-04-22T15:49:17Z</dcterms:modified>
</cp:coreProperties>
</file>