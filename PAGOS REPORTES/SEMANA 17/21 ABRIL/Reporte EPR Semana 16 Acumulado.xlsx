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7\21 ABRIL\"/>
    </mc:Choice>
  </mc:AlternateContent>
  <xr:revisionPtr revIDLastSave="0" documentId="13_ncr:1_{6ADC386B-D532-46BC-89B4-CE2C7225153C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2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<sst xmlns="http://schemas.openxmlformats.org/spreadsheetml/2006/main" count="88" uniqueCount="37">
  <si>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</si>
  <si>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</si>
  <si>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</si>
  <si>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</si>
  <si>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</si>
  <si>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</si>
  <si>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</si>
  <si>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</si>
  <si>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</si>
  <si>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</si>
  <si>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</si>
  <si>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</si>
  <si>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</si>
  <si>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</si>
  <si>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</si>
  <si>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</si>
  <si>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</si>
  <si>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</si>
  <si>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</si>
  <si>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</si>
  <si>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</si>
  <si>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</si>
  <si>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</si>
  <si>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</si>
  <si>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</si>
  <si>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</si>
  <si>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</si>
  <si>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</si>
  <si>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</si>
  <si>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</si>
  <si>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</si>
  <si>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</si>
  <si>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</si>
  <si>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</si>
  <si>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16</t>
  </si>
  <si>
    <t>COBRANZA GENERAL  OLGUIN</t>
  </si>
  <si>
    <t>Samantha, Samantha 2, Sofia, Edith, Fernando, Olguin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</si>
</sst>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58" zoomScaleNormal="100" workbookViewId="0">
      <selection activeCell="B3" sqref="B3:D5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6535</v>
      </c>
      <c r="D5" s="25">
        <v>605819.71000000031</v>
      </c>
    </row>
    <row r="6" spans="2:8" x14ac:dyDescent="0.3">
      <c r="B6" s="1" t="s">
        <v>5</v>
      </c>
      <c r="C6" s="6">
        <v>5154</v>
      </c>
      <c r="D6" s="25">
        <v>558820.27999999991</v>
      </c>
    </row>
    <row r="7" spans="2:8" x14ac:dyDescent="0.3">
      <c r="B7" s="1" t="s">
        <v>6</v>
      </c>
      <c r="C7" s="6">
        <v>7219</v>
      </c>
      <c r="D7" s="25">
        <v>266292.58</v>
      </c>
    </row>
    <row r="8" spans="2:8" x14ac:dyDescent="0.3">
      <c r="B8" s="5" t="s">
        <v>12</v>
      </c>
      <c r="C8" s="7">
        <v>21</v>
      </c>
      <c r="D8" s="26">
        <v>0</v>
      </c>
    </row>
    <row r="9" spans="2:8" x14ac:dyDescent="0.3">
      <c r="B9" s="1" t="s">
        <v>7</v>
      </c>
      <c r="C9" s="6">
        <v>21101</v>
      </c>
      <c r="D9" s="25">
        <v>454306.64999999997</v>
      </c>
      <c r="F9" s="7"/>
    </row>
    <row r="10" spans="2:8" x14ac:dyDescent="0.3">
      <c r="B10" s="3" t="s">
        <v>8</v>
      </c>
      <c r="C10" s="8">
        <f>SUM(C5:C9)</f>
        <v>40030</v>
      </c>
      <c r="D10" s="4">
        <f>SUM(D5:D9)</f>
        <v>1885239.2200000002</v>
      </c>
      <c r="E10" s="11" t="s">
        <v>14</v>
      </c>
    </row>
    <row r="12" spans="2:8" x14ac:dyDescent="0.3">
      <c r="B12" s="27" t="s">
        <v>32</v>
      </c>
      <c r="C12" s="27"/>
      <c r="D12" s="27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2386</v>
      </c>
      <c r="D14" s="25">
        <v>313976.68</v>
      </c>
    </row>
    <row r="15" spans="2:8" x14ac:dyDescent="0.3">
      <c r="B15" s="1" t="s">
        <v>5</v>
      </c>
      <c r="C15" s="6">
        <v>1567</v>
      </c>
      <c r="D15" s="25">
        <v>119699.63</v>
      </c>
    </row>
    <row r="16" spans="2:8" x14ac:dyDescent="0.3">
      <c r="B16" s="1" t="s">
        <v>6</v>
      </c>
      <c r="C16" s="6">
        <v>3330</v>
      </c>
      <c r="D16" s="25">
        <v>69530</v>
      </c>
    </row>
    <row r="17" spans="2:11" x14ac:dyDescent="0.3">
      <c r="B17" s="5" t="s">
        <v>12</v>
      </c>
      <c r="C17" s="7">
        <v>2</v>
      </c>
      <c r="D17" s="26">
        <v>0</v>
      </c>
    </row>
    <row r="18" spans="2:11" x14ac:dyDescent="0.3">
      <c r="B18" s="1" t="s">
        <v>7</v>
      </c>
      <c r="C18" s="6">
        <v>21630</v>
      </c>
      <c r="D18" s="25">
        <v>169863.61</v>
      </c>
    </row>
    <row r="19" spans="2:11" x14ac:dyDescent="0.3">
      <c r="B19" s="3" t="s">
        <v>8</v>
      </c>
      <c r="C19" s="8">
        <f>SUM(C14:C18)</f>
        <v>28915</v>
      </c>
      <c r="D19" s="4">
        <f>SUM(D14:D18)</f>
        <v>673069.91999999993</v>
      </c>
    </row>
    <row r="21" spans="2:11" x14ac:dyDescent="0.3">
      <c r="B21" s="28" t="s">
        <v>10</v>
      </c>
      <c r="C21" s="28"/>
      <c r="D21" s="28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2042</v>
      </c>
      <c r="D23" s="25">
        <v>348046.45</v>
      </c>
    </row>
    <row r="24" spans="2:11" x14ac:dyDescent="0.3">
      <c r="B24" s="9" t="s">
        <v>5</v>
      </c>
      <c r="C24" s="6">
        <v>2296</v>
      </c>
      <c r="D24" s="25">
        <v>229550.95</v>
      </c>
    </row>
    <row r="25" spans="2:11" x14ac:dyDescent="0.3">
      <c r="B25" s="9" t="s">
        <v>6</v>
      </c>
      <c r="C25" s="6">
        <v>1037</v>
      </c>
      <c r="D25" s="25">
        <v>43518.36</v>
      </c>
    </row>
    <row r="26" spans="2:11" x14ac:dyDescent="0.3">
      <c r="B26" s="9" t="s">
        <v>7</v>
      </c>
      <c r="C26" s="6">
        <v>9411</v>
      </c>
      <c r="D26" s="25">
        <v>51248.25</v>
      </c>
    </row>
    <row r="27" spans="2:11" x14ac:dyDescent="0.3">
      <c r="B27" s="10" t="s">
        <v>8</v>
      </c>
      <c r="C27" s="8">
        <f>SUM(C23:C26)</f>
        <v>14786</v>
      </c>
      <c r="D27" s="4">
        <f>SUM(D23:D26)</f>
        <v>672364.01</v>
      </c>
      <c r="K27" s="7"/>
    </row>
    <row r="29" spans="2:11" x14ac:dyDescent="0.3">
      <c r="B29" s="27" t="s">
        <v>9</v>
      </c>
      <c r="C29" s="27"/>
      <c r="D29" s="27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1349</v>
      </c>
      <c r="D31" s="25">
        <v>147760.03</v>
      </c>
    </row>
    <row r="32" spans="2:11" x14ac:dyDescent="0.3">
      <c r="B32" s="9" t="s">
        <v>5</v>
      </c>
      <c r="C32" s="6">
        <v>1928</v>
      </c>
      <c r="D32" s="25">
        <v>123813.78</v>
      </c>
    </row>
    <row r="33" spans="2:4" x14ac:dyDescent="0.3">
      <c r="B33" s="9" t="s">
        <v>6</v>
      </c>
      <c r="C33" s="6">
        <v>2518</v>
      </c>
      <c r="D33" s="25">
        <v>13499</v>
      </c>
    </row>
    <row r="34" spans="2:4" x14ac:dyDescent="0.3">
      <c r="B34" s="9" t="s">
        <v>7</v>
      </c>
      <c r="C34" s="6">
        <v>4264</v>
      </c>
      <c r="D34" s="25">
        <v>6640.29</v>
      </c>
    </row>
    <row r="35" spans="2:4" x14ac:dyDescent="0.3">
      <c r="B35" s="10" t="s">
        <v>8</v>
      </c>
      <c r="C35" s="8">
        <f>SUM(C31:C34)</f>
        <v>10059</v>
      </c>
      <c r="D35" s="4">
        <f>SUM(D31:D34)</f>
        <v>291713.09999999998</v>
      </c>
    </row>
    <row r="37" spans="2:4" x14ac:dyDescent="0.3">
      <c r="B37" s="28" t="s">
        <v>11</v>
      </c>
      <c r="C37" s="28"/>
      <c r="D37" s="28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1324</v>
      </c>
      <c r="D39" s="25">
        <v>79748.87000000001</v>
      </c>
    </row>
    <row r="40" spans="2:4" x14ac:dyDescent="0.3">
      <c r="B40" s="10" t="s">
        <v>8</v>
      </c>
      <c r="C40" s="8">
        <f>SUM(C39:C39)</f>
        <v>1324</v>
      </c>
      <c r="D40" s="4">
        <f>SUM(D39:D39)</f>
        <v>79748.87000000001</v>
      </c>
    </row>
    <row r="42" spans="2:4" x14ac:dyDescent="0.3">
      <c r="B42" s="27" t="s">
        <v>33</v>
      </c>
      <c r="C42" s="27"/>
      <c r="D42" s="27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39</v>
      </c>
      <c r="D44" s="25">
        <v>5500</v>
      </c>
    </row>
    <row r="45" spans="2:4" x14ac:dyDescent="0.3">
      <c r="B45" s="1" t="s">
        <v>5</v>
      </c>
      <c r="C45" s="6">
        <v>318</v>
      </c>
      <c r="D45" s="25">
        <v>19213</v>
      </c>
    </row>
    <row r="46" spans="2:4" x14ac:dyDescent="0.3">
      <c r="B46" s="1" t="s">
        <v>6</v>
      </c>
      <c r="C46" s="6">
        <v>255</v>
      </c>
      <c r="D46" s="25">
        <v>546</v>
      </c>
    </row>
    <row r="47" spans="2:4" x14ac:dyDescent="0.3">
      <c r="B47" s="1" t="s">
        <v>7</v>
      </c>
      <c r="C47" s="6">
        <v>1930</v>
      </c>
      <c r="D47" s="25">
        <v>15971</v>
      </c>
    </row>
    <row r="48" spans="2:4" x14ac:dyDescent="0.3">
      <c r="B48" s="3" t="s">
        <v>8</v>
      </c>
      <c r="C48" s="8">
        <f>SUM(C44:C47)</f>
        <v>2542</v>
      </c>
      <c r="D48" s="4">
        <f>SUM(D44:D47)</f>
        <v>41230</v>
      </c>
    </row>
    <row r="50" spans="2:4" x14ac:dyDescent="0.3">
      <c r="B50" s="27" t="s">
        <v>35</v>
      </c>
      <c r="C50" s="27"/>
      <c r="D50" s="27"/>
    </row>
    <row r="51" spans="2:4" x14ac:dyDescent="0.3">
      <c r="B51" s="2" t="s">
        <v>1</v>
      </c>
      <c r="C51" s="2" t="s">
        <v>2</v>
      </c>
      <c r="D51" s="2" t="s">
        <v>3</v>
      </c>
    </row>
    <row r="52" spans="2:4" x14ac:dyDescent="0.3">
      <c r="B52" s="9" t="s">
        <v>4</v>
      </c>
      <c r="C52" s="6">
        <v>59</v>
      </c>
      <c r="D52" s="26">
        <v>0</v>
      </c>
    </row>
    <row r="53" spans="2:4" x14ac:dyDescent="0.3">
      <c r="B53" s="1" t="s">
        <v>5</v>
      </c>
      <c r="C53" s="6">
        <v>74</v>
      </c>
      <c r="D53" s="25">
        <v>2000</v>
      </c>
    </row>
    <row r="54" spans="2:4" x14ac:dyDescent="0.3">
      <c r="B54" s="1" t="s">
        <v>6</v>
      </c>
      <c r="C54" s="6">
        <v>323</v>
      </c>
      <c r="D54" s="25">
        <v>1000</v>
      </c>
    </row>
    <row r="55" spans="2:4" x14ac:dyDescent="0.3">
      <c r="B55" s="1" t="s">
        <v>7</v>
      </c>
      <c r="C55" s="6">
        <v>442</v>
      </c>
      <c r="D55" s="25">
        <v>1500</v>
      </c>
    </row>
    <row r="56" spans="2:4" x14ac:dyDescent="0.3">
      <c r="B56" s="3" t="s">
        <v>8</v>
      </c>
      <c r="C56" s="8">
        <f>SUM(C52:C55)</f>
        <v>898</v>
      </c>
      <c r="D56" s="4">
        <f>SUM(D52:D55)</f>
        <v>4500</v>
      </c>
    </row>
    <row r="58" spans="2:4" x14ac:dyDescent="0.3">
      <c r="B58" s="12" t="s">
        <v>13</v>
      </c>
      <c r="C58" s="13">
        <f>SUM(C10+C27+C35+C40+C19+C48+C56)</f>
        <v>98554</v>
      </c>
      <c r="D58" s="13">
        <f>SUM(D10+D27+D35+D40+D19+D48+D56)</f>
        <v>3647865.1200000006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C1" zoomScale="145" zoomScaleNormal="145" workbookViewId="0">
      <selection activeCell="B2" sqref="B2:K14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34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6" t="s">
        <v>4</v>
      </c>
      <c r="D6" s="23">
        <f>SUMIF('REPORTE DIARIO'!B:B,'EPR 20 ABR'!C6, 'REPORTE DIARIO'!C:C)</f>
        <v>13734</v>
      </c>
      <c r="E6" s="16">
        <f>SUMIF('REPORTE DIARIO'!B:B,'EPR 20 ABR'!C6, 'REPORTE DIARIO'!D:D)</f>
        <v>1500851.7400000005</v>
      </c>
      <c r="F6" s="16">
        <f>J6*D6</f>
        <v>2746800</v>
      </c>
      <c r="G6" s="16">
        <f>+E6-F6</f>
        <v>-1245948.2599999995</v>
      </c>
      <c r="H6" s="15">
        <f>ABS(G6/F6)</f>
        <v>0.45359991990680049</v>
      </c>
      <c r="I6" s="16">
        <f>E6/D6</f>
        <v>109.2800160186399</v>
      </c>
      <c r="J6" s="16">
        <f>(200/7)*7</f>
        <v>200</v>
      </c>
      <c r="K6" s="16">
        <f>+I6-J6</f>
        <v>-90.719983981360102</v>
      </c>
      <c r="L6" s="15"/>
    </row>
    <row r="7" spans="2:12" x14ac:dyDescent="0.3">
      <c r="B7" s="16" t="s">
        <v>30</v>
      </c>
      <c r="C7" s="16" t="s">
        <v>5</v>
      </c>
      <c r="D7" s="23">
        <f>SUMIF('REPORTE DIARIO'!B:B,'EPR 20 ABR'!C7, 'REPORTE DIARIO'!C:C)</f>
        <v>11337</v>
      </c>
      <c r="E7" s="16">
        <f>SUMIF('REPORTE DIARIO'!B:B,'EPR 20 ABR'!C7, 'REPORTE DIARIO'!D:D)</f>
        <v>1053097.6399999999</v>
      </c>
      <c r="F7" s="16">
        <f>J7*D7</f>
        <v>1247070</v>
      </c>
      <c r="G7" s="16">
        <f>+E7-F7</f>
        <v>-193972.3600000001</v>
      </c>
      <c r="H7" s="15">
        <f>ABS(G7/F7)</f>
        <v>0.15554247957211711</v>
      </c>
      <c r="I7" s="16">
        <f>E7/D7</f>
        <v>92.89032724706712</v>
      </c>
      <c r="J7" s="16">
        <f>(110/7)*7</f>
        <v>110</v>
      </c>
      <c r="K7" s="16">
        <f t="shared" ref="K7:K9" si="0">+I7-J7</f>
        <v>-17.10967275293288</v>
      </c>
      <c r="L7" s="15"/>
    </row>
    <row r="8" spans="2:12" x14ac:dyDescent="0.3">
      <c r="B8" s="16" t="s">
        <v>30</v>
      </c>
      <c r="C8" s="16" t="s">
        <v>6</v>
      </c>
      <c r="D8" s="23">
        <f>SUMIF('REPORTE DIARIO'!B:B,'EPR 20 ABR'!C8, 'REPORTE DIARIO'!C:C)</f>
        <v>14682</v>
      </c>
      <c r="E8" s="16">
        <f>SUMIF('REPORTE DIARIO'!B:B,'EPR 20 ABR'!C8, 'REPORTE DIARIO'!D:D)</f>
        <v>394385.94</v>
      </c>
      <c r="F8" s="16">
        <f>J8*D8</f>
        <v>660690</v>
      </c>
      <c r="G8" s="16">
        <f>+E8-F8</f>
        <v>-266304.06</v>
      </c>
      <c r="H8" s="15">
        <f>ABS(G8/F8)</f>
        <v>0.40306960904508921</v>
      </c>
      <c r="I8" s="16">
        <f>E8/D8</f>
        <v>26.861867592970984</v>
      </c>
      <c r="J8" s="16">
        <f>(45/7)*7</f>
        <v>45</v>
      </c>
      <c r="K8" s="16">
        <f t="shared" si="0"/>
        <v>-18.138132407029016</v>
      </c>
      <c r="L8" s="15"/>
    </row>
    <row r="9" spans="2:12" x14ac:dyDescent="0.3">
      <c r="B9" s="16" t="s">
        <v>31</v>
      </c>
      <c r="C9" s="16" t="s">
        <v>7</v>
      </c>
      <c r="D9" s="23">
        <f>SUMIF('REPORTE DIARIO'!B:B,'EPR 20 ABR'!C9, 'REPORTE DIARIO'!C:C)</f>
        <v>58778</v>
      </c>
      <c r="E9" s="16">
        <f>SUMIF('REPORTE DIARIO'!B:B,'EPR 20 ABR'!C9, 'REPORTE DIARIO'!D:D)</f>
        <v>699529.8</v>
      </c>
      <c r="F9" s="16">
        <f>J9*D9</f>
        <v>881670</v>
      </c>
      <c r="G9" s="16">
        <f>+E9-F9</f>
        <v>-182140.19999999995</v>
      </c>
      <c r="H9" s="15">
        <f>ABS(G9/F9)</f>
        <v>0.20658545714382928</v>
      </c>
      <c r="I9" s="16">
        <f>E9/D9</f>
        <v>11.901218142842561</v>
      </c>
      <c r="J9" s="16">
        <f>(15/7)*7</f>
        <v>15</v>
      </c>
      <c r="K9" s="16">
        <f t="shared" si="0"/>
        <v>-3.098781857157439</v>
      </c>
    </row>
    <row r="10" spans="2:12" x14ac:dyDescent="0.3">
      <c r="B10" s="16"/>
      <c r="C10" s="19" t="s">
        <v>17</v>
      </c>
      <c r="D10" s="24">
        <f>SUM(D6:D9)</f>
        <v>98531</v>
      </c>
      <c r="E10" s="20">
        <f>SUM(E6:E9)</f>
        <v>3647865.12</v>
      </c>
      <c r="F10" s="20">
        <f>SUM(F6:F9)</f>
        <v>5536230</v>
      </c>
      <c r="G10" s="20">
        <f>+E10-F10</f>
        <v>-1888364.88</v>
      </c>
      <c r="H10" s="21">
        <f>ABS(G10/F10)</f>
        <v>0.34109220173294819</v>
      </c>
      <c r="I10" s="20">
        <f>E10/D10</f>
        <v>37.022511899808187</v>
      </c>
      <c r="J10" s="20">
        <f>F10/D10</f>
        <v>56.187697272939481</v>
      </c>
      <c r="K10" s="20">
        <f>I10-J10</f>
        <v>-19.165185373131294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36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2025-04-21T13:43:55Z</cp:lastPrinted>
  <dcterms:created xsi:type="dcterms:W3CDTF">2025-01-27T15:11:28Z</dcterms:created>
  <dcterms:modified xsi:type="dcterms:W3CDTF">2025-04-21T13:43:59Z</dcterms:modified>
</cp:coreProperties>
</file>