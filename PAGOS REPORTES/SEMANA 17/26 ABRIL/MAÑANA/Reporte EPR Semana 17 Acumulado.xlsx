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6 ABRIL\MAÑANA\"/>
    </mc:Choice>
  </mc:AlternateContent>
  <xr:revisionPtr revIDLastSave="0" documentId="13_ncr:1_{61C62CCD-A09D-4968-8F7A-ED7C13C59D4C}" xr6:coauthVersionLast="47" xr6:coauthVersionMax="47" xr10:uidLastSave="{00000000-0000-0000-0000-000000000000}"/>
  <bookViews>
    <workbookView xWindow="8730" yWindow="8730" windowWidth="10005" windowHeight="5445" xr2:uid="{4DC6C92A-CD8A-4966-829B-0B6A986E825B}"/>
  </bookViews>
  <sheets>
    <sheet name="REPORTE DIARIO" sheetId="1" r:id="rId1"/>
    <sheet name="DATA" sheetId="4" r:id="rId2"/>
    <sheet name="EPR 26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J9" i="3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<sst xmlns="http://schemas.openxmlformats.org/spreadsheetml/2006/main" count="88" uniqueCount="37">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</sst>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9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4653</v>
      </c>
      <c r="D5" s="25">
        <v>486894.44</v>
      </c>
    </row>
    <row r="6" spans="2:8" x14ac:dyDescent="0.25">
      <c r="B6" s="1" t="s">
        <v>5</v>
      </c>
      <c r="C6" s="6">
        <v>4676</v>
      </c>
      <c r="D6" s="25">
        <v>266845.08</v>
      </c>
    </row>
    <row r="7" spans="2:8" x14ac:dyDescent="0.25">
      <c r="B7" s="1" t="s">
        <v>6</v>
      </c>
      <c r="C7" s="6">
        <v>6102</v>
      </c>
      <c r="D7" s="25">
        <v>202748.84</v>
      </c>
    </row>
    <row r="8" spans="2:8" x14ac:dyDescent="0.25">
      <c r="B8" s="5" t="s">
        <v>12</v>
      </c>
      <c r="C8" s="7">
        <v>8</v>
      </c>
      <c r="D8" s="26">
        <v>0</v>
      </c>
    </row>
    <row r="9" spans="2:8" x14ac:dyDescent="0.25">
      <c r="B9" s="1" t="s">
        <v>7</v>
      </c>
      <c r="C9" s="6">
        <v>13432</v>
      </c>
      <c r="D9" s="25">
        <v>283244.09999999998</v>
      </c>
      <c r="F9" s="7"/>
    </row>
    <row r="10" spans="2:8" x14ac:dyDescent="0.25">
      <c r="B10" s="3" t="s">
        <v>8</v>
      </c>
      <c r="C10" s="8">
        <f>SUM(C5:C9)</f>
        <v>28871</v>
      </c>
      <c r="D10" s="4">
        <f>SUM(D5:D9)</f>
        <v>1239732.46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4102</v>
      </c>
      <c r="D14" s="25">
        <v>351833.28</v>
      </c>
    </row>
    <row r="15" spans="2:8" x14ac:dyDescent="0.25">
      <c r="B15" s="9" t="s">
        <v>5</v>
      </c>
      <c r="C15" s="6">
        <v>2390</v>
      </c>
      <c r="D15" s="25">
        <v>133791.27999999997</v>
      </c>
    </row>
    <row r="16" spans="2:8" x14ac:dyDescent="0.25">
      <c r="B16" s="9" t="s">
        <v>6</v>
      </c>
      <c r="C16" s="6">
        <v>1214</v>
      </c>
      <c r="D16" s="25">
        <v>52298.43</v>
      </c>
    </row>
    <row r="17" spans="2:11" x14ac:dyDescent="0.25">
      <c r="B17" s="9" t="s">
        <v>7</v>
      </c>
      <c r="C17" s="6">
        <v>9597</v>
      </c>
      <c r="D17" s="25">
        <v>30355.4</v>
      </c>
    </row>
    <row r="18" spans="2:11" x14ac:dyDescent="0.25">
      <c r="B18" s="10" t="s">
        <v>8</v>
      </c>
      <c r="C18" s="8">
        <f>SUM(C14:C17)</f>
        <v>17303</v>
      </c>
      <c r="D18" s="4">
        <f>SUM(D14:D17)</f>
        <v>568278.39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2318</v>
      </c>
      <c r="D22" s="25">
        <v>162808.44999999998</v>
      </c>
    </row>
    <row r="23" spans="2:11" x14ac:dyDescent="0.25">
      <c r="B23" s="1" t="s">
        <v>5</v>
      </c>
      <c r="C23" s="6">
        <v>1677</v>
      </c>
      <c r="D23" s="25">
        <v>98977.790000000008</v>
      </c>
    </row>
    <row r="24" spans="2:11" x14ac:dyDescent="0.25">
      <c r="B24" s="1" t="s">
        <v>6</v>
      </c>
      <c r="C24" s="6">
        <v>3065</v>
      </c>
      <c r="D24" s="25">
        <v>80677.600000000006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21852</v>
      </c>
      <c r="D26" s="25">
        <v>136246.82</v>
      </c>
    </row>
    <row r="27" spans="2:11" x14ac:dyDescent="0.25">
      <c r="B27" s="3" t="s">
        <v>8</v>
      </c>
      <c r="C27" s="8">
        <f>SUM(C22:C26)</f>
        <v>28914</v>
      </c>
      <c r="D27" s="4">
        <f>SUM(D22:D26)</f>
        <v>478710.66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339</v>
      </c>
      <c r="D31" s="25">
        <v>184459.85999999996</v>
      </c>
    </row>
    <row r="32" spans="2:11" x14ac:dyDescent="0.25">
      <c r="B32" s="9" t="s">
        <v>5</v>
      </c>
      <c r="C32" s="6">
        <v>1752</v>
      </c>
      <c r="D32" s="25">
        <v>119436.47</v>
      </c>
    </row>
    <row r="33" spans="2:4" x14ac:dyDescent="0.25">
      <c r="B33" s="9" t="s">
        <v>6</v>
      </c>
      <c r="C33" s="6">
        <v>2383</v>
      </c>
      <c r="D33" s="25">
        <v>55054.329999999994</v>
      </c>
    </row>
    <row r="34" spans="2:4" x14ac:dyDescent="0.25">
      <c r="B34" s="9" t="s">
        <v>7</v>
      </c>
      <c r="C34" s="6">
        <v>4264</v>
      </c>
      <c r="D34" s="25">
        <v>4839.51</v>
      </c>
    </row>
    <row r="35" spans="2:4" x14ac:dyDescent="0.25">
      <c r="B35" s="10" t="s">
        <v>8</v>
      </c>
      <c r="C35" s="8">
        <f>SUM(C31:C34)</f>
        <v>8738</v>
      </c>
      <c r="D35" s="4">
        <f>SUM(D31:D34)</f>
        <v>363790.17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2061</v>
      </c>
      <c r="D39" s="25">
        <v>36525</v>
      </c>
    </row>
    <row r="40" spans="2:4" x14ac:dyDescent="0.25">
      <c r="B40" s="10" t="s">
        <v>8</v>
      </c>
      <c r="C40" s="8">
        <f>SUM(C39:C39)</f>
        <v>2061</v>
      </c>
      <c r="D40" s="4">
        <f>SUM(D39:D39)</f>
        <v>36525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1354</v>
      </c>
    </row>
    <row r="45" spans="2:4" x14ac:dyDescent="0.25">
      <c r="B45" s="1" t="s">
        <v>5</v>
      </c>
      <c r="C45" s="6">
        <v>330</v>
      </c>
      <c r="D45" s="25">
        <v>3323</v>
      </c>
    </row>
    <row r="46" spans="2:4" x14ac:dyDescent="0.25">
      <c r="B46" s="1" t="s">
        <v>6</v>
      </c>
      <c r="C46" s="6">
        <v>261</v>
      </c>
      <c r="D46" s="25">
        <v>1320</v>
      </c>
    </row>
    <row r="47" spans="2:4" x14ac:dyDescent="0.25">
      <c r="B47" s="1" t="s">
        <v>7</v>
      </c>
      <c r="C47" s="6">
        <v>1947</v>
      </c>
      <c r="D47" s="25">
        <v>21212.71</v>
      </c>
    </row>
    <row r="48" spans="2:4" x14ac:dyDescent="0.25">
      <c r="B48" s="3" t="s">
        <v>8</v>
      </c>
      <c r="C48" s="8">
        <f>SUM(C44:C47)</f>
        <v>2577</v>
      </c>
      <c r="D48" s="4">
        <f>SUM(D44:D47)</f>
        <v>27209.71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85</v>
      </c>
      <c r="D52" s="25">
        <v>1034.45</v>
      </c>
    </row>
    <row r="53" spans="2:4" x14ac:dyDescent="0.25">
      <c r="B53" s="1" t="s">
        <v>5</v>
      </c>
      <c r="C53" s="6">
        <v>152</v>
      </c>
      <c r="D53" s="25">
        <v>1500</v>
      </c>
    </row>
    <row r="54" spans="2:4" x14ac:dyDescent="0.25">
      <c r="B54" s="1" t="s">
        <v>6</v>
      </c>
      <c r="C54" s="6">
        <v>566</v>
      </c>
      <c r="D54" s="26">
        <v>0</v>
      </c>
    </row>
    <row r="55" spans="2:4" x14ac:dyDescent="0.25">
      <c r="B55" s="1" t="s">
        <v>7</v>
      </c>
      <c r="C55" s="6">
        <v>837</v>
      </c>
      <c r="D55" s="25">
        <v>2586</v>
      </c>
    </row>
    <row r="56" spans="2:4" x14ac:dyDescent="0.25">
      <c r="B56" s="3" t="s">
        <v>8</v>
      </c>
      <c r="C56" s="8">
        <f>SUM(C52:C55)</f>
        <v>1640</v>
      </c>
      <c r="D56" s="4">
        <f>SUM(D52:D55)</f>
        <v>5120.45</v>
      </c>
    </row>
    <row r="58" spans="2:4" x14ac:dyDescent="0.25">
      <c r="B58" s="12" t="s">
        <v>13</v>
      </c>
      <c r="C58" s="13">
        <f>SUM(C10+C18+C35+C40+C27+C48+C56)</f>
        <v>90104</v>
      </c>
      <c r="D58" s="13">
        <f>SUM(D10+D18+D35+D40+D27+D48+D56)</f>
        <v>2719366.8400000003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26 ABR'!C6, 'REPORTE DIARIO'!C:C)</f>
        <v>13597</v>
      </c>
      <c r="E6" s="16">
        <f>SUMIF('REPORTE DIARIO'!B:B,'EPR 26 ABR'!C6, 'REPORTE DIARIO'!D:D)</f>
        <v>1224909.4799999997</v>
      </c>
      <c r="F6" s="16">
        <f>J6*D6</f>
        <v>2330914.2857142859</v>
      </c>
      <c r="G6" s="16">
        <f>+E6-F6</f>
        <v>-1106004.8057142862</v>
      </c>
      <c r="H6" s="15">
        <f>ABS(G6/F6)</f>
        <v>0.47449398396705172</v>
      </c>
      <c r="I6" s="16">
        <f>E6/D6</f>
        <v>90.086745605648289</v>
      </c>
      <c r="J6" s="16">
        <f>(200/7)*6</f>
        <v>171.42857142857144</v>
      </c>
      <c r="K6" s="16">
        <f>+I6-J6</f>
        <v>-81.341825822923155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26 ABR'!C7, 'REPORTE DIARIO'!C:C)</f>
        <v>10977</v>
      </c>
      <c r="E7" s="16">
        <f>SUMIF('REPORTE DIARIO'!B:B,'EPR 26 ABR'!C7, 'REPORTE DIARIO'!D:D)</f>
        <v>623873.62</v>
      </c>
      <c r="F7" s="16">
        <f>J7*D7</f>
        <v>1034974.2857142857</v>
      </c>
      <c r="G7" s="16">
        <f>+E7-F7</f>
        <v>-411100.66571428569</v>
      </c>
      <c r="H7" s="15">
        <f>ABS(G7/F7)</f>
        <v>0.39720857937119208</v>
      </c>
      <c r="I7" s="16">
        <f>E7/D7</f>
        <v>56.834619659287604</v>
      </c>
      <c r="J7" s="16">
        <f>(110/7)*6</f>
        <v>94.285714285714278</v>
      </c>
      <c r="K7" s="16">
        <f t="shared" ref="K7:K9" si="0">+I7-J7</f>
        <v>-37.451094626426674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26 ABR'!C8, 'REPORTE DIARIO'!C:C)</f>
        <v>13591</v>
      </c>
      <c r="E8" s="16">
        <f>SUMIF('REPORTE DIARIO'!B:B,'EPR 26 ABR'!C8, 'REPORTE DIARIO'!D:D)</f>
        <v>392099.2</v>
      </c>
      <c r="F8" s="16">
        <f>J8*D8</f>
        <v>524224.28571428568</v>
      </c>
      <c r="G8" s="16">
        <f>+E8-F8</f>
        <v>-132125.08571428567</v>
      </c>
      <c r="H8" s="15">
        <f>ABS(G8/F8)</f>
        <v>0.25203923075455703</v>
      </c>
      <c r="I8" s="16">
        <f>E8/D8</f>
        <v>28.849915385181372</v>
      </c>
      <c r="J8" s="16">
        <f>(45/7)*6</f>
        <v>38.571428571428569</v>
      </c>
      <c r="K8" s="16">
        <f t="shared" si="0"/>
        <v>-9.7215131862471971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26 ABR'!C9, 'REPORTE DIARIO'!C:C)</f>
        <v>51929</v>
      </c>
      <c r="E9" s="16">
        <f>SUMIF('REPORTE DIARIO'!B:B,'EPR 26 ABR'!C9, 'REPORTE DIARIO'!D:D)</f>
        <v>478484.54000000004</v>
      </c>
      <c r="F9" s="16">
        <f>J9*D9</f>
        <v>667658.57142857148</v>
      </c>
      <c r="G9" s="16">
        <f>+E9-F9</f>
        <v>-189174.03142857144</v>
      </c>
      <c r="H9" s="15">
        <f>ABS(G9/F9)</f>
        <v>0.28333947847595325</v>
      </c>
      <c r="I9" s="16">
        <f>E9/D9</f>
        <v>9.2142067053091736</v>
      </c>
      <c r="J9" s="16">
        <f>(15/7)*6</f>
        <v>12.857142857142858</v>
      </c>
      <c r="K9" s="16">
        <f t="shared" si="0"/>
        <v>-3.642936151833684</v>
      </c>
    </row>
    <row r="10" spans="2:12" x14ac:dyDescent="0.25">
      <c r="B10" s="16"/>
      <c r="C10" s="19" t="s">
        <v>17</v>
      </c>
      <c r="D10" s="24">
        <f>SUM(D6:D9)</f>
        <v>90094</v>
      </c>
      <c r="E10" s="20">
        <f>SUM(E6:E9)</f>
        <v>2719366.84</v>
      </c>
      <c r="F10" s="20">
        <f>SUM(F6:F9)</f>
        <v>4557771.4285714291</v>
      </c>
      <c r="G10" s="20">
        <f>+E10-F10</f>
        <v>-1838404.5885714293</v>
      </c>
      <c r="H10" s="21">
        <f>ABS(G10/F10)</f>
        <v>0.40335602988929437</v>
      </c>
      <c r="I10" s="20">
        <f>E10/D10</f>
        <v>30.183661953071233</v>
      </c>
      <c r="J10" s="20">
        <f>F10/D10</f>
        <v>50.589067291622406</v>
      </c>
      <c r="K10" s="20">
        <f>I10-J10</f>
        <v>-20.405405338551173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2025-04-26T15:25:52Z</dcterms:modified>
</cp:coreProperties>
</file>