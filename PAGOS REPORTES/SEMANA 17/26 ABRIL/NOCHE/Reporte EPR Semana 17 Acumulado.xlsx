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6 ABRIL\NOCHE\"/>
    </mc:Choice>
  </mc:AlternateContent>
  <xr:revisionPtr revIDLastSave="0" documentId="13_ncr:1_{CC1938D4-68A7-4D65-ADE8-861AF8CB1D9D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5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27" i="1"/>
  <c r="C27" i="1"/>
  <c r="D40" i="1" l="1"/>
  <c r="C40" i="1"/>
  <c r="D35" i="1"/>
  <c r="C35" i="1"/>
  <c r="D18" i="1"/>
  <c r="C1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<sst xmlns="http://schemas.openxmlformats.org/spreadsheetml/2006/main" count="88" uniqueCount="37">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</sst>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10" zoomScaleNormal="100" workbookViewId="0">
      <selection activeCell="D56" sqref="D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4653</v>
      </c>
      <c r="D5" s="25">
        <v>544084.39</v>
      </c>
    </row>
    <row r="6" spans="2:8" x14ac:dyDescent="0.25">
      <c r="B6" s="1" t="s">
        <v>5</v>
      </c>
      <c r="C6" s="6">
        <v>4676</v>
      </c>
      <c r="D6" s="25">
        <v>336030.02</v>
      </c>
    </row>
    <row r="7" spans="2:8" x14ac:dyDescent="0.25">
      <c r="B7" s="1" t="s">
        <v>6</v>
      </c>
      <c r="C7" s="6">
        <v>6102</v>
      </c>
      <c r="D7" s="25">
        <v>232857.4</v>
      </c>
    </row>
    <row r="8" spans="2:8" x14ac:dyDescent="0.25">
      <c r="B8" s="5" t="s">
        <v>12</v>
      </c>
      <c r="C8" s="7">
        <v>8</v>
      </c>
      <c r="D8" s="26">
        <v>0</v>
      </c>
    </row>
    <row r="9" spans="2:8" x14ac:dyDescent="0.25">
      <c r="B9" s="1" t="s">
        <v>7</v>
      </c>
      <c r="C9" s="6">
        <v>13432</v>
      </c>
      <c r="D9" s="25">
        <v>356219.13000000012</v>
      </c>
      <c r="F9" s="7"/>
    </row>
    <row r="10" spans="2:8" x14ac:dyDescent="0.25">
      <c r="B10" s="3" t="s">
        <v>8</v>
      </c>
      <c r="C10" s="8">
        <f>SUM(C5:C9)</f>
        <v>28871</v>
      </c>
      <c r="D10" s="4">
        <f>SUM(D5:D9)</f>
        <v>1469190.9400000002</v>
      </c>
      <c r="E10" s="11" t="s">
        <v>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4108</v>
      </c>
      <c r="D14" s="25">
        <v>404114.37</v>
      </c>
    </row>
    <row r="15" spans="2:8" x14ac:dyDescent="0.25">
      <c r="B15" s="9" t="s">
        <v>5</v>
      </c>
      <c r="C15" s="6">
        <v>2390</v>
      </c>
      <c r="D15" s="25">
        <v>182373.02</v>
      </c>
    </row>
    <row r="16" spans="2:8" x14ac:dyDescent="0.25">
      <c r="B16" s="9" t="s">
        <v>6</v>
      </c>
      <c r="C16" s="6">
        <v>1214</v>
      </c>
      <c r="D16" s="25">
        <v>55020.44</v>
      </c>
    </row>
    <row r="17" spans="2:11" x14ac:dyDescent="0.25">
      <c r="B17" s="9" t="s">
        <v>7</v>
      </c>
      <c r="C17" s="6">
        <v>9597</v>
      </c>
      <c r="D17" s="25">
        <v>41799.730000000003</v>
      </c>
    </row>
    <row r="18" spans="2:11" x14ac:dyDescent="0.25">
      <c r="B18" s="10" t="s">
        <v>8</v>
      </c>
      <c r="C18" s="8">
        <f>SUM(C14:C17)</f>
        <v>17309</v>
      </c>
      <c r="D18" s="4">
        <f>SUM(D14:D17)</f>
        <v>683307.56</v>
      </c>
    </row>
    <row r="20" spans="2:11" x14ac:dyDescent="0.25">
      <c r="B20" s="27" t="s">
        <v>32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2318</v>
      </c>
      <c r="D22" s="25">
        <v>192611.65</v>
      </c>
    </row>
    <row r="23" spans="2:11" x14ac:dyDescent="0.25">
      <c r="B23" s="1" t="s">
        <v>5</v>
      </c>
      <c r="C23" s="6">
        <v>1677</v>
      </c>
      <c r="D23" s="25">
        <v>111492.79000000001</v>
      </c>
    </row>
    <row r="24" spans="2:11" x14ac:dyDescent="0.25">
      <c r="B24" s="1" t="s">
        <v>6</v>
      </c>
      <c r="C24" s="6">
        <v>3065</v>
      </c>
      <c r="D24" s="25">
        <v>94640.6</v>
      </c>
    </row>
    <row r="25" spans="2:11" x14ac:dyDescent="0.25">
      <c r="B25" s="5" t="s">
        <v>12</v>
      </c>
      <c r="C25" s="7">
        <v>2</v>
      </c>
      <c r="D25" s="26">
        <v>0</v>
      </c>
    </row>
    <row r="26" spans="2:11" x14ac:dyDescent="0.25">
      <c r="B26" s="1" t="s">
        <v>7</v>
      </c>
      <c r="C26" s="6">
        <v>21852</v>
      </c>
      <c r="D26" s="25">
        <v>157839.83000000002</v>
      </c>
    </row>
    <row r="27" spans="2:11" x14ac:dyDescent="0.25">
      <c r="B27" s="3" t="s">
        <v>8</v>
      </c>
      <c r="C27" s="8">
        <f>SUM(C22:C26)</f>
        <v>28914</v>
      </c>
      <c r="D27" s="4">
        <f>SUM(D22:D26)</f>
        <v>556584.87000000011</v>
      </c>
      <c r="K27" s="7"/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339</v>
      </c>
      <c r="D31" s="25">
        <v>203338.66999999998</v>
      </c>
    </row>
    <row r="32" spans="2:11" x14ac:dyDescent="0.25">
      <c r="B32" s="9" t="s">
        <v>5</v>
      </c>
      <c r="C32" s="6">
        <v>1752</v>
      </c>
      <c r="D32" s="25">
        <v>144308.47</v>
      </c>
    </row>
    <row r="33" spans="2:4" x14ac:dyDescent="0.25">
      <c r="B33" s="9" t="s">
        <v>6</v>
      </c>
      <c r="C33" s="6">
        <v>2383</v>
      </c>
      <c r="D33" s="25">
        <v>59001.139999999992</v>
      </c>
    </row>
    <row r="34" spans="2:4" x14ac:dyDescent="0.25">
      <c r="B34" s="9" t="s">
        <v>7</v>
      </c>
      <c r="C34" s="6">
        <v>4264</v>
      </c>
      <c r="D34" s="25">
        <v>6344.51</v>
      </c>
    </row>
    <row r="35" spans="2:4" x14ac:dyDescent="0.25">
      <c r="B35" s="10" t="s">
        <v>8</v>
      </c>
      <c r="C35" s="8">
        <f>SUM(C31:C34)</f>
        <v>8738</v>
      </c>
      <c r="D35" s="4">
        <f>SUM(D31:D34)</f>
        <v>412992.79000000004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2083</v>
      </c>
      <c r="D39" s="25">
        <v>46890</v>
      </c>
    </row>
    <row r="40" spans="2:4" x14ac:dyDescent="0.25">
      <c r="B40" s="10" t="s">
        <v>8</v>
      </c>
      <c r="C40" s="8">
        <f>SUM(C39:C39)</f>
        <v>2083</v>
      </c>
      <c r="D40" s="4">
        <f>SUM(D39:D39)</f>
        <v>46890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2302</v>
      </c>
    </row>
    <row r="45" spans="2:4" x14ac:dyDescent="0.25">
      <c r="B45" s="1" t="s">
        <v>5</v>
      </c>
      <c r="C45" s="6">
        <v>330</v>
      </c>
      <c r="D45" s="25">
        <v>5886</v>
      </c>
    </row>
    <row r="46" spans="2:4" x14ac:dyDescent="0.25">
      <c r="B46" s="1" t="s">
        <v>6</v>
      </c>
      <c r="C46" s="6">
        <v>261</v>
      </c>
      <c r="D46" s="25">
        <v>1320</v>
      </c>
    </row>
    <row r="47" spans="2:4" x14ac:dyDescent="0.25">
      <c r="B47" s="1" t="s">
        <v>7</v>
      </c>
      <c r="C47" s="6">
        <v>1947</v>
      </c>
      <c r="D47" s="25">
        <v>22465.71</v>
      </c>
    </row>
    <row r="48" spans="2:4" x14ac:dyDescent="0.25">
      <c r="B48" s="3" t="s">
        <v>8</v>
      </c>
      <c r="C48" s="8">
        <f>SUM(C44:C47)</f>
        <v>2577</v>
      </c>
      <c r="D48" s="4">
        <f>SUM(D44:D47)</f>
        <v>31973.71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85</v>
      </c>
      <c r="D52" s="25">
        <v>1034.45</v>
      </c>
    </row>
    <row r="53" spans="2:4" x14ac:dyDescent="0.25">
      <c r="B53" s="1" t="s">
        <v>5</v>
      </c>
      <c r="C53" s="6">
        <v>152</v>
      </c>
      <c r="D53" s="25">
        <v>1500</v>
      </c>
    </row>
    <row r="54" spans="2:4" x14ac:dyDescent="0.25">
      <c r="B54" s="1" t="s">
        <v>6</v>
      </c>
      <c r="C54" s="6">
        <v>566</v>
      </c>
      <c r="D54" s="25">
        <v>1000</v>
      </c>
    </row>
    <row r="55" spans="2:4" x14ac:dyDescent="0.25">
      <c r="B55" s="1" t="s">
        <v>7</v>
      </c>
      <c r="C55" s="6">
        <v>837</v>
      </c>
      <c r="D55" s="25">
        <v>2586</v>
      </c>
    </row>
    <row r="56" spans="2:4" x14ac:dyDescent="0.25">
      <c r="B56" s="3" t="s">
        <v>8</v>
      </c>
      <c r="C56" s="8">
        <f>SUM(C52:C55)</f>
        <v>1640</v>
      </c>
      <c r="D56" s="4">
        <f>SUM(D52:D55)</f>
        <v>6120.45</v>
      </c>
    </row>
    <row r="58" spans="2:4" x14ac:dyDescent="0.25">
      <c r="B58" s="12" t="s">
        <v>13</v>
      </c>
      <c r="C58" s="13">
        <f>SUM(C10+C18+C35+C40+C27+C48+C56)</f>
        <v>90132</v>
      </c>
      <c r="D58" s="13">
        <f>SUM(D10+D18+D35+D40+D27+D48+D56)</f>
        <v>3207060.3200000003</v>
      </c>
    </row>
  </sheetData>
  <mergeCells count="7">
    <mergeCell ref="B50:D50"/>
    <mergeCell ref="B20:D20"/>
    <mergeCell ref="B42:D42"/>
    <mergeCell ref="B3:D3"/>
    <mergeCell ref="B12:D12"/>
    <mergeCell ref="B29:D29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25 ABR'!C6, 'REPORTE DIARIO'!C:C)</f>
        <v>13625</v>
      </c>
      <c r="E6" s="16">
        <f>SUMIF('REPORTE DIARIO'!B:B,'EPR 25 ABR'!C6, 'REPORTE DIARIO'!D:D)</f>
        <v>1394375.5299999998</v>
      </c>
      <c r="F6" s="16">
        <f>J6*D6</f>
        <v>2335714.2857142859</v>
      </c>
      <c r="G6" s="16">
        <f>+E6-F6</f>
        <v>-941338.75571428612</v>
      </c>
      <c r="H6" s="15">
        <f>ABS(G6/F6)</f>
        <v>0.40301965076452612</v>
      </c>
      <c r="I6" s="16">
        <f>E6/D6</f>
        <v>102.33948844036696</v>
      </c>
      <c r="J6" s="16">
        <f>(200/7)*6</f>
        <v>171.42857142857144</v>
      </c>
      <c r="K6" s="16">
        <f>+I6-J6</f>
        <v>-69.089082988204481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25 ABR'!C7, 'REPORTE DIARIO'!C:C)</f>
        <v>10977</v>
      </c>
      <c r="E7" s="16">
        <f>SUMIF('REPORTE DIARIO'!B:B,'EPR 25 ABR'!C7, 'REPORTE DIARIO'!D:D)</f>
        <v>781590.3</v>
      </c>
      <c r="F7" s="16">
        <f>J7*D7</f>
        <v>1034974.2857142857</v>
      </c>
      <c r="G7" s="16">
        <f>+E7-F7</f>
        <v>-253383.98571428563</v>
      </c>
      <c r="H7" s="15">
        <f>ABS(G7/F7)</f>
        <v>0.24482152765700177</v>
      </c>
      <c r="I7" s="16">
        <f>E7/D7</f>
        <v>71.202541678054118</v>
      </c>
      <c r="J7" s="16">
        <f>(110/7)*6</f>
        <v>94.285714285714278</v>
      </c>
      <c r="K7" s="16">
        <f t="shared" ref="K7:K9" si="0">+I7-J7</f>
        <v>-23.08317260766016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25 ABR'!C8, 'REPORTE DIARIO'!C:C)</f>
        <v>13591</v>
      </c>
      <c r="E8" s="16">
        <f>SUMIF('REPORTE DIARIO'!B:B,'EPR 25 ABR'!C8, 'REPORTE DIARIO'!D:D)</f>
        <v>443839.57999999996</v>
      </c>
      <c r="F8" s="16">
        <f>J8*D8</f>
        <v>524224.28571428568</v>
      </c>
      <c r="G8" s="16">
        <f>+E8-F8</f>
        <v>-80384.705714285723</v>
      </c>
      <c r="H8" s="15">
        <f>ABS(G8/F8)</f>
        <v>0.15334029327686899</v>
      </c>
      <c r="I8" s="16">
        <f>E8/D8</f>
        <v>32.656874402177905</v>
      </c>
      <c r="J8" s="16">
        <f>(45/7)*6</f>
        <v>38.571428571428569</v>
      </c>
      <c r="K8" s="16">
        <f t="shared" si="0"/>
        <v>-5.914554169250664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25 ABR'!C9, 'REPORTE DIARIO'!C:C)</f>
        <v>51929</v>
      </c>
      <c r="E9" s="16">
        <f>SUMIF('REPORTE DIARIO'!B:B,'EPR 25 ABR'!C9, 'REPORTE DIARIO'!D:D)</f>
        <v>587254.91000000015</v>
      </c>
      <c r="F9" s="16">
        <f>J9*D9</f>
        <v>667658.57142857148</v>
      </c>
      <c r="G9" s="16">
        <f>+E9-F9</f>
        <v>-80403.661428571329</v>
      </c>
      <c r="H9" s="15">
        <f>ABS(G9/F9)</f>
        <v>0.12042631498991128</v>
      </c>
      <c r="I9" s="16">
        <f>E9/D9</f>
        <v>11.308804521558285</v>
      </c>
      <c r="J9" s="16">
        <f>(15/7)*6</f>
        <v>12.857142857142858</v>
      </c>
      <c r="K9" s="16">
        <f t="shared" si="0"/>
        <v>-1.5483383355845728</v>
      </c>
    </row>
    <row r="10" spans="2:12" x14ac:dyDescent="0.25">
      <c r="B10" s="16"/>
      <c r="C10" s="19" t="s">
        <v>17</v>
      </c>
      <c r="D10" s="24">
        <f>SUM(D6:D9)</f>
        <v>90122</v>
      </c>
      <c r="E10" s="20">
        <f>SUM(E6:E9)</f>
        <v>3207060.3200000003</v>
      </c>
      <c r="F10" s="20">
        <f>SUM(F6:F9)</f>
        <v>4562571.4285714291</v>
      </c>
      <c r="G10" s="20">
        <f>+E10-F10</f>
        <v>-1355511.1085714288</v>
      </c>
      <c r="H10" s="21">
        <f>ABS(G10/F10)</f>
        <v>0.29709367399336217</v>
      </c>
      <c r="I10" s="20">
        <f>E10/D10</f>
        <v>35.585765074010787</v>
      </c>
      <c r="J10" s="20">
        <f>F10/D10</f>
        <v>50.626610911557989</v>
      </c>
      <c r="K10" s="20">
        <f>I10-J10</f>
        <v>-15.040845837547202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25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2025-04-27T01:52:59Z</dcterms:modified>
</cp:coreProperties>
</file>