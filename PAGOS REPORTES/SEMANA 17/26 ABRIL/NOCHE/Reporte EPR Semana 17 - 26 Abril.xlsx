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6 ABRIL\NOCHE\"/>
    </mc:Choice>
  </mc:AlternateContent>
  <xr:revisionPtr revIDLastSave="0" documentId="13_ncr:1_{25765C32-E864-4653-8844-70BBE4619DA8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C56" i="1"/>
  <c r="D48" i="1"/>
  <c r="J6" i="3"/>
  <c r="C48" i="1"/>
  <c r="D27" i="1" l="1"/>
  <c r="C27" i="1"/>
  <c r="J9" i="3"/>
  <c r="J8" i="3"/>
  <c r="J7" i="3"/>
  <c r="D6" i="3"/>
  <c r="F6" i="3" s="1"/>
  <c r="D40" i="1"/>
  <c r="C40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<sst xmlns="http://schemas.openxmlformats.org/spreadsheetml/2006/main" count="87" uniqueCount="36">
  <si>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</si>
  <si>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</si>
  <si>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</si>
  <si>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</si>
  <si>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</si>
  <si>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</si>
  <si>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</si>
  <si>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</si>
  <si>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</si>
  <si>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</si>
  <si>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</si>
  <si>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</si>
  <si>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</si>
  <si>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</si>
  <si>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</si>
  <si>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</si>
  <si>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</si>
  <si>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</si>
  <si>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</si>
  <si>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</si>
  <si>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</si>
  <si>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</si>
  <si>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</si>
  <si>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</si>
  <si>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</si>
  <si>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</si>
  <si>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</si>
  <si>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</si>
  <si>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</si>
  <si>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</si>
  <si>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</si>
  <si>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</si>
  <si>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</si>
  <si>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</si>
  <si>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</si>
  <si>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26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</si>
</sst>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2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4653</v>
      </c>
      <c r="D5" s="25">
        <v>61419.72</v>
      </c>
    </row>
    <row r="6" spans="2:8" x14ac:dyDescent="0.25">
      <c r="B6" s="1" t="s">
        <v>5</v>
      </c>
      <c r="C6" s="6">
        <v>4676</v>
      </c>
      <c r="D6" s="25">
        <v>71524.39</v>
      </c>
    </row>
    <row r="7" spans="2:8" x14ac:dyDescent="0.25">
      <c r="B7" s="1" t="s">
        <v>6</v>
      </c>
      <c r="C7" s="6">
        <v>6102</v>
      </c>
      <c r="D7" s="25">
        <v>33863.119999999995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13432</v>
      </c>
      <c r="D9" s="25">
        <v>76573.690000000017</v>
      </c>
    </row>
    <row r="10" spans="2:8" x14ac:dyDescent="0.25">
      <c r="B10" s="3" t="s">
        <v>8</v>
      </c>
      <c r="C10" s="8">
        <f>SUM(C5:C9)</f>
        <v>28871</v>
      </c>
      <c r="D10" s="4">
        <f>SUM(D5:D9)</f>
        <v>243380.91999999998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4108</v>
      </c>
      <c r="D14" s="25">
        <v>60396.020000000011</v>
      </c>
    </row>
    <row r="15" spans="2:8" x14ac:dyDescent="0.25">
      <c r="B15" s="9" t="s">
        <v>5</v>
      </c>
      <c r="C15" s="6">
        <v>2390</v>
      </c>
      <c r="D15" s="25">
        <v>53407.770000000011</v>
      </c>
    </row>
    <row r="16" spans="2:8" x14ac:dyDescent="0.25">
      <c r="B16" s="9" t="s">
        <v>6</v>
      </c>
      <c r="C16" s="6">
        <v>1214</v>
      </c>
      <c r="D16" s="25">
        <v>2977.02</v>
      </c>
    </row>
    <row r="17" spans="2:11" x14ac:dyDescent="0.25">
      <c r="B17" s="9" t="s">
        <v>7</v>
      </c>
      <c r="C17" s="6">
        <v>9597</v>
      </c>
      <c r="D17" s="25">
        <v>11651.66</v>
      </c>
    </row>
    <row r="18" spans="2:11" x14ac:dyDescent="0.25">
      <c r="B18" s="10" t="s">
        <v>8</v>
      </c>
      <c r="C18" s="8">
        <f>SUM(C14:C17)</f>
        <v>17309</v>
      </c>
      <c r="D18" s="4">
        <f>SUM(D14:D17)</f>
        <v>128432.47000000003</v>
      </c>
    </row>
    <row r="20" spans="2:11" x14ac:dyDescent="0.25">
      <c r="B20" s="27" t="s">
        <v>31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2318</v>
      </c>
      <c r="D22" s="25">
        <v>30739.9</v>
      </c>
    </row>
    <row r="23" spans="2:11" x14ac:dyDescent="0.25">
      <c r="B23" s="1" t="s">
        <v>5</v>
      </c>
      <c r="C23" s="6">
        <v>1677</v>
      </c>
      <c r="D23" s="25">
        <v>12515</v>
      </c>
    </row>
    <row r="24" spans="2:11" x14ac:dyDescent="0.25">
      <c r="B24" s="1" t="s">
        <v>6</v>
      </c>
      <c r="C24" s="6">
        <v>3065</v>
      </c>
      <c r="D24" s="25">
        <v>13963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21852</v>
      </c>
      <c r="D26" s="25">
        <v>21819.019999999997</v>
      </c>
      <c r="K26" s="7"/>
    </row>
    <row r="27" spans="2:11" x14ac:dyDescent="0.25">
      <c r="B27" s="3" t="s">
        <v>8</v>
      </c>
      <c r="C27" s="8">
        <f>SUM(C22:C26)</f>
        <v>28914</v>
      </c>
      <c r="D27" s="4">
        <f>SUM(D22:D26)</f>
        <v>79036.92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339</v>
      </c>
      <c r="D31" s="25">
        <v>27070.220000000005</v>
      </c>
    </row>
    <row r="32" spans="2:11" x14ac:dyDescent="0.25">
      <c r="B32" s="9" t="s">
        <v>5</v>
      </c>
      <c r="C32" s="6">
        <v>1752</v>
      </c>
      <c r="D32" s="25">
        <v>25536</v>
      </c>
    </row>
    <row r="33" spans="2:4" x14ac:dyDescent="0.25">
      <c r="B33" s="9" t="s">
        <v>6</v>
      </c>
      <c r="C33" s="6">
        <v>2383</v>
      </c>
      <c r="D33" s="25">
        <v>6947.62</v>
      </c>
    </row>
    <row r="34" spans="2:4" x14ac:dyDescent="0.25">
      <c r="B34" s="9" t="s">
        <v>7</v>
      </c>
      <c r="C34" s="6">
        <v>4264</v>
      </c>
      <c r="D34" s="25">
        <v>1505</v>
      </c>
    </row>
    <row r="35" spans="2:4" x14ac:dyDescent="0.25">
      <c r="B35" s="10" t="s">
        <v>8</v>
      </c>
      <c r="C35" s="8">
        <f>SUM(C31:C34)</f>
        <v>8738</v>
      </c>
      <c r="D35" s="4">
        <f>SUM(D31:D34)</f>
        <v>61058.840000000004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2083</v>
      </c>
      <c r="D39" s="25">
        <v>10365</v>
      </c>
    </row>
    <row r="40" spans="2:4" x14ac:dyDescent="0.25">
      <c r="B40" s="10" t="s">
        <v>8</v>
      </c>
      <c r="C40" s="8">
        <f>SUM(C39:C39)</f>
        <v>2083</v>
      </c>
      <c r="D40" s="4">
        <f>SUM(D39:D39)</f>
        <v>10365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948</v>
      </c>
    </row>
    <row r="45" spans="2:4" x14ac:dyDescent="0.25">
      <c r="B45" s="1" t="s">
        <v>5</v>
      </c>
      <c r="C45" s="6">
        <v>330</v>
      </c>
      <c r="D45" s="25">
        <v>2563</v>
      </c>
    </row>
    <row r="46" spans="2:4" x14ac:dyDescent="0.25">
      <c r="B46" s="1" t="s">
        <v>6</v>
      </c>
      <c r="C46" s="6">
        <v>261</v>
      </c>
      <c r="D46" s="26">
        <v>0</v>
      </c>
    </row>
    <row r="47" spans="2:4" x14ac:dyDescent="0.25">
      <c r="B47" s="1" t="s">
        <v>7</v>
      </c>
      <c r="C47" s="6">
        <v>1947</v>
      </c>
      <c r="D47" s="25">
        <v>1462</v>
      </c>
    </row>
    <row r="48" spans="2:4" x14ac:dyDescent="0.25">
      <c r="B48" s="3" t="s">
        <v>8</v>
      </c>
      <c r="C48" s="8">
        <f>SUM(C44:C47)</f>
        <v>2577</v>
      </c>
      <c r="D48" s="4">
        <f>SUM(D44:D47)</f>
        <v>4973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85</v>
      </c>
      <c r="D52" s="26">
        <v>0</v>
      </c>
    </row>
    <row r="53" spans="2:4" x14ac:dyDescent="0.25">
      <c r="B53" s="1" t="s">
        <v>5</v>
      </c>
      <c r="C53" s="6">
        <v>152</v>
      </c>
      <c r="D53" s="26">
        <v>0</v>
      </c>
    </row>
    <row r="54" spans="2:4" x14ac:dyDescent="0.25">
      <c r="B54" s="1" t="s">
        <v>6</v>
      </c>
      <c r="C54" s="6">
        <v>566</v>
      </c>
      <c r="D54" s="25">
        <v>1000</v>
      </c>
    </row>
    <row r="55" spans="2:4" x14ac:dyDescent="0.25">
      <c r="B55" s="1" t="s">
        <v>7</v>
      </c>
      <c r="C55" s="6">
        <v>837</v>
      </c>
      <c r="D55" s="26">
        <v>0</v>
      </c>
    </row>
    <row r="56" spans="2:4" x14ac:dyDescent="0.25">
      <c r="B56" s="3" t="s">
        <v>8</v>
      </c>
      <c r="C56" s="8">
        <f>SUM(C52:C55)</f>
        <v>1640</v>
      </c>
      <c r="D56" s="4">
        <f>SUM(D52:D55)</f>
        <v>1000</v>
      </c>
    </row>
    <row r="58" spans="2:4" x14ac:dyDescent="0.25">
      <c r="B58" s="11" t="s">
        <v>13</v>
      </c>
      <c r="C58" s="12">
        <f>SUM(C10+C35+C18+C40+C27+C48+C56)</f>
        <v>90132</v>
      </c>
      <c r="D58" s="12">
        <f>SUM(D10+D35+D18+D40+D27+D48+D56)</f>
        <v>528247.15</v>
      </c>
    </row>
  </sheetData>
  <mergeCells count="7">
    <mergeCell ref="B50:D50"/>
    <mergeCell ref="B3:D3"/>
    <mergeCell ref="B29:D29"/>
    <mergeCell ref="B37:D37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26 ABR'!C6, 'REPORTE DIARIO'!C:C)</f>
        <v>13625</v>
      </c>
      <c r="E6" s="15">
        <f>SUMIF('REPORTE DIARIO'!B:B,'EPR 26 ABR'!C6, 'REPORTE DIARIO'!D:D)</f>
        <v>190938.86000000002</v>
      </c>
      <c r="F6" s="15">
        <f>J6*D6</f>
        <v>389285.71428571432</v>
      </c>
      <c r="G6" s="15">
        <f>+E6-F6</f>
        <v>-198346.8542857143</v>
      </c>
      <c r="H6" s="14">
        <f>ABS(G6/F6)</f>
        <v>0.50951485504587157</v>
      </c>
      <c r="I6" s="15">
        <f>E6/D6</f>
        <v>14.013861284403671</v>
      </c>
      <c r="J6" s="15">
        <f>200/7</f>
        <v>28.571428571428573</v>
      </c>
      <c r="K6" s="15">
        <f>+I6-J6</f>
        <v>-14.557567287024902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26 ABR'!C7, 'REPORTE DIARIO'!C:C)</f>
        <v>10977</v>
      </c>
      <c r="E7" s="15">
        <f>SUMIF('REPORTE DIARIO'!B:B,'EPR 26 ABR'!C7, 'REPORTE DIARIO'!D:D)</f>
        <v>165546.16</v>
      </c>
      <c r="F7" s="15">
        <f>J7*D7</f>
        <v>172495.71428571429</v>
      </c>
      <c r="G7" s="15">
        <f>+E7-F7</f>
        <v>-6949.5542857142864</v>
      </c>
      <c r="H7" s="14">
        <f>ABS(G7/F7)</f>
        <v>4.0288272172393523E-2</v>
      </c>
      <c r="I7" s="15">
        <f>E7/D7</f>
        <v>15.081184294433816</v>
      </c>
      <c r="J7" s="15">
        <f>110/7</f>
        <v>15.714285714285714</v>
      </c>
      <c r="K7" s="15">
        <f t="shared" ref="K7:K9" si="0">+I7-J7</f>
        <v>-0.63310141985189716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26 ABR'!C8, 'REPORTE DIARIO'!C:C)</f>
        <v>13591</v>
      </c>
      <c r="E8" s="15">
        <f>SUMIF('REPORTE DIARIO'!B:B,'EPR 26 ABR'!C8, 'REPORTE DIARIO'!D:D)</f>
        <v>58750.759999999995</v>
      </c>
      <c r="F8" s="15">
        <f>J8*D8</f>
        <v>87370.71428571429</v>
      </c>
      <c r="G8" s="15">
        <f>+E8-F8</f>
        <v>-28619.954285714295</v>
      </c>
      <c r="H8" s="14">
        <f>ABS(G8/F8)</f>
        <v>0.32756919203067397</v>
      </c>
      <c r="I8" s="15">
        <f>E8/D8</f>
        <v>4.32276947980281</v>
      </c>
      <c r="J8" s="15">
        <f>45/7</f>
        <v>6.4285714285714288</v>
      </c>
      <c r="K8" s="15">
        <f t="shared" si="0"/>
        <v>-2.1058019487686188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26 ABR'!C9, 'REPORTE DIARIO'!C:C)</f>
        <v>51929</v>
      </c>
      <c r="E9" s="15">
        <f>SUMIF('REPORTE DIARIO'!B:B,'EPR 26 ABR'!C9, 'REPORTE DIARIO'!D:D)</f>
        <v>113011.37000000002</v>
      </c>
      <c r="F9" s="15">
        <f>J9*D9</f>
        <v>111276.42857142857</v>
      </c>
      <c r="G9" s="15">
        <f>+E9-F9</f>
        <v>1734.9414285714593</v>
      </c>
      <c r="H9" s="14">
        <f>ABS(G9/F9)</f>
        <v>1.5591275266871069E-2</v>
      </c>
      <c r="I9" s="15">
        <f>E9/D9</f>
        <v>2.1762670184290092</v>
      </c>
      <c r="J9" s="15">
        <f>15/7</f>
        <v>2.1428571428571428</v>
      </c>
      <c r="K9" s="15">
        <f t="shared" si="0"/>
        <v>3.3409875571866365E-2</v>
      </c>
    </row>
    <row r="10" spans="2:12" x14ac:dyDescent="0.25">
      <c r="B10" s="15"/>
      <c r="C10" s="18" t="s">
        <v>16</v>
      </c>
      <c r="D10" s="23">
        <f>SUM(D6:D9)</f>
        <v>90122</v>
      </c>
      <c r="E10" s="19">
        <f>SUM(E6:E9)</f>
        <v>528247.15</v>
      </c>
      <c r="F10" s="19">
        <f>SUM(F6:F9)</f>
        <v>760428.57142857148</v>
      </c>
      <c r="G10" s="19">
        <f>+E10-F10</f>
        <v>-232181.42142857146</v>
      </c>
      <c r="H10" s="20">
        <f>ABS(G10/F10)</f>
        <v>0.30532969190306219</v>
      </c>
      <c r="I10" s="19">
        <f>E10/D10</f>
        <v>5.8614672333059632</v>
      </c>
      <c r="J10" s="19">
        <f>F10/D10</f>
        <v>8.4377684852596637</v>
      </c>
      <c r="K10" s="19">
        <f>I10-J10</f>
        <v>-2.5763012519537005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2025-04-27T01:48:41Z</dcterms:modified>
</cp:coreProperties>
</file>