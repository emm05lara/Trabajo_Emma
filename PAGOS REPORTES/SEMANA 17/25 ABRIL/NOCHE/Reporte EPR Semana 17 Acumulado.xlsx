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5 ABRIL\NOCHE\"/>
    </mc:Choice>
  </mc:AlternateContent>
  <xr:revisionPtr revIDLastSave="0" documentId="13_ncr:1_{B44CD8D2-2583-4A50-A8E8-8732094A58FC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25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<sst xmlns="http://schemas.openxmlformats.org/spreadsheetml/2006/main" count="88" uniqueCount="37">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</sst>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8" zoomScaleNormal="100" workbookViewId="0">
      <selection activeCell="D46" sqref="D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4660</v>
      </c>
      <c r="D5" s="25">
        <v>570509.87</v>
      </c>
    </row>
    <row r="6" spans="2:8" x14ac:dyDescent="0.25">
      <c r="B6" s="1" t="s">
        <v>5</v>
      </c>
      <c r="C6" s="6">
        <v>4717</v>
      </c>
      <c r="D6" s="25">
        <v>258782.73</v>
      </c>
    </row>
    <row r="7" spans="2:8" x14ac:dyDescent="0.25">
      <c r="B7" s="1" t="s">
        <v>6</v>
      </c>
      <c r="C7" s="6">
        <v>6050</v>
      </c>
      <c r="D7" s="25">
        <v>188694.27000000002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13416</v>
      </c>
      <c r="D9" s="25">
        <v>274163</v>
      </c>
      <c r="F9" s="7"/>
    </row>
    <row r="10" spans="2:8" x14ac:dyDescent="0.25">
      <c r="B10" s="3" t="s">
        <v>8</v>
      </c>
      <c r="C10" s="8">
        <f>SUM(C5:C9)</f>
        <v>28864</v>
      </c>
      <c r="D10" s="4">
        <f>SUM(D5:D9)</f>
        <v>1292149.8700000001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4108</v>
      </c>
      <c r="D14" s="25">
        <v>329615.57</v>
      </c>
    </row>
    <row r="15" spans="2:8" x14ac:dyDescent="0.25">
      <c r="B15" s="9" t="s">
        <v>5</v>
      </c>
      <c r="C15" s="6">
        <v>2411</v>
      </c>
      <c r="D15" s="25">
        <v>127916.25</v>
      </c>
    </row>
    <row r="16" spans="2:8" x14ac:dyDescent="0.25">
      <c r="B16" s="9" t="s">
        <v>6</v>
      </c>
      <c r="C16" s="6">
        <v>1027</v>
      </c>
      <c r="D16" s="25">
        <v>52139.42</v>
      </c>
    </row>
    <row r="17" spans="2:11" x14ac:dyDescent="0.25">
      <c r="B17" s="9" t="s">
        <v>7</v>
      </c>
      <c r="C17" s="6">
        <v>9590</v>
      </c>
      <c r="D17" s="25">
        <v>28910.07</v>
      </c>
    </row>
    <row r="18" spans="2:11" x14ac:dyDescent="0.25">
      <c r="B18" s="10" t="s">
        <v>8</v>
      </c>
      <c r="C18" s="8">
        <f>SUM(C14:C17)</f>
        <v>17136</v>
      </c>
      <c r="D18" s="4">
        <f>SUM(D14:D17)</f>
        <v>538581.30999999994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2330</v>
      </c>
      <c r="D22" s="25">
        <v>160334.74999999997</v>
      </c>
    </row>
    <row r="23" spans="2:11" x14ac:dyDescent="0.25">
      <c r="B23" s="1" t="s">
        <v>5</v>
      </c>
      <c r="C23" s="6">
        <v>1682</v>
      </c>
      <c r="D23" s="25">
        <v>96720.790000000008</v>
      </c>
    </row>
    <row r="24" spans="2:11" x14ac:dyDescent="0.25">
      <c r="B24" s="1" t="s">
        <v>6</v>
      </c>
      <c r="C24" s="6">
        <v>3082</v>
      </c>
      <c r="D24" s="25">
        <v>79835.600000000006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21844</v>
      </c>
      <c r="D26" s="25">
        <v>134595.81</v>
      </c>
    </row>
    <row r="27" spans="2:11" x14ac:dyDescent="0.25">
      <c r="B27" s="3" t="s">
        <v>8</v>
      </c>
      <c r="C27" s="8">
        <f>SUM(C22:C26)</f>
        <v>28940</v>
      </c>
      <c r="D27" s="4">
        <f>SUM(D22:D26)</f>
        <v>471486.95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339</v>
      </c>
      <c r="D31" s="25">
        <v>171690.23</v>
      </c>
    </row>
    <row r="32" spans="2:11" x14ac:dyDescent="0.25">
      <c r="B32" s="9" t="s">
        <v>5</v>
      </c>
      <c r="C32" s="6">
        <v>1903</v>
      </c>
      <c r="D32" s="25">
        <v>116324.78</v>
      </c>
    </row>
    <row r="33" spans="2:4" x14ac:dyDescent="0.25">
      <c r="B33" s="9" t="s">
        <v>6</v>
      </c>
      <c r="C33" s="6">
        <v>2383</v>
      </c>
      <c r="D33" s="25">
        <v>52053.52</v>
      </c>
    </row>
    <row r="34" spans="2:4" x14ac:dyDescent="0.25">
      <c r="B34" s="9" t="s">
        <v>7</v>
      </c>
      <c r="C34" s="6">
        <v>4264</v>
      </c>
      <c r="D34" s="25">
        <v>4658.51</v>
      </c>
    </row>
    <row r="35" spans="2:4" x14ac:dyDescent="0.25">
      <c r="B35" s="10" t="s">
        <v>8</v>
      </c>
      <c r="C35" s="8">
        <f>SUM(C31:C34)</f>
        <v>8889</v>
      </c>
      <c r="D35" s="4">
        <f>SUM(D31:D34)</f>
        <v>344727.04000000004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2036</v>
      </c>
      <c r="D39" s="25">
        <v>36404</v>
      </c>
    </row>
    <row r="40" spans="2:4" x14ac:dyDescent="0.25">
      <c r="B40" s="10" t="s">
        <v>8</v>
      </c>
      <c r="C40" s="8">
        <f>SUM(C39:C39)</f>
        <v>2036</v>
      </c>
      <c r="D40" s="4">
        <f>SUM(D39:D39)</f>
        <v>36404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1354</v>
      </c>
    </row>
    <row r="45" spans="2:4" x14ac:dyDescent="0.25">
      <c r="B45" s="1" t="s">
        <v>5</v>
      </c>
      <c r="C45" s="6">
        <v>327</v>
      </c>
      <c r="D45" s="25">
        <v>3323</v>
      </c>
    </row>
    <row r="46" spans="2:4" x14ac:dyDescent="0.25">
      <c r="B46" s="1" t="s">
        <v>6</v>
      </c>
      <c r="C46" s="6">
        <v>258</v>
      </c>
      <c r="D46" s="25">
        <v>1320</v>
      </c>
    </row>
    <row r="47" spans="2:4" x14ac:dyDescent="0.25">
      <c r="B47" s="1" t="s">
        <v>7</v>
      </c>
      <c r="C47" s="6">
        <v>1940</v>
      </c>
      <c r="D47" s="25">
        <v>19719.71</v>
      </c>
    </row>
    <row r="48" spans="2:4" x14ac:dyDescent="0.25">
      <c r="B48" s="3" t="s">
        <v>8</v>
      </c>
      <c r="C48" s="8">
        <f>SUM(C44:C47)</f>
        <v>2564</v>
      </c>
      <c r="D48" s="4">
        <f>SUM(D44:D47)</f>
        <v>25716.71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5">
        <v>1034.45</v>
      </c>
    </row>
    <row r="53" spans="2:4" x14ac:dyDescent="0.25">
      <c r="B53" s="1" t="s">
        <v>5</v>
      </c>
      <c r="C53" s="6">
        <v>149</v>
      </c>
      <c r="D53" s="25">
        <v>1500</v>
      </c>
    </row>
    <row r="54" spans="2:4" x14ac:dyDescent="0.25">
      <c r="B54" s="1" t="s">
        <v>6</v>
      </c>
      <c r="C54" s="6">
        <v>563</v>
      </c>
      <c r="D54" s="26">
        <v>0</v>
      </c>
    </row>
    <row r="55" spans="2:4" x14ac:dyDescent="0.25">
      <c r="B55" s="1" t="s">
        <v>7</v>
      </c>
      <c r="C55" s="6">
        <v>829</v>
      </c>
      <c r="D55" s="25">
        <v>2586</v>
      </c>
    </row>
    <row r="56" spans="2:4" x14ac:dyDescent="0.25">
      <c r="B56" s="3" t="s">
        <v>8</v>
      </c>
      <c r="C56" s="8">
        <f>SUM(C52:C55)</f>
        <v>1627</v>
      </c>
      <c r="D56" s="4">
        <f>SUM(D52:D55)</f>
        <v>5120.45</v>
      </c>
    </row>
    <row r="58" spans="2:4" x14ac:dyDescent="0.25">
      <c r="B58" s="12" t="s">
        <v>13</v>
      </c>
      <c r="C58" s="13">
        <f>SUM(C10+C18+C35+C40+C27+C48+C56)</f>
        <v>90056</v>
      </c>
      <c r="D58" s="13">
        <f>SUM(D10+D18+D35+D40+D27+D48+D56)</f>
        <v>2714186.3300000005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25 ABR'!C6, 'REPORTE DIARIO'!C:C)</f>
        <v>13598</v>
      </c>
      <c r="E6" s="16">
        <f>SUMIF('REPORTE DIARIO'!B:B,'EPR 25 ABR'!C6, 'REPORTE DIARIO'!D:D)</f>
        <v>1270942.8699999999</v>
      </c>
      <c r="F6" s="16">
        <f>J6*D6</f>
        <v>1942571.4285714286</v>
      </c>
      <c r="G6" s="16">
        <f>+E6-F6</f>
        <v>-671628.55857142876</v>
      </c>
      <c r="H6" s="15">
        <f>ABS(G6/F6)</f>
        <v>0.34574201426680401</v>
      </c>
      <c r="I6" s="16">
        <f>E6/D6</f>
        <v>93.465426533313718</v>
      </c>
      <c r="J6" s="16">
        <f>(200/7)*5</f>
        <v>142.85714285714286</v>
      </c>
      <c r="K6" s="16">
        <f>+I6-J6</f>
        <v>-49.391716323829144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25 ABR'!C7, 'REPORTE DIARIO'!C:C)</f>
        <v>11189</v>
      </c>
      <c r="E7" s="16">
        <f>SUMIF('REPORTE DIARIO'!B:B,'EPR 25 ABR'!C7, 'REPORTE DIARIO'!D:D)</f>
        <v>604567.55000000005</v>
      </c>
      <c r="F7" s="16">
        <f>J7*D7</f>
        <v>879135.71428571432</v>
      </c>
      <c r="G7" s="16">
        <f>+E7-F7</f>
        <v>-274568.16428571427</v>
      </c>
      <c r="H7" s="15">
        <f>ABS(G7/F7)</f>
        <v>0.3123160165422208</v>
      </c>
      <c r="I7" s="16">
        <f>E7/D7</f>
        <v>54.032312985968368</v>
      </c>
      <c r="J7" s="16">
        <f>(110/7)*5</f>
        <v>78.571428571428569</v>
      </c>
      <c r="K7" s="16">
        <f t="shared" ref="K7:K9" si="0">+I7-J7</f>
        <v>-24.539115585460202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25 ABR'!C8, 'REPORTE DIARIO'!C:C)</f>
        <v>13363</v>
      </c>
      <c r="E8" s="16">
        <f>SUMIF('REPORTE DIARIO'!B:B,'EPR 25 ABR'!C8, 'REPORTE DIARIO'!D:D)</f>
        <v>374042.81000000006</v>
      </c>
      <c r="F8" s="16">
        <f>J8*D8</f>
        <v>429525.00000000006</v>
      </c>
      <c r="G8" s="16">
        <f>+E8-F8</f>
        <v>-55482.19</v>
      </c>
      <c r="H8" s="15">
        <f>ABS(G8/F8)</f>
        <v>0.12917103777428554</v>
      </c>
      <c r="I8" s="16">
        <f>E8/D8</f>
        <v>27.990930928683682</v>
      </c>
      <c r="J8" s="16">
        <f>(45/7)*5</f>
        <v>32.142857142857146</v>
      </c>
      <c r="K8" s="16">
        <f t="shared" si="0"/>
        <v>-4.1519262141734643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25 ABR'!C9, 'REPORTE DIARIO'!C:C)</f>
        <v>51883</v>
      </c>
      <c r="E9" s="16">
        <f>SUMIF('REPORTE DIARIO'!B:B,'EPR 25 ABR'!C9, 'REPORTE DIARIO'!D:D)</f>
        <v>464633.10000000003</v>
      </c>
      <c r="F9" s="16">
        <f>J9*D9</f>
        <v>555889.28571428568</v>
      </c>
      <c r="G9" s="16">
        <f>+E9-F9</f>
        <v>-91256.185714285646</v>
      </c>
      <c r="H9" s="15">
        <f>ABS(G9/F9)</f>
        <v>0.16416251951506264</v>
      </c>
      <c r="I9" s="16">
        <f>E9/D9</f>
        <v>8.9554015766243289</v>
      </c>
      <c r="J9" s="16">
        <f>(15/7)*5</f>
        <v>10.714285714285714</v>
      </c>
      <c r="K9" s="16">
        <f t="shared" si="0"/>
        <v>-1.7588841376613846</v>
      </c>
    </row>
    <row r="10" spans="2:12" x14ac:dyDescent="0.25">
      <c r="B10" s="16"/>
      <c r="C10" s="19" t="s">
        <v>17</v>
      </c>
      <c r="D10" s="24">
        <f>SUM(D6:D9)</f>
        <v>90033</v>
      </c>
      <c r="E10" s="20">
        <f>SUM(E6:E9)</f>
        <v>2714186.33</v>
      </c>
      <c r="F10" s="20">
        <f>SUM(F6:F9)</f>
        <v>3807121.4285714282</v>
      </c>
      <c r="G10" s="20">
        <f>+E10-F10</f>
        <v>-1092935.0985714281</v>
      </c>
      <c r="H10" s="21">
        <f>ABS(G10/F10)</f>
        <v>0.2870765009934389</v>
      </c>
      <c r="I10" s="20">
        <f>E10/D10</f>
        <v>30.146572145768776</v>
      </c>
      <c r="J10" s="20">
        <f>F10/D10</f>
        <v>42.285844396737062</v>
      </c>
      <c r="K10" s="20">
        <f>I10-J10</f>
        <v>-12.139272250968286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25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2025-04-26T02:27:39Z</dcterms:modified>
</cp:coreProperties>
</file>