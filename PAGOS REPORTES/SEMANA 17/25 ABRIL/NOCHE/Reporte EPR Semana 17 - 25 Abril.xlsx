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5 ABRIL\NOCHE\"/>
    </mc:Choice>
  </mc:AlternateContent>
  <xr:revisionPtr revIDLastSave="0" documentId="13_ncr:1_{23911A76-BD58-4D54-964F-3E8BBB9B7B99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4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C56" i="1"/>
  <c r="D43" i="1"/>
  <c r="J6" i="3"/>
  <c r="C43" i="1"/>
  <c r="D19" i="1" l="1"/>
  <c r="C19" i="1"/>
  <c r="J9" i="3"/>
  <c r="J8" i="3"/>
  <c r="J7" i="3"/>
  <c r="D6" i="3"/>
  <c r="F6" i="3" s="1"/>
  <c r="D48" i="1"/>
  <c r="C48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<sst xmlns="http://schemas.openxmlformats.org/spreadsheetml/2006/main" count="87" uniqueCount="36">
  <si>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</si>
  <si>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</si>
  <si>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</si>
  <si>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</si>
  <si>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</si>
  <si>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</si>
  <si>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</si>
  <si>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</si>
  <si>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</si>
  <si>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</si>
  <si>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</si>
  <si>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</si>
  <si>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</si>
  <si>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</si>
  <si>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</si>
  <si>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</si>
  <si>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</si>
  <si>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</si>
  <si>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</si>
  <si>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</si>
  <si>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</si>
  <si>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</si>
  <si>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</si>
  <si>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</si>
  <si>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</si>
  <si>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</si>
  <si>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</si>
  <si>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</si>
  <si>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</si>
  <si>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</si>
  <si>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</si>
  <si>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</si>
  <si>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</si>
  <si>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</si>
  <si>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</si>
  <si>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25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</si>
</sst>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workbookViewId="0">
      <selection activeCell="B3" sqref="B3:D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4660</v>
      </c>
      <c r="D5" s="25">
        <v>275765.8</v>
      </c>
    </row>
    <row r="6" spans="2:8" x14ac:dyDescent="0.25">
      <c r="B6" s="1" t="s">
        <v>5</v>
      </c>
      <c r="C6" s="6">
        <v>4717</v>
      </c>
      <c r="D6" s="25">
        <v>48143.97</v>
      </c>
    </row>
    <row r="7" spans="2:8" x14ac:dyDescent="0.25">
      <c r="B7" s="1" t="s">
        <v>6</v>
      </c>
      <c r="C7" s="6">
        <v>6050</v>
      </c>
      <c r="D7" s="25">
        <v>22131.73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13416</v>
      </c>
      <c r="D9" s="25">
        <v>91761.770000000019</v>
      </c>
    </row>
    <row r="10" spans="2:8" x14ac:dyDescent="0.25">
      <c r="B10" s="3" t="s">
        <v>8</v>
      </c>
      <c r="C10" s="8">
        <f>SUM(C5:C9)</f>
        <v>28864</v>
      </c>
      <c r="D10" s="4">
        <f>SUM(D5:D9)</f>
        <v>437803.27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2330</v>
      </c>
      <c r="D14" s="25">
        <v>47468.67</v>
      </c>
    </row>
    <row r="15" spans="2:8" x14ac:dyDescent="0.25">
      <c r="B15" s="1" t="s">
        <v>5</v>
      </c>
      <c r="C15" s="6">
        <v>1682</v>
      </c>
      <c r="D15" s="25">
        <v>58061</v>
      </c>
    </row>
    <row r="16" spans="2:8" x14ac:dyDescent="0.25">
      <c r="B16" s="1" t="s">
        <v>6</v>
      </c>
      <c r="C16" s="6">
        <v>3082</v>
      </c>
      <c r="D16" s="25">
        <v>57953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21844</v>
      </c>
      <c r="D18" s="25">
        <v>75913.430000000008</v>
      </c>
    </row>
    <row r="19" spans="2:11" x14ac:dyDescent="0.25">
      <c r="B19" s="3" t="s">
        <v>8</v>
      </c>
      <c r="C19" s="8">
        <f>SUM(C14:C18)</f>
        <v>28940</v>
      </c>
      <c r="D19" s="4">
        <f>SUM(D14:D18)</f>
        <v>239396.09999999998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4108</v>
      </c>
      <c r="D23" s="25">
        <v>117945.34000000003</v>
      </c>
    </row>
    <row r="24" spans="2:11" x14ac:dyDescent="0.25">
      <c r="B24" s="9" t="s">
        <v>5</v>
      </c>
      <c r="C24" s="6">
        <v>2411</v>
      </c>
      <c r="D24" s="25">
        <v>13161.66</v>
      </c>
    </row>
    <row r="25" spans="2:11" x14ac:dyDescent="0.25">
      <c r="B25" s="9" t="s">
        <v>6</v>
      </c>
      <c r="C25" s="6">
        <v>1027</v>
      </c>
      <c r="D25" s="25">
        <v>7572</v>
      </c>
    </row>
    <row r="26" spans="2:11" x14ac:dyDescent="0.25">
      <c r="B26" s="9" t="s">
        <v>7</v>
      </c>
      <c r="C26" s="6">
        <v>9590</v>
      </c>
      <c r="D26" s="25">
        <v>10321.07</v>
      </c>
      <c r="K26" s="7"/>
    </row>
    <row r="27" spans="2:11" x14ac:dyDescent="0.25">
      <c r="B27" s="10" t="s">
        <v>8</v>
      </c>
      <c r="C27" s="8">
        <f>SUM(C23:C26)</f>
        <v>17136</v>
      </c>
      <c r="D27" s="4">
        <f>SUM(D23:D26)</f>
        <v>149000.07000000004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339</v>
      </c>
      <c r="D31" s="25">
        <v>36639.050000000003</v>
      </c>
    </row>
    <row r="32" spans="2:11" x14ac:dyDescent="0.25">
      <c r="B32" s="9" t="s">
        <v>5</v>
      </c>
      <c r="C32" s="6">
        <v>1903</v>
      </c>
      <c r="D32" s="25">
        <v>16965.53</v>
      </c>
    </row>
    <row r="33" spans="2:4" x14ac:dyDescent="0.25">
      <c r="B33" s="9" t="s">
        <v>6</v>
      </c>
      <c r="C33" s="6">
        <v>2383</v>
      </c>
      <c r="D33" s="25">
        <v>1294</v>
      </c>
    </row>
    <row r="34" spans="2:4" x14ac:dyDescent="0.25">
      <c r="B34" s="9" t="s">
        <v>7</v>
      </c>
      <c r="C34" s="6">
        <v>4264</v>
      </c>
      <c r="D34" s="25">
        <v>1971</v>
      </c>
    </row>
    <row r="35" spans="2:4" x14ac:dyDescent="0.25">
      <c r="B35" s="10" t="s">
        <v>8</v>
      </c>
      <c r="C35" s="8">
        <f>SUM(C31:C34)</f>
        <v>8889</v>
      </c>
      <c r="D35" s="4">
        <f>SUM(D31:D34)</f>
        <v>56869.58</v>
      </c>
    </row>
    <row r="37" spans="2:4" x14ac:dyDescent="0.25">
      <c r="B37" s="27" t="s">
        <v>32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39</v>
      </c>
      <c r="D39" s="26">
        <v>0</v>
      </c>
    </row>
    <row r="40" spans="2:4" x14ac:dyDescent="0.25">
      <c r="B40" s="1" t="s">
        <v>5</v>
      </c>
      <c r="C40" s="6">
        <v>327</v>
      </c>
      <c r="D40" s="26">
        <v>0</v>
      </c>
    </row>
    <row r="41" spans="2:4" x14ac:dyDescent="0.25">
      <c r="B41" s="1" t="s">
        <v>6</v>
      </c>
      <c r="C41" s="6">
        <v>258</v>
      </c>
      <c r="D41" s="25">
        <v>1320</v>
      </c>
    </row>
    <row r="42" spans="2:4" x14ac:dyDescent="0.25">
      <c r="B42" s="1" t="s">
        <v>7</v>
      </c>
      <c r="C42" s="6">
        <v>1940</v>
      </c>
      <c r="D42" s="25">
        <v>4933.71</v>
      </c>
    </row>
    <row r="43" spans="2:4" x14ac:dyDescent="0.25">
      <c r="B43" s="3" t="s">
        <v>8</v>
      </c>
      <c r="C43" s="8">
        <f>SUM(C39:C42)</f>
        <v>2564</v>
      </c>
      <c r="D43" s="4">
        <f>SUM(D39:D42)</f>
        <v>6253.71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2036</v>
      </c>
      <c r="D47" s="25">
        <v>6066</v>
      </c>
    </row>
    <row r="48" spans="2:4" x14ac:dyDescent="0.25">
      <c r="B48" s="10" t="s">
        <v>8</v>
      </c>
      <c r="C48" s="8">
        <f>SUM(C47:C47)</f>
        <v>2036</v>
      </c>
      <c r="D48" s="4">
        <f>SUM(D47:D47)</f>
        <v>6066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6">
        <v>0</v>
      </c>
    </row>
    <row r="53" spans="2:4" x14ac:dyDescent="0.25">
      <c r="B53" s="1" t="s">
        <v>5</v>
      </c>
      <c r="C53" s="6">
        <v>149</v>
      </c>
      <c r="D53" s="25">
        <v>1500</v>
      </c>
    </row>
    <row r="54" spans="2:4" x14ac:dyDescent="0.25">
      <c r="B54" s="1" t="s">
        <v>6</v>
      </c>
      <c r="C54" s="6">
        <v>563</v>
      </c>
      <c r="D54" s="26">
        <v>0</v>
      </c>
    </row>
    <row r="55" spans="2:4" x14ac:dyDescent="0.25">
      <c r="B55" s="1" t="s">
        <v>7</v>
      </c>
      <c r="C55" s="6">
        <v>829</v>
      </c>
      <c r="D55" s="26">
        <v>0</v>
      </c>
    </row>
    <row r="56" spans="2:4" x14ac:dyDescent="0.25">
      <c r="B56" s="3" t="s">
        <v>8</v>
      </c>
      <c r="C56" s="8">
        <f>SUM(C52:C55)</f>
        <v>1627</v>
      </c>
      <c r="D56" s="4">
        <f>SUM(D52:D55)</f>
        <v>1500</v>
      </c>
    </row>
    <row r="58" spans="2:4" x14ac:dyDescent="0.25">
      <c r="B58" s="11" t="s">
        <v>13</v>
      </c>
      <c r="C58" s="12">
        <f>SUM(C10+C35+C27+C48+C19+C43+C56)</f>
        <v>90056</v>
      </c>
      <c r="D58" s="12">
        <f>SUM(D10+D35+D27+D48+D19+D43+D56)</f>
        <v>896888.73</v>
      </c>
    </row>
  </sheetData>
  <mergeCells count="7">
    <mergeCell ref="B50:D50"/>
    <mergeCell ref="B3:D3"/>
    <mergeCell ref="B29:D29"/>
    <mergeCell ref="B45:D45"/>
    <mergeCell ref="B37:D37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24 ABR'!C6, 'REPORTE DIARIO'!C:C)</f>
        <v>13598</v>
      </c>
      <c r="E6" s="15">
        <f>SUMIF('REPORTE DIARIO'!B:B,'EPR 24 ABR'!C6, 'REPORTE DIARIO'!D:D)</f>
        <v>483884.86</v>
      </c>
      <c r="F6" s="15">
        <f>J6*D6</f>
        <v>388514.28571428574</v>
      </c>
      <c r="G6" s="15">
        <f>+E6-F6</f>
        <v>95370.574285714247</v>
      </c>
      <c r="H6" s="14">
        <f>ABS(G6/F6)</f>
        <v>0.24547507721723771</v>
      </c>
      <c r="I6" s="15">
        <f>E6/D6</f>
        <v>35.585002206206795</v>
      </c>
      <c r="J6" s="15">
        <f>200/7</f>
        <v>28.571428571428573</v>
      </c>
      <c r="K6" s="15">
        <f>+I6-J6</f>
        <v>7.013573634778222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24 ABR'!C7, 'REPORTE DIARIO'!C:C)</f>
        <v>11189</v>
      </c>
      <c r="E7" s="15">
        <f>SUMIF('REPORTE DIARIO'!B:B,'EPR 24 ABR'!C7, 'REPORTE DIARIO'!D:D)</f>
        <v>137832.16</v>
      </c>
      <c r="F7" s="15">
        <f>J7*D7</f>
        <v>175827.14285714284</v>
      </c>
      <c r="G7" s="15">
        <f>+E7-F7</f>
        <v>-37994.982857142837</v>
      </c>
      <c r="H7" s="14">
        <f>ABS(G7/F7)</f>
        <v>0.21609281843368883</v>
      </c>
      <c r="I7" s="15">
        <f>E7/D7</f>
        <v>12.318541424613461</v>
      </c>
      <c r="J7" s="15">
        <f>110/7</f>
        <v>15.714285714285714</v>
      </c>
      <c r="K7" s="15">
        <f t="shared" ref="K7:K9" si="0">+I7-J7</f>
        <v>-3.3957442896722529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24 ABR'!C8, 'REPORTE DIARIO'!C:C)</f>
        <v>13363</v>
      </c>
      <c r="E8" s="15">
        <f>SUMIF('REPORTE DIARIO'!B:B,'EPR 24 ABR'!C8, 'REPORTE DIARIO'!D:D)</f>
        <v>90270.73</v>
      </c>
      <c r="F8" s="15">
        <f>J8*D8</f>
        <v>85905</v>
      </c>
      <c r="G8" s="15">
        <f>+E8-F8</f>
        <v>4365.7299999999959</v>
      </c>
      <c r="H8" s="14">
        <f>ABS(G8/F8)</f>
        <v>5.082044118502993E-2</v>
      </c>
      <c r="I8" s="15">
        <f>E8/D8</f>
        <v>6.7552742647609065</v>
      </c>
      <c r="J8" s="15">
        <f>45/7</f>
        <v>6.4285714285714288</v>
      </c>
      <c r="K8" s="15">
        <f t="shared" si="0"/>
        <v>0.32670283618947771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24 ABR'!C9, 'REPORTE DIARIO'!C:C)</f>
        <v>51883</v>
      </c>
      <c r="E9" s="15">
        <f>SUMIF('REPORTE DIARIO'!B:B,'EPR 24 ABR'!C9, 'REPORTE DIARIO'!D:D)</f>
        <v>184900.98</v>
      </c>
      <c r="F9" s="15">
        <f>J9*D9</f>
        <v>111177.85714285714</v>
      </c>
      <c r="G9" s="15">
        <f>+E9-F9</f>
        <v>73723.122857142866</v>
      </c>
      <c r="H9" s="14">
        <f>ABS(G9/F9)</f>
        <v>0.66310976620472994</v>
      </c>
      <c r="I9" s="15">
        <f>E9/D9</f>
        <v>3.5638066418672785</v>
      </c>
      <c r="J9" s="15">
        <f>15/7</f>
        <v>2.1428571428571428</v>
      </c>
      <c r="K9" s="15">
        <f t="shared" si="0"/>
        <v>1.4209494990101357</v>
      </c>
    </row>
    <row r="10" spans="2:12" x14ac:dyDescent="0.25">
      <c r="B10" s="15"/>
      <c r="C10" s="18" t="s">
        <v>16</v>
      </c>
      <c r="D10" s="23">
        <f>SUM(D6:D9)</f>
        <v>90033</v>
      </c>
      <c r="E10" s="19">
        <f>SUM(E6:E9)</f>
        <v>896888.73</v>
      </c>
      <c r="F10" s="19">
        <f>SUM(F6:F9)</f>
        <v>761424.2857142858</v>
      </c>
      <c r="G10" s="19">
        <f>+E10-F10</f>
        <v>135464.44428571418</v>
      </c>
      <c r="H10" s="20">
        <f>ABS(G10/F10)</f>
        <v>0.17790927716291072</v>
      </c>
      <c r="I10" s="19">
        <f>E10/D10</f>
        <v>9.9617776815167769</v>
      </c>
      <c r="J10" s="19">
        <f>F10/D10</f>
        <v>8.4571688793474156</v>
      </c>
      <c r="K10" s="19">
        <f>I10-J10</f>
        <v>1.5046088021693613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24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2025-04-26T02:23:26Z</dcterms:modified>
</cp:coreProperties>
</file>