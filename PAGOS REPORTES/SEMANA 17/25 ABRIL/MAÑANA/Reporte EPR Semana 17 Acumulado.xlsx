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5 ABRIL\MAÑANA\"/>
    </mc:Choice>
  </mc:AlternateContent>
  <xr:revisionPtr revIDLastSave="0" documentId="13_ncr:1_{FEBF8057-5C97-408B-A5B2-968CBEB33F81}" xr6:coauthVersionLast="47" xr6:coauthVersionMax="47" xr10:uidLastSave="{00000000-0000-0000-0000-000000000000}"/>
  <bookViews>
    <workbookView xWindow="5280" yWindow="5280" windowWidth="10005" windowHeight="5445" xr2:uid="{4DC6C92A-CD8A-4966-829B-0B6A986E825B}"/>
  </bookViews>
  <sheets>
    <sheet name="REPORTE DIARIO" sheetId="1" r:id="rId1"/>
    <sheet name="DATA" sheetId="4" r:id="rId2"/>
    <sheet name="EPR 2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35" i="1"/>
  <c r="C35" i="1"/>
  <c r="D40" i="1" l="1"/>
  <c r="C40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<sst xmlns="http://schemas.openxmlformats.org/spreadsheetml/2006/main" count="88" uniqueCount="37">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</sst>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1" xfId="0" applyNumberFormat="1" applyFon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8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5177</v>
      </c>
      <c r="D5" s="25">
        <v>397669.07</v>
      </c>
    </row>
    <row r="6" spans="2:8" x14ac:dyDescent="0.25">
      <c r="B6" s="1" t="s">
        <v>5</v>
      </c>
      <c r="C6" s="6">
        <v>5163</v>
      </c>
      <c r="D6" s="25">
        <v>210861.76</v>
      </c>
    </row>
    <row r="7" spans="2:8" x14ac:dyDescent="0.25">
      <c r="B7" s="1" t="s">
        <v>6</v>
      </c>
      <c r="C7" s="6">
        <v>6847</v>
      </c>
      <c r="D7" s="25">
        <v>166562.54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20308</v>
      </c>
      <c r="D9" s="25">
        <v>186344.11</v>
      </c>
      <c r="F9" s="7"/>
    </row>
    <row r="10" spans="2:8" x14ac:dyDescent="0.25">
      <c r="B10" s="3" t="s">
        <v>8</v>
      </c>
      <c r="C10" s="8">
        <f>SUM(C5:C9)</f>
        <v>37516</v>
      </c>
      <c r="D10" s="4">
        <f>SUM(D5:D9)</f>
        <v>961437.4800000001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4110</v>
      </c>
      <c r="D14" s="25">
        <v>218545.88999999998</v>
      </c>
    </row>
    <row r="15" spans="2:8" x14ac:dyDescent="0.25">
      <c r="B15" s="9" t="s">
        <v>5</v>
      </c>
      <c r="C15" s="6">
        <v>2411</v>
      </c>
      <c r="D15" s="25">
        <v>115774.59</v>
      </c>
    </row>
    <row r="16" spans="2:8" x14ac:dyDescent="0.25">
      <c r="B16" s="9" t="s">
        <v>6</v>
      </c>
      <c r="C16" s="6">
        <v>1023</v>
      </c>
      <c r="D16" s="25">
        <v>44854.42</v>
      </c>
    </row>
    <row r="17" spans="2:11" x14ac:dyDescent="0.25">
      <c r="B17" s="9" t="s">
        <v>7</v>
      </c>
      <c r="C17" s="6">
        <v>9565</v>
      </c>
      <c r="D17" s="25">
        <v>18589</v>
      </c>
    </row>
    <row r="18" spans="2:11" x14ac:dyDescent="0.25">
      <c r="B18" s="10" t="s">
        <v>8</v>
      </c>
      <c r="C18" s="8">
        <f>SUM(C14:C17)</f>
        <v>17109</v>
      </c>
      <c r="D18" s="4">
        <f>SUM(D14:D17)</f>
        <v>397763.89999999997</v>
      </c>
    </row>
    <row r="20" spans="2:11" x14ac:dyDescent="0.25">
      <c r="B20" s="28" t="s">
        <v>9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339</v>
      </c>
      <c r="D22" s="25">
        <v>139245.58000000002</v>
      </c>
    </row>
    <row r="23" spans="2:11" x14ac:dyDescent="0.25">
      <c r="B23" s="9" t="s">
        <v>5</v>
      </c>
      <c r="C23" s="6">
        <v>1902</v>
      </c>
      <c r="D23" s="25">
        <v>99359.25</v>
      </c>
    </row>
    <row r="24" spans="2:11" x14ac:dyDescent="0.25">
      <c r="B24" s="9" t="s">
        <v>6</v>
      </c>
      <c r="C24" s="6">
        <v>2383</v>
      </c>
      <c r="D24" s="25">
        <v>50759.519999999997</v>
      </c>
    </row>
    <row r="25" spans="2:11" x14ac:dyDescent="0.25">
      <c r="B25" s="9" t="s">
        <v>7</v>
      </c>
      <c r="C25" s="6">
        <v>4264</v>
      </c>
      <c r="D25" s="25">
        <v>2687.51</v>
      </c>
    </row>
    <row r="26" spans="2:11" x14ac:dyDescent="0.25">
      <c r="B26" s="10" t="s">
        <v>8</v>
      </c>
      <c r="C26" s="8">
        <f>SUM(C22:C25)</f>
        <v>8888</v>
      </c>
      <c r="D26" s="4">
        <f>SUM(D22:D25)</f>
        <v>292051.86000000004</v>
      </c>
    </row>
    <row r="27" spans="2:11" x14ac:dyDescent="0.25">
      <c r="K27" s="7"/>
    </row>
    <row r="28" spans="2:11" x14ac:dyDescent="0.25">
      <c r="B28" s="28" t="s">
        <v>32</v>
      </c>
      <c r="C28" s="28"/>
      <c r="D28" s="28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2330</v>
      </c>
      <c r="D30" s="25">
        <v>112867.07999999999</v>
      </c>
    </row>
    <row r="31" spans="2:11" x14ac:dyDescent="0.25">
      <c r="B31" s="1" t="s">
        <v>5</v>
      </c>
      <c r="C31" s="6">
        <v>1674</v>
      </c>
      <c r="D31" s="25">
        <v>38659.79</v>
      </c>
    </row>
    <row r="32" spans="2:11" x14ac:dyDescent="0.25">
      <c r="B32" s="1" t="s">
        <v>6</v>
      </c>
      <c r="C32" s="6">
        <v>3079</v>
      </c>
      <c r="D32" s="25">
        <v>21932.6</v>
      </c>
    </row>
    <row r="33" spans="2:4" x14ac:dyDescent="0.25">
      <c r="B33" s="5" t="s">
        <v>12</v>
      </c>
      <c r="C33" s="7">
        <v>2</v>
      </c>
      <c r="D33" s="26">
        <v>0</v>
      </c>
    </row>
    <row r="34" spans="2:4" x14ac:dyDescent="0.25">
      <c r="B34" s="1" t="s">
        <v>7</v>
      </c>
      <c r="C34" s="6">
        <v>21834</v>
      </c>
      <c r="D34" s="25">
        <v>58682.37999999999</v>
      </c>
    </row>
    <row r="35" spans="2:4" x14ac:dyDescent="0.25">
      <c r="B35" s="3" t="s">
        <v>8</v>
      </c>
      <c r="C35" s="8">
        <f>SUM(C30:C34)</f>
        <v>28919</v>
      </c>
      <c r="D35" s="4">
        <f>SUM(D30:D34)</f>
        <v>232141.84999999998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2030</v>
      </c>
      <c r="D39" s="25">
        <v>30657</v>
      </c>
    </row>
    <row r="40" spans="2:4" x14ac:dyDescent="0.25">
      <c r="B40" s="10" t="s">
        <v>8</v>
      </c>
      <c r="C40" s="8">
        <f>SUM(C39:C39)</f>
        <v>2030</v>
      </c>
      <c r="D40" s="4">
        <f>SUM(D39:D39)</f>
        <v>30657</v>
      </c>
    </row>
    <row r="42" spans="2:4" x14ac:dyDescent="0.25">
      <c r="B42" s="28" t="s">
        <v>33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1354</v>
      </c>
    </row>
    <row r="45" spans="2:4" x14ac:dyDescent="0.25">
      <c r="B45" s="1" t="s">
        <v>5</v>
      </c>
      <c r="C45" s="6">
        <v>318</v>
      </c>
      <c r="D45" s="25">
        <v>3323</v>
      </c>
    </row>
    <row r="46" spans="2:4" x14ac:dyDescent="0.25">
      <c r="B46" s="1" t="s">
        <v>6</v>
      </c>
      <c r="C46" s="6">
        <v>255</v>
      </c>
      <c r="D46" s="27">
        <v>0</v>
      </c>
    </row>
    <row r="47" spans="2:4" x14ac:dyDescent="0.25">
      <c r="B47" s="1" t="s">
        <v>7</v>
      </c>
      <c r="C47" s="6">
        <v>1930</v>
      </c>
      <c r="D47" s="25">
        <v>14786</v>
      </c>
    </row>
    <row r="48" spans="2:4" x14ac:dyDescent="0.25">
      <c r="B48" s="3" t="s">
        <v>8</v>
      </c>
      <c r="C48" s="8">
        <f>SUM(C44:C47)</f>
        <v>2542</v>
      </c>
      <c r="D48" s="4">
        <f>SUM(D44:D47)</f>
        <v>19463</v>
      </c>
    </row>
    <row r="50" spans="2:4" x14ac:dyDescent="0.25">
      <c r="B50" s="28" t="s">
        <v>34</v>
      </c>
      <c r="C50" s="28"/>
      <c r="D50" s="28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5">
        <v>1034.45</v>
      </c>
    </row>
    <row r="53" spans="2:4" x14ac:dyDescent="0.25">
      <c r="B53" s="1" t="s">
        <v>5</v>
      </c>
      <c r="C53" s="6">
        <v>142</v>
      </c>
      <c r="D53" s="26">
        <v>0</v>
      </c>
    </row>
    <row r="54" spans="2:4" x14ac:dyDescent="0.25">
      <c r="B54" s="1" t="s">
        <v>6</v>
      </c>
      <c r="C54" s="6">
        <v>560</v>
      </c>
      <c r="D54" s="26">
        <v>0</v>
      </c>
    </row>
    <row r="55" spans="2:4" x14ac:dyDescent="0.25">
      <c r="B55" s="1" t="s">
        <v>7</v>
      </c>
      <c r="C55" s="6">
        <v>819</v>
      </c>
      <c r="D55" s="25">
        <v>2586</v>
      </c>
    </row>
    <row r="56" spans="2:4" x14ac:dyDescent="0.25">
      <c r="B56" s="3" t="s">
        <v>8</v>
      </c>
      <c r="C56" s="8">
        <f>SUM(C52:C55)</f>
        <v>1607</v>
      </c>
      <c r="D56" s="4">
        <f>SUM(D52:D55)</f>
        <v>3620.45</v>
      </c>
    </row>
    <row r="58" spans="2:4" x14ac:dyDescent="0.25">
      <c r="B58" s="12" t="s">
        <v>13</v>
      </c>
      <c r="C58" s="13">
        <f>SUM(C10+C18+C26+C40+C35+C48+C56)</f>
        <v>98611</v>
      </c>
      <c r="D58" s="13">
        <f>SUM(D10+D18+D26+D40+D35+D48+D56)</f>
        <v>1937135.5400000003</v>
      </c>
    </row>
  </sheetData>
  <mergeCells count="7">
    <mergeCell ref="B50:D50"/>
    <mergeCell ref="B28:D28"/>
    <mergeCell ref="B42:D42"/>
    <mergeCell ref="B3:D3"/>
    <mergeCell ref="B12:D12"/>
    <mergeCell ref="B20:D20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25 ABR'!C6, 'REPORTE DIARIO'!C:C)</f>
        <v>14111</v>
      </c>
      <c r="E6" s="16">
        <f>SUMIF('REPORTE DIARIO'!B:B,'EPR 25 ABR'!C6, 'REPORTE DIARIO'!D:D)</f>
        <v>901373.07</v>
      </c>
      <c r="F6" s="16">
        <f>J6*D6</f>
        <v>2015857.142857143</v>
      </c>
      <c r="G6" s="16">
        <f>+E6-F6</f>
        <v>-1114484.0728571429</v>
      </c>
      <c r="H6" s="15">
        <f>ABS(G6/F6)</f>
        <v>0.55285865707603998</v>
      </c>
      <c r="I6" s="16">
        <f>E6/D6</f>
        <v>63.877334703422861</v>
      </c>
      <c r="J6" s="16">
        <f>(200/7)*5</f>
        <v>142.85714285714286</v>
      </c>
      <c r="K6" s="16">
        <f>+I6-J6</f>
        <v>-78.979808153720001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25 ABR'!C7, 'REPORTE DIARIO'!C:C)</f>
        <v>11610</v>
      </c>
      <c r="E7" s="16">
        <f>SUMIF('REPORTE DIARIO'!B:B,'EPR 25 ABR'!C7, 'REPORTE DIARIO'!D:D)</f>
        <v>467978.38999999996</v>
      </c>
      <c r="F7" s="16">
        <f>J7*D7</f>
        <v>912214.28571428568</v>
      </c>
      <c r="G7" s="16">
        <f>+E7-F7</f>
        <v>-444235.89571428573</v>
      </c>
      <c r="H7" s="15">
        <f>ABS(G7/F7)</f>
        <v>0.48698633936261848</v>
      </c>
      <c r="I7" s="16">
        <f>E7/D7</f>
        <v>40.308216192937117</v>
      </c>
      <c r="J7" s="16">
        <f>(110/7)*5</f>
        <v>78.571428571428569</v>
      </c>
      <c r="K7" s="16">
        <f t="shared" ref="K7:K9" si="0">+I7-J7</f>
        <v>-38.263212378491453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25 ABR'!C8, 'REPORTE DIARIO'!C:C)</f>
        <v>14147</v>
      </c>
      <c r="E8" s="16">
        <f>SUMIF('REPORTE DIARIO'!B:B,'EPR 25 ABR'!C8, 'REPORTE DIARIO'!D:D)</f>
        <v>284109.08</v>
      </c>
      <c r="F8" s="16">
        <f>J8*D8</f>
        <v>454725.00000000006</v>
      </c>
      <c r="G8" s="16">
        <f>+E8-F8</f>
        <v>-170615.92000000004</v>
      </c>
      <c r="H8" s="15">
        <f>ABS(G8/F8)</f>
        <v>0.37520681730716371</v>
      </c>
      <c r="I8" s="16">
        <f>E8/D8</f>
        <v>20.082638015126882</v>
      </c>
      <c r="J8" s="16">
        <f>(45/7)*5</f>
        <v>32.142857142857146</v>
      </c>
      <c r="K8" s="16">
        <f t="shared" si="0"/>
        <v>-12.060219127730264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25 ABR'!C9, 'REPORTE DIARIO'!C:C)</f>
        <v>58720</v>
      </c>
      <c r="E9" s="16">
        <f>SUMIF('REPORTE DIARIO'!B:B,'EPR 25 ABR'!C9, 'REPORTE DIARIO'!D:D)</f>
        <v>283675</v>
      </c>
      <c r="F9" s="16">
        <f>J9*D9</f>
        <v>629142.85714285704</v>
      </c>
      <c r="G9" s="16">
        <f>+E9-F9</f>
        <v>-345467.85714285704</v>
      </c>
      <c r="H9" s="15">
        <f>ABS(G9/F9)</f>
        <v>0.5491087647593097</v>
      </c>
      <c r="I9" s="16">
        <f>E9/D9</f>
        <v>4.8309775204359671</v>
      </c>
      <c r="J9" s="16">
        <f>(15/7)*5</f>
        <v>10.714285714285714</v>
      </c>
      <c r="K9" s="16">
        <f t="shared" si="0"/>
        <v>-5.8833081938497465</v>
      </c>
    </row>
    <row r="10" spans="2:12" x14ac:dyDescent="0.25">
      <c r="B10" s="16"/>
      <c r="C10" s="19" t="s">
        <v>17</v>
      </c>
      <c r="D10" s="24">
        <f>SUM(D6:D9)</f>
        <v>98588</v>
      </c>
      <c r="E10" s="20">
        <f>SUM(E6:E9)</f>
        <v>1937135.54</v>
      </c>
      <c r="F10" s="20">
        <f>SUM(F6:F9)</f>
        <v>4011939.2857142854</v>
      </c>
      <c r="G10" s="20">
        <f>+E10-F10</f>
        <v>-2074803.7457142854</v>
      </c>
      <c r="H10" s="21">
        <f>ABS(G10/F10)</f>
        <v>0.51715731419521904</v>
      </c>
      <c r="I10" s="20">
        <f>E10/D10</f>
        <v>19.648796405242017</v>
      </c>
      <c r="J10" s="20">
        <f>F10/D10</f>
        <v>40.693992024529209</v>
      </c>
      <c r="K10" s="20">
        <f>I10-J10</f>
        <v>-21.045195619287192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2025-04-25T15:22:02Z</dcterms:modified>
</cp:coreProperties>
</file>