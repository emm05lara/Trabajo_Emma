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4 ABRIL\NOCHE\"/>
    </mc:Choice>
  </mc:AlternateContent>
  <xr:revisionPtr revIDLastSave="0" documentId="13_ncr:1_{15DB891F-9802-4F14-9539-F14085AEAD3D}" xr6:coauthVersionLast="47" xr6:coauthVersionMax="47" xr10:uidLastSave="{00000000-0000-0000-0000-000000000000}"/>
  <bookViews>
    <workbookView xWindow="15360" yWindow="15360" windowWidth="10005" windowHeight="5445" xr2:uid="{4DC6C92A-CD8A-4966-829B-0B6A986E825B}"/>
  </bookViews>
  <sheets>
    <sheet name="REPORTE DIARIO" sheetId="1" r:id="rId1"/>
    <sheet name="DATA" sheetId="4" r:id="rId2"/>
    <sheet name="EPR 2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43" i="1"/>
  <c r="J6" i="3"/>
  <c r="C43" i="1"/>
  <c r="D35" i="1" l="1"/>
  <c r="C35" i="1"/>
  <c r="J9" i="3"/>
  <c r="J8" i="3"/>
  <c r="J7" i="3"/>
  <c r="D6" i="3"/>
  <c r="F6" i="3" s="1"/>
  <c r="D48" i="1"/>
  <c r="C48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<sst xmlns="http://schemas.openxmlformats.org/spreadsheetml/2006/main" count="87" uniqueCount="36">
  <si>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</si>
  <si>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</si>
  <si>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</si>
  <si>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</si>
  <si>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</si>
  <si>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</si>
  <si>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</si>
  <si>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</si>
  <si>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</si>
  <si>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</si>
  <si>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</si>
  <si>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</si>
  <si>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</si>
  <si>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</si>
  <si>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</si>
  <si>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</si>
  <si>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</si>
  <si>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</si>
  <si>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</si>
  <si>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</si>
  <si>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</si>
  <si>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</si>
  <si>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</si>
  <si>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</si>
  <si>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</si>
  <si>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</si>
  <si>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</si>
  <si>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</si>
  <si>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</si>
  <si>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</si>
  <si>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</si>
  <si>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</si>
  <si>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</si>
  <si>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</si>
  <si>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</si>
  <si>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24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</si>
</sst>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7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5186</v>
      </c>
      <c r="D5" s="25">
        <v>58129.619999999995</v>
      </c>
    </row>
    <row r="6" spans="2:8" x14ac:dyDescent="0.25">
      <c r="B6" s="1" t="s">
        <v>5</v>
      </c>
      <c r="C6" s="6">
        <v>5174</v>
      </c>
      <c r="D6" s="25">
        <v>19754.5</v>
      </c>
    </row>
    <row r="7" spans="2:8" x14ac:dyDescent="0.25">
      <c r="B7" s="1" t="s">
        <v>6</v>
      </c>
      <c r="C7" s="6">
        <v>6904</v>
      </c>
      <c r="D7" s="25">
        <v>39236.520000000004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20308</v>
      </c>
      <c r="D9" s="25">
        <v>44075.759999999995</v>
      </c>
    </row>
    <row r="10" spans="2:8" x14ac:dyDescent="0.25">
      <c r="B10" s="3" t="s">
        <v>8</v>
      </c>
      <c r="C10" s="8">
        <f>SUM(C5:C9)</f>
        <v>37593</v>
      </c>
      <c r="D10" s="4">
        <f>SUM(D5:D9)</f>
        <v>161196.4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2024</v>
      </c>
      <c r="D14" s="25">
        <v>19659.690000000002</v>
      </c>
    </row>
    <row r="15" spans="2:8" x14ac:dyDescent="0.25">
      <c r="B15" s="9" t="s">
        <v>5</v>
      </c>
      <c r="C15" s="6">
        <v>2346</v>
      </c>
      <c r="D15" s="25">
        <v>25806</v>
      </c>
    </row>
    <row r="16" spans="2:8" x14ac:dyDescent="0.25">
      <c r="B16" s="9" t="s">
        <v>6</v>
      </c>
      <c r="C16" s="6">
        <v>1026</v>
      </c>
      <c r="D16" s="25">
        <v>35187.42</v>
      </c>
    </row>
    <row r="17" spans="2:11" x14ac:dyDescent="0.25">
      <c r="B17" s="9" t="s">
        <v>7</v>
      </c>
      <c r="C17" s="6">
        <v>9565</v>
      </c>
      <c r="D17" s="25">
        <v>5259</v>
      </c>
    </row>
    <row r="18" spans="2:11" x14ac:dyDescent="0.25">
      <c r="B18" s="10" t="s">
        <v>8</v>
      </c>
      <c r="C18" s="8">
        <f>SUM(C14:C17)</f>
        <v>14961</v>
      </c>
      <c r="D18" s="4">
        <f>SUM(D14:D17)</f>
        <v>85912.11</v>
      </c>
    </row>
    <row r="20" spans="2:11" x14ac:dyDescent="0.25">
      <c r="B20" s="27" t="s">
        <v>9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1338</v>
      </c>
      <c r="D22" s="25">
        <v>33538</v>
      </c>
    </row>
    <row r="23" spans="2:11" x14ac:dyDescent="0.25">
      <c r="B23" s="9" t="s">
        <v>5</v>
      </c>
      <c r="C23" s="6">
        <v>1908</v>
      </c>
      <c r="D23" s="25">
        <v>19800</v>
      </c>
    </row>
    <row r="24" spans="2:11" x14ac:dyDescent="0.25">
      <c r="B24" s="9" t="s">
        <v>6</v>
      </c>
      <c r="C24" s="6">
        <v>2404</v>
      </c>
      <c r="D24" s="25">
        <v>9530</v>
      </c>
    </row>
    <row r="25" spans="2:11" x14ac:dyDescent="0.25">
      <c r="B25" s="9" t="s">
        <v>7</v>
      </c>
      <c r="C25" s="6">
        <v>4264</v>
      </c>
      <c r="D25" s="25">
        <v>1418.02</v>
      </c>
    </row>
    <row r="26" spans="2:11" x14ac:dyDescent="0.25">
      <c r="B26" s="10" t="s">
        <v>8</v>
      </c>
      <c r="C26" s="8">
        <f>SUM(C22:C25)</f>
        <v>9914</v>
      </c>
      <c r="D26" s="4">
        <f>SUM(D22:D25)</f>
        <v>64286.02</v>
      </c>
      <c r="K26" s="7"/>
    </row>
    <row r="28" spans="2:11" x14ac:dyDescent="0.25">
      <c r="B28" s="27" t="s">
        <v>31</v>
      </c>
      <c r="C28" s="27"/>
      <c r="D28" s="27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2340</v>
      </c>
      <c r="D30" s="25">
        <v>18446.28</v>
      </c>
    </row>
    <row r="31" spans="2:11" x14ac:dyDescent="0.25">
      <c r="B31" s="1" t="s">
        <v>5</v>
      </c>
      <c r="C31" s="6">
        <v>1682</v>
      </c>
      <c r="D31" s="25">
        <v>5548</v>
      </c>
    </row>
    <row r="32" spans="2:11" x14ac:dyDescent="0.25">
      <c r="B32" s="1" t="s">
        <v>6</v>
      </c>
      <c r="C32" s="6">
        <v>3127</v>
      </c>
      <c r="D32" s="25">
        <v>4070</v>
      </c>
    </row>
    <row r="33" spans="2:4" x14ac:dyDescent="0.25">
      <c r="B33" s="5" t="s">
        <v>12</v>
      </c>
      <c r="C33" s="7">
        <v>2</v>
      </c>
      <c r="D33" s="24">
        <v>0</v>
      </c>
    </row>
    <row r="34" spans="2:4" x14ac:dyDescent="0.25">
      <c r="B34" s="1" t="s">
        <v>7</v>
      </c>
      <c r="C34" s="6">
        <v>21837</v>
      </c>
      <c r="D34" s="25">
        <v>16968</v>
      </c>
    </row>
    <row r="35" spans="2:4" x14ac:dyDescent="0.25">
      <c r="B35" s="3" t="s">
        <v>8</v>
      </c>
      <c r="C35" s="8">
        <f>SUM(C30:C34)</f>
        <v>28988</v>
      </c>
      <c r="D35" s="4">
        <f>SUM(D30:D34)</f>
        <v>45032.28</v>
      </c>
    </row>
    <row r="37" spans="2:4" x14ac:dyDescent="0.25">
      <c r="B37" s="27" t="s">
        <v>32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39</v>
      </c>
      <c r="D39" s="25">
        <v>210</v>
      </c>
    </row>
    <row r="40" spans="2:4" x14ac:dyDescent="0.25">
      <c r="B40" s="1" t="s">
        <v>5</v>
      </c>
      <c r="C40" s="6">
        <v>322</v>
      </c>
      <c r="D40" s="25">
        <v>400</v>
      </c>
    </row>
    <row r="41" spans="2:4" x14ac:dyDescent="0.25">
      <c r="B41" s="1" t="s">
        <v>6</v>
      </c>
      <c r="C41" s="6">
        <v>255</v>
      </c>
      <c r="D41" s="26">
        <v>0</v>
      </c>
    </row>
    <row r="42" spans="2:4" x14ac:dyDescent="0.25">
      <c r="B42" s="1" t="s">
        <v>7</v>
      </c>
      <c r="C42" s="6">
        <v>1930</v>
      </c>
      <c r="D42" s="25">
        <v>9960</v>
      </c>
    </row>
    <row r="43" spans="2:4" x14ac:dyDescent="0.25">
      <c r="B43" s="3" t="s">
        <v>8</v>
      </c>
      <c r="C43" s="8">
        <f>SUM(C39:C42)</f>
        <v>2546</v>
      </c>
      <c r="D43" s="4">
        <f>SUM(D39:D42)</f>
        <v>10570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2037</v>
      </c>
      <c r="D47" s="25">
        <v>3505</v>
      </c>
    </row>
    <row r="48" spans="2:4" x14ac:dyDescent="0.25">
      <c r="B48" s="10" t="s">
        <v>8</v>
      </c>
      <c r="C48" s="8">
        <f>SUM(C47:C47)</f>
        <v>2037</v>
      </c>
      <c r="D48" s="4">
        <f>SUM(D47:D47)</f>
        <v>3505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5">
        <v>2068.9</v>
      </c>
    </row>
    <row r="53" spans="2:4" x14ac:dyDescent="0.25">
      <c r="B53" s="1" t="s">
        <v>5</v>
      </c>
      <c r="C53" s="6">
        <v>145</v>
      </c>
      <c r="D53" s="26">
        <v>0</v>
      </c>
    </row>
    <row r="54" spans="2:4" x14ac:dyDescent="0.25">
      <c r="B54" s="1" t="s">
        <v>6</v>
      </c>
      <c r="C54" s="6">
        <v>560</v>
      </c>
      <c r="D54" s="26">
        <v>0</v>
      </c>
    </row>
    <row r="55" spans="2:4" x14ac:dyDescent="0.25">
      <c r="B55" s="1" t="s">
        <v>7</v>
      </c>
      <c r="C55" s="6">
        <v>840</v>
      </c>
      <c r="D55" s="26">
        <v>0</v>
      </c>
    </row>
    <row r="56" spans="2:4" x14ac:dyDescent="0.25">
      <c r="B56" s="3" t="s">
        <v>8</v>
      </c>
      <c r="C56" s="8">
        <f>SUM(C52:C55)</f>
        <v>1631</v>
      </c>
      <c r="D56" s="4">
        <f>SUM(D52:D55)</f>
        <v>2068.9</v>
      </c>
    </row>
    <row r="58" spans="2:4" x14ac:dyDescent="0.25">
      <c r="B58" s="11" t="s">
        <v>13</v>
      </c>
      <c r="C58" s="12">
        <f>SUM(C10+C26+C18+C48+C35+C43+C56)</f>
        <v>97670</v>
      </c>
      <c r="D58" s="12">
        <f>SUM(D10+D26+D18+D48+D35+D43+D56)</f>
        <v>372570.70999999996</v>
      </c>
    </row>
  </sheetData>
  <mergeCells count="7">
    <mergeCell ref="B50:D50"/>
    <mergeCell ref="B3:D3"/>
    <mergeCell ref="B20:D20"/>
    <mergeCell ref="B45:D45"/>
    <mergeCell ref="B37:D37"/>
    <mergeCell ref="B28:D28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7" sqref="B7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24 ABR'!C6, 'REPORTE DIARIO'!C:C)</f>
        <v>13050</v>
      </c>
      <c r="E6" s="15">
        <f>SUMIF('REPORTE DIARIO'!B:B,'EPR 24 ABR'!C6, 'REPORTE DIARIO'!D:D)</f>
        <v>135557.49</v>
      </c>
      <c r="F6" s="15">
        <f>J6*D6</f>
        <v>372857.1428571429</v>
      </c>
      <c r="G6" s="15">
        <f>+E6-F6</f>
        <v>-237299.65285714291</v>
      </c>
      <c r="H6" s="14">
        <f>ABS(G6/F6)</f>
        <v>0.63643585057471275</v>
      </c>
      <c r="I6" s="15">
        <f>E6/D6</f>
        <v>10.387547126436781</v>
      </c>
      <c r="J6" s="15">
        <f>200/7</f>
        <v>28.571428571428573</v>
      </c>
      <c r="K6" s="15">
        <f>+I6-J6</f>
        <v>-18.18388144499179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24 ABR'!C7, 'REPORTE DIARIO'!C:C)</f>
        <v>11577</v>
      </c>
      <c r="E7" s="15">
        <f>SUMIF('REPORTE DIARIO'!B:B,'EPR 24 ABR'!C7, 'REPORTE DIARIO'!D:D)</f>
        <v>71308.5</v>
      </c>
      <c r="F7" s="15">
        <f>J7*D7</f>
        <v>181924.28571428571</v>
      </c>
      <c r="G7" s="15">
        <f>+E7-F7</f>
        <v>-110615.78571428571</v>
      </c>
      <c r="H7" s="14">
        <f>ABS(G7/F7)</f>
        <v>0.60803199133077335</v>
      </c>
      <c r="I7" s="15">
        <f>E7/D7</f>
        <v>6.1594972790878462</v>
      </c>
      <c r="J7" s="15">
        <f>110/7</f>
        <v>15.714285714285714</v>
      </c>
      <c r="K7" s="15">
        <f t="shared" ref="K7:K9" si="0">+I7-J7</f>
        <v>-9.5547884351978674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24 ABR'!C8, 'REPORTE DIARIO'!C:C)</f>
        <v>14276</v>
      </c>
      <c r="E8" s="15">
        <f>SUMIF('REPORTE DIARIO'!B:B,'EPR 24 ABR'!C8, 'REPORTE DIARIO'!D:D)</f>
        <v>88023.94</v>
      </c>
      <c r="F8" s="15">
        <f>J8*D8</f>
        <v>91774.285714285725</v>
      </c>
      <c r="G8" s="15">
        <f>+E8-F8</f>
        <v>-3750.3457142857224</v>
      </c>
      <c r="H8" s="14">
        <f>ABS(G8/F8)</f>
        <v>4.0864885900189989E-2</v>
      </c>
      <c r="I8" s="15">
        <f>E8/D8</f>
        <v>6.1658685906416366</v>
      </c>
      <c r="J8" s="15">
        <f>45/7</f>
        <v>6.4285714285714288</v>
      </c>
      <c r="K8" s="15">
        <f t="shared" si="0"/>
        <v>-0.26270283792979221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24 ABR'!C9, 'REPORTE DIARIO'!C:C)</f>
        <v>58744</v>
      </c>
      <c r="E9" s="15">
        <f>SUMIF('REPORTE DIARIO'!B:B,'EPR 24 ABR'!C9, 'REPORTE DIARIO'!D:D)</f>
        <v>77680.78</v>
      </c>
      <c r="F9" s="15">
        <f>J9*D9</f>
        <v>125880</v>
      </c>
      <c r="G9" s="15">
        <f>+E9-F9</f>
        <v>-48199.22</v>
      </c>
      <c r="H9" s="14">
        <f>ABS(G9/F9)</f>
        <v>0.38289815697489676</v>
      </c>
      <c r="I9" s="15">
        <f>E9/D9</f>
        <v>1.3223610921966498</v>
      </c>
      <c r="J9" s="15">
        <f>15/7</f>
        <v>2.1428571428571428</v>
      </c>
      <c r="K9" s="15">
        <f t="shared" si="0"/>
        <v>-0.82049605066049303</v>
      </c>
    </row>
    <row r="10" spans="2:12" x14ac:dyDescent="0.25">
      <c r="B10" s="15"/>
      <c r="C10" s="18" t="s">
        <v>16</v>
      </c>
      <c r="D10" s="23">
        <f>SUM(D6:D9)</f>
        <v>97647</v>
      </c>
      <c r="E10" s="19">
        <f>SUM(E6:E9)</f>
        <v>372570.70999999996</v>
      </c>
      <c r="F10" s="19">
        <f>SUM(F6:F9)</f>
        <v>772435.71428571432</v>
      </c>
      <c r="G10" s="19">
        <f>+E10-F10</f>
        <v>-399865.00428571436</v>
      </c>
      <c r="H10" s="20">
        <f>ABS(G10/F10)</f>
        <v>0.51766768015831188</v>
      </c>
      <c r="I10" s="19">
        <f>E10/D10</f>
        <v>3.8154854731840198</v>
      </c>
      <c r="J10" s="19">
        <f>F10/D10</f>
        <v>7.9104909959928547</v>
      </c>
      <c r="K10" s="19">
        <f>I10-J10</f>
        <v>-4.0950055228088349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2025-04-25T02:08:58Z</dcterms:modified>
</cp:coreProperties>
</file>