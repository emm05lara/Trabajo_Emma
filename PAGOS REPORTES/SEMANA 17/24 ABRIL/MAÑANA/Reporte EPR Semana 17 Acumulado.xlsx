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4 ABRIL\MAÑANA\"/>
    </mc:Choice>
  </mc:AlternateContent>
  <xr:revisionPtr revIDLastSave="0" documentId="13_ncr:1_{D75D958C-5109-450D-90C4-465890C3C918}" xr6:coauthVersionLast="47" xr6:coauthVersionMax="47" xr10:uidLastSave="{00000000-0000-0000-0000-000000000000}"/>
  <bookViews>
    <workbookView xWindow="6045" yWindow="6045" windowWidth="10005" windowHeight="5445" xr2:uid="{4DC6C92A-CD8A-4966-829B-0B6A986E825B}"/>
  </bookViews>
  <sheets>
    <sheet name="REPORTE DIARIO" sheetId="1" r:id="rId1"/>
    <sheet name="DATA" sheetId="4" r:id="rId2"/>
    <sheet name="EPR 24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35" i="1"/>
  <c r="C35" i="1"/>
  <c r="D40" i="1" l="1"/>
  <c r="C40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<sst xmlns="http://schemas.openxmlformats.org/spreadsheetml/2006/main" count="88" uniqueCount="37">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</sst>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1" xfId="0" applyNumberFormat="1" applyFon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31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5184</v>
      </c>
      <c r="D5" s="25">
        <v>242017.33</v>
      </c>
    </row>
    <row r="6" spans="2:8" x14ac:dyDescent="0.25">
      <c r="B6" s="1" t="s">
        <v>5</v>
      </c>
      <c r="C6" s="6">
        <v>5163</v>
      </c>
      <c r="D6" s="25">
        <v>186073.26</v>
      </c>
    </row>
    <row r="7" spans="2:8" x14ac:dyDescent="0.25">
      <c r="B7" s="1" t="s">
        <v>6</v>
      </c>
      <c r="C7" s="6">
        <v>6902</v>
      </c>
      <c r="D7" s="25">
        <v>125438.02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20308</v>
      </c>
      <c r="D9" s="25">
        <v>131992.63</v>
      </c>
      <c r="F9" s="7"/>
    </row>
    <row r="10" spans="2:8" x14ac:dyDescent="0.25">
      <c r="B10" s="3" t="s">
        <v>8</v>
      </c>
      <c r="C10" s="8">
        <f>SUM(C5:C9)</f>
        <v>37578</v>
      </c>
      <c r="D10" s="4">
        <f>SUM(D5:D9)</f>
        <v>685521.24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2024</v>
      </c>
      <c r="D14" s="25">
        <v>134163.83000000002</v>
      </c>
    </row>
    <row r="15" spans="2:8" x14ac:dyDescent="0.25">
      <c r="B15" s="9" t="s">
        <v>5</v>
      </c>
      <c r="C15" s="6">
        <v>2346</v>
      </c>
      <c r="D15" s="25">
        <v>82024.3</v>
      </c>
    </row>
    <row r="16" spans="2:8" x14ac:dyDescent="0.25">
      <c r="B16" s="9" t="s">
        <v>6</v>
      </c>
      <c r="C16" s="6">
        <v>1024</v>
      </c>
      <c r="D16" s="25">
        <v>9690</v>
      </c>
    </row>
    <row r="17" spans="2:11" x14ac:dyDescent="0.25">
      <c r="B17" s="9" t="s">
        <v>7</v>
      </c>
      <c r="C17" s="6">
        <v>9534</v>
      </c>
      <c r="D17" s="25">
        <v>13730</v>
      </c>
    </row>
    <row r="18" spans="2:11" x14ac:dyDescent="0.25">
      <c r="B18" s="10" t="s">
        <v>8</v>
      </c>
      <c r="C18" s="8">
        <f>SUM(C14:C17)</f>
        <v>14928</v>
      </c>
      <c r="D18" s="4">
        <f>SUM(D14:D17)</f>
        <v>239608.13</v>
      </c>
    </row>
    <row r="20" spans="2:11" x14ac:dyDescent="0.25">
      <c r="B20" s="28" t="s">
        <v>9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1338</v>
      </c>
      <c r="D22" s="25">
        <v>119438.18000000001</v>
      </c>
    </row>
    <row r="23" spans="2:11" x14ac:dyDescent="0.25">
      <c r="B23" s="9" t="s">
        <v>5</v>
      </c>
      <c r="C23" s="6">
        <v>1909</v>
      </c>
      <c r="D23" s="25">
        <v>77087.01999999999</v>
      </c>
    </row>
    <row r="24" spans="2:11" x14ac:dyDescent="0.25">
      <c r="B24" s="9" t="s">
        <v>6</v>
      </c>
      <c r="C24" s="6">
        <v>2404</v>
      </c>
      <c r="D24" s="25">
        <v>39845.519999999997</v>
      </c>
    </row>
    <row r="25" spans="2:11" x14ac:dyDescent="0.25">
      <c r="B25" s="9" t="s">
        <v>7</v>
      </c>
      <c r="C25" s="6">
        <v>4264</v>
      </c>
      <c r="D25" s="25">
        <v>2548.5100000000002</v>
      </c>
    </row>
    <row r="26" spans="2:11" x14ac:dyDescent="0.25">
      <c r="B26" s="10" t="s">
        <v>8</v>
      </c>
      <c r="C26" s="8">
        <f>SUM(C22:C25)</f>
        <v>9915</v>
      </c>
      <c r="D26" s="4">
        <f>SUM(D22:D25)</f>
        <v>238919.23</v>
      </c>
    </row>
    <row r="27" spans="2:11" x14ac:dyDescent="0.25">
      <c r="K27" s="7"/>
    </row>
    <row r="28" spans="2:11" x14ac:dyDescent="0.25">
      <c r="B28" s="28" t="s">
        <v>32</v>
      </c>
      <c r="C28" s="28"/>
      <c r="D28" s="28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2340</v>
      </c>
      <c r="D30" s="25">
        <v>90855.18</v>
      </c>
    </row>
    <row r="31" spans="2:11" x14ac:dyDescent="0.25">
      <c r="B31" s="1" t="s">
        <v>5</v>
      </c>
      <c r="C31" s="6">
        <v>1678</v>
      </c>
      <c r="D31" s="25">
        <v>25941.79</v>
      </c>
    </row>
    <row r="32" spans="2:11" x14ac:dyDescent="0.25">
      <c r="B32" s="1" t="s">
        <v>6</v>
      </c>
      <c r="C32" s="6">
        <v>3127</v>
      </c>
      <c r="D32" s="25">
        <v>16164</v>
      </c>
    </row>
    <row r="33" spans="2:4" x14ac:dyDescent="0.25">
      <c r="B33" s="5" t="s">
        <v>12</v>
      </c>
      <c r="C33" s="7">
        <v>2</v>
      </c>
      <c r="D33" s="26">
        <v>0</v>
      </c>
    </row>
    <row r="34" spans="2:4" x14ac:dyDescent="0.25">
      <c r="B34" s="1" t="s">
        <v>7</v>
      </c>
      <c r="C34" s="6">
        <v>21795</v>
      </c>
      <c r="D34" s="25">
        <v>39252.879999999997</v>
      </c>
    </row>
    <row r="35" spans="2:4" x14ac:dyDescent="0.25">
      <c r="B35" s="3" t="s">
        <v>8</v>
      </c>
      <c r="C35" s="8">
        <f>SUM(C30:C34)</f>
        <v>28942</v>
      </c>
      <c r="D35" s="4">
        <f>SUM(D30:D34)</f>
        <v>172213.85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2025</v>
      </c>
      <c r="D39" s="25">
        <v>26542</v>
      </c>
    </row>
    <row r="40" spans="2:4" x14ac:dyDescent="0.25">
      <c r="B40" s="10" t="s">
        <v>8</v>
      </c>
      <c r="C40" s="8">
        <f>SUM(C39:C39)</f>
        <v>2025</v>
      </c>
      <c r="D40" s="4">
        <f>SUM(D39:D39)</f>
        <v>26542</v>
      </c>
    </row>
    <row r="42" spans="2:4" x14ac:dyDescent="0.25">
      <c r="B42" s="28" t="s">
        <v>33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1144</v>
      </c>
    </row>
    <row r="45" spans="2:4" x14ac:dyDescent="0.25">
      <c r="B45" s="1" t="s">
        <v>5</v>
      </c>
      <c r="C45" s="6">
        <v>318</v>
      </c>
      <c r="D45" s="25">
        <v>2923</v>
      </c>
    </row>
    <row r="46" spans="2:4" x14ac:dyDescent="0.25">
      <c r="B46" s="1" t="s">
        <v>6</v>
      </c>
      <c r="C46" s="6">
        <v>255</v>
      </c>
      <c r="D46" s="27">
        <v>0</v>
      </c>
    </row>
    <row r="47" spans="2:4" x14ac:dyDescent="0.25">
      <c r="B47" s="1" t="s">
        <v>7</v>
      </c>
      <c r="C47" s="6">
        <v>1930</v>
      </c>
      <c r="D47" s="25">
        <v>4826</v>
      </c>
    </row>
    <row r="48" spans="2:4" x14ac:dyDescent="0.25">
      <c r="B48" s="3" t="s">
        <v>8</v>
      </c>
      <c r="C48" s="8">
        <f>SUM(C44:C47)</f>
        <v>2542</v>
      </c>
      <c r="D48" s="4">
        <f>SUM(D44:D47)</f>
        <v>8893</v>
      </c>
    </row>
    <row r="50" spans="2:4" x14ac:dyDescent="0.25">
      <c r="B50" s="28" t="s">
        <v>34</v>
      </c>
      <c r="C50" s="28"/>
      <c r="D50" s="28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5">
        <v>1034.45</v>
      </c>
    </row>
    <row r="53" spans="2:4" x14ac:dyDescent="0.25">
      <c r="B53" s="1" t="s">
        <v>5</v>
      </c>
      <c r="C53" s="6">
        <v>140</v>
      </c>
      <c r="D53" s="26">
        <v>0</v>
      </c>
    </row>
    <row r="54" spans="2:4" x14ac:dyDescent="0.25">
      <c r="B54" s="1" t="s">
        <v>6</v>
      </c>
      <c r="C54" s="6">
        <v>556</v>
      </c>
      <c r="D54" s="26">
        <v>0</v>
      </c>
    </row>
    <row r="55" spans="2:4" x14ac:dyDescent="0.25">
      <c r="B55" s="1" t="s">
        <v>7</v>
      </c>
      <c r="C55" s="6">
        <v>776</v>
      </c>
      <c r="D55" s="25">
        <v>2586</v>
      </c>
    </row>
    <row r="56" spans="2:4" x14ac:dyDescent="0.25">
      <c r="B56" s="3" t="s">
        <v>8</v>
      </c>
      <c r="C56" s="8">
        <f>SUM(C52:C55)</f>
        <v>1558</v>
      </c>
      <c r="D56" s="4">
        <f>SUM(D52:D55)</f>
        <v>3620.45</v>
      </c>
    </row>
    <row r="58" spans="2:4" x14ac:dyDescent="0.25">
      <c r="B58" s="12" t="s">
        <v>13</v>
      </c>
      <c r="C58" s="13">
        <f>SUM(C10+C18+C26+C40+C35+C48+C56)</f>
        <v>97488</v>
      </c>
      <c r="D58" s="13">
        <f>SUM(D10+D18+D26+D40+D35+D48+D56)</f>
        <v>1375317.9000000001</v>
      </c>
    </row>
  </sheetData>
  <mergeCells count="7">
    <mergeCell ref="B50:D50"/>
    <mergeCell ref="B28:D28"/>
    <mergeCell ref="B42:D42"/>
    <mergeCell ref="B3:D3"/>
    <mergeCell ref="B12:D12"/>
    <mergeCell ref="B20:D20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24 ABR'!C6, 'REPORTE DIARIO'!C:C)</f>
        <v>13036</v>
      </c>
      <c r="E6" s="16">
        <f>SUMIF('REPORTE DIARIO'!B:B,'EPR 24 ABR'!C6, 'REPORTE DIARIO'!D:D)</f>
        <v>615194.97</v>
      </c>
      <c r="F6" s="16">
        <f>J6*D6</f>
        <v>1489828.5714285716</v>
      </c>
      <c r="G6" s="16">
        <f>+E6-F6</f>
        <v>-874633.60142857162</v>
      </c>
      <c r="H6" s="15">
        <f>ABS(G6/F6)</f>
        <v>0.5870699610693465</v>
      </c>
      <c r="I6" s="16">
        <f>E6/D6</f>
        <v>47.192004449217549</v>
      </c>
      <c r="J6" s="16">
        <f>(200/7)*4</f>
        <v>114.28571428571429</v>
      </c>
      <c r="K6" s="16">
        <f>+I6-J6</f>
        <v>-67.093709836496743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24 ABR'!C7, 'REPORTE DIARIO'!C:C)</f>
        <v>11554</v>
      </c>
      <c r="E7" s="16">
        <f>SUMIF('REPORTE DIARIO'!B:B,'EPR 24 ABR'!C7, 'REPORTE DIARIO'!D:D)</f>
        <v>374049.36999999994</v>
      </c>
      <c r="F7" s="16">
        <f>J7*D7</f>
        <v>726251.42857142852</v>
      </c>
      <c r="G7" s="16">
        <f>+E7-F7</f>
        <v>-352202.05857142858</v>
      </c>
      <c r="H7" s="15">
        <f>ABS(G7/F7)</f>
        <v>0.48495885132264316</v>
      </c>
      <c r="I7" s="16">
        <f>E7/D7</f>
        <v>32.374015059719575</v>
      </c>
      <c r="J7" s="16">
        <f>(110/7)*4</f>
        <v>62.857142857142854</v>
      </c>
      <c r="K7" s="16">
        <f t="shared" ref="K7:K9" si="0">+I7-J7</f>
        <v>-30.483127797423279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24 ABR'!C8, 'REPORTE DIARIO'!C:C)</f>
        <v>14268</v>
      </c>
      <c r="E8" s="16">
        <f>SUMIF('REPORTE DIARIO'!B:B,'EPR 24 ABR'!C8, 'REPORTE DIARIO'!D:D)</f>
        <v>191137.54</v>
      </c>
      <c r="F8" s="16">
        <f>J8*D8</f>
        <v>366891.42857142858</v>
      </c>
      <c r="G8" s="16">
        <f>+E8-F8</f>
        <v>-175753.88857142857</v>
      </c>
      <c r="H8" s="15">
        <f>ABS(G8/F8)</f>
        <v>0.47903514469052738</v>
      </c>
      <c r="I8" s="16">
        <f>E8/D8</f>
        <v>13.396239136529298</v>
      </c>
      <c r="J8" s="16">
        <f>(45/7)*4</f>
        <v>25.714285714285715</v>
      </c>
      <c r="K8" s="16">
        <f t="shared" si="0"/>
        <v>-12.318046577756418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24 ABR'!C9, 'REPORTE DIARIO'!C:C)</f>
        <v>58607</v>
      </c>
      <c r="E9" s="16">
        <f>SUMIF('REPORTE DIARIO'!B:B,'EPR 24 ABR'!C9, 'REPORTE DIARIO'!D:D)</f>
        <v>194936.02000000002</v>
      </c>
      <c r="F9" s="16">
        <f>J9*D9</f>
        <v>502345.71428571426</v>
      </c>
      <c r="G9" s="16">
        <f>+E9-F9</f>
        <v>-307409.69428571424</v>
      </c>
      <c r="H9" s="15">
        <f>ABS(G9/F9)</f>
        <v>0.61194847600684776</v>
      </c>
      <c r="I9" s="16">
        <f>E9/D9</f>
        <v>3.3261559199413044</v>
      </c>
      <c r="J9" s="16">
        <f>(15/7)*4</f>
        <v>8.5714285714285712</v>
      </c>
      <c r="K9" s="16">
        <f t="shared" si="0"/>
        <v>-5.2452726514872667</v>
      </c>
    </row>
    <row r="10" spans="2:12" x14ac:dyDescent="0.25">
      <c r="B10" s="16"/>
      <c r="C10" s="19" t="s">
        <v>17</v>
      </c>
      <c r="D10" s="24">
        <f>SUM(D6:D9)</f>
        <v>97465</v>
      </c>
      <c r="E10" s="20">
        <f>SUM(E6:E9)</f>
        <v>1375317.9</v>
      </c>
      <c r="F10" s="20">
        <f>SUM(F6:F9)</f>
        <v>3085317.1428571427</v>
      </c>
      <c r="G10" s="20">
        <f>+E10-F10</f>
        <v>-1709999.2428571428</v>
      </c>
      <c r="H10" s="21">
        <f>ABS(G10/F10)</f>
        <v>0.55423775374793605</v>
      </c>
      <c r="I10" s="20">
        <f>E10/D10</f>
        <v>14.110890063099573</v>
      </c>
      <c r="J10" s="20">
        <f>F10/D10</f>
        <v>31.655641952056047</v>
      </c>
      <c r="K10" s="20">
        <f>I10-J10</f>
        <v>-17.544751888956476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24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2025-04-24T15:23:30Z</dcterms:modified>
</cp:coreProperties>
</file>