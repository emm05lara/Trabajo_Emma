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7\23 ABRIL\MAÑANA\"/>
    </mc:Choice>
  </mc:AlternateContent>
  <xr:revisionPtr revIDLastSave="0" documentId="13_ncr:1_{DDBDE292-D02C-4F8C-9944-74273BD761D1}" xr6:coauthVersionLast="47" xr6:coauthVersionMax="47" xr10:uidLastSave="{00000000-0000-0000-0000-000000000000}"/>
  <bookViews>
    <workbookView xWindow="1560" yWindow="1560" windowWidth="10770" windowHeight="10350" xr2:uid="{4DC6C92A-CD8A-4966-829B-0B6A986E825B}"/>
  </bookViews>
  <sheets>
    <sheet name="REPORTE DIARIO" sheetId="1" r:id="rId1"/>
    <sheet name="DATA" sheetId="4" r:id="rId2"/>
    <sheet name="EPR 23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56" i="1"/>
  <c r="C56" i="1"/>
  <c r="D48" i="1"/>
  <c r="C48" i="1"/>
  <c r="D35" i="1"/>
  <c r="C35" i="1"/>
  <c r="D40" i="1" l="1"/>
  <c r="C40" i="1"/>
  <c r="D18" i="1"/>
  <c r="C18" i="1"/>
  <c r="D26" i="1"/>
  <c r="C26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D58" i="1" l="1"/>
  <c r="C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<sst xmlns="http://schemas.openxmlformats.org/spreadsheetml/2006/main" count="88" uniqueCount="37">
  <si>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</si>
  <si>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</si>
  <si>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</si>
  <si>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</si>
  <si>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</si>
  <si>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</si>
  <si>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</si>
  <si>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</si>
  <si>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</si>
  <si>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</si>
  <si>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</si>
  <si>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</si>
  <si>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</si>
  <si>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</si>
  <si>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</si>
  <si>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</si>
  <si>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</si>
  <si>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</si>
  <si>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</si>
  <si>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</si>
  <si>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</si>
  <si>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</si>
  <si>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</si>
  <si>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</si>
  <si>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</si>
  <si>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</si>
  <si>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</si>
  <si>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</si>
  <si>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</si>
  <si>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</si>
  <si>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</si>
  <si>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</si>
  <si>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</si>
  <si>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</si>
  <si>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COBRANZA GENERAL  OLGUIN</t>
  </si>
  <si>
    <t>Samantha, Samantha 2, Sofia, Edith, Fernando, Olguin y Federico</t>
  </si>
  <si>
    <t>SALDO ACUMULADO SEMANA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</si>
</sst>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0" fillId="0" borderId="1" xfId="0" applyNumberFormat="1" applyFon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topLeftCell="A28" zoomScaleNormal="100" workbookViewId="0">
      <selection activeCell="D55" sqref="D55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6527</v>
      </c>
      <c r="D5" s="25">
        <v>171797.05</v>
      </c>
    </row>
    <row r="6" spans="2:8" x14ac:dyDescent="0.25">
      <c r="B6" s="1" t="s">
        <v>5</v>
      </c>
      <c r="C6" s="6">
        <v>5200</v>
      </c>
      <c r="D6" s="25">
        <v>165085.26</v>
      </c>
    </row>
    <row r="7" spans="2:8" x14ac:dyDescent="0.25">
      <c r="B7" s="1" t="s">
        <v>6</v>
      </c>
      <c r="C7" s="6">
        <v>7156</v>
      </c>
      <c r="D7" s="25">
        <v>91999.01999999999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21109</v>
      </c>
      <c r="D9" s="25">
        <v>103174.7</v>
      </c>
      <c r="F9" s="7"/>
    </row>
    <row r="10" spans="2:8" x14ac:dyDescent="0.25">
      <c r="B10" s="3" t="s">
        <v>8</v>
      </c>
      <c r="C10" s="8">
        <f>SUM(C5:C9)</f>
        <v>40013</v>
      </c>
      <c r="D10" s="4">
        <f>SUM(D5:D9)</f>
        <v>532056.02999999991</v>
      </c>
      <c r="E10" s="11" t="s">
        <v>14</v>
      </c>
    </row>
    <row r="12" spans="2:8" x14ac:dyDescent="0.25">
      <c r="B12" s="28" t="s">
        <v>9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6">
        <v>1346</v>
      </c>
      <c r="D14" s="25">
        <v>77211.199999999997</v>
      </c>
    </row>
    <row r="15" spans="2:8" x14ac:dyDescent="0.25">
      <c r="B15" s="9" t="s">
        <v>5</v>
      </c>
      <c r="C15" s="6">
        <v>1921</v>
      </c>
      <c r="D15" s="25">
        <v>57044.72</v>
      </c>
    </row>
    <row r="16" spans="2:8" x14ac:dyDescent="0.25">
      <c r="B16" s="9" t="s">
        <v>6</v>
      </c>
      <c r="C16" s="6">
        <v>2533</v>
      </c>
      <c r="D16" s="25">
        <v>38728.519999999997</v>
      </c>
    </row>
    <row r="17" spans="2:11" x14ac:dyDescent="0.25">
      <c r="B17" s="9" t="s">
        <v>7</v>
      </c>
      <c r="C17" s="6">
        <v>4264</v>
      </c>
      <c r="D17" s="25">
        <v>1909</v>
      </c>
    </row>
    <row r="18" spans="2:11" x14ac:dyDescent="0.25">
      <c r="B18" s="10" t="s">
        <v>8</v>
      </c>
      <c r="C18" s="8">
        <f>SUM(C14:C17)</f>
        <v>10064</v>
      </c>
      <c r="D18" s="4">
        <f>SUM(D14:D17)</f>
        <v>174893.43999999997</v>
      </c>
    </row>
    <row r="20" spans="2:11" x14ac:dyDescent="0.25">
      <c r="B20" s="29" t="s">
        <v>10</v>
      </c>
      <c r="C20" s="29"/>
      <c r="D20" s="29"/>
    </row>
    <row r="21" spans="2:11" x14ac:dyDescent="0.25">
      <c r="B21" s="4" t="s">
        <v>1</v>
      </c>
      <c r="C21" s="4" t="s">
        <v>2</v>
      </c>
      <c r="D21" s="4" t="s">
        <v>3</v>
      </c>
    </row>
    <row r="22" spans="2:11" x14ac:dyDescent="0.25">
      <c r="B22" s="9" t="s">
        <v>4</v>
      </c>
      <c r="C22" s="6">
        <v>2046</v>
      </c>
      <c r="D22" s="25">
        <v>72635.179999999993</v>
      </c>
    </row>
    <row r="23" spans="2:11" x14ac:dyDescent="0.25">
      <c r="B23" s="9" t="s">
        <v>5</v>
      </c>
      <c r="C23" s="6">
        <v>2351</v>
      </c>
      <c r="D23" s="25">
        <v>56338.3</v>
      </c>
    </row>
    <row r="24" spans="2:11" x14ac:dyDescent="0.25">
      <c r="B24" s="9" t="s">
        <v>6</v>
      </c>
      <c r="C24" s="6">
        <v>1047</v>
      </c>
      <c r="D24" s="25">
        <v>6183</v>
      </c>
    </row>
    <row r="25" spans="2:11" x14ac:dyDescent="0.25">
      <c r="B25" s="9" t="s">
        <v>7</v>
      </c>
      <c r="C25" s="6">
        <v>9429</v>
      </c>
      <c r="D25" s="25">
        <v>7526</v>
      </c>
    </row>
    <row r="26" spans="2:11" x14ac:dyDescent="0.25">
      <c r="B26" s="10" t="s">
        <v>8</v>
      </c>
      <c r="C26" s="8">
        <f>SUM(C22:C25)</f>
        <v>14873</v>
      </c>
      <c r="D26" s="4">
        <f>SUM(D22:D25)</f>
        <v>142682.47999999998</v>
      </c>
    </row>
    <row r="27" spans="2:11" x14ac:dyDescent="0.25">
      <c r="K27" s="7"/>
    </row>
    <row r="28" spans="2:11" x14ac:dyDescent="0.25">
      <c r="B28" s="28" t="s">
        <v>32</v>
      </c>
      <c r="C28" s="28"/>
      <c r="D28" s="28"/>
    </row>
    <row r="29" spans="2:11" x14ac:dyDescent="0.25">
      <c r="B29" s="2" t="s">
        <v>1</v>
      </c>
      <c r="C29" s="2" t="s">
        <v>2</v>
      </c>
      <c r="D29" s="2" t="s">
        <v>3</v>
      </c>
    </row>
    <row r="30" spans="2:11" x14ac:dyDescent="0.25">
      <c r="B30" s="1" t="s">
        <v>4</v>
      </c>
      <c r="C30" s="6">
        <v>2404</v>
      </c>
      <c r="D30" s="25">
        <v>77450.179999999993</v>
      </c>
    </row>
    <row r="31" spans="2:11" x14ac:dyDescent="0.25">
      <c r="B31" s="1" t="s">
        <v>5</v>
      </c>
      <c r="C31" s="6">
        <v>1637</v>
      </c>
      <c r="D31" s="25">
        <v>19615</v>
      </c>
    </row>
    <row r="32" spans="2:11" x14ac:dyDescent="0.25">
      <c r="B32" s="1" t="s">
        <v>6</v>
      </c>
      <c r="C32" s="6">
        <v>3301</v>
      </c>
      <c r="D32" s="25">
        <v>14821</v>
      </c>
    </row>
    <row r="33" spans="2:4" x14ac:dyDescent="0.25">
      <c r="B33" s="5" t="s">
        <v>12</v>
      </c>
      <c r="C33" s="7">
        <v>2</v>
      </c>
      <c r="D33" s="26">
        <v>0</v>
      </c>
    </row>
    <row r="34" spans="2:4" x14ac:dyDescent="0.25">
      <c r="B34" s="1" t="s">
        <v>7</v>
      </c>
      <c r="C34" s="6">
        <v>21679</v>
      </c>
      <c r="D34" s="25">
        <v>23511.88</v>
      </c>
    </row>
    <row r="35" spans="2:4" x14ac:dyDescent="0.25">
      <c r="B35" s="3" t="s">
        <v>8</v>
      </c>
      <c r="C35" s="8">
        <f>SUM(C30:C34)</f>
        <v>29023</v>
      </c>
      <c r="D35" s="4">
        <f>SUM(D30:D34)</f>
        <v>135398.06</v>
      </c>
    </row>
    <row r="37" spans="2:4" x14ac:dyDescent="0.25">
      <c r="B37" s="29" t="s">
        <v>11</v>
      </c>
      <c r="C37" s="29"/>
      <c r="D37" s="29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1358</v>
      </c>
      <c r="D39" s="25">
        <v>21334</v>
      </c>
    </row>
    <row r="40" spans="2:4" x14ac:dyDescent="0.25">
      <c r="B40" s="10" t="s">
        <v>8</v>
      </c>
      <c r="C40" s="8">
        <f>SUM(C39:C39)</f>
        <v>1358</v>
      </c>
      <c r="D40" s="4">
        <f>SUM(D39:D39)</f>
        <v>21334</v>
      </c>
    </row>
    <row r="42" spans="2:4" x14ac:dyDescent="0.25">
      <c r="B42" s="28" t="s">
        <v>33</v>
      </c>
      <c r="C42" s="28"/>
      <c r="D42" s="28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39</v>
      </c>
      <c r="D44" s="25">
        <v>1144</v>
      </c>
    </row>
    <row r="45" spans="2:4" x14ac:dyDescent="0.25">
      <c r="B45" s="1" t="s">
        <v>5</v>
      </c>
      <c r="C45" s="6">
        <v>322</v>
      </c>
      <c r="D45" s="25">
        <v>2923</v>
      </c>
    </row>
    <row r="46" spans="2:4" x14ac:dyDescent="0.25">
      <c r="B46" s="1" t="s">
        <v>6</v>
      </c>
      <c r="C46" s="6">
        <v>255</v>
      </c>
      <c r="D46" s="27">
        <v>0</v>
      </c>
    </row>
    <row r="47" spans="2:4" x14ac:dyDescent="0.25">
      <c r="B47" s="1" t="s">
        <v>7</v>
      </c>
      <c r="C47" s="6">
        <v>1930</v>
      </c>
      <c r="D47" s="25">
        <v>3035</v>
      </c>
    </row>
    <row r="48" spans="2:4" x14ac:dyDescent="0.25">
      <c r="B48" s="3" t="s">
        <v>8</v>
      </c>
      <c r="C48" s="8">
        <f>SUM(C44:C47)</f>
        <v>2546</v>
      </c>
      <c r="D48" s="4">
        <f>SUM(D44:D47)</f>
        <v>7102</v>
      </c>
    </row>
    <row r="50" spans="2:4" x14ac:dyDescent="0.25">
      <c r="B50" s="28" t="s">
        <v>34</v>
      </c>
      <c r="C50" s="28"/>
      <c r="D50" s="28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9" t="s">
        <v>4</v>
      </c>
      <c r="C52" s="6">
        <v>86</v>
      </c>
      <c r="D52" s="26">
        <v>0</v>
      </c>
    </row>
    <row r="53" spans="2:4" x14ac:dyDescent="0.25">
      <c r="B53" s="1" t="s">
        <v>5</v>
      </c>
      <c r="C53" s="6">
        <v>109</v>
      </c>
      <c r="D53" s="26">
        <v>0</v>
      </c>
    </row>
    <row r="54" spans="2:4" x14ac:dyDescent="0.25">
      <c r="B54" s="1" t="s">
        <v>6</v>
      </c>
      <c r="C54" s="6">
        <v>470</v>
      </c>
      <c r="D54" s="26">
        <v>0</v>
      </c>
    </row>
    <row r="55" spans="2:4" x14ac:dyDescent="0.25">
      <c r="B55" s="1" t="s">
        <v>7</v>
      </c>
      <c r="C55" s="6">
        <v>749</v>
      </c>
      <c r="D55" s="25">
        <v>2586</v>
      </c>
    </row>
    <row r="56" spans="2:4" x14ac:dyDescent="0.25">
      <c r="B56" s="3" t="s">
        <v>8</v>
      </c>
      <c r="C56" s="8">
        <f>SUM(C52:C55)</f>
        <v>1414</v>
      </c>
      <c r="D56" s="4">
        <f>SUM(D52:D55)</f>
        <v>2586</v>
      </c>
    </row>
    <row r="58" spans="2:4" x14ac:dyDescent="0.25">
      <c r="B58" s="12" t="s">
        <v>13</v>
      </c>
      <c r="C58" s="13">
        <f>SUM(C10+C26+C18+C40+C35+C48+C56)</f>
        <v>99291</v>
      </c>
      <c r="D58" s="13">
        <f>SUM(D10+D26+D18+D40+D35+D48+D56)</f>
        <v>1016052.0099999998</v>
      </c>
    </row>
  </sheetData>
  <mergeCells count="7">
    <mergeCell ref="B50:D50"/>
    <mergeCell ref="B28:D28"/>
    <mergeCell ref="B42:D42"/>
    <mergeCell ref="B3:D3"/>
    <mergeCell ref="B20:D20"/>
    <mergeCell ref="B12:D12"/>
    <mergeCell ref="B37:D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6" sqref="J6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6" t="s">
        <v>4</v>
      </c>
      <c r="D6" s="23">
        <f>SUMIF('REPORTE DIARIO'!B:B,'EPR 23 ABR'!C6, 'REPORTE DIARIO'!C:C)</f>
        <v>13806</v>
      </c>
      <c r="E6" s="16">
        <f>SUMIF('REPORTE DIARIO'!B:B,'EPR 23 ABR'!C6, 'REPORTE DIARIO'!D:D)</f>
        <v>421571.61</v>
      </c>
      <c r="F6" s="16">
        <f>J6*D6</f>
        <v>1183371.4285714286</v>
      </c>
      <c r="G6" s="16">
        <f>+E6-F6</f>
        <v>-761799.81857142865</v>
      </c>
      <c r="H6" s="15">
        <f>ABS(G6/F6)</f>
        <v>0.6437537700999566</v>
      </c>
      <c r="I6" s="16">
        <f>E6/D6</f>
        <v>30.535391134289437</v>
      </c>
      <c r="J6" s="16">
        <f>(200/7)*3</f>
        <v>85.714285714285722</v>
      </c>
      <c r="K6" s="16">
        <f>+I6-J6</f>
        <v>-55.178894579996282</v>
      </c>
      <c r="L6" s="15"/>
    </row>
    <row r="7" spans="2:12" x14ac:dyDescent="0.25">
      <c r="B7" s="16" t="s">
        <v>30</v>
      </c>
      <c r="C7" s="16" t="s">
        <v>5</v>
      </c>
      <c r="D7" s="23">
        <f>SUMIF('REPORTE DIARIO'!B:B,'EPR 23 ABR'!C7, 'REPORTE DIARIO'!C:C)</f>
        <v>11540</v>
      </c>
      <c r="E7" s="16">
        <f>SUMIF('REPORTE DIARIO'!B:B,'EPR 23 ABR'!C7, 'REPORTE DIARIO'!D:D)</f>
        <v>301006.28000000003</v>
      </c>
      <c r="F7" s="16">
        <f>J7*D7</f>
        <v>544028.57142857136</v>
      </c>
      <c r="G7" s="16">
        <f>+E7-F7</f>
        <v>-243022.29142857133</v>
      </c>
      <c r="H7" s="15">
        <f>ABS(G7/F7)</f>
        <v>0.44670869177039008</v>
      </c>
      <c r="I7" s="16">
        <f>E7/D7</f>
        <v>26.083733102253035</v>
      </c>
      <c r="J7" s="16">
        <f>(110/7)*3</f>
        <v>47.142857142857139</v>
      </c>
      <c r="K7" s="16">
        <f t="shared" ref="K7:K9" si="0">+I7-J7</f>
        <v>-21.059124040604104</v>
      </c>
      <c r="L7" s="15"/>
    </row>
    <row r="8" spans="2:12" x14ac:dyDescent="0.25">
      <c r="B8" s="16" t="s">
        <v>30</v>
      </c>
      <c r="C8" s="16" t="s">
        <v>6</v>
      </c>
      <c r="D8" s="23">
        <f>SUMIF('REPORTE DIARIO'!B:B,'EPR 23 ABR'!C8, 'REPORTE DIARIO'!C:C)</f>
        <v>14762</v>
      </c>
      <c r="E8" s="16">
        <f>SUMIF('REPORTE DIARIO'!B:B,'EPR 23 ABR'!C8, 'REPORTE DIARIO'!D:D)</f>
        <v>151731.53999999998</v>
      </c>
      <c r="F8" s="16">
        <f>J8*D8</f>
        <v>284695.71428571426</v>
      </c>
      <c r="G8" s="16">
        <f>+E8-F8</f>
        <v>-132964.17428571428</v>
      </c>
      <c r="H8" s="15">
        <f>ABS(G8/F8)</f>
        <v>0.46703960619608909</v>
      </c>
      <c r="I8" s="16">
        <f>E8/D8</f>
        <v>10.278521880503995</v>
      </c>
      <c r="J8" s="16">
        <f>(45/7)*3</f>
        <v>19.285714285714285</v>
      </c>
      <c r="K8" s="16">
        <f t="shared" si="0"/>
        <v>-9.0071924052102901</v>
      </c>
      <c r="L8" s="15"/>
    </row>
    <row r="9" spans="2:12" x14ac:dyDescent="0.25">
      <c r="B9" s="16" t="s">
        <v>31</v>
      </c>
      <c r="C9" s="16" t="s">
        <v>7</v>
      </c>
      <c r="D9" s="23">
        <f>SUMIF('REPORTE DIARIO'!B:B,'EPR 23 ABR'!C9, 'REPORTE DIARIO'!C:C)</f>
        <v>59160</v>
      </c>
      <c r="E9" s="16">
        <f>SUMIF('REPORTE DIARIO'!B:B,'EPR 23 ABR'!C9, 'REPORTE DIARIO'!D:D)</f>
        <v>141742.57999999999</v>
      </c>
      <c r="F9" s="16">
        <f>J9*D9</f>
        <v>380314.28571428574</v>
      </c>
      <c r="G9" s="16">
        <f>+E9-F9</f>
        <v>-238571.70571428575</v>
      </c>
      <c r="H9" s="15">
        <f>ABS(G9/F9)</f>
        <v>0.62730145744121413</v>
      </c>
      <c r="I9" s="16">
        <f>E9/D9</f>
        <v>2.3959192021636238</v>
      </c>
      <c r="J9" s="16">
        <f>(15/7)*3</f>
        <v>6.4285714285714288</v>
      </c>
      <c r="K9" s="16">
        <f t="shared" si="0"/>
        <v>-4.0326522264078051</v>
      </c>
    </row>
    <row r="10" spans="2:12" x14ac:dyDescent="0.25">
      <c r="B10" s="16"/>
      <c r="C10" s="19" t="s">
        <v>17</v>
      </c>
      <c r="D10" s="24">
        <f>SUM(D6:D9)</f>
        <v>99268</v>
      </c>
      <c r="E10" s="20">
        <f>SUM(E6:E9)</f>
        <v>1016052.0099999999</v>
      </c>
      <c r="F10" s="20">
        <f>SUM(F6:F9)</f>
        <v>2392410</v>
      </c>
      <c r="G10" s="20">
        <f>+E10-F10</f>
        <v>-1376357.9900000002</v>
      </c>
      <c r="H10" s="21">
        <f>ABS(G10/F10)</f>
        <v>0.57530188805430515</v>
      </c>
      <c r="I10" s="20">
        <f>E10/D10</f>
        <v>10.2354435467623</v>
      </c>
      <c r="J10" s="20">
        <f>F10/D10</f>
        <v>24.100515775476488</v>
      </c>
      <c r="K10" s="20">
        <f>I10-J10</f>
        <v>-13.865072228714189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35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23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2025-04-13T02:12:51Z</cp:lastPrinted>
  <dcterms:created xsi:type="dcterms:W3CDTF">2025-01-27T15:11:28Z</dcterms:created>
  <dcterms:modified xsi:type="dcterms:W3CDTF">2025-04-23T15:35:42Z</dcterms:modified>
</cp:coreProperties>
</file>