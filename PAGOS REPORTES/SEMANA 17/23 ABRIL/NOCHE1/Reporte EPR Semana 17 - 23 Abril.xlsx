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NOCHE\"/>
    </mc:Choice>
  </mc:AlternateContent>
  <xr:revisionPtr revIDLastSave="0" documentId="13_ncr:1_{02E98A74-A77C-418C-B27F-E586F51A5419}" xr6:coauthVersionLast="47" xr6:coauthVersionMax="47" xr10:uidLastSave="{00000000-0000-0000-0000-000000000000}"/>
  <bookViews>
    <workbookView xWindow="5010" yWindow="5010" windowWidth="10770" windowHeight="10350" activeTab="2" xr2:uid="{4DC6C92A-CD8A-4966-829B-0B6A986E825B}"/>
  </bookViews>
  <sheets>
    <sheet name="REPORTE DIARIO" sheetId="1" r:id="rId1"/>
    <sheet name="DATA" sheetId="4" r:id="rId2"/>
    <sheet name="EPR 2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8" i="1"/>
  <c r="J6" i="3"/>
  <c r="C48" i="1"/>
  <c r="D35" i="1" l="1"/>
  <c r="C35" i="1"/>
  <c r="J9" i="3"/>
  <c r="J8" i="3"/>
  <c r="J7" i="3"/>
  <c r="D6" i="3"/>
  <c r="F6" i="3" s="1"/>
  <c r="D40" i="1"/>
  <c r="C40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<sst xmlns="http://schemas.openxmlformats.org/spreadsheetml/2006/main" count="87" uniqueCount="36">
  <si>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</si>
  <si>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</si>
  <si>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</si>
  <si>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</si>
  <si>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</si>
  <si>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</si>
  <si>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</si>
  <si>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</si>
  <si>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</si>
  <si>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</si>
  <si>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</si>
  <si>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</si>
  <si>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</si>
  <si>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</si>
  <si>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</si>
  <si>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</si>
  <si>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</si>
  <si>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</si>
  <si>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</si>
  <si>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</si>
  <si>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</si>
  <si>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</si>
  <si>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</si>
  <si>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</si>
  <si>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</si>
  <si>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</si>
  <si>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</si>
  <si>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</si>
  <si>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</si>
  <si>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</si>
  <si>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</si>
  <si>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</si>
  <si>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</si>
  <si>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</si>
  <si>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</si>
  <si>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23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</si>
</sst>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25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5194</v>
      </c>
      <c r="D5" s="25">
        <v>125345.67</v>
      </c>
    </row>
    <row r="6" spans="2:8" x14ac:dyDescent="0.25">
      <c r="B6" s="1" t="s">
        <v>5</v>
      </c>
      <c r="C6" s="6">
        <v>5170</v>
      </c>
      <c r="D6" s="25">
        <v>16240</v>
      </c>
    </row>
    <row r="7" spans="2:8" x14ac:dyDescent="0.25">
      <c r="B7" s="1" t="s">
        <v>6</v>
      </c>
      <c r="C7" s="6">
        <v>6952</v>
      </c>
      <c r="D7" s="25">
        <v>31049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20376</v>
      </c>
      <c r="D9" s="25">
        <v>35060.910000000003</v>
      </c>
    </row>
    <row r="10" spans="2:8" x14ac:dyDescent="0.25">
      <c r="B10" s="3" t="s">
        <v>8</v>
      </c>
      <c r="C10" s="8">
        <f>SUM(C5:C9)</f>
        <v>37713</v>
      </c>
      <c r="D10" s="4">
        <f>SUM(D5:D9)</f>
        <v>207695.58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2027</v>
      </c>
      <c r="D14" s="25">
        <v>72644.63</v>
      </c>
    </row>
    <row r="15" spans="2:8" x14ac:dyDescent="0.25">
      <c r="B15" s="9" t="s">
        <v>5</v>
      </c>
      <c r="C15" s="6">
        <v>2348</v>
      </c>
      <c r="D15" s="25">
        <v>24647</v>
      </c>
    </row>
    <row r="16" spans="2:8" x14ac:dyDescent="0.25">
      <c r="B16" s="9" t="s">
        <v>6</v>
      </c>
      <c r="C16" s="6">
        <v>1032</v>
      </c>
      <c r="D16" s="25">
        <v>2555</v>
      </c>
    </row>
    <row r="17" spans="2:11" x14ac:dyDescent="0.25">
      <c r="B17" s="9" t="s">
        <v>7</v>
      </c>
      <c r="C17" s="6">
        <v>9534</v>
      </c>
      <c r="D17" s="25">
        <v>3221</v>
      </c>
    </row>
    <row r="18" spans="2:11" x14ac:dyDescent="0.25">
      <c r="B18" s="10" t="s">
        <v>8</v>
      </c>
      <c r="C18" s="8">
        <f>SUM(C14:C17)</f>
        <v>14941</v>
      </c>
      <c r="D18" s="4">
        <f>SUM(D14:D17)</f>
        <v>103067.63</v>
      </c>
    </row>
    <row r="20" spans="2:11" x14ac:dyDescent="0.25">
      <c r="B20" s="27" t="s">
        <v>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1340</v>
      </c>
      <c r="D22" s="25">
        <v>43438.380000000005</v>
      </c>
    </row>
    <row r="23" spans="2:11" x14ac:dyDescent="0.25">
      <c r="B23" s="9" t="s">
        <v>5</v>
      </c>
      <c r="C23" s="6">
        <v>1911</v>
      </c>
      <c r="D23" s="25">
        <v>19125.3</v>
      </c>
    </row>
    <row r="24" spans="2:11" x14ac:dyDescent="0.25">
      <c r="B24" s="9" t="s">
        <v>6</v>
      </c>
      <c r="C24" s="6">
        <v>2429</v>
      </c>
      <c r="D24" s="25">
        <v>1117</v>
      </c>
    </row>
    <row r="25" spans="2:11" x14ac:dyDescent="0.25">
      <c r="B25" s="9" t="s">
        <v>7</v>
      </c>
      <c r="C25" s="6">
        <v>4264</v>
      </c>
      <c r="D25" s="26">
        <v>0</v>
      </c>
    </row>
    <row r="26" spans="2:11" x14ac:dyDescent="0.25">
      <c r="B26" s="10" t="s">
        <v>8</v>
      </c>
      <c r="C26" s="8">
        <f>SUM(C22:C25)</f>
        <v>9944</v>
      </c>
      <c r="D26" s="4">
        <f>SUM(D22:D25)</f>
        <v>63680.680000000008</v>
      </c>
      <c r="K26" s="7"/>
    </row>
    <row r="28" spans="2:11" x14ac:dyDescent="0.25">
      <c r="B28" s="27" t="s">
        <v>31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2344</v>
      </c>
      <c r="D30" s="25">
        <v>7490</v>
      </c>
    </row>
    <row r="31" spans="2:11" x14ac:dyDescent="0.25">
      <c r="B31" s="1" t="s">
        <v>5</v>
      </c>
      <c r="C31" s="6">
        <v>1681</v>
      </c>
      <c r="D31" s="25">
        <v>5649.79</v>
      </c>
    </row>
    <row r="32" spans="2:11" x14ac:dyDescent="0.25">
      <c r="B32" s="1" t="s">
        <v>6</v>
      </c>
      <c r="C32" s="6">
        <v>3175</v>
      </c>
      <c r="D32" s="25">
        <v>1137</v>
      </c>
    </row>
    <row r="33" spans="2:4" x14ac:dyDescent="0.25">
      <c r="B33" s="5" t="s">
        <v>12</v>
      </c>
      <c r="C33" s="7">
        <v>2</v>
      </c>
      <c r="D33" s="24">
        <v>0</v>
      </c>
    </row>
    <row r="34" spans="2:4" x14ac:dyDescent="0.25">
      <c r="B34" s="1" t="s">
        <v>7</v>
      </c>
      <c r="C34" s="6">
        <v>21797</v>
      </c>
      <c r="D34" s="25">
        <v>10206</v>
      </c>
    </row>
    <row r="35" spans="2:4" x14ac:dyDescent="0.25">
      <c r="B35" s="3" t="s">
        <v>8</v>
      </c>
      <c r="C35" s="8">
        <f>SUM(C30:C34)</f>
        <v>28999</v>
      </c>
      <c r="D35" s="4">
        <f>SUM(D30:D34)</f>
        <v>24482.79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2027</v>
      </c>
      <c r="D39" s="25">
        <v>6640</v>
      </c>
    </row>
    <row r="40" spans="2:4" x14ac:dyDescent="0.25">
      <c r="B40" s="10" t="s">
        <v>8</v>
      </c>
      <c r="C40" s="8">
        <f>SUM(C39:C39)</f>
        <v>2027</v>
      </c>
      <c r="D40" s="4">
        <f>SUM(D39:D39)</f>
        <v>6640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322</v>
      </c>
      <c r="D45" s="26">
        <v>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1930</v>
      </c>
      <c r="D47" s="25">
        <v>1791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1791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142</v>
      </c>
      <c r="D53" s="26">
        <v>0</v>
      </c>
    </row>
    <row r="54" spans="2:4" x14ac:dyDescent="0.25">
      <c r="B54" s="1" t="s">
        <v>6</v>
      </c>
      <c r="C54" s="6">
        <v>556</v>
      </c>
      <c r="D54" s="26">
        <v>0</v>
      </c>
    </row>
    <row r="55" spans="2:4" x14ac:dyDescent="0.25">
      <c r="B55" s="1" t="s">
        <v>7</v>
      </c>
      <c r="C55" s="6">
        <v>795</v>
      </c>
      <c r="D55" s="26">
        <v>0</v>
      </c>
    </row>
    <row r="56" spans="2:4" x14ac:dyDescent="0.25">
      <c r="B56" s="3" t="s">
        <v>8</v>
      </c>
      <c r="C56" s="8">
        <f>SUM(C52:C55)</f>
        <v>1579</v>
      </c>
      <c r="D56" s="4">
        <f>SUM(D52:D55)</f>
        <v>0</v>
      </c>
    </row>
    <row r="58" spans="2:4" x14ac:dyDescent="0.25">
      <c r="B58" s="11" t="s">
        <v>13</v>
      </c>
      <c r="C58" s="12">
        <f>SUM(C10+C26+C18+C40+C35+C48+C56)</f>
        <v>97749</v>
      </c>
      <c r="D58" s="12">
        <f>SUM(D10+D26+D18+D40+D35+D48+D56)</f>
        <v>407357.68</v>
      </c>
    </row>
  </sheetData>
  <mergeCells count="7">
    <mergeCell ref="B50:D50"/>
    <mergeCell ref="B3:D3"/>
    <mergeCell ref="B20:D20"/>
    <mergeCell ref="B37:D37"/>
    <mergeCell ref="B42:D42"/>
    <mergeCell ref="B28:D28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23 ABR'!C6, 'REPORTE DIARIO'!C:C)</f>
        <v>13057</v>
      </c>
      <c r="E6" s="15">
        <f>SUMIF('REPORTE DIARIO'!B:B,'EPR 23 ABR'!C6, 'REPORTE DIARIO'!D:D)</f>
        <v>255558.68</v>
      </c>
      <c r="F6" s="15">
        <f>J6*D6</f>
        <v>373057.1428571429</v>
      </c>
      <c r="G6" s="15">
        <f>+E6-F6</f>
        <v>-117498.46285714291</v>
      </c>
      <c r="H6" s="14">
        <f>ABS(G6/F6)</f>
        <v>0.31496103239641582</v>
      </c>
      <c r="I6" s="15">
        <f>E6/D6</f>
        <v>19.572541931530978</v>
      </c>
      <c r="J6" s="15">
        <f>200/7</f>
        <v>28.571428571428573</v>
      </c>
      <c r="K6" s="15">
        <f>+I6-J6</f>
        <v>-8.9988866398975951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23 ABR'!C7, 'REPORTE DIARIO'!C:C)</f>
        <v>11574</v>
      </c>
      <c r="E7" s="15">
        <f>SUMIF('REPORTE DIARIO'!B:B,'EPR 23 ABR'!C7, 'REPORTE DIARIO'!D:D)</f>
        <v>65662.09</v>
      </c>
      <c r="F7" s="15">
        <f>J7*D7</f>
        <v>181877.14285714284</v>
      </c>
      <c r="G7" s="15">
        <f>+E7-F7</f>
        <v>-116215.05285714284</v>
      </c>
      <c r="H7" s="14">
        <f>ABS(G7/F7)</f>
        <v>0.63897558006189425</v>
      </c>
      <c r="I7" s="15">
        <f>E7/D7</f>
        <v>5.673240884741662</v>
      </c>
      <c r="J7" s="15">
        <f>110/7</f>
        <v>15.714285714285714</v>
      </c>
      <c r="K7" s="15">
        <f t="shared" ref="K7:K9" si="0">+I7-J7</f>
        <v>-10.041044829544052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23 ABR'!C8, 'REPORTE DIARIO'!C:C)</f>
        <v>14399</v>
      </c>
      <c r="E8" s="15">
        <f>SUMIF('REPORTE DIARIO'!B:B,'EPR 23 ABR'!C8, 'REPORTE DIARIO'!D:D)</f>
        <v>35858</v>
      </c>
      <c r="F8" s="15">
        <f>J8*D8</f>
        <v>92565</v>
      </c>
      <c r="G8" s="15">
        <f>+E8-F8</f>
        <v>-56707</v>
      </c>
      <c r="H8" s="14">
        <f>ABS(G8/F8)</f>
        <v>0.61261816021174309</v>
      </c>
      <c r="I8" s="15">
        <f>E8/D8</f>
        <v>2.4903118272102232</v>
      </c>
      <c r="J8" s="15">
        <f>45/7</f>
        <v>6.4285714285714288</v>
      </c>
      <c r="K8" s="15">
        <f t="shared" si="0"/>
        <v>-3.9382596013612057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23 ABR'!C9, 'REPORTE DIARIO'!C:C)</f>
        <v>58696</v>
      </c>
      <c r="E9" s="15">
        <f>SUMIF('REPORTE DIARIO'!B:B,'EPR 23 ABR'!C9, 'REPORTE DIARIO'!D:D)</f>
        <v>50278.91</v>
      </c>
      <c r="F9" s="15">
        <f>J9*D9</f>
        <v>125777.14285714286</v>
      </c>
      <c r="G9" s="15">
        <f>+E9-F9</f>
        <v>-75498.232857142852</v>
      </c>
      <c r="H9" s="14">
        <f>ABS(G9/F9)</f>
        <v>0.60025399800099943</v>
      </c>
      <c r="I9" s="15">
        <f>E9/D9</f>
        <v>0.85659857571214404</v>
      </c>
      <c r="J9" s="15">
        <f>15/7</f>
        <v>2.1428571428571428</v>
      </c>
      <c r="K9" s="15">
        <f t="shared" si="0"/>
        <v>-1.2862585671449986</v>
      </c>
    </row>
    <row r="10" spans="2:12" x14ac:dyDescent="0.25">
      <c r="B10" s="15"/>
      <c r="C10" s="18" t="s">
        <v>16</v>
      </c>
      <c r="D10" s="23">
        <f>SUM(D6:D9)</f>
        <v>97726</v>
      </c>
      <c r="E10" s="19">
        <f>SUM(E6:E9)</f>
        <v>407357.68000000005</v>
      </c>
      <c r="F10" s="19">
        <f>SUM(F6:F9)</f>
        <v>773276.42857142852</v>
      </c>
      <c r="G10" s="19">
        <f>+E10-F10</f>
        <v>-365918.74857142847</v>
      </c>
      <c r="H10" s="20">
        <f>ABS(G10/F10)</f>
        <v>0.47320561580732068</v>
      </c>
      <c r="I10" s="19">
        <f>E10/D10</f>
        <v>4.1683654298753661</v>
      </c>
      <c r="J10" s="19">
        <f>F10/D10</f>
        <v>7.9126990623931048</v>
      </c>
      <c r="K10" s="19">
        <f>I10-J10</f>
        <v>-3.7443336325177388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2025-04-24T02:01:29Z</dcterms:modified>
</cp:coreProperties>
</file>