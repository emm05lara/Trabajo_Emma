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09 JUL\NOCHE\"/>
    </mc:Choice>
  </mc:AlternateContent>
  <xr:revisionPtr revIDLastSave="0" documentId="13_ncr:1_{CC9D1DD9-4F56-4325-8167-29D5872D5438}" xr6:coauthVersionLast="47" xr6:coauthVersionMax="47" xr10:uidLastSave="{00000000-0000-0000-0000-000000000000}"/>
  <bookViews>
    <workbookView xWindow="12975" yWindow="1035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C59" i="1"/>
  <c r="J9" i="3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G7" i="3" l="1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<sst xmlns="http://schemas.openxmlformats.org/spreadsheetml/2006/main" count="89" uniqueCount="37">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</sst>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6" zoomScaleNormal="100" workbookViewId="0">
      <selection activeCell="C59" sqref="C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4391</v>
      </c>
      <c r="D5" s="25">
        <v>333719.49999999994</v>
      </c>
    </row>
    <row r="6" spans="2:8" x14ac:dyDescent="0.25">
      <c r="B6" s="1" t="s">
        <v>5</v>
      </c>
      <c r="C6" s="6">
        <v>3768</v>
      </c>
      <c r="D6" s="25">
        <v>112047.25</v>
      </c>
    </row>
    <row r="7" spans="2:8" x14ac:dyDescent="0.25">
      <c r="B7" s="1" t="s">
        <v>6</v>
      </c>
      <c r="C7" s="6">
        <v>6885</v>
      </c>
      <c r="D7" s="25">
        <v>78599.739999999991</v>
      </c>
    </row>
    <row r="8" spans="2:8" x14ac:dyDescent="0.25">
      <c r="B8" s="5" t="s">
        <v>12</v>
      </c>
      <c r="C8" s="7">
        <v>11</v>
      </c>
      <c r="D8" s="25">
        <v>1000</v>
      </c>
    </row>
    <row r="9" spans="2:8" x14ac:dyDescent="0.25">
      <c r="B9" s="1" t="s">
        <v>7</v>
      </c>
      <c r="C9" s="6">
        <v>16836</v>
      </c>
      <c r="D9" s="25">
        <v>138740.79999999999</v>
      </c>
      <c r="E9" s="14"/>
      <c r="F9" s="7"/>
    </row>
    <row r="10" spans="2:8" x14ac:dyDescent="0.25">
      <c r="B10" s="3" t="s">
        <v>8</v>
      </c>
      <c r="C10" s="8">
        <f>SUM(C5:C9)</f>
        <v>31891</v>
      </c>
      <c r="D10" s="4">
        <f>SUM(D5:D9)</f>
        <v>664107.29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4248</v>
      </c>
      <c r="D14" s="25">
        <v>145442.73000000001</v>
      </c>
    </row>
    <row r="15" spans="2:8" x14ac:dyDescent="0.25">
      <c r="B15" s="1" t="s">
        <v>5</v>
      </c>
      <c r="C15" s="6">
        <v>2594</v>
      </c>
      <c r="D15" s="25">
        <v>18397.22</v>
      </c>
    </row>
    <row r="16" spans="2:8" x14ac:dyDescent="0.25">
      <c r="B16" s="1" t="s">
        <v>6</v>
      </c>
      <c r="C16" s="6">
        <v>3743</v>
      </c>
      <c r="D16" s="25">
        <v>41857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14373</v>
      </c>
      <c r="D18" s="25">
        <v>64290</v>
      </c>
    </row>
    <row r="19" spans="2:4" x14ac:dyDescent="0.25">
      <c r="B19" s="3" t="s">
        <v>8</v>
      </c>
      <c r="C19" s="8">
        <f>SUM(C14:C18)</f>
        <v>24958</v>
      </c>
      <c r="D19" s="4">
        <f>SUM(D14:D18)</f>
        <v>269986.95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2693</v>
      </c>
      <c r="D23" s="25">
        <v>101075.93</v>
      </c>
    </row>
    <row r="24" spans="2:4" x14ac:dyDescent="0.25">
      <c r="B24" s="9" t="s">
        <v>5</v>
      </c>
      <c r="C24" s="6">
        <v>844</v>
      </c>
      <c r="D24" s="25">
        <v>10855.9</v>
      </c>
    </row>
    <row r="25" spans="2:4" x14ac:dyDescent="0.25">
      <c r="B25" s="9" t="s">
        <v>6</v>
      </c>
      <c r="C25" s="6">
        <v>2365</v>
      </c>
      <c r="D25" s="25">
        <v>27890.010000000002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17392</v>
      </c>
      <c r="D27" s="25">
        <v>21763.42</v>
      </c>
    </row>
    <row r="28" spans="2:4" x14ac:dyDescent="0.25">
      <c r="B28" s="10" t="s">
        <v>8</v>
      </c>
      <c r="C28" s="8">
        <f>SUM(C23:C27)</f>
        <v>23295</v>
      </c>
      <c r="D28" s="4">
        <f>SUM(D23:D27)</f>
        <v>161585.26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564</v>
      </c>
      <c r="D32" s="25">
        <v>50776.12</v>
      </c>
    </row>
    <row r="33" spans="2:4" x14ac:dyDescent="0.25">
      <c r="B33" s="9" t="s">
        <v>5</v>
      </c>
      <c r="C33" s="6">
        <v>1548</v>
      </c>
      <c r="D33" s="25">
        <v>62170.26</v>
      </c>
    </row>
    <row r="34" spans="2:4" x14ac:dyDescent="0.25">
      <c r="B34" s="9" t="s">
        <v>6</v>
      </c>
      <c r="C34" s="6">
        <v>819</v>
      </c>
      <c r="D34" s="25">
        <v>31002.5</v>
      </c>
    </row>
    <row r="35" spans="2:4" x14ac:dyDescent="0.25">
      <c r="B35" s="9" t="s">
        <v>7</v>
      </c>
      <c r="C35" s="6">
        <v>4323</v>
      </c>
      <c r="D35" s="25">
        <v>2271</v>
      </c>
    </row>
    <row r="36" spans="2:4" x14ac:dyDescent="0.25">
      <c r="B36" s="10" t="s">
        <v>8</v>
      </c>
      <c r="C36" s="8">
        <f>SUM(C32:C35)</f>
        <v>7254</v>
      </c>
      <c r="D36" s="4">
        <f>SUM(D32:D35)</f>
        <v>146219.88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27468</v>
      </c>
    </row>
    <row r="41" spans="2:4" x14ac:dyDescent="0.25">
      <c r="B41" s="1" t="s">
        <v>5</v>
      </c>
      <c r="C41" s="6">
        <v>405</v>
      </c>
      <c r="D41" s="25">
        <v>7129.12</v>
      </c>
    </row>
    <row r="42" spans="2:4" x14ac:dyDescent="0.25">
      <c r="B42" s="1" t="s">
        <v>6</v>
      </c>
      <c r="C42" s="6">
        <v>669</v>
      </c>
      <c r="D42" s="25">
        <v>24385.7</v>
      </c>
    </row>
    <row r="43" spans="2:4" x14ac:dyDescent="0.25">
      <c r="B43" s="1" t="s">
        <v>7</v>
      </c>
      <c r="C43" s="6">
        <v>419</v>
      </c>
      <c r="D43" s="25">
        <v>1365</v>
      </c>
    </row>
    <row r="44" spans="2:4" x14ac:dyDescent="0.25">
      <c r="B44" s="3" t="s">
        <v>8</v>
      </c>
      <c r="C44" s="8">
        <f>SUM(C40:C43)</f>
        <v>2213</v>
      </c>
      <c r="D44" s="4">
        <f>SUM(D40:D43)</f>
        <v>60347.820000000007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1081</v>
      </c>
      <c r="D48" s="25">
        <v>20437</v>
      </c>
    </row>
    <row r="49" spans="2:4" x14ac:dyDescent="0.25">
      <c r="B49" s="1" t="s">
        <v>5</v>
      </c>
      <c r="C49" s="6">
        <v>168</v>
      </c>
      <c r="D49" s="25">
        <v>100</v>
      </c>
    </row>
    <row r="50" spans="2:4" x14ac:dyDescent="0.25">
      <c r="B50" s="1" t="s">
        <v>6</v>
      </c>
      <c r="C50" s="6">
        <v>597</v>
      </c>
      <c r="D50" s="26">
        <v>0</v>
      </c>
    </row>
    <row r="51" spans="2:4" x14ac:dyDescent="0.25">
      <c r="B51" s="1" t="s">
        <v>7</v>
      </c>
      <c r="C51" s="6">
        <v>2409</v>
      </c>
      <c r="D51" s="25">
        <v>9696.98</v>
      </c>
    </row>
    <row r="52" spans="2:4" x14ac:dyDescent="0.25">
      <c r="B52" s="3" t="s">
        <v>8</v>
      </c>
      <c r="C52" s="8">
        <f>SUM(C48:C51)</f>
        <v>4255</v>
      </c>
      <c r="D52" s="4">
        <f>SUM(D48:D51)</f>
        <v>30233.98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1758</v>
      </c>
      <c r="D56" s="25">
        <v>12628</v>
      </c>
    </row>
    <row r="57" spans="2:4" x14ac:dyDescent="0.25">
      <c r="B57" s="10" t="s">
        <v>8</v>
      </c>
      <c r="C57" s="8">
        <f>SUM(C56:C56)</f>
        <v>1758</v>
      </c>
      <c r="D57" s="4">
        <f>SUM(D56:D56)</f>
        <v>12628</v>
      </c>
    </row>
    <row r="59" spans="2:4" x14ac:dyDescent="0.25">
      <c r="B59" s="12" t="s">
        <v>13</v>
      </c>
      <c r="C59" s="13">
        <f>SUMIF(B:B, "Total general", C:C)</f>
        <v>95624</v>
      </c>
      <c r="D59" s="13">
        <f>SUMIF(B:B, "Total general", D:D)</f>
        <v>1345109.18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15455</v>
      </c>
      <c r="E6" s="16">
        <f>SUMIF('REPORTE DIARIO'!B:B,'EPR 26 JUN'!C6, 'REPORTE DIARIO'!D:D)</f>
        <v>691547.27999999991</v>
      </c>
      <c r="F6" s="16">
        <f>J6*D6</f>
        <v>971457.14285714284</v>
      </c>
      <c r="G6" s="16">
        <f>+E6-F6</f>
        <v>-279909.86285714293</v>
      </c>
      <c r="H6" s="15">
        <f>ABS(G6/F6)</f>
        <v>0.28813403135201915</v>
      </c>
      <c r="I6" s="16">
        <f>E6/D6</f>
        <v>44.745860886444511</v>
      </c>
      <c r="J6" s="16">
        <f>(220/7)*2</f>
        <v>62.857142857142854</v>
      </c>
      <c r="K6" s="16">
        <f>+I6-J6</f>
        <v>-18.111281970698343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9327</v>
      </c>
      <c r="E7" s="16">
        <f>SUMIF('REPORTE DIARIO'!B:B,'EPR 26 JUN'!C7, 'REPORTE DIARIO'!D:D)</f>
        <v>210699.75</v>
      </c>
      <c r="F7" s="16">
        <f>J7*D7</f>
        <v>293134.28571428568</v>
      </c>
      <c r="G7" s="16">
        <f>+E7-F7</f>
        <v>-82434.535714285681</v>
      </c>
      <c r="H7" s="15">
        <f>ABS(G7/F7)</f>
        <v>0.28121765256294035</v>
      </c>
      <c r="I7" s="16">
        <f>E7/D7</f>
        <v>22.590302348021872</v>
      </c>
      <c r="J7" s="16">
        <f>(110/7)*2</f>
        <v>31.428571428571427</v>
      </c>
      <c r="K7" s="16">
        <f t="shared" ref="K7:K9" si="0">+I7-J7</f>
        <v>-8.838269080549555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15078</v>
      </c>
      <c r="E8" s="16">
        <f>SUMIF('REPORTE DIARIO'!B:B,'EPR 26 JUN'!C8, 'REPORTE DIARIO'!D:D)</f>
        <v>203734.95</v>
      </c>
      <c r="F8" s="16">
        <f>J8*D8</f>
        <v>193860</v>
      </c>
      <c r="G8" s="16">
        <f>+E8-F8</f>
        <v>9874.9500000000116</v>
      </c>
      <c r="H8" s="15">
        <f>ABS(G8/F8)</f>
        <v>5.0938563912101574E-2</v>
      </c>
      <c r="I8" s="16">
        <f>E8/D8</f>
        <v>13.512067250298449</v>
      </c>
      <c r="J8" s="16">
        <f>(45/7)*2</f>
        <v>12.857142857142858</v>
      </c>
      <c r="K8" s="16">
        <f t="shared" si="0"/>
        <v>0.65492439315559103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55752</v>
      </c>
      <c r="E9" s="16">
        <f>SUMIF('REPORTE DIARIO'!B:B,'EPR 26 JUN'!C9, 'REPORTE DIARIO'!D:D)</f>
        <v>238127.19999999998</v>
      </c>
      <c r="F9" s="16">
        <f>J9*D9</f>
        <v>238937.14285714284</v>
      </c>
      <c r="G9" s="16">
        <f>+E9-F9</f>
        <v>-809.94285714285797</v>
      </c>
      <c r="H9" s="15">
        <f>ABS(G9/F9)</f>
        <v>3.389773759984698E-3</v>
      </c>
      <c r="I9" s="16">
        <f>E9/D9</f>
        <v>4.2711866838857793</v>
      </c>
      <c r="J9" s="16">
        <f>(15/7)*2</f>
        <v>4.2857142857142856</v>
      </c>
      <c r="K9" s="16">
        <f t="shared" si="0"/>
        <v>-1.452760182850632E-2</v>
      </c>
    </row>
    <row r="10" spans="2:12" x14ac:dyDescent="0.25">
      <c r="B10" s="16"/>
      <c r="C10" s="19" t="s">
        <v>17</v>
      </c>
      <c r="D10" s="24">
        <f>SUM(D6:D9)</f>
        <v>95612</v>
      </c>
      <c r="E10" s="20">
        <f>SUM(E6:E9)</f>
        <v>1344109.18</v>
      </c>
      <c r="F10" s="20">
        <f>SUM(F6:F9)</f>
        <v>1697388.5714285714</v>
      </c>
      <c r="G10" s="20">
        <f>+E10-F10</f>
        <v>-353279.39142857143</v>
      </c>
      <c r="H10" s="21">
        <f>ABS(G10/F10)</f>
        <v>0.20813112411334386</v>
      </c>
      <c r="I10" s="20">
        <f>E10/D10</f>
        <v>14.057954859222692</v>
      </c>
      <c r="J10" s="20">
        <f>F10/D10</f>
        <v>17.752882184543481</v>
      </c>
      <c r="K10" s="20">
        <f>I10-J10</f>
        <v>-3.6949273253207888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2025-07-10T02:03:31Z</dcterms:modified>
</cp:coreProperties>
</file>