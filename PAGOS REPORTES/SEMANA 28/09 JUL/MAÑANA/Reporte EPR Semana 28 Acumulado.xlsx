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09 JUL\MAÑANA\"/>
    </mc:Choice>
  </mc:AlternateContent>
  <xr:revisionPtr revIDLastSave="0" documentId="13_ncr:1_{0E69392F-FFCD-4A25-82EA-A8D0048DFC8B}" xr6:coauthVersionLast="47" xr6:coauthVersionMax="47" xr10:uidLastSave="{00000000-0000-0000-0000-000000000000}"/>
  <bookViews>
    <workbookView xWindow="177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36" i="1"/>
  <c r="C36" i="1"/>
  <c r="D6" i="3"/>
  <c r="D44" i="1"/>
  <c r="C44" i="1"/>
  <c r="D52" i="1"/>
  <c r="D57" i="1" l="1"/>
  <c r="C57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<sst xmlns="http://schemas.openxmlformats.org/spreadsheetml/2006/main" count="89" uniqueCount="37">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</sst>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8" zoomScaleNormal="100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4357</v>
      </c>
      <c r="D5" s="25">
        <v>224539.15999999997</v>
      </c>
    </row>
    <row r="6" spans="2:8" x14ac:dyDescent="0.25">
      <c r="B6" s="1" t="s">
        <v>5</v>
      </c>
      <c r="C6" s="6">
        <v>3709</v>
      </c>
      <c r="D6" s="25">
        <v>86146.25</v>
      </c>
    </row>
    <row r="7" spans="2:8" x14ac:dyDescent="0.25">
      <c r="B7" s="1" t="s">
        <v>6</v>
      </c>
      <c r="C7" s="6">
        <v>6907</v>
      </c>
      <c r="D7" s="25">
        <v>68760.739999999991</v>
      </c>
    </row>
    <row r="8" spans="2:8" x14ac:dyDescent="0.25">
      <c r="B8" s="5" t="s">
        <v>12</v>
      </c>
      <c r="C8" s="7">
        <v>25</v>
      </c>
      <c r="D8" s="26">
        <v>0</v>
      </c>
    </row>
    <row r="9" spans="2:8" x14ac:dyDescent="0.25">
      <c r="B9" s="1" t="s">
        <v>7</v>
      </c>
      <c r="C9" s="6">
        <v>16437</v>
      </c>
      <c r="D9" s="25">
        <v>120624.45999999999</v>
      </c>
      <c r="E9" s="14"/>
      <c r="F9" s="7"/>
    </row>
    <row r="10" spans="2:8" x14ac:dyDescent="0.25">
      <c r="B10" s="3" t="s">
        <v>8</v>
      </c>
      <c r="C10" s="8">
        <f>SUM(C5:C9)</f>
        <v>31435</v>
      </c>
      <c r="D10" s="4">
        <f>SUM(D5:D9)</f>
        <v>500070.61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4321</v>
      </c>
      <c r="D14" s="25">
        <v>120491.36</v>
      </c>
    </row>
    <row r="15" spans="2:8" x14ac:dyDescent="0.25">
      <c r="B15" s="1" t="s">
        <v>5</v>
      </c>
      <c r="C15" s="6">
        <v>2609</v>
      </c>
      <c r="D15" s="25">
        <v>16609.22</v>
      </c>
    </row>
    <row r="16" spans="2:8" x14ac:dyDescent="0.25">
      <c r="B16" s="1" t="s">
        <v>6</v>
      </c>
      <c r="C16" s="6">
        <v>3756</v>
      </c>
      <c r="D16" s="25">
        <v>39948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14374</v>
      </c>
      <c r="D18" s="25">
        <v>37759</v>
      </c>
    </row>
    <row r="19" spans="2:4" x14ac:dyDescent="0.25">
      <c r="B19" s="3" t="s">
        <v>8</v>
      </c>
      <c r="C19" s="8">
        <f>SUM(C14:C18)</f>
        <v>25060</v>
      </c>
      <c r="D19" s="4">
        <f>SUM(D14:D18)</f>
        <v>214807.58000000002</v>
      </c>
    </row>
    <row r="21" spans="2:4" x14ac:dyDescent="0.25">
      <c r="B21" s="28" t="s">
        <v>9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470</v>
      </c>
      <c r="D23" s="25">
        <v>47918.93</v>
      </c>
    </row>
    <row r="24" spans="2:4" x14ac:dyDescent="0.25">
      <c r="B24" s="9" t="s">
        <v>5</v>
      </c>
      <c r="C24" s="6">
        <v>1554</v>
      </c>
      <c r="D24" s="25">
        <v>59204.26</v>
      </c>
    </row>
    <row r="25" spans="2:4" x14ac:dyDescent="0.25">
      <c r="B25" s="9" t="s">
        <v>6</v>
      </c>
      <c r="C25" s="6">
        <v>823</v>
      </c>
      <c r="D25" s="25">
        <v>30938.5</v>
      </c>
    </row>
    <row r="26" spans="2:4" x14ac:dyDescent="0.25">
      <c r="B26" s="9" t="s">
        <v>7</v>
      </c>
      <c r="C26" s="6">
        <v>4323</v>
      </c>
      <c r="D26" s="25">
        <v>2271</v>
      </c>
    </row>
    <row r="27" spans="2:4" x14ac:dyDescent="0.25">
      <c r="B27" s="10" t="s">
        <v>8</v>
      </c>
      <c r="C27" s="8">
        <f>SUM(C23:C26)</f>
        <v>7170</v>
      </c>
      <c r="D27" s="4">
        <f>SUM(D23:D26)</f>
        <v>140332.69</v>
      </c>
    </row>
    <row r="29" spans="2:4" x14ac:dyDescent="0.25">
      <c r="B29" s="27" t="s">
        <v>10</v>
      </c>
      <c r="C29" s="27"/>
      <c r="D29" s="27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6">
        <v>2624</v>
      </c>
      <c r="D31" s="25">
        <v>57112.480000000003</v>
      </c>
    </row>
    <row r="32" spans="2:4" x14ac:dyDescent="0.25">
      <c r="B32" s="9" t="s">
        <v>5</v>
      </c>
      <c r="C32" s="6">
        <v>853</v>
      </c>
      <c r="D32" s="25">
        <v>8686.9</v>
      </c>
    </row>
    <row r="33" spans="2:4" x14ac:dyDescent="0.25">
      <c r="B33" s="9" t="s">
        <v>6</v>
      </c>
      <c r="C33" s="6">
        <v>2365</v>
      </c>
      <c r="D33" s="25">
        <v>22594.010000000002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17322</v>
      </c>
      <c r="D35" s="25">
        <v>18468.419999999998</v>
      </c>
    </row>
    <row r="36" spans="2:4" x14ac:dyDescent="0.25">
      <c r="B36" s="10" t="s">
        <v>8</v>
      </c>
      <c r="C36" s="8">
        <f>SUM(C31:C35)</f>
        <v>23165</v>
      </c>
      <c r="D36" s="4">
        <f>SUM(D31:D35)</f>
        <v>106861.81000000001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24864</v>
      </c>
    </row>
    <row r="41" spans="2:4" x14ac:dyDescent="0.25">
      <c r="B41" s="1" t="s">
        <v>5</v>
      </c>
      <c r="C41" s="6">
        <v>335</v>
      </c>
      <c r="D41" s="25">
        <v>7129.12</v>
      </c>
    </row>
    <row r="42" spans="2:4" x14ac:dyDescent="0.25">
      <c r="B42" s="1" t="s">
        <v>6</v>
      </c>
      <c r="C42" s="6">
        <v>521</v>
      </c>
      <c r="D42" s="25">
        <v>19908.7</v>
      </c>
    </row>
    <row r="43" spans="2:4" x14ac:dyDescent="0.25">
      <c r="B43" s="1" t="s">
        <v>7</v>
      </c>
      <c r="C43" s="6">
        <v>419</v>
      </c>
      <c r="D43" s="25">
        <v>300</v>
      </c>
    </row>
    <row r="44" spans="2:4" x14ac:dyDescent="0.25">
      <c r="B44" s="3" t="s">
        <v>8</v>
      </c>
      <c r="C44" s="8">
        <f>SUM(C40:C43)</f>
        <v>1995</v>
      </c>
      <c r="D44" s="4">
        <f>SUM(D40:D43)</f>
        <v>52201.82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1082</v>
      </c>
      <c r="D48" s="25">
        <v>13692</v>
      </c>
    </row>
    <row r="49" spans="2:4" x14ac:dyDescent="0.25">
      <c r="B49" s="1" t="s">
        <v>5</v>
      </c>
      <c r="C49" s="6">
        <v>176</v>
      </c>
      <c r="D49" s="25">
        <v>100</v>
      </c>
    </row>
    <row r="50" spans="2:4" x14ac:dyDescent="0.25">
      <c r="B50" s="1" t="s">
        <v>6</v>
      </c>
      <c r="C50" s="6">
        <v>597</v>
      </c>
      <c r="D50" s="26">
        <v>0</v>
      </c>
    </row>
    <row r="51" spans="2:4" x14ac:dyDescent="0.25">
      <c r="B51" s="1" t="s">
        <v>7</v>
      </c>
      <c r="C51" s="6">
        <v>2409</v>
      </c>
      <c r="D51" s="25">
        <v>1952</v>
      </c>
    </row>
    <row r="52" spans="2:4" x14ac:dyDescent="0.25">
      <c r="B52" s="3" t="s">
        <v>8</v>
      </c>
      <c r="C52" s="8">
        <f>SUM(C48:C51)</f>
        <v>4264</v>
      </c>
      <c r="D52" s="4">
        <f>SUM(D48:D51)</f>
        <v>15744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2079</v>
      </c>
      <c r="D56" s="25">
        <v>9828</v>
      </c>
    </row>
    <row r="57" spans="2:4" x14ac:dyDescent="0.25">
      <c r="B57" s="10" t="s">
        <v>8</v>
      </c>
      <c r="C57" s="8">
        <f>SUM(C56:C56)</f>
        <v>2079</v>
      </c>
      <c r="D57" s="4">
        <f>SUM(D56:D56)</f>
        <v>9828</v>
      </c>
    </row>
    <row r="59" spans="2:4" x14ac:dyDescent="0.25">
      <c r="B59" s="12" t="s">
        <v>13</v>
      </c>
      <c r="C59" s="13">
        <f>SUM(C10+C36+C27+C57+C19+C52+C44)</f>
        <v>95168</v>
      </c>
      <c r="D59" s="13">
        <f>SUM(D10+D36+D27+D57+D19+D52+D44)</f>
        <v>1039846.5100000001</v>
      </c>
    </row>
  </sheetData>
  <mergeCells count="7">
    <mergeCell ref="B54:D54"/>
    <mergeCell ref="B38:D38"/>
    <mergeCell ref="B12:D12"/>
    <mergeCell ref="B46:D46"/>
    <mergeCell ref="B3:D3"/>
    <mergeCell ref="B29:D29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15653</v>
      </c>
      <c r="E6" s="16">
        <f>SUMIF('REPORTE DIARIO'!B:B,'EPR 26 JUN'!C6, 'REPORTE DIARIO'!D:D)</f>
        <v>498445.92999999993</v>
      </c>
      <c r="F6" s="16">
        <f>J6*D6</f>
        <v>983902.85714285704</v>
      </c>
      <c r="G6" s="16">
        <f>+E6-F6</f>
        <v>-485456.92714285711</v>
      </c>
      <c r="H6" s="15">
        <f>ABS(G6/F6)</f>
        <v>0.49339924527973145</v>
      </c>
      <c r="I6" s="16">
        <f>E6/D6</f>
        <v>31.843476010988304</v>
      </c>
      <c r="J6" s="16">
        <f>(220/7)*2</f>
        <v>62.857142857142854</v>
      </c>
      <c r="K6" s="16">
        <f>+I6-J6</f>
        <v>-31.01366684615455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9236</v>
      </c>
      <c r="E7" s="16">
        <f>SUMIF('REPORTE DIARIO'!B:B,'EPR 26 JUN'!C7, 'REPORTE DIARIO'!D:D)</f>
        <v>177875.75</v>
      </c>
      <c r="F7" s="16">
        <f>J7*D7</f>
        <v>290274.28571428568</v>
      </c>
      <c r="G7" s="16">
        <f>+E7-F7</f>
        <v>-112398.53571428568</v>
      </c>
      <c r="H7" s="15">
        <f>ABS(G7/F7)</f>
        <v>0.38721492480018893</v>
      </c>
      <c r="I7" s="16">
        <f>E7/D7</f>
        <v>19.258959506279776</v>
      </c>
      <c r="J7" s="16">
        <f>(110/7)*2</f>
        <v>31.428571428571427</v>
      </c>
      <c r="K7" s="16">
        <f t="shared" ref="K7:K9" si="0">+I7-J7</f>
        <v>-12.169611922291651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14969</v>
      </c>
      <c r="E8" s="16">
        <f>SUMIF('REPORTE DIARIO'!B:B,'EPR 26 JUN'!C8, 'REPORTE DIARIO'!D:D)</f>
        <v>182149.95</v>
      </c>
      <c r="F8" s="16">
        <f>J8*D8</f>
        <v>192458.57142857145</v>
      </c>
      <c r="G8" s="16">
        <f>+E8-F8</f>
        <v>-10308.621428571438</v>
      </c>
      <c r="H8" s="15">
        <f>ABS(G8/F8)</f>
        <v>5.3562807580110047E-2</v>
      </c>
      <c r="I8" s="16">
        <f>E8/D8</f>
        <v>12.16847818825573</v>
      </c>
      <c r="J8" s="16">
        <f>(45/7)*2</f>
        <v>12.857142857142858</v>
      </c>
      <c r="K8" s="16">
        <f t="shared" si="0"/>
        <v>-0.68866466888712807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55284</v>
      </c>
      <c r="E9" s="16">
        <f>SUMIF('REPORTE DIARIO'!B:B,'EPR 26 JUN'!C9, 'REPORTE DIARIO'!D:D)</f>
        <v>181374.88</v>
      </c>
      <c r="F9" s="16">
        <f>J9*D9</f>
        <v>236931.42857142855</v>
      </c>
      <c r="G9" s="16">
        <f>+E9-F9</f>
        <v>-55556.548571428546</v>
      </c>
      <c r="H9" s="15">
        <f>ABS(G9/F9)</f>
        <v>0.23448366013071886</v>
      </c>
      <c r="I9" s="16">
        <f>E9/D9</f>
        <v>3.2807843137254902</v>
      </c>
      <c r="J9" s="16">
        <f>(15/7)*2</f>
        <v>4.2857142857142856</v>
      </c>
      <c r="K9" s="16">
        <f t="shared" si="0"/>
        <v>-1.0049299719887954</v>
      </c>
    </row>
    <row r="10" spans="2:12" x14ac:dyDescent="0.25">
      <c r="B10" s="16"/>
      <c r="C10" s="19" t="s">
        <v>17</v>
      </c>
      <c r="D10" s="24">
        <f>SUM(D6:D9)</f>
        <v>95142</v>
      </c>
      <c r="E10" s="20">
        <f>SUM(E6:E9)</f>
        <v>1039846.5099999999</v>
      </c>
      <c r="F10" s="20">
        <f>SUM(F6:F9)</f>
        <v>1703567.1428571427</v>
      </c>
      <c r="G10" s="20">
        <f>+E10-F10</f>
        <v>-663720.63285714283</v>
      </c>
      <c r="H10" s="21">
        <f>ABS(G10/F10)</f>
        <v>0.38960638307685469</v>
      </c>
      <c r="I10" s="20">
        <f>E10/D10</f>
        <v>10.929416135881104</v>
      </c>
      <c r="J10" s="20">
        <f>F10/D10</f>
        <v>17.905521671366408</v>
      </c>
      <c r="K10" s="20">
        <f>I10-J10</f>
        <v>-6.9761055354853045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2025-07-09T15:31:30Z</dcterms:modified>
</cp:coreProperties>
</file>