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13 JUL\NOCHE\"/>
    </mc:Choice>
  </mc:AlternateContent>
  <xr:revisionPtr revIDLastSave="0" documentId="13_ncr:1_{AE06EBE8-6AFF-4BA8-A572-4790A2607FBF}" xr6:coauthVersionLast="47" xr6:coauthVersionMax="47" xr10:uidLastSave="{00000000-0000-0000-0000-000000000000}"/>
  <bookViews>
    <workbookView xWindow="4185" yWindow="3765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<sst xmlns="http://schemas.openxmlformats.org/spreadsheetml/2006/main" count="89" uniqueCount="37">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</sst>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4393</v>
      </c>
      <c r="D5" s="25">
        <v>691134.46000000008</v>
      </c>
    </row>
    <row r="6" spans="2:8" x14ac:dyDescent="0.25">
      <c r="B6" s="1" t="s">
        <v>5</v>
      </c>
      <c r="C6" s="6">
        <v>3966</v>
      </c>
      <c r="D6" s="25">
        <v>575755.76</v>
      </c>
    </row>
    <row r="7" spans="2:8" x14ac:dyDescent="0.25">
      <c r="B7" s="1" t="s">
        <v>6</v>
      </c>
      <c r="C7" s="6">
        <v>6859</v>
      </c>
      <c r="D7" s="25">
        <v>331280.53000000003</v>
      </c>
    </row>
    <row r="8" spans="2:8" x14ac:dyDescent="0.25">
      <c r="B8" s="5" t="s">
        <v>12</v>
      </c>
      <c r="C8" s="7">
        <v>1977</v>
      </c>
      <c r="D8" s="25">
        <v>2850.33</v>
      </c>
    </row>
    <row r="9" spans="2:8" x14ac:dyDescent="0.25">
      <c r="B9" s="1" t="s">
        <v>7</v>
      </c>
      <c r="C9" s="6">
        <v>17372</v>
      </c>
      <c r="D9" s="25">
        <v>454330.55</v>
      </c>
      <c r="E9" s="14"/>
      <c r="F9" s="7"/>
    </row>
    <row r="10" spans="2:8" x14ac:dyDescent="0.25">
      <c r="B10" s="3" t="s">
        <v>8</v>
      </c>
      <c r="C10" s="8">
        <f>SUM(C5:C9)</f>
        <v>34567</v>
      </c>
      <c r="D10" s="4">
        <f>SUM(D5:D9)</f>
        <v>2055351.6300000004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4097</v>
      </c>
      <c r="D14" s="25">
        <v>571961.64</v>
      </c>
    </row>
    <row r="15" spans="2:8" x14ac:dyDescent="0.25">
      <c r="B15" s="1" t="s">
        <v>5</v>
      </c>
      <c r="C15" s="6">
        <v>2550</v>
      </c>
      <c r="D15" s="25">
        <v>114362.62</v>
      </c>
    </row>
    <row r="16" spans="2:8" x14ac:dyDescent="0.25">
      <c r="B16" s="1" t="s">
        <v>6</v>
      </c>
      <c r="C16" s="6">
        <v>3735</v>
      </c>
      <c r="D16" s="25">
        <v>106025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14368</v>
      </c>
      <c r="D18" s="25">
        <v>153016.91</v>
      </c>
    </row>
    <row r="19" spans="2:4" x14ac:dyDescent="0.25">
      <c r="B19" s="3" t="s">
        <v>8</v>
      </c>
      <c r="C19" s="8">
        <f>SUM(C14:C18)</f>
        <v>24750</v>
      </c>
      <c r="D19" s="4">
        <f>SUM(D14:D18)</f>
        <v>945366.17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2523</v>
      </c>
      <c r="D23" s="25">
        <v>254960.37000000005</v>
      </c>
    </row>
    <row r="24" spans="2:4" x14ac:dyDescent="0.25">
      <c r="B24" s="9" t="s">
        <v>5</v>
      </c>
      <c r="C24" s="6">
        <v>842</v>
      </c>
      <c r="D24" s="25">
        <v>25587.74</v>
      </c>
    </row>
    <row r="25" spans="2:4" x14ac:dyDescent="0.25">
      <c r="B25" s="9" t="s">
        <v>6</v>
      </c>
      <c r="C25" s="6">
        <v>2365</v>
      </c>
      <c r="D25" s="25">
        <v>77941.010000000009</v>
      </c>
    </row>
    <row r="26" spans="2:4" x14ac:dyDescent="0.25">
      <c r="B26" s="5" t="s">
        <v>12</v>
      </c>
      <c r="C26" s="7">
        <v>1</v>
      </c>
      <c r="D26" s="25">
        <v>89</v>
      </c>
    </row>
    <row r="27" spans="2:4" x14ac:dyDescent="0.25">
      <c r="B27" s="9" t="s">
        <v>7</v>
      </c>
      <c r="C27" s="6">
        <v>17427</v>
      </c>
      <c r="D27" s="25">
        <v>103892.56</v>
      </c>
    </row>
    <row r="28" spans="2:4" x14ac:dyDescent="0.25">
      <c r="B28" s="10" t="s">
        <v>8</v>
      </c>
      <c r="C28" s="8">
        <f>SUM(C23:C27)</f>
        <v>23158</v>
      </c>
      <c r="D28" s="4">
        <f>SUM(D23:D27)</f>
        <v>462470.68000000005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637</v>
      </c>
      <c r="D32" s="25">
        <v>148309.90000000002</v>
      </c>
    </row>
    <row r="33" spans="2:4" x14ac:dyDescent="0.25">
      <c r="B33" s="9" t="s">
        <v>5</v>
      </c>
      <c r="C33" s="6">
        <v>1543</v>
      </c>
      <c r="D33" s="25">
        <v>160612.29999999999</v>
      </c>
    </row>
    <row r="34" spans="2:4" x14ac:dyDescent="0.25">
      <c r="B34" s="9" t="s">
        <v>6</v>
      </c>
      <c r="C34" s="6">
        <v>819</v>
      </c>
      <c r="D34" s="25">
        <v>69979.7</v>
      </c>
    </row>
    <row r="35" spans="2:4" x14ac:dyDescent="0.25">
      <c r="B35" s="9" t="s">
        <v>7</v>
      </c>
      <c r="C35" s="6">
        <v>4323</v>
      </c>
      <c r="D35" s="25">
        <v>23084</v>
      </c>
    </row>
    <row r="36" spans="2:4" x14ac:dyDescent="0.25">
      <c r="B36" s="10" t="s">
        <v>8</v>
      </c>
      <c r="C36" s="8">
        <f>SUM(C32:C35)</f>
        <v>7322</v>
      </c>
      <c r="D36" s="4">
        <f>SUM(D32:D35)</f>
        <v>401985.9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728</v>
      </c>
      <c r="D40" s="25">
        <v>145451.22</v>
      </c>
    </row>
    <row r="41" spans="2:4" x14ac:dyDescent="0.25">
      <c r="B41" s="1" t="s">
        <v>5</v>
      </c>
      <c r="C41" s="6">
        <v>645</v>
      </c>
      <c r="D41" s="25">
        <v>14900.619999999999</v>
      </c>
    </row>
    <row r="42" spans="2:4" x14ac:dyDescent="0.25">
      <c r="B42" s="1" t="s">
        <v>6</v>
      </c>
      <c r="C42" s="6">
        <v>877</v>
      </c>
      <c r="D42" s="25">
        <v>44599.7</v>
      </c>
    </row>
    <row r="43" spans="2:4" x14ac:dyDescent="0.25">
      <c r="B43" s="1" t="s">
        <v>7</v>
      </c>
      <c r="C43" s="6">
        <v>419</v>
      </c>
      <c r="D43" s="25">
        <v>62855</v>
      </c>
    </row>
    <row r="44" spans="2:4" x14ac:dyDescent="0.25">
      <c r="B44" s="3" t="s">
        <v>8</v>
      </c>
      <c r="C44" s="8">
        <f>SUM(C40:C43)</f>
        <v>2669</v>
      </c>
      <c r="D44" s="4">
        <f>SUM(D40:D43)</f>
        <v>267806.53999999998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1064</v>
      </c>
      <c r="D48" s="25">
        <v>64668.04</v>
      </c>
    </row>
    <row r="49" spans="2:4" x14ac:dyDescent="0.25">
      <c r="B49" s="1" t="s">
        <v>5</v>
      </c>
      <c r="C49" s="6">
        <v>153</v>
      </c>
      <c r="D49" s="25">
        <v>2963</v>
      </c>
    </row>
    <row r="50" spans="2:4" x14ac:dyDescent="0.25">
      <c r="B50" s="1" t="s">
        <v>6</v>
      </c>
      <c r="C50" s="6">
        <v>593</v>
      </c>
      <c r="D50" s="25">
        <v>17007</v>
      </c>
    </row>
    <row r="51" spans="2:4" x14ac:dyDescent="0.25">
      <c r="B51" s="1" t="s">
        <v>7</v>
      </c>
      <c r="C51" s="6">
        <v>2409</v>
      </c>
      <c r="D51" s="25">
        <v>16612.98</v>
      </c>
    </row>
    <row r="52" spans="2:4" x14ac:dyDescent="0.25">
      <c r="B52" s="3" t="s">
        <v>8</v>
      </c>
      <c r="C52" s="8">
        <f>SUM(C48:C51)</f>
        <v>4219</v>
      </c>
      <c r="D52" s="4">
        <f>SUM(D48:D51)</f>
        <v>101251.02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1743</v>
      </c>
      <c r="D56" s="25">
        <v>59351</v>
      </c>
    </row>
    <row r="57" spans="2:4" x14ac:dyDescent="0.25">
      <c r="B57" s="10" t="s">
        <v>8</v>
      </c>
      <c r="C57" s="8">
        <f>SUM(C56:C56)</f>
        <v>1743</v>
      </c>
      <c r="D57" s="4">
        <f>SUM(D56:D56)</f>
        <v>59351</v>
      </c>
    </row>
    <row r="59" spans="2:4" x14ac:dyDescent="0.25">
      <c r="B59" s="12" t="s">
        <v>13</v>
      </c>
      <c r="C59" s="13">
        <f>SUMIF(B:B, "Total general", C:C)</f>
        <v>98428</v>
      </c>
      <c r="D59" s="13">
        <f>SUMIF(B:B, "Total general", D:D)</f>
        <v>4293582.9400000004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15185</v>
      </c>
      <c r="E6" s="16">
        <f>SUMIF('REPORTE DIARIO'!B:B,'EPR 26 JUN'!C6, 'REPORTE DIARIO'!D:D)</f>
        <v>1935836.6300000001</v>
      </c>
      <c r="F6" s="16">
        <f>J6*D6</f>
        <v>954485.7142857142</v>
      </c>
      <c r="G6" s="16">
        <f>+E6-F6</f>
        <v>981350.91571428592</v>
      </c>
      <c r="H6" s="15">
        <f>ABS(G6/F6)</f>
        <v>1.0281462582692253</v>
      </c>
      <c r="I6" s="16">
        <f>E6/D6</f>
        <v>127.48347909120844</v>
      </c>
      <c r="J6" s="16">
        <f>(220/7)*2</f>
        <v>62.857142857142854</v>
      </c>
      <c r="K6" s="16">
        <f>+I6-J6</f>
        <v>64.626336234065576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9699</v>
      </c>
      <c r="E7" s="16">
        <f>SUMIF('REPORTE DIARIO'!B:B,'EPR 26 JUN'!C7, 'REPORTE DIARIO'!D:D)</f>
        <v>894182.03999999992</v>
      </c>
      <c r="F7" s="16">
        <f>J7*D7</f>
        <v>304825.71428571426</v>
      </c>
      <c r="G7" s="16">
        <f>+E7-F7</f>
        <v>589356.32571428572</v>
      </c>
      <c r="H7" s="15">
        <f>ABS(G7/F7)</f>
        <v>1.9334206338047972</v>
      </c>
      <c r="I7" s="16">
        <f>E7/D7</f>
        <v>92.193219919579334</v>
      </c>
      <c r="J7" s="16">
        <f>(110/7)*2</f>
        <v>31.428571428571427</v>
      </c>
      <c r="K7" s="16">
        <f t="shared" ref="K7:K9" si="0">+I7-J7</f>
        <v>60.764648491007904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15248</v>
      </c>
      <c r="E8" s="16">
        <f>SUMIF('REPORTE DIARIO'!B:B,'EPR 26 JUN'!C8, 'REPORTE DIARIO'!D:D)</f>
        <v>646832.93999999994</v>
      </c>
      <c r="F8" s="16">
        <f>J8*D8</f>
        <v>196045.71428571429</v>
      </c>
      <c r="G8" s="16">
        <f>+E8-F8</f>
        <v>450787.22571428563</v>
      </c>
      <c r="H8" s="15">
        <f>ABS(G8/F8)</f>
        <v>2.2993985222105628</v>
      </c>
      <c r="I8" s="16">
        <f>E8/D8</f>
        <v>42.42083814270724</v>
      </c>
      <c r="J8" s="16">
        <f>(45/7)*2</f>
        <v>12.857142857142858</v>
      </c>
      <c r="K8" s="16">
        <f t="shared" si="0"/>
        <v>29.563695285564382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56318</v>
      </c>
      <c r="E9" s="16">
        <f>SUMIF('REPORTE DIARIO'!B:B,'EPR 26 JUN'!C9, 'REPORTE DIARIO'!D:D)</f>
        <v>813792</v>
      </c>
      <c r="F9" s="16">
        <f>J9*D9</f>
        <v>241362.85714285713</v>
      </c>
      <c r="G9" s="16">
        <f>+E9-F9</f>
        <v>572429.14285714284</v>
      </c>
      <c r="H9" s="15">
        <f>ABS(G9/F9)</f>
        <v>2.3716538229340531</v>
      </c>
      <c r="I9" s="16">
        <f>E9/D9</f>
        <v>14.449944955431656</v>
      </c>
      <c r="J9" s="16">
        <f>(15/7)*2</f>
        <v>4.2857142857142856</v>
      </c>
      <c r="K9" s="16">
        <f t="shared" si="0"/>
        <v>10.164230669717369</v>
      </c>
    </row>
    <row r="10" spans="2:12" x14ac:dyDescent="0.25">
      <c r="B10" s="16"/>
      <c r="C10" s="19" t="s">
        <v>17</v>
      </c>
      <c r="D10" s="24">
        <f>SUM(D6:D9)</f>
        <v>96450</v>
      </c>
      <c r="E10" s="20">
        <f>SUM(E6:E9)</f>
        <v>4290643.6099999994</v>
      </c>
      <c r="F10" s="20">
        <f>SUM(F6:F9)</f>
        <v>1696719.9999999998</v>
      </c>
      <c r="G10" s="20">
        <f>+E10-F10</f>
        <v>2593923.6099999994</v>
      </c>
      <c r="H10" s="21">
        <f>ABS(G10/F10)</f>
        <v>1.528787077419963</v>
      </c>
      <c r="I10" s="20">
        <f>E10/D10</f>
        <v>44.485677656816996</v>
      </c>
      <c r="J10" s="20">
        <f>F10/D10</f>
        <v>17.591705546915499</v>
      </c>
      <c r="K10" s="20">
        <f>I10-J10</f>
        <v>26.893972109901497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2025-07-14T05:16:53Z</dcterms:modified>
</cp:coreProperties>
</file>