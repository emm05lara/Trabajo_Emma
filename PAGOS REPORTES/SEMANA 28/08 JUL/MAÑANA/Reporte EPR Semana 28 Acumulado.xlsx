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8\08 JUL\MAÑANA\"/>
    </mc:Choice>
  </mc:AlternateContent>
  <xr:revisionPtr revIDLastSave="0" documentId="13_ncr:1_{46667217-6466-4F51-88B6-3A3679CC7BBA}" xr6:coauthVersionLast="47" xr6:coauthVersionMax="47" xr10:uidLastSave="{00000000-0000-0000-0000-000000000000}"/>
  <bookViews>
    <workbookView xWindow="390" yWindow="390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36" i="1"/>
  <c r="C36" i="1"/>
  <c r="D6" i="3"/>
  <c r="D44" i="1"/>
  <c r="C44" i="1"/>
  <c r="D52" i="1"/>
  <c r="D57" i="1" l="1"/>
  <c r="C57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<sst xmlns="http://schemas.openxmlformats.org/spreadsheetml/2006/main" count="89" uniqueCount="37">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</sst>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1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4330</v>
      </c>
      <c r="D5" s="25">
        <v>152463.73000000001</v>
      </c>
    </row>
    <row r="6" spans="2:8" x14ac:dyDescent="0.25">
      <c r="B6" s="1" t="s">
        <v>5</v>
      </c>
      <c r="C6" s="6">
        <v>3682</v>
      </c>
      <c r="D6" s="25">
        <v>60007.25</v>
      </c>
    </row>
    <row r="7" spans="2:8" x14ac:dyDescent="0.25">
      <c r="B7" s="1" t="s">
        <v>6</v>
      </c>
      <c r="C7" s="6">
        <v>6907</v>
      </c>
      <c r="D7" s="25">
        <v>53599.74</v>
      </c>
    </row>
    <row r="8" spans="2:8" x14ac:dyDescent="0.25">
      <c r="B8" s="5" t="s">
        <v>12</v>
      </c>
      <c r="C8" s="7">
        <v>25</v>
      </c>
      <c r="D8" s="26">
        <v>0</v>
      </c>
    </row>
    <row r="9" spans="2:8" x14ac:dyDescent="0.25">
      <c r="B9" s="1" t="s">
        <v>7</v>
      </c>
      <c r="C9" s="6">
        <v>16216</v>
      </c>
      <c r="D9" s="25">
        <v>78804.459999999992</v>
      </c>
      <c r="E9" s="14"/>
      <c r="F9" s="7"/>
    </row>
    <row r="10" spans="2:8" x14ac:dyDescent="0.25">
      <c r="B10" s="3" t="s">
        <v>8</v>
      </c>
      <c r="C10" s="8">
        <f>SUM(C5:C9)</f>
        <v>31160</v>
      </c>
      <c r="D10" s="4">
        <f>SUM(D5:D9)</f>
        <v>344875.18000000005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4296</v>
      </c>
      <c r="D14" s="25">
        <v>48999</v>
      </c>
    </row>
    <row r="15" spans="2:8" x14ac:dyDescent="0.25">
      <c r="B15" s="1" t="s">
        <v>5</v>
      </c>
      <c r="C15" s="6">
        <v>2609</v>
      </c>
      <c r="D15" s="25">
        <v>11532</v>
      </c>
    </row>
    <row r="16" spans="2:8" x14ac:dyDescent="0.25">
      <c r="B16" s="1" t="s">
        <v>6</v>
      </c>
      <c r="C16" s="6">
        <v>3756</v>
      </c>
      <c r="D16" s="25">
        <v>29107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14374</v>
      </c>
      <c r="D18" s="25">
        <v>14919.23</v>
      </c>
    </row>
    <row r="19" spans="2:4" x14ac:dyDescent="0.25">
      <c r="B19" s="3" t="s">
        <v>8</v>
      </c>
      <c r="C19" s="8">
        <f>SUM(C14:C18)</f>
        <v>25035</v>
      </c>
      <c r="D19" s="4">
        <f>SUM(D14:D18)</f>
        <v>104557.23</v>
      </c>
    </row>
    <row r="21" spans="2:4" x14ac:dyDescent="0.25">
      <c r="B21" s="28" t="s">
        <v>9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9" t="s">
        <v>4</v>
      </c>
      <c r="C23" s="6">
        <v>470</v>
      </c>
      <c r="D23" s="25">
        <v>10628</v>
      </c>
    </row>
    <row r="24" spans="2:4" x14ac:dyDescent="0.25">
      <c r="B24" s="9" t="s">
        <v>5</v>
      </c>
      <c r="C24" s="6">
        <v>1549</v>
      </c>
      <c r="D24" s="25">
        <v>52279.26</v>
      </c>
    </row>
    <row r="25" spans="2:4" x14ac:dyDescent="0.25">
      <c r="B25" s="9" t="s">
        <v>6</v>
      </c>
      <c r="C25" s="6">
        <v>820</v>
      </c>
      <c r="D25" s="25">
        <v>18713.349999999999</v>
      </c>
    </row>
    <row r="26" spans="2:4" x14ac:dyDescent="0.25">
      <c r="B26" s="9" t="s">
        <v>7</v>
      </c>
      <c r="C26" s="6">
        <v>4323</v>
      </c>
      <c r="D26" s="25">
        <v>1171</v>
      </c>
    </row>
    <row r="27" spans="2:4" x14ac:dyDescent="0.25">
      <c r="B27" s="10" t="s">
        <v>8</v>
      </c>
      <c r="C27" s="8">
        <f>SUM(C23:C26)</f>
        <v>7162</v>
      </c>
      <c r="D27" s="4">
        <f>SUM(D23:D26)</f>
        <v>82791.61</v>
      </c>
    </row>
    <row r="29" spans="2:4" x14ac:dyDescent="0.25">
      <c r="B29" s="27" t="s">
        <v>10</v>
      </c>
      <c r="C29" s="27"/>
      <c r="D29" s="27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6">
        <v>2608</v>
      </c>
      <c r="D31" s="25">
        <v>29763.53</v>
      </c>
    </row>
    <row r="32" spans="2:4" x14ac:dyDescent="0.25">
      <c r="B32" s="9" t="s">
        <v>5</v>
      </c>
      <c r="C32" s="6">
        <v>848</v>
      </c>
      <c r="D32" s="25">
        <v>5627.07</v>
      </c>
    </row>
    <row r="33" spans="2:4" x14ac:dyDescent="0.25">
      <c r="B33" s="9" t="s">
        <v>6</v>
      </c>
      <c r="C33" s="6">
        <v>2362</v>
      </c>
      <c r="D33" s="25">
        <v>17645.010000000002</v>
      </c>
    </row>
    <row r="34" spans="2:4" x14ac:dyDescent="0.25">
      <c r="B34" s="5" t="s">
        <v>12</v>
      </c>
      <c r="C34" s="7">
        <v>1</v>
      </c>
      <c r="D34" s="26">
        <v>0</v>
      </c>
    </row>
    <row r="35" spans="2:4" x14ac:dyDescent="0.25">
      <c r="B35" s="9" t="s">
        <v>7</v>
      </c>
      <c r="C35" s="6">
        <v>17312</v>
      </c>
      <c r="D35" s="25">
        <v>16273.42</v>
      </c>
    </row>
    <row r="36" spans="2:4" x14ac:dyDescent="0.25">
      <c r="B36" s="10" t="s">
        <v>8</v>
      </c>
      <c r="C36" s="8">
        <f>SUM(C31:C35)</f>
        <v>23131</v>
      </c>
      <c r="D36" s="4">
        <f>SUM(D31:D35)</f>
        <v>69309.03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720</v>
      </c>
      <c r="D40" s="25">
        <v>15067</v>
      </c>
    </row>
    <row r="41" spans="2:4" x14ac:dyDescent="0.25">
      <c r="B41" s="1" t="s">
        <v>5</v>
      </c>
      <c r="C41" s="6">
        <v>314</v>
      </c>
      <c r="D41" s="25">
        <v>3017.12</v>
      </c>
    </row>
    <row r="42" spans="2:4" x14ac:dyDescent="0.25">
      <c r="B42" s="1" t="s">
        <v>6</v>
      </c>
      <c r="C42" s="6">
        <v>427</v>
      </c>
      <c r="D42" s="25">
        <v>18947.7</v>
      </c>
    </row>
    <row r="43" spans="2:4" x14ac:dyDescent="0.25">
      <c r="B43" s="1" t="s">
        <v>7</v>
      </c>
      <c r="C43" s="6">
        <v>419</v>
      </c>
      <c r="D43" s="26">
        <v>0</v>
      </c>
    </row>
    <row r="44" spans="2:4" x14ac:dyDescent="0.25">
      <c r="B44" s="3" t="s">
        <v>8</v>
      </c>
      <c r="C44" s="8">
        <f>SUM(C40:C43)</f>
        <v>1880</v>
      </c>
      <c r="D44" s="4">
        <f>SUM(D40:D43)</f>
        <v>37031.82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1082</v>
      </c>
      <c r="D48" s="25">
        <v>11723</v>
      </c>
    </row>
    <row r="49" spans="2:4" x14ac:dyDescent="0.25">
      <c r="B49" s="1" t="s">
        <v>5</v>
      </c>
      <c r="C49" s="6">
        <v>176</v>
      </c>
      <c r="D49" s="25">
        <v>100</v>
      </c>
    </row>
    <row r="50" spans="2:4" x14ac:dyDescent="0.25">
      <c r="B50" s="1" t="s">
        <v>6</v>
      </c>
      <c r="C50" s="6">
        <v>597</v>
      </c>
      <c r="D50" s="26">
        <v>0</v>
      </c>
    </row>
    <row r="51" spans="2:4" x14ac:dyDescent="0.25">
      <c r="B51" s="1" t="s">
        <v>7</v>
      </c>
      <c r="C51" s="6">
        <v>2409</v>
      </c>
      <c r="D51" s="25">
        <v>1952</v>
      </c>
    </row>
    <row r="52" spans="2:4" x14ac:dyDescent="0.25">
      <c r="B52" s="3" t="s">
        <v>8</v>
      </c>
      <c r="C52" s="8">
        <f>SUM(C48:C51)</f>
        <v>4264</v>
      </c>
      <c r="D52" s="4">
        <f>SUM(D48:D51)</f>
        <v>13775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2079</v>
      </c>
      <c r="D56" s="25">
        <v>5514</v>
      </c>
    </row>
    <row r="57" spans="2:4" x14ac:dyDescent="0.25">
      <c r="B57" s="10" t="s">
        <v>8</v>
      </c>
      <c r="C57" s="8">
        <f>SUM(C56:C56)</f>
        <v>2079</v>
      </c>
      <c r="D57" s="4">
        <f>SUM(D56:D56)</f>
        <v>5514</v>
      </c>
    </row>
    <row r="59" spans="2:4" x14ac:dyDescent="0.25">
      <c r="B59" s="12" t="s">
        <v>13</v>
      </c>
      <c r="C59" s="13">
        <f>SUM(C10+C36+C27+C57+C19+C52+C44)</f>
        <v>94711</v>
      </c>
      <c r="D59" s="13">
        <f>SUM(D10+D36+D27+D57+D19+D52+D44)</f>
        <v>657853.87</v>
      </c>
    </row>
  </sheetData>
  <mergeCells count="7">
    <mergeCell ref="B54:D54"/>
    <mergeCell ref="B38:D38"/>
    <mergeCell ref="B12:D12"/>
    <mergeCell ref="B46:D46"/>
    <mergeCell ref="B3:D3"/>
    <mergeCell ref="B29:D29"/>
    <mergeCell ref="B21:D21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15585</v>
      </c>
      <c r="E6" s="16">
        <f>SUMIF('REPORTE DIARIO'!B:B,'EPR 26 JUN'!C6, 'REPORTE DIARIO'!D:D)</f>
        <v>274158.26</v>
      </c>
      <c r="F6" s="16">
        <f>J6*D6</f>
        <v>979628.57142857136</v>
      </c>
      <c r="G6" s="16">
        <f>+E6-F6</f>
        <v>-705470.31142857135</v>
      </c>
      <c r="H6" s="15">
        <f>ABS(G6/F6)</f>
        <v>0.72014060431067162</v>
      </c>
      <c r="I6" s="16">
        <f>E6/D6</f>
        <v>17.591162014757781</v>
      </c>
      <c r="J6" s="16">
        <f>(220/7)*2</f>
        <v>62.857142857142854</v>
      </c>
      <c r="K6" s="16">
        <f>+I6-J6</f>
        <v>-45.265980842385076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9178</v>
      </c>
      <c r="E7" s="16">
        <f>SUMIF('REPORTE DIARIO'!B:B,'EPR 26 JUN'!C7, 'REPORTE DIARIO'!D:D)</f>
        <v>132562.70000000001</v>
      </c>
      <c r="F7" s="16">
        <f>J7*D7</f>
        <v>288451.42857142858</v>
      </c>
      <c r="G7" s="16">
        <f>+E7-F7</f>
        <v>-155888.72857142857</v>
      </c>
      <c r="H7" s="15">
        <f>ABS(G7/F7)</f>
        <v>0.54043319994453132</v>
      </c>
      <c r="I7" s="16">
        <f>E7/D7</f>
        <v>14.443528001743301</v>
      </c>
      <c r="J7" s="16">
        <f>(110/7)*2</f>
        <v>31.428571428571427</v>
      </c>
      <c r="K7" s="16">
        <f t="shared" ref="K7:K9" si="0">+I7-J7</f>
        <v>-16.985043426828128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14869</v>
      </c>
      <c r="E8" s="16">
        <f>SUMIF('REPORTE DIARIO'!B:B,'EPR 26 JUN'!C8, 'REPORTE DIARIO'!D:D)</f>
        <v>138012.80000000002</v>
      </c>
      <c r="F8" s="16">
        <f>J8*D8</f>
        <v>191172.85714285716</v>
      </c>
      <c r="G8" s="16">
        <f>+E8-F8</f>
        <v>-53160.057142857142</v>
      </c>
      <c r="H8" s="15">
        <f>ABS(G8/F8)</f>
        <v>0.27807324709873632</v>
      </c>
      <c r="I8" s="16">
        <f>E8/D8</f>
        <v>9.2819153944448196</v>
      </c>
      <c r="J8" s="16">
        <f>(45/7)*2</f>
        <v>12.857142857142858</v>
      </c>
      <c r="K8" s="16">
        <f t="shared" si="0"/>
        <v>-3.575227462698038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55053</v>
      </c>
      <c r="E9" s="16">
        <f>SUMIF('REPORTE DIARIO'!B:B,'EPR 26 JUN'!C9, 'REPORTE DIARIO'!D:D)</f>
        <v>113120.10999999999</v>
      </c>
      <c r="F9" s="16">
        <f>J9*D9</f>
        <v>235941.42857142855</v>
      </c>
      <c r="G9" s="16">
        <f>+E9-F9</f>
        <v>-122821.31857142856</v>
      </c>
      <c r="H9" s="15">
        <f>ABS(G9/F9)</f>
        <v>0.52055851028402933</v>
      </c>
      <c r="I9" s="16">
        <f>E9/D9</f>
        <v>2.054749241639874</v>
      </c>
      <c r="J9" s="16">
        <f>(15/7)*2</f>
        <v>4.2857142857142856</v>
      </c>
      <c r="K9" s="16">
        <f t="shared" si="0"/>
        <v>-2.2309650440744115</v>
      </c>
    </row>
    <row r="10" spans="2:12" x14ac:dyDescent="0.25">
      <c r="B10" s="16"/>
      <c r="C10" s="19" t="s">
        <v>17</v>
      </c>
      <c r="D10" s="24">
        <f>SUM(D6:D9)</f>
        <v>94685</v>
      </c>
      <c r="E10" s="20">
        <f>SUM(E6:E9)</f>
        <v>657853.87</v>
      </c>
      <c r="F10" s="20">
        <f>SUM(F6:F9)</f>
        <v>1695194.2857142859</v>
      </c>
      <c r="G10" s="20">
        <f>+E10-F10</f>
        <v>-1037340.4157142859</v>
      </c>
      <c r="H10" s="21">
        <f>ABS(G10/F10)</f>
        <v>0.61193010409257775</v>
      </c>
      <c r="I10" s="20">
        <f>E10/D10</f>
        <v>6.9478150710249773</v>
      </c>
      <c r="J10" s="20">
        <f>F10/D10</f>
        <v>17.903514661396059</v>
      </c>
      <c r="K10" s="20">
        <f>I10-J10</f>
        <v>-10.955699590371083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2025-07-08T16:35:28Z</dcterms:modified>
</cp:coreProperties>
</file>