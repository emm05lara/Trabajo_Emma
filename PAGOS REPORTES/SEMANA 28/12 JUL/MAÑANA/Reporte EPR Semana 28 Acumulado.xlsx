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8\12 JUL\MAÑANA\"/>
    </mc:Choice>
  </mc:AlternateContent>
  <xr:revisionPtr revIDLastSave="0" documentId="13_ncr:1_{049592E8-57A4-4B03-90D5-A4AAF91AEF91}" xr6:coauthVersionLast="47" xr6:coauthVersionMax="47" xr10:uidLastSave="{00000000-0000-0000-0000-000000000000}"/>
  <bookViews>
    <workbookView xWindow="11424" yWindow="0" windowWidth="11712" windowHeight="12336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<sst xmlns="http://schemas.openxmlformats.org/spreadsheetml/2006/main" count="89" uniqueCount="37">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</sst>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3" zoomScaleNormal="100" workbookViewId="0">
      <selection activeCell="C28" sqref="C28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4426</v>
      </c>
      <c r="D5" s="25">
        <v>481882.81</v>
      </c>
    </row>
    <row r="6" spans="2:8" x14ac:dyDescent="0.3">
      <c r="B6" s="1" t="s">
        <v>5</v>
      </c>
      <c r="C6" s="6">
        <v>3823</v>
      </c>
      <c r="D6" s="25">
        <v>312277.76000000001</v>
      </c>
    </row>
    <row r="7" spans="2:8" x14ac:dyDescent="0.3">
      <c r="B7" s="1" t="s">
        <v>6</v>
      </c>
      <c r="C7" s="6">
        <v>6867</v>
      </c>
      <c r="D7" s="25">
        <v>194699.69</v>
      </c>
    </row>
    <row r="8" spans="2:8" x14ac:dyDescent="0.3">
      <c r="B8" s="5" t="s">
        <v>12</v>
      </c>
      <c r="C8" s="7">
        <v>11</v>
      </c>
      <c r="D8" s="25">
        <v>1000</v>
      </c>
    </row>
    <row r="9" spans="2:8" x14ac:dyDescent="0.3">
      <c r="B9" s="1" t="s">
        <v>7</v>
      </c>
      <c r="C9" s="6">
        <v>16904</v>
      </c>
      <c r="D9" s="25">
        <v>282849.11</v>
      </c>
      <c r="E9" s="14"/>
      <c r="F9" s="7"/>
    </row>
    <row r="10" spans="2:8" x14ac:dyDescent="0.3">
      <c r="B10" s="3" t="s">
        <v>8</v>
      </c>
      <c r="C10" s="8">
        <f>SUM(C5:C9)</f>
        <v>32031</v>
      </c>
      <c r="D10" s="4">
        <f>SUM(D5:D9)</f>
        <v>1272709.3700000001</v>
      </c>
      <c r="E10" s="11" t="s">
        <v>14</v>
      </c>
    </row>
    <row r="12" spans="2:8" x14ac:dyDescent="0.3">
      <c r="B12" s="28" t="s">
        <v>36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4188</v>
      </c>
      <c r="D14" s="25">
        <v>387459.09</v>
      </c>
    </row>
    <row r="15" spans="2:8" x14ac:dyDescent="0.3">
      <c r="B15" s="1" t="s">
        <v>5</v>
      </c>
      <c r="C15" s="6">
        <v>2580</v>
      </c>
      <c r="D15" s="25">
        <v>96476.2</v>
      </c>
    </row>
    <row r="16" spans="2:8" x14ac:dyDescent="0.3">
      <c r="B16" s="1" t="s">
        <v>6</v>
      </c>
      <c r="C16" s="6">
        <v>3736</v>
      </c>
      <c r="D16" s="25">
        <v>61814</v>
      </c>
    </row>
    <row r="17" spans="2:4" x14ac:dyDescent="0.3">
      <c r="B17" s="5" t="s">
        <v>12</v>
      </c>
      <c r="C17" s="6">
        <v>0</v>
      </c>
      <c r="D17" s="26">
        <v>0</v>
      </c>
    </row>
    <row r="18" spans="2:4" x14ac:dyDescent="0.3">
      <c r="B18" s="1" t="s">
        <v>7</v>
      </c>
      <c r="C18" s="7">
        <v>14370</v>
      </c>
      <c r="D18" s="25">
        <v>119317.91</v>
      </c>
    </row>
    <row r="19" spans="2:4" x14ac:dyDescent="0.3">
      <c r="B19" s="3" t="s">
        <v>8</v>
      </c>
      <c r="C19" s="8">
        <f>SUM(C14:C18)</f>
        <v>24874</v>
      </c>
      <c r="D19" s="4">
        <f>SUM(D14:D18)</f>
        <v>665067.20000000007</v>
      </c>
    </row>
    <row r="21" spans="2:4" x14ac:dyDescent="0.3">
      <c r="B21" s="27" t="s">
        <v>10</v>
      </c>
      <c r="C21" s="27"/>
      <c r="D21" s="27"/>
    </row>
    <row r="22" spans="2:4" x14ac:dyDescent="0.3">
      <c r="B22" s="4" t="s">
        <v>1</v>
      </c>
      <c r="C22" s="4" t="s">
        <v>2</v>
      </c>
      <c r="D22" s="4" t="s">
        <v>3</v>
      </c>
    </row>
    <row r="23" spans="2:4" x14ac:dyDescent="0.3">
      <c r="B23" s="9" t="s">
        <v>4</v>
      </c>
      <c r="C23" s="6">
        <v>2729</v>
      </c>
      <c r="D23" s="25">
        <v>203671.54</v>
      </c>
    </row>
    <row r="24" spans="2:4" x14ac:dyDescent="0.3">
      <c r="B24" s="9" t="s">
        <v>5</v>
      </c>
      <c r="C24" s="6">
        <v>843</v>
      </c>
      <c r="D24" s="25">
        <v>20685.739999999998</v>
      </c>
    </row>
    <row r="25" spans="2:4" x14ac:dyDescent="0.3">
      <c r="B25" s="9" t="s">
        <v>6</v>
      </c>
      <c r="C25" s="6">
        <v>2359</v>
      </c>
      <c r="D25" s="25">
        <v>64663.01</v>
      </c>
    </row>
    <row r="26" spans="2:4" x14ac:dyDescent="0.3">
      <c r="B26" s="5" t="s">
        <v>12</v>
      </c>
      <c r="C26" s="7">
        <v>1</v>
      </c>
      <c r="D26" s="25">
        <v>89</v>
      </c>
    </row>
    <row r="27" spans="2:4" x14ac:dyDescent="0.3">
      <c r="B27" s="9" t="s">
        <v>7</v>
      </c>
      <c r="C27" s="6">
        <v>17393</v>
      </c>
      <c r="D27" s="25">
        <v>77337.56</v>
      </c>
    </row>
    <row r="28" spans="2:4" x14ac:dyDescent="0.3">
      <c r="B28" s="10" t="s">
        <v>8</v>
      </c>
      <c r="C28" s="8">
        <f>SUM(C23:C27)</f>
        <v>23325</v>
      </c>
      <c r="D28" s="4">
        <f>SUM(D23:D27)</f>
        <v>366446.85</v>
      </c>
    </row>
    <row r="30" spans="2:4" x14ac:dyDescent="0.3">
      <c r="B30" s="28" t="s">
        <v>9</v>
      </c>
      <c r="C30" s="28"/>
      <c r="D30" s="28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615</v>
      </c>
      <c r="D32" s="25">
        <v>103973.44</v>
      </c>
    </row>
    <row r="33" spans="2:4" x14ac:dyDescent="0.3">
      <c r="B33" s="9" t="s">
        <v>5</v>
      </c>
      <c r="C33" s="6">
        <v>1543</v>
      </c>
      <c r="D33" s="25">
        <v>106980.95</v>
      </c>
    </row>
    <row r="34" spans="2:4" x14ac:dyDescent="0.3">
      <c r="B34" s="9" t="s">
        <v>6</v>
      </c>
      <c r="C34" s="6">
        <v>819</v>
      </c>
      <c r="D34" s="25">
        <v>59182.5</v>
      </c>
    </row>
    <row r="35" spans="2:4" x14ac:dyDescent="0.3">
      <c r="B35" s="9" t="s">
        <v>7</v>
      </c>
      <c r="C35" s="6">
        <v>4323</v>
      </c>
      <c r="D35" s="25">
        <v>21127</v>
      </c>
    </row>
    <row r="36" spans="2:4" x14ac:dyDescent="0.3">
      <c r="B36" s="10" t="s">
        <v>8</v>
      </c>
      <c r="C36" s="8">
        <f>SUM(C32:C35)</f>
        <v>7300</v>
      </c>
      <c r="D36" s="4">
        <f>SUM(D32:D35)</f>
        <v>291263.89</v>
      </c>
    </row>
    <row r="38" spans="2:4" x14ac:dyDescent="0.3">
      <c r="B38" s="28" t="s">
        <v>31</v>
      </c>
      <c r="C38" s="28"/>
      <c r="D38" s="28"/>
    </row>
    <row r="39" spans="2:4" x14ac:dyDescent="0.3">
      <c r="B39" s="2" t="s">
        <v>1</v>
      </c>
      <c r="C39" s="2" t="s">
        <v>2</v>
      </c>
      <c r="D39" s="2" t="s">
        <v>3</v>
      </c>
    </row>
    <row r="40" spans="2:4" x14ac:dyDescent="0.3">
      <c r="B40" s="9" t="s">
        <v>4</v>
      </c>
      <c r="C40" s="6">
        <v>729</v>
      </c>
      <c r="D40" s="25">
        <v>46054.130000000005</v>
      </c>
    </row>
    <row r="41" spans="2:4" x14ac:dyDescent="0.3">
      <c r="B41" s="1" t="s">
        <v>5</v>
      </c>
      <c r="C41" s="6">
        <v>487</v>
      </c>
      <c r="D41" s="25">
        <v>7494.12</v>
      </c>
    </row>
    <row r="42" spans="2:4" x14ac:dyDescent="0.3">
      <c r="B42" s="1" t="s">
        <v>6</v>
      </c>
      <c r="C42" s="6">
        <v>734</v>
      </c>
      <c r="D42" s="25">
        <v>31733.7</v>
      </c>
    </row>
    <row r="43" spans="2:4" x14ac:dyDescent="0.3">
      <c r="B43" s="1" t="s">
        <v>7</v>
      </c>
      <c r="C43" s="6">
        <v>419</v>
      </c>
      <c r="D43" s="25">
        <v>2134</v>
      </c>
    </row>
    <row r="44" spans="2:4" x14ac:dyDescent="0.3">
      <c r="B44" s="3" t="s">
        <v>8</v>
      </c>
      <c r="C44" s="8">
        <f>SUM(C40:C43)</f>
        <v>2369</v>
      </c>
      <c r="D44" s="4">
        <f>SUM(D40:D43)</f>
        <v>87415.950000000012</v>
      </c>
    </row>
    <row r="46" spans="2:4" x14ac:dyDescent="0.3">
      <c r="B46" s="28" t="s">
        <v>30</v>
      </c>
      <c r="C46" s="28"/>
      <c r="D46" s="28"/>
    </row>
    <row r="47" spans="2:4" x14ac:dyDescent="0.3">
      <c r="B47" s="2" t="s">
        <v>1</v>
      </c>
      <c r="C47" s="2" t="s">
        <v>2</v>
      </c>
      <c r="D47" s="2" t="s">
        <v>3</v>
      </c>
    </row>
    <row r="48" spans="2:4" x14ac:dyDescent="0.3">
      <c r="B48" s="9" t="s">
        <v>4</v>
      </c>
      <c r="C48" s="6">
        <v>1078</v>
      </c>
      <c r="D48" s="25">
        <v>34935</v>
      </c>
    </row>
    <row r="49" spans="2:4" x14ac:dyDescent="0.3">
      <c r="B49" s="1" t="s">
        <v>5</v>
      </c>
      <c r="C49" s="6">
        <v>166</v>
      </c>
      <c r="D49" s="25">
        <v>600</v>
      </c>
    </row>
    <row r="50" spans="2:4" x14ac:dyDescent="0.3">
      <c r="B50" s="1" t="s">
        <v>6</v>
      </c>
      <c r="C50" s="6">
        <v>594</v>
      </c>
      <c r="D50" s="25">
        <v>15360</v>
      </c>
    </row>
    <row r="51" spans="2:4" x14ac:dyDescent="0.3">
      <c r="B51" s="1" t="s">
        <v>7</v>
      </c>
      <c r="C51" s="6">
        <v>2409</v>
      </c>
      <c r="D51" s="25">
        <v>13692.98</v>
      </c>
    </row>
    <row r="52" spans="2:4" x14ac:dyDescent="0.3">
      <c r="B52" s="3" t="s">
        <v>8</v>
      </c>
      <c r="C52" s="8">
        <f>SUM(C48:C51)</f>
        <v>4247</v>
      </c>
      <c r="D52" s="4">
        <f>SUM(D48:D51)</f>
        <v>64587.979999999996</v>
      </c>
    </row>
    <row r="54" spans="2:4" x14ac:dyDescent="0.3">
      <c r="B54" s="27" t="s">
        <v>11</v>
      </c>
      <c r="C54" s="27"/>
      <c r="D54" s="27"/>
    </row>
    <row r="55" spans="2:4" x14ac:dyDescent="0.3">
      <c r="B55" s="4" t="s">
        <v>1</v>
      </c>
      <c r="C55" s="4" t="s">
        <v>2</v>
      </c>
      <c r="D55" s="4" t="s">
        <v>3</v>
      </c>
    </row>
    <row r="56" spans="2:4" x14ac:dyDescent="0.3">
      <c r="B56" s="9" t="s">
        <v>4</v>
      </c>
      <c r="C56" s="6">
        <v>1745</v>
      </c>
      <c r="D56" s="25">
        <v>36725</v>
      </c>
    </row>
    <row r="57" spans="2:4" x14ac:dyDescent="0.3">
      <c r="B57" s="10" t="s">
        <v>8</v>
      </c>
      <c r="C57" s="8">
        <f>SUM(C56:C56)</f>
        <v>1745</v>
      </c>
      <c r="D57" s="4">
        <f>SUM(D56:D56)</f>
        <v>36725</v>
      </c>
    </row>
    <row r="59" spans="2:4" x14ac:dyDescent="0.3">
      <c r="B59" s="12" t="s">
        <v>13</v>
      </c>
      <c r="C59" s="13">
        <f>SUMIF(B:B, "Total general", C:C)</f>
        <v>95891</v>
      </c>
      <c r="D59" s="13">
        <f>SUMIF(B:B, "Total general", D:D)</f>
        <v>2784216.2400000007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35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33</v>
      </c>
      <c r="C6" s="16" t="s">
        <v>4</v>
      </c>
      <c r="D6" s="23">
        <f>SUMIF('REPORTE DIARIO'!B:B,'EPR 26 JUN'!C6, 'REPORTE DIARIO'!C:C)</f>
        <v>15510</v>
      </c>
      <c r="E6" s="16">
        <f>SUMIF('REPORTE DIARIO'!B:B,'EPR 26 JUN'!C6, 'REPORTE DIARIO'!D:D)</f>
        <v>1294701.0099999998</v>
      </c>
      <c r="F6" s="16">
        <f>J6*D6</f>
        <v>974914.28571428568</v>
      </c>
      <c r="G6" s="16">
        <f>+E6-F6</f>
        <v>319786.7242857141</v>
      </c>
      <c r="H6" s="15">
        <f>ABS(G6/F6)</f>
        <v>0.32801522038567477</v>
      </c>
      <c r="I6" s="16">
        <f>E6/D6</f>
        <v>83.47524242424241</v>
      </c>
      <c r="J6" s="16">
        <f>(220/7)*2</f>
        <v>62.857142857142854</v>
      </c>
      <c r="K6" s="16">
        <f>+I6-J6</f>
        <v>20.618099567099556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26 JUN'!C7, 'REPORTE DIARIO'!C:C)</f>
        <v>9442</v>
      </c>
      <c r="E7" s="16">
        <f>SUMIF('REPORTE DIARIO'!B:B,'EPR 26 JUN'!C7, 'REPORTE DIARIO'!D:D)</f>
        <v>544514.77</v>
      </c>
      <c r="F7" s="16">
        <f>J7*D7</f>
        <v>296748.57142857142</v>
      </c>
      <c r="G7" s="16">
        <f>+E7-F7</f>
        <v>247766.1985714286</v>
      </c>
      <c r="H7" s="15">
        <f>ABS(G7/F7)</f>
        <v>0.83493644932699174</v>
      </c>
      <c r="I7" s="16">
        <f>E7/D7</f>
        <v>57.669431264562597</v>
      </c>
      <c r="J7" s="16">
        <f>(110/7)*2</f>
        <v>31.428571428571427</v>
      </c>
      <c r="K7" s="16">
        <f t="shared" ref="K7:K9" si="0">+I7-J7</f>
        <v>26.24085983599117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26 JUN'!C8, 'REPORTE DIARIO'!C:C)</f>
        <v>15109</v>
      </c>
      <c r="E8" s="16">
        <f>SUMIF('REPORTE DIARIO'!B:B,'EPR 26 JUN'!C8, 'REPORTE DIARIO'!D:D)</f>
        <v>427452.9</v>
      </c>
      <c r="F8" s="16">
        <f>J8*D8</f>
        <v>194258.57142857145</v>
      </c>
      <c r="G8" s="16">
        <f>+E8-F8</f>
        <v>233194.32857142857</v>
      </c>
      <c r="H8" s="15">
        <f>ABS(G8/F8)</f>
        <v>1.2004326339709224</v>
      </c>
      <c r="I8" s="16">
        <f>E8/D8</f>
        <v>28.291276722483289</v>
      </c>
      <c r="J8" s="16">
        <f>(45/7)*2</f>
        <v>12.857142857142858</v>
      </c>
      <c r="K8" s="16">
        <f t="shared" si="0"/>
        <v>15.434133865340431</v>
      </c>
      <c r="L8" s="15"/>
    </row>
    <row r="9" spans="2:12" x14ac:dyDescent="0.3">
      <c r="B9" s="16" t="s">
        <v>34</v>
      </c>
      <c r="C9" s="16" t="s">
        <v>7</v>
      </c>
      <c r="D9" s="23">
        <f>SUMIF('REPORTE DIARIO'!B:B,'EPR 26 JUN'!C9, 'REPORTE DIARIO'!C:C)</f>
        <v>55818</v>
      </c>
      <c r="E9" s="16">
        <f>SUMIF('REPORTE DIARIO'!B:B,'EPR 26 JUN'!C9, 'REPORTE DIARIO'!D:D)</f>
        <v>516458.56</v>
      </c>
      <c r="F9" s="16">
        <f>J9*D9</f>
        <v>239220</v>
      </c>
      <c r="G9" s="16">
        <f>+E9-F9</f>
        <v>277238.56</v>
      </c>
      <c r="H9" s="15">
        <f>ABS(G9/F9)</f>
        <v>1.1589271800016721</v>
      </c>
      <c r="I9" s="16">
        <f>E9/D9</f>
        <v>9.252545057150023</v>
      </c>
      <c r="J9" s="16">
        <f>(15/7)*2</f>
        <v>4.2857142857142856</v>
      </c>
      <c r="K9" s="16">
        <f t="shared" si="0"/>
        <v>4.9668307714357374</v>
      </c>
    </row>
    <row r="10" spans="2:12" x14ac:dyDescent="0.3">
      <c r="B10" s="16"/>
      <c r="C10" s="19" t="s">
        <v>17</v>
      </c>
      <c r="D10" s="24">
        <f>SUM(D6:D9)</f>
        <v>95879</v>
      </c>
      <c r="E10" s="20">
        <f>SUM(E6:E9)</f>
        <v>2783127.2399999998</v>
      </c>
      <c r="F10" s="20">
        <f>SUM(F6:F9)</f>
        <v>1705141.4285714284</v>
      </c>
      <c r="G10" s="20">
        <f>+E10-F10</f>
        <v>1077985.8114285714</v>
      </c>
      <c r="H10" s="21">
        <f>ABS(G10/F10)</f>
        <v>0.63219730244412065</v>
      </c>
      <c r="I10" s="20">
        <f>E10/D10</f>
        <v>29.027495489106059</v>
      </c>
      <c r="J10" s="20">
        <f>F10/D10</f>
        <v>17.784305516029875</v>
      </c>
      <c r="K10" s="20">
        <f>I10-J10</f>
        <v>11.243189973076184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2025-06-23T16:20:39Z</cp:lastPrinted>
  <dcterms:created xsi:type="dcterms:W3CDTF">2025-01-27T15:11:28Z</dcterms:created>
  <dcterms:modified xsi:type="dcterms:W3CDTF">2025-07-12T16:15:24Z</dcterms:modified>
</cp:coreProperties>
</file>