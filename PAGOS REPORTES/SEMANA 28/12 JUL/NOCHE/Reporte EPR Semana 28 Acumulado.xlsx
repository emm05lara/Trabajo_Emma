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28\12 JUL\NOCHE\"/>
    </mc:Choice>
  </mc:AlternateContent>
  <xr:revisionPtr revIDLastSave="0" documentId="13_ncr:1_{6D623739-0620-4765-AC0B-C94AF192AD67}" xr6:coauthVersionLast="47" xr6:coauthVersionMax="47" xr10:uidLastSave="{00000000-0000-0000-0000-000000000000}"/>
  <bookViews>
    <workbookView xWindow="-96" yWindow="0" windowWidth="11712" windowHeight="12336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19" i="1" l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<sst xmlns="http://schemas.openxmlformats.org/spreadsheetml/2006/main" count="89" uniqueCount="37">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</sst>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8" zoomScaleNormal="100" workbookViewId="0">
      <selection activeCell="C57" sqref="C57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4446</v>
      </c>
      <c r="D5" s="25">
        <v>557763.81000000006</v>
      </c>
    </row>
    <row r="6" spans="2:8" x14ac:dyDescent="0.3">
      <c r="B6" s="1" t="s">
        <v>5</v>
      </c>
      <c r="C6" s="6">
        <v>3827</v>
      </c>
      <c r="D6" s="25">
        <v>459418.76</v>
      </c>
    </row>
    <row r="7" spans="2:8" x14ac:dyDescent="0.3">
      <c r="B7" s="1" t="s">
        <v>6</v>
      </c>
      <c r="C7" s="6">
        <v>6867</v>
      </c>
      <c r="D7" s="25">
        <v>244712.53</v>
      </c>
    </row>
    <row r="8" spans="2:8" x14ac:dyDescent="0.3">
      <c r="B8" s="5" t="s">
        <v>12</v>
      </c>
      <c r="C8" s="7">
        <v>11</v>
      </c>
      <c r="D8" s="25">
        <v>1000</v>
      </c>
    </row>
    <row r="9" spans="2:8" x14ac:dyDescent="0.3">
      <c r="B9" s="1" t="s">
        <v>7</v>
      </c>
      <c r="C9" s="6">
        <v>17189</v>
      </c>
      <c r="D9" s="25">
        <v>340874.11</v>
      </c>
      <c r="E9" s="14"/>
      <c r="F9" s="7"/>
    </row>
    <row r="10" spans="2:8" x14ac:dyDescent="0.3">
      <c r="B10" s="3" t="s">
        <v>8</v>
      </c>
      <c r="C10" s="8">
        <f>SUM(C5:C9)</f>
        <v>32340</v>
      </c>
      <c r="D10" s="4">
        <f>SUM(D5:D9)</f>
        <v>1603769.21</v>
      </c>
      <c r="E10" s="11" t="s">
        <v>14</v>
      </c>
    </row>
    <row r="12" spans="2:8" x14ac:dyDescent="0.3">
      <c r="B12" s="28" t="s">
        <v>36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4205</v>
      </c>
      <c r="D14" s="25">
        <v>515516.64</v>
      </c>
    </row>
    <row r="15" spans="2:8" x14ac:dyDescent="0.3">
      <c r="B15" s="1" t="s">
        <v>5</v>
      </c>
      <c r="C15" s="6">
        <v>2580</v>
      </c>
      <c r="D15" s="25">
        <v>102735.62</v>
      </c>
    </row>
    <row r="16" spans="2:8" x14ac:dyDescent="0.3">
      <c r="B16" s="1" t="s">
        <v>6</v>
      </c>
      <c r="C16" s="6">
        <v>3736</v>
      </c>
      <c r="D16" s="25">
        <v>78296</v>
      </c>
    </row>
    <row r="17" spans="2:4" x14ac:dyDescent="0.3">
      <c r="B17" s="5" t="s">
        <v>12</v>
      </c>
      <c r="C17" s="6">
        <v>0</v>
      </c>
      <c r="D17" s="26">
        <v>0</v>
      </c>
    </row>
    <row r="18" spans="2:4" x14ac:dyDescent="0.3">
      <c r="B18" s="1" t="s">
        <v>7</v>
      </c>
      <c r="C18" s="7">
        <v>14370</v>
      </c>
      <c r="D18" s="25">
        <v>133621.91</v>
      </c>
    </row>
    <row r="19" spans="2:4" x14ac:dyDescent="0.3">
      <c r="B19" s="3" t="s">
        <v>8</v>
      </c>
      <c r="C19" s="8">
        <f>SUM(C14:C18)</f>
        <v>24891</v>
      </c>
      <c r="D19" s="4">
        <f>SUM(D14:D18)</f>
        <v>830170.17</v>
      </c>
    </row>
    <row r="21" spans="2:4" x14ac:dyDescent="0.3">
      <c r="B21" s="27" t="s">
        <v>10</v>
      </c>
      <c r="C21" s="27"/>
      <c r="D21" s="27"/>
    </row>
    <row r="22" spans="2:4" x14ac:dyDescent="0.3">
      <c r="B22" s="4" t="s">
        <v>1</v>
      </c>
      <c r="C22" s="4" t="s">
        <v>2</v>
      </c>
      <c r="D22" s="4" t="s">
        <v>3</v>
      </c>
    </row>
    <row r="23" spans="2:4" x14ac:dyDescent="0.3">
      <c r="B23" s="9" t="s">
        <v>4</v>
      </c>
      <c r="C23" s="6">
        <v>2746</v>
      </c>
      <c r="D23" s="25">
        <v>223802.06999999998</v>
      </c>
    </row>
    <row r="24" spans="2:4" x14ac:dyDescent="0.3">
      <c r="B24" s="9" t="s">
        <v>5</v>
      </c>
      <c r="C24" s="6">
        <v>843</v>
      </c>
      <c r="D24" s="25">
        <v>23206.739999999998</v>
      </c>
    </row>
    <row r="25" spans="2:4" x14ac:dyDescent="0.3">
      <c r="B25" s="9" t="s">
        <v>6</v>
      </c>
      <c r="C25" s="6">
        <v>2360</v>
      </c>
      <c r="D25" s="25">
        <v>68095.010000000009</v>
      </c>
    </row>
    <row r="26" spans="2:4" x14ac:dyDescent="0.3">
      <c r="B26" s="5" t="s">
        <v>12</v>
      </c>
      <c r="C26" s="7">
        <v>1</v>
      </c>
      <c r="D26" s="25">
        <v>89</v>
      </c>
    </row>
    <row r="27" spans="2:4" x14ac:dyDescent="0.3">
      <c r="B27" s="9" t="s">
        <v>7</v>
      </c>
      <c r="C27" s="6">
        <v>17422</v>
      </c>
      <c r="D27" s="25">
        <v>87947.56</v>
      </c>
    </row>
    <row r="28" spans="2:4" x14ac:dyDescent="0.3">
      <c r="B28" s="10" t="s">
        <v>8</v>
      </c>
      <c r="C28" s="8">
        <f>SUM(C23:C27)</f>
        <v>23372</v>
      </c>
      <c r="D28" s="4">
        <f>SUM(D23:D27)</f>
        <v>403140.37999999995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631</v>
      </c>
      <c r="D32" s="25">
        <v>132780.4</v>
      </c>
    </row>
    <row r="33" spans="2:4" x14ac:dyDescent="0.3">
      <c r="B33" s="9" t="s">
        <v>5</v>
      </c>
      <c r="C33" s="6">
        <v>1543</v>
      </c>
      <c r="D33" s="25">
        <v>139908.30000000002</v>
      </c>
    </row>
    <row r="34" spans="2:4" x14ac:dyDescent="0.3">
      <c r="B34" s="9" t="s">
        <v>6</v>
      </c>
      <c r="C34" s="6">
        <v>819</v>
      </c>
      <c r="D34" s="25">
        <v>61937.5</v>
      </c>
    </row>
    <row r="35" spans="2:4" x14ac:dyDescent="0.3">
      <c r="B35" s="9" t="s">
        <v>7</v>
      </c>
      <c r="C35" s="6">
        <v>4323</v>
      </c>
      <c r="D35" s="25">
        <v>21284</v>
      </c>
    </row>
    <row r="36" spans="2:4" x14ac:dyDescent="0.3">
      <c r="B36" s="10" t="s">
        <v>8</v>
      </c>
      <c r="C36" s="8">
        <f>SUM(C32:C35)</f>
        <v>7316</v>
      </c>
      <c r="D36" s="4">
        <f>SUM(D32:D35)</f>
        <v>355910.2</v>
      </c>
    </row>
    <row r="38" spans="2:4" x14ac:dyDescent="0.3">
      <c r="B38" s="28" t="s">
        <v>31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729</v>
      </c>
      <c r="D40" s="25">
        <v>86729.13</v>
      </c>
    </row>
    <row r="41" spans="2:4" x14ac:dyDescent="0.3">
      <c r="B41" s="1" t="s">
        <v>5</v>
      </c>
      <c r="C41" s="6">
        <v>491</v>
      </c>
      <c r="D41" s="25">
        <v>9794.119999999999</v>
      </c>
    </row>
    <row r="42" spans="2:4" x14ac:dyDescent="0.3">
      <c r="B42" s="1" t="s">
        <v>6</v>
      </c>
      <c r="C42" s="6">
        <v>737</v>
      </c>
      <c r="D42" s="25">
        <v>38233.699999999997</v>
      </c>
    </row>
    <row r="43" spans="2:4" x14ac:dyDescent="0.3">
      <c r="B43" s="1" t="s">
        <v>7</v>
      </c>
      <c r="C43" s="6">
        <v>419</v>
      </c>
      <c r="D43" s="25">
        <v>62855</v>
      </c>
    </row>
    <row r="44" spans="2:4" x14ac:dyDescent="0.3">
      <c r="B44" s="3" t="s">
        <v>8</v>
      </c>
      <c r="C44" s="8">
        <f>SUM(C40:C43)</f>
        <v>2376</v>
      </c>
      <c r="D44" s="4">
        <f>SUM(D40:D43)</f>
        <v>197611.95</v>
      </c>
    </row>
    <row r="46" spans="2:4" x14ac:dyDescent="0.3">
      <c r="B46" s="28" t="s">
        <v>30</v>
      </c>
      <c r="C46" s="28"/>
      <c r="D46" s="28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1078</v>
      </c>
      <c r="D48" s="25">
        <v>47469</v>
      </c>
    </row>
    <row r="49" spans="2:4" x14ac:dyDescent="0.3">
      <c r="B49" s="1" t="s">
        <v>5</v>
      </c>
      <c r="C49" s="6">
        <v>166</v>
      </c>
      <c r="D49" s="25">
        <v>1900</v>
      </c>
    </row>
    <row r="50" spans="2:4" x14ac:dyDescent="0.3">
      <c r="B50" s="1" t="s">
        <v>6</v>
      </c>
      <c r="C50" s="6">
        <v>594</v>
      </c>
      <c r="D50" s="25">
        <v>17007</v>
      </c>
    </row>
    <row r="51" spans="2:4" x14ac:dyDescent="0.3">
      <c r="B51" s="1" t="s">
        <v>7</v>
      </c>
      <c r="C51" s="6">
        <v>2409</v>
      </c>
      <c r="D51" s="25">
        <v>14592.98</v>
      </c>
    </row>
    <row r="52" spans="2:4" x14ac:dyDescent="0.3">
      <c r="B52" s="3" t="s">
        <v>8</v>
      </c>
      <c r="C52" s="8">
        <f>SUM(C48:C51)</f>
        <v>4247</v>
      </c>
      <c r="D52" s="4">
        <f>SUM(D48:D51)</f>
        <v>80968.98</v>
      </c>
    </row>
    <row r="54" spans="2:4" x14ac:dyDescent="0.3">
      <c r="B54" s="27" t="s">
        <v>11</v>
      </c>
      <c r="C54" s="27"/>
      <c r="D54" s="27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1745</v>
      </c>
      <c r="D56" s="25">
        <v>50037</v>
      </c>
    </row>
    <row r="57" spans="2:4" x14ac:dyDescent="0.3">
      <c r="B57" s="10" t="s">
        <v>8</v>
      </c>
      <c r="C57" s="8">
        <f>SUM(C56:C56)</f>
        <v>1745</v>
      </c>
      <c r="D57" s="4">
        <f>SUM(D56:D56)</f>
        <v>50037</v>
      </c>
    </row>
    <row r="59" spans="2:4" x14ac:dyDescent="0.3">
      <c r="B59" s="12" t="s">
        <v>13</v>
      </c>
      <c r="C59" s="13">
        <f>SUMIF(B:B, "Total general", C:C)</f>
        <v>96287</v>
      </c>
      <c r="D59" s="13">
        <f>SUMIF(B:B, "Total general", D:D)</f>
        <v>3521607.89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15580</v>
      </c>
      <c r="E6" s="16">
        <f>SUMIF('REPORTE DIARIO'!B:B,'EPR 26 JUN'!C6, 'REPORTE DIARIO'!D:D)</f>
        <v>1614098.0500000003</v>
      </c>
      <c r="F6" s="16">
        <f>J6*D6</f>
        <v>979314.28571428568</v>
      </c>
      <c r="G6" s="16">
        <f>+E6-F6</f>
        <v>634783.7642857146</v>
      </c>
      <c r="H6" s="15">
        <f>ABS(G6/F6)</f>
        <v>0.6481920804644653</v>
      </c>
      <c r="I6" s="16">
        <f>E6/D6</f>
        <v>103.60064505776639</v>
      </c>
      <c r="J6" s="16">
        <f>(220/7)*2</f>
        <v>62.857142857142854</v>
      </c>
      <c r="K6" s="16">
        <f>+I6-J6</f>
        <v>40.743502200623531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9450</v>
      </c>
      <c r="E7" s="16">
        <f>SUMIF('REPORTE DIARIO'!B:B,'EPR 26 JUN'!C7, 'REPORTE DIARIO'!D:D)</f>
        <v>736963.54</v>
      </c>
      <c r="F7" s="16">
        <f>J7*D7</f>
        <v>297000</v>
      </c>
      <c r="G7" s="16">
        <f>+E7-F7</f>
        <v>439963.54000000004</v>
      </c>
      <c r="H7" s="15">
        <f>ABS(G7/F7)</f>
        <v>1.4813587205387206</v>
      </c>
      <c r="I7" s="16">
        <f>E7/D7</f>
        <v>77.985559788359794</v>
      </c>
      <c r="J7" s="16">
        <f>(110/7)*2</f>
        <v>31.428571428571427</v>
      </c>
      <c r="K7" s="16">
        <f t="shared" ref="K7:K9" si="0">+I7-J7</f>
        <v>46.556988359788363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15113</v>
      </c>
      <c r="E8" s="16">
        <f>SUMIF('REPORTE DIARIO'!B:B,'EPR 26 JUN'!C8, 'REPORTE DIARIO'!D:D)</f>
        <v>508281.74000000005</v>
      </c>
      <c r="F8" s="16">
        <f>J8*D8</f>
        <v>194310</v>
      </c>
      <c r="G8" s="16">
        <f>+E8-F8</f>
        <v>313971.74000000005</v>
      </c>
      <c r="H8" s="15">
        <f>ABS(G8/F8)</f>
        <v>1.615829036076373</v>
      </c>
      <c r="I8" s="16">
        <f>E8/D8</f>
        <v>33.632087606696224</v>
      </c>
      <c r="J8" s="16">
        <f>(45/7)*2</f>
        <v>12.857142857142858</v>
      </c>
      <c r="K8" s="16">
        <f t="shared" si="0"/>
        <v>20.774944749553367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56132</v>
      </c>
      <c r="E9" s="16">
        <f>SUMIF('REPORTE DIARIO'!B:B,'EPR 26 JUN'!C9, 'REPORTE DIARIO'!D:D)</f>
        <v>661175.56000000006</v>
      </c>
      <c r="F9" s="16">
        <f>J9*D9</f>
        <v>240565.71428571429</v>
      </c>
      <c r="G9" s="16">
        <f>+E9-F9</f>
        <v>420609.84571428574</v>
      </c>
      <c r="H9" s="15">
        <f>ABS(G9/F9)</f>
        <v>1.7484197486876174</v>
      </c>
      <c r="I9" s="16">
        <f>E9/D9</f>
        <v>11.77894178008979</v>
      </c>
      <c r="J9" s="16">
        <f>(15/7)*2</f>
        <v>4.2857142857142856</v>
      </c>
      <c r="K9" s="16">
        <f t="shared" si="0"/>
        <v>7.4932274943755042</v>
      </c>
    </row>
    <row r="10" spans="2:12" x14ac:dyDescent="0.3">
      <c r="B10" s="16"/>
      <c r="C10" s="19" t="s">
        <v>17</v>
      </c>
      <c r="D10" s="24">
        <f>SUM(D6:D9)</f>
        <v>96275</v>
      </c>
      <c r="E10" s="20">
        <f>SUM(E6:E9)</f>
        <v>3520518.8900000006</v>
      </c>
      <c r="F10" s="20">
        <f>SUM(F6:F9)</f>
        <v>1711190</v>
      </c>
      <c r="G10" s="20">
        <f>+E10-F10</f>
        <v>1809328.8900000006</v>
      </c>
      <c r="H10" s="21">
        <f>ABS(G10/F10)</f>
        <v>1.0573512526370541</v>
      </c>
      <c r="I10" s="20">
        <f>E10/D10</f>
        <v>36.567321630745269</v>
      </c>
      <c r="J10" s="20">
        <f>F10/D10</f>
        <v>17.773980784211894</v>
      </c>
      <c r="K10" s="20">
        <f>I10-J10</f>
        <v>18.793340846533376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2025-06-23T16:20:39Z</cp:lastPrinted>
  <dcterms:created xsi:type="dcterms:W3CDTF">2025-01-27T15:11:28Z</dcterms:created>
  <dcterms:modified xsi:type="dcterms:W3CDTF">2025-07-13T01:56:04Z</dcterms:modified>
</cp:coreProperties>
</file>