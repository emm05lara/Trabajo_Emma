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8\MAÑANA\"/>
    </mc:Choice>
  </mc:AlternateContent>
  <xr:revisionPtr revIDLastSave="0" documentId="8_{C255395C-BA8A-4D0E-8245-9178FC634B9F}" xr6:coauthVersionLast="47" xr6:coauthVersionMax="47" xr10:uidLastSave="{00000000-0000-0000-0000-000000000000}"/>
  <bookViews>
    <workbookView xWindow="11280" yWindow="1035" windowWidth="19860" windowHeight="19530" xr2:uid="{4DC6C92A-CD8A-4966-829B-0B6A986E825B}"/>
  </bookViews>
  <sheets>
    <sheet name="REPORTE DIARIO" sheetId="1" r:id="rId1"/>
    <sheet name="DATA" sheetId="4" r:id="rId2"/>
    <sheet name="EPR 26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57" i="1"/>
  <c r="C19" i="1" l="1"/>
  <c r="D19" i="1"/>
  <c r="D28" i="1"/>
  <c r="C28" i="1"/>
  <c r="D6" i="3"/>
  <c r="D44" i="1"/>
  <c r="C44" i="1"/>
  <c r="D57" i="1"/>
  <c r="D49" i="1" l="1"/>
  <c r="C49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<sst xmlns="http://schemas.openxmlformats.org/spreadsheetml/2006/main" count="89" uniqueCount="37">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</sst>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abSelected="1" topLeftCell="A5" zoomScaleNormal="100" workbookViewId="0">
      <selection activeCell="B3" sqref="B3:D59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4212</v>
      </c>
      <c r="D5" s="25">
        <v>893076.37</v>
      </c>
    </row>
    <row r="6" spans="2:8" x14ac:dyDescent="0.25">
      <c r="B6" s="1" t="s">
        <v>5</v>
      </c>
      <c r="C6" s="6">
        <v>3688</v>
      </c>
      <c r="D6" s="25">
        <v>377195.94</v>
      </c>
    </row>
    <row r="7" spans="2:8" x14ac:dyDescent="0.25">
      <c r="B7" s="1" t="s">
        <v>6</v>
      </c>
      <c r="C7" s="6">
        <v>6921</v>
      </c>
      <c r="D7" s="25">
        <v>494674.44</v>
      </c>
    </row>
    <row r="8" spans="2:8" x14ac:dyDescent="0.25">
      <c r="B8" s="5" t="s">
        <v>12</v>
      </c>
      <c r="C8" s="7">
        <v>1977</v>
      </c>
      <c r="D8" s="25">
        <v>1675</v>
      </c>
    </row>
    <row r="9" spans="2:8" x14ac:dyDescent="0.25">
      <c r="B9" s="1" t="s">
        <v>7</v>
      </c>
      <c r="C9" s="6">
        <v>16125</v>
      </c>
      <c r="D9" s="25">
        <v>558877.99</v>
      </c>
      <c r="E9" s="14"/>
      <c r="F9" s="7"/>
    </row>
    <row r="10" spans="2:8" x14ac:dyDescent="0.25">
      <c r="B10" s="3" t="s">
        <v>8</v>
      </c>
      <c r="C10" s="8">
        <f>SUM(C5:C9)</f>
        <v>32923</v>
      </c>
      <c r="D10" s="4">
        <f>SUM(D5:D9)</f>
        <v>2325499.7400000002</v>
      </c>
      <c r="E10" s="11" t="s">
        <v>14</v>
      </c>
    </row>
    <row r="12" spans="2:8" x14ac:dyDescent="0.25">
      <c r="B12" s="28" t="s">
        <v>30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4338</v>
      </c>
      <c r="D14" s="25">
        <v>336234.46</v>
      </c>
    </row>
    <row r="15" spans="2:8" x14ac:dyDescent="0.25">
      <c r="B15" s="1" t="s">
        <v>5</v>
      </c>
      <c r="C15" s="6">
        <v>2619</v>
      </c>
      <c r="D15" s="25">
        <v>69404.850000000006</v>
      </c>
    </row>
    <row r="16" spans="2:8" x14ac:dyDescent="0.25">
      <c r="B16" s="1" t="s">
        <v>6</v>
      </c>
      <c r="C16" s="6">
        <v>3769</v>
      </c>
      <c r="D16" s="25">
        <v>185449.22999999998</v>
      </c>
    </row>
    <row r="17" spans="2:4" x14ac:dyDescent="0.25">
      <c r="B17" s="5" t="s">
        <v>12</v>
      </c>
      <c r="C17" s="6">
        <v>0</v>
      </c>
      <c r="D17" s="26">
        <v>0</v>
      </c>
    </row>
    <row r="18" spans="2:4" x14ac:dyDescent="0.25">
      <c r="B18" s="1" t="s">
        <v>7</v>
      </c>
      <c r="C18" s="7">
        <v>14375</v>
      </c>
      <c r="D18" s="25">
        <v>172234.58</v>
      </c>
    </row>
    <row r="19" spans="2:4" x14ac:dyDescent="0.25">
      <c r="B19" s="3" t="s">
        <v>8</v>
      </c>
      <c r="C19" s="8">
        <f>SUM(C14:C18)</f>
        <v>25101</v>
      </c>
      <c r="D19" s="4">
        <f>SUM(D14:D18)</f>
        <v>763323.12</v>
      </c>
    </row>
    <row r="21" spans="2:4" x14ac:dyDescent="0.25">
      <c r="B21" s="27" t="s">
        <v>10</v>
      </c>
      <c r="C21" s="27"/>
      <c r="D21" s="27"/>
    </row>
    <row r="22" spans="2:4" x14ac:dyDescent="0.25">
      <c r="B22" s="4" t="s">
        <v>1</v>
      </c>
      <c r="C22" s="4" t="s">
        <v>2</v>
      </c>
      <c r="D22" s="4" t="s">
        <v>3</v>
      </c>
    </row>
    <row r="23" spans="2:4" x14ac:dyDescent="0.25">
      <c r="B23" s="9" t="s">
        <v>4</v>
      </c>
      <c r="C23" s="6">
        <v>2585</v>
      </c>
      <c r="D23" s="25">
        <v>448427.38</v>
      </c>
    </row>
    <row r="24" spans="2:4" x14ac:dyDescent="0.25">
      <c r="B24" s="9" t="s">
        <v>5</v>
      </c>
      <c r="C24" s="6">
        <v>850</v>
      </c>
      <c r="D24" s="25">
        <v>74463.69</v>
      </c>
    </row>
    <row r="25" spans="2:4" x14ac:dyDescent="0.25">
      <c r="B25" s="9" t="s">
        <v>6</v>
      </c>
      <c r="C25" s="6">
        <v>2358</v>
      </c>
      <c r="D25" s="25">
        <v>78460.45</v>
      </c>
    </row>
    <row r="26" spans="2:4" x14ac:dyDescent="0.25">
      <c r="B26" s="5" t="s">
        <v>12</v>
      </c>
      <c r="C26" s="7">
        <v>1</v>
      </c>
      <c r="D26" s="26">
        <v>0</v>
      </c>
    </row>
    <row r="27" spans="2:4" x14ac:dyDescent="0.25">
      <c r="B27" s="9" t="s">
        <v>7</v>
      </c>
      <c r="C27" s="6">
        <v>17278</v>
      </c>
      <c r="D27" s="25">
        <v>122628.03000000001</v>
      </c>
    </row>
    <row r="28" spans="2:4" x14ac:dyDescent="0.25">
      <c r="B28" s="10" t="s">
        <v>8</v>
      </c>
      <c r="C28" s="8">
        <f>SUM(C23:C27)</f>
        <v>23072</v>
      </c>
      <c r="D28" s="4">
        <f>SUM(D23:D27)</f>
        <v>723979.55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471</v>
      </c>
      <c r="D32" s="25">
        <v>145504.80000000002</v>
      </c>
    </row>
    <row r="33" spans="2:4" x14ac:dyDescent="0.25">
      <c r="B33" s="9" t="s">
        <v>5</v>
      </c>
      <c r="C33" s="6">
        <v>1549</v>
      </c>
      <c r="D33" s="25">
        <v>202852.40999999997</v>
      </c>
    </row>
    <row r="34" spans="2:4" x14ac:dyDescent="0.25">
      <c r="B34" s="9" t="s">
        <v>6</v>
      </c>
      <c r="C34" s="6">
        <v>816</v>
      </c>
      <c r="D34" s="25">
        <v>50173.75</v>
      </c>
    </row>
    <row r="35" spans="2:4" x14ac:dyDescent="0.25">
      <c r="B35" s="9" t="s">
        <v>7</v>
      </c>
      <c r="C35" s="6">
        <v>4323</v>
      </c>
      <c r="D35" s="25">
        <v>24615</v>
      </c>
    </row>
    <row r="36" spans="2:4" x14ac:dyDescent="0.25">
      <c r="B36" s="10" t="s">
        <v>8</v>
      </c>
      <c r="C36" s="8">
        <f>SUM(C32:C35)</f>
        <v>7159</v>
      </c>
      <c r="D36" s="4">
        <f>SUM(D32:D35)</f>
        <v>423145.95999999996</v>
      </c>
    </row>
    <row r="38" spans="2:4" x14ac:dyDescent="0.25">
      <c r="B38" s="28" t="s">
        <v>32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673</v>
      </c>
      <c r="D40" s="25">
        <v>132778.63999999998</v>
      </c>
    </row>
    <row r="41" spans="2:4" x14ac:dyDescent="0.25">
      <c r="B41" s="1" t="s">
        <v>5</v>
      </c>
      <c r="C41" s="6">
        <v>311</v>
      </c>
      <c r="D41" s="25">
        <v>7957</v>
      </c>
    </row>
    <row r="42" spans="2:4" x14ac:dyDescent="0.25">
      <c r="B42" s="1" t="s">
        <v>6</v>
      </c>
      <c r="C42" s="6">
        <v>425</v>
      </c>
      <c r="D42" s="25">
        <v>19583</v>
      </c>
    </row>
    <row r="43" spans="2:4" x14ac:dyDescent="0.25">
      <c r="B43" s="1" t="s">
        <v>7</v>
      </c>
      <c r="C43" s="6">
        <v>419</v>
      </c>
      <c r="D43" s="25">
        <v>37354</v>
      </c>
    </row>
    <row r="44" spans="2:4" x14ac:dyDescent="0.25">
      <c r="B44" s="3" t="s">
        <v>8</v>
      </c>
      <c r="C44" s="8">
        <f>SUM(C40:C43)</f>
        <v>1828</v>
      </c>
      <c r="D44" s="4">
        <f>SUM(D40:D43)</f>
        <v>197672.63999999998</v>
      </c>
    </row>
    <row r="46" spans="2:4" x14ac:dyDescent="0.25">
      <c r="B46" s="27" t="s">
        <v>11</v>
      </c>
      <c r="C46" s="27"/>
      <c r="D46" s="27"/>
    </row>
    <row r="47" spans="2:4" x14ac:dyDescent="0.25">
      <c r="B47" s="4" t="s">
        <v>1</v>
      </c>
      <c r="C47" s="4" t="s">
        <v>2</v>
      </c>
      <c r="D47" s="4" t="s">
        <v>3</v>
      </c>
    </row>
    <row r="48" spans="2:4" x14ac:dyDescent="0.25">
      <c r="B48" s="9" t="s">
        <v>4</v>
      </c>
      <c r="C48" s="6">
        <v>1889</v>
      </c>
      <c r="D48" s="25">
        <v>123981.29999999999</v>
      </c>
    </row>
    <row r="49" spans="2:4" x14ac:dyDescent="0.25">
      <c r="B49" s="10" t="s">
        <v>8</v>
      </c>
      <c r="C49" s="8">
        <f>SUM(C48:C48)</f>
        <v>1889</v>
      </c>
      <c r="D49" s="4">
        <f>SUM(D48:D48)</f>
        <v>123981.29999999999</v>
      </c>
    </row>
    <row r="51" spans="2:4" x14ac:dyDescent="0.25">
      <c r="B51" s="28" t="s">
        <v>31</v>
      </c>
      <c r="C51" s="28"/>
      <c r="D51" s="28"/>
    </row>
    <row r="52" spans="2:4" x14ac:dyDescent="0.25">
      <c r="B52" s="2" t="s">
        <v>1</v>
      </c>
      <c r="C52" s="2" t="s">
        <v>2</v>
      </c>
      <c r="D52" s="2" t="s">
        <v>3</v>
      </c>
    </row>
    <row r="53" spans="2:4" x14ac:dyDescent="0.25">
      <c r="B53" s="9" t="s">
        <v>4</v>
      </c>
      <c r="C53" s="6">
        <v>970</v>
      </c>
      <c r="D53" s="25">
        <v>78356.06</v>
      </c>
    </row>
    <row r="54" spans="2:4" x14ac:dyDescent="0.25">
      <c r="B54" s="1" t="s">
        <v>5</v>
      </c>
      <c r="C54" s="6">
        <v>176</v>
      </c>
      <c r="D54" s="25">
        <v>2863</v>
      </c>
    </row>
    <row r="55" spans="2:4" x14ac:dyDescent="0.25">
      <c r="B55" s="1" t="s">
        <v>6</v>
      </c>
      <c r="C55" s="6">
        <v>600</v>
      </c>
      <c r="D55" s="25">
        <v>7089</v>
      </c>
    </row>
    <row r="56" spans="2:4" x14ac:dyDescent="0.25">
      <c r="B56" s="1" t="s">
        <v>7</v>
      </c>
      <c r="C56" s="6">
        <v>2409</v>
      </c>
      <c r="D56" s="25">
        <v>12365</v>
      </c>
    </row>
    <row r="57" spans="2:4" x14ac:dyDescent="0.25">
      <c r="B57" s="3" t="s">
        <v>8</v>
      </c>
      <c r="C57" s="8">
        <f>SUM(C53:C56)</f>
        <v>4155</v>
      </c>
      <c r="D57" s="4">
        <f>SUM(D53:D56)</f>
        <v>100673.06</v>
      </c>
    </row>
    <row r="59" spans="2:4" x14ac:dyDescent="0.25">
      <c r="B59" s="12" t="s">
        <v>13</v>
      </c>
      <c r="C59" s="13">
        <f>SUM(C10+C28+C36+C49+C19+C57+C44)</f>
        <v>96127</v>
      </c>
      <c r="D59" s="13">
        <f>SUM(D10+D28+D36+D49+D19+D57+D44)</f>
        <v>4658275.3699999992</v>
      </c>
    </row>
  </sheetData>
  <mergeCells count="7">
    <mergeCell ref="B46:D46"/>
    <mergeCell ref="B38:D38"/>
    <mergeCell ref="B12:D12"/>
    <mergeCell ref="B51:D51"/>
    <mergeCell ref="B3:D3"/>
    <mergeCell ref="B21:D21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34</v>
      </c>
      <c r="C6" s="16" t="s">
        <v>4</v>
      </c>
      <c r="D6" s="23">
        <f>SUMIF('REPORTE DIARIO'!B:B,'EPR 26 JUN'!C6, 'REPORTE DIARIO'!C:C)</f>
        <v>15138</v>
      </c>
      <c r="E6" s="16">
        <f>SUMIF('REPORTE DIARIO'!B:B,'EPR 26 JUN'!C6, 'REPORTE DIARIO'!D:D)</f>
        <v>2158359.0099999998</v>
      </c>
      <c r="F6" s="16">
        <f>J6*D6</f>
        <v>951531.42857142852</v>
      </c>
      <c r="G6" s="16">
        <f>+E6-F6</f>
        <v>1206827.5814285711</v>
      </c>
      <c r="H6" s="15">
        <f>ABS(G6/F6)</f>
        <v>1.2683002843536433</v>
      </c>
      <c r="I6" s="16">
        <f>E6/D6</f>
        <v>142.57887501651473</v>
      </c>
      <c r="J6" s="16">
        <f>(220/7)*2</f>
        <v>62.857142857142854</v>
      </c>
      <c r="K6" s="16">
        <f>+I6-J6</f>
        <v>79.721732159371868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26 JUN'!C7, 'REPORTE DIARIO'!C:C)</f>
        <v>9193</v>
      </c>
      <c r="E7" s="16">
        <f>SUMIF('REPORTE DIARIO'!B:B,'EPR 26 JUN'!C7, 'REPORTE DIARIO'!D:D)</f>
        <v>734736.89</v>
      </c>
      <c r="F7" s="16">
        <f>J7*D7</f>
        <v>288922.8571428571</v>
      </c>
      <c r="G7" s="16">
        <f>+E7-F7</f>
        <v>445814.03285714291</v>
      </c>
      <c r="H7" s="15">
        <f>ABS(G7/F7)</f>
        <v>1.5430209892902707</v>
      </c>
      <c r="I7" s="16">
        <f>E7/D7</f>
        <v>79.923516806265638</v>
      </c>
      <c r="J7" s="16">
        <f>(110/7)*2</f>
        <v>31.428571428571427</v>
      </c>
      <c r="K7" s="16">
        <f t="shared" ref="K7:K9" si="0">+I7-J7</f>
        <v>48.494945377694208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26 JUN'!C8, 'REPORTE DIARIO'!C:C)</f>
        <v>14889</v>
      </c>
      <c r="E8" s="16">
        <f>SUMIF('REPORTE DIARIO'!B:B,'EPR 26 JUN'!C8, 'REPORTE DIARIO'!D:D)</f>
        <v>835429.86999999988</v>
      </c>
      <c r="F8" s="16">
        <f>J8*D8</f>
        <v>191430</v>
      </c>
      <c r="G8" s="16">
        <f>+E8-F8</f>
        <v>643999.86999999988</v>
      </c>
      <c r="H8" s="15">
        <f>ABS(G8/F8)</f>
        <v>3.3641533197513445</v>
      </c>
      <c r="I8" s="16">
        <f>E8/D8</f>
        <v>56.110542682517284</v>
      </c>
      <c r="J8" s="16">
        <f>(45/7)*2</f>
        <v>12.857142857142858</v>
      </c>
      <c r="K8" s="16">
        <f t="shared" si="0"/>
        <v>43.25339982537443</v>
      </c>
      <c r="L8" s="15"/>
    </row>
    <row r="9" spans="2:12" x14ac:dyDescent="0.25">
      <c r="B9" s="16" t="s">
        <v>35</v>
      </c>
      <c r="C9" s="16" t="s">
        <v>7</v>
      </c>
      <c r="D9" s="23">
        <f>SUMIF('REPORTE DIARIO'!B:B,'EPR 26 JUN'!C9, 'REPORTE DIARIO'!C:C)</f>
        <v>54929</v>
      </c>
      <c r="E9" s="16">
        <f>SUMIF('REPORTE DIARIO'!B:B,'EPR 26 JUN'!C9, 'REPORTE DIARIO'!D:D)</f>
        <v>928074.6</v>
      </c>
      <c r="F9" s="16">
        <f>J9*D9</f>
        <v>235410</v>
      </c>
      <c r="G9" s="16">
        <f>+E9-F9</f>
        <v>692664.6</v>
      </c>
      <c r="H9" s="15">
        <f>ABS(G9/F9)</f>
        <v>2.9423754301006753</v>
      </c>
      <c r="I9" s="16">
        <f>E9/D9</f>
        <v>16.895894700431466</v>
      </c>
      <c r="J9" s="16">
        <f>(15/7)*2</f>
        <v>4.2857142857142856</v>
      </c>
      <c r="K9" s="16">
        <f t="shared" si="0"/>
        <v>12.610180414717181</v>
      </c>
    </row>
    <row r="10" spans="2:12" x14ac:dyDescent="0.25">
      <c r="B10" s="16"/>
      <c r="C10" s="19" t="s">
        <v>17</v>
      </c>
      <c r="D10" s="24">
        <f>SUM(D6:D9)</f>
        <v>94149</v>
      </c>
      <c r="E10" s="20">
        <f>SUM(E6:E9)</f>
        <v>4656600.3699999992</v>
      </c>
      <c r="F10" s="20">
        <f>SUM(F6:F9)</f>
        <v>1667294.2857142857</v>
      </c>
      <c r="G10" s="20">
        <f>+E10-F10</f>
        <v>2989306.0842857137</v>
      </c>
      <c r="H10" s="21">
        <f>ABS(G10/F10)</f>
        <v>1.7929084924591252</v>
      </c>
      <c r="I10" s="20">
        <f>E10/D10</f>
        <v>49.459902601195971</v>
      </c>
      <c r="J10" s="20">
        <f>F10/D10</f>
        <v>17.70910244096364</v>
      </c>
      <c r="K10" s="20">
        <f>I10-J10</f>
        <v>31.75080016023233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2025-06-23T16:20:39Z</cp:lastPrinted>
  <dcterms:created xsi:type="dcterms:W3CDTF">2025-01-27T15:11:28Z</dcterms:created>
  <dcterms:modified xsi:type="dcterms:W3CDTF">2025-07-07T15:46:15Z</dcterms:modified>
</cp:coreProperties>
</file>