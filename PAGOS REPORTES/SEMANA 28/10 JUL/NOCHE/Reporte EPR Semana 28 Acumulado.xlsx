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10 JUL\NOCHE\"/>
    </mc:Choice>
  </mc:AlternateContent>
  <xr:revisionPtr revIDLastSave="0" documentId="13_ncr:1_{10CC1D51-EE95-44DF-9B24-618F65B75230}" xr6:coauthVersionLast="47" xr6:coauthVersionMax="47" xr10:uidLastSave="{00000000-0000-0000-0000-000000000000}"/>
  <bookViews>
    <workbookView xWindow="3495" yWindow="3075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<sst xmlns="http://schemas.openxmlformats.org/spreadsheetml/2006/main" count="89" uniqueCount="37">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</sst>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0" zoomScaleNormal="100" workbookViewId="0">
      <selection activeCell="B55" sqref="B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4417</v>
      </c>
      <c r="D5" s="25">
        <v>362109.96</v>
      </c>
    </row>
    <row r="6" spans="2:8" x14ac:dyDescent="0.25">
      <c r="B6" s="1" t="s">
        <v>5</v>
      </c>
      <c r="C6" s="6">
        <v>3783</v>
      </c>
      <c r="D6" s="25">
        <v>265284.25</v>
      </c>
    </row>
    <row r="7" spans="2:8" x14ac:dyDescent="0.25">
      <c r="B7" s="1" t="s">
        <v>6</v>
      </c>
      <c r="C7" s="6">
        <v>6885</v>
      </c>
      <c r="D7" s="25">
        <v>108326.68999999999</v>
      </c>
    </row>
    <row r="8" spans="2:8" x14ac:dyDescent="0.25">
      <c r="B8" s="5" t="s">
        <v>12</v>
      </c>
      <c r="C8" s="7">
        <v>11</v>
      </c>
      <c r="D8" s="25">
        <v>1000</v>
      </c>
    </row>
    <row r="9" spans="2:8" x14ac:dyDescent="0.25">
      <c r="B9" s="1" t="s">
        <v>7</v>
      </c>
      <c r="C9" s="6">
        <v>16854</v>
      </c>
      <c r="D9" s="25">
        <v>175602.2</v>
      </c>
      <c r="E9" s="14"/>
      <c r="F9" s="7"/>
    </row>
    <row r="10" spans="2:8" x14ac:dyDescent="0.25">
      <c r="B10" s="3" t="s">
        <v>8</v>
      </c>
      <c r="C10" s="8">
        <f>SUM(C5:C9)</f>
        <v>31950</v>
      </c>
      <c r="D10" s="4">
        <f>SUM(D5:D9)</f>
        <v>912323.09999999986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4243</v>
      </c>
      <c r="D14" s="25">
        <v>305924.7</v>
      </c>
    </row>
    <row r="15" spans="2:8" x14ac:dyDescent="0.25">
      <c r="B15" s="1" t="s">
        <v>5</v>
      </c>
      <c r="C15" s="6">
        <v>2587</v>
      </c>
      <c r="D15" s="25">
        <v>83531.199999999997</v>
      </c>
    </row>
    <row r="16" spans="2:8" x14ac:dyDescent="0.25">
      <c r="B16" s="1" t="s">
        <v>6</v>
      </c>
      <c r="C16" s="6">
        <v>3743</v>
      </c>
      <c r="D16" s="25">
        <v>49650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14372</v>
      </c>
      <c r="D18" s="25">
        <v>91121.91</v>
      </c>
    </row>
    <row r="19" spans="2:4" x14ac:dyDescent="0.25">
      <c r="B19" s="3" t="s">
        <v>8</v>
      </c>
      <c r="C19" s="8">
        <f>SUM(C14:C18)</f>
        <v>24945</v>
      </c>
      <c r="D19" s="4">
        <f>SUM(D14:D18)</f>
        <v>530227.81000000006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2742</v>
      </c>
      <c r="D23" s="25">
        <v>133189.62</v>
      </c>
    </row>
    <row r="24" spans="2:4" x14ac:dyDescent="0.25">
      <c r="B24" s="9" t="s">
        <v>5</v>
      </c>
      <c r="C24" s="6">
        <v>843</v>
      </c>
      <c r="D24" s="25">
        <v>16220.39</v>
      </c>
    </row>
    <row r="25" spans="2:4" x14ac:dyDescent="0.25">
      <c r="B25" s="9" t="s">
        <v>6</v>
      </c>
      <c r="C25" s="6">
        <v>2363</v>
      </c>
      <c r="D25" s="25">
        <v>62357.01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17392</v>
      </c>
      <c r="D27" s="25">
        <v>71967.259999999995</v>
      </c>
    </row>
    <row r="28" spans="2:4" x14ac:dyDescent="0.25">
      <c r="B28" s="10" t="s">
        <v>8</v>
      </c>
      <c r="C28" s="8">
        <f>SUM(C23:C27)</f>
        <v>23341</v>
      </c>
      <c r="D28" s="4">
        <f>SUM(D23:D27)</f>
        <v>283734.28000000003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613</v>
      </c>
      <c r="D32" s="25">
        <v>76238.45</v>
      </c>
    </row>
    <row r="33" spans="2:4" x14ac:dyDescent="0.25">
      <c r="B33" s="9" t="s">
        <v>5</v>
      </c>
      <c r="C33" s="6">
        <v>1543</v>
      </c>
      <c r="D33" s="25">
        <v>84233.47</v>
      </c>
    </row>
    <row r="34" spans="2:4" x14ac:dyDescent="0.25">
      <c r="B34" s="9" t="s">
        <v>6</v>
      </c>
      <c r="C34" s="6">
        <v>819</v>
      </c>
      <c r="D34" s="25">
        <v>49326.5</v>
      </c>
    </row>
    <row r="35" spans="2:4" x14ac:dyDescent="0.25">
      <c r="B35" s="9" t="s">
        <v>7</v>
      </c>
      <c r="C35" s="6">
        <v>4323</v>
      </c>
      <c r="D35" s="25">
        <v>2271</v>
      </c>
    </row>
    <row r="36" spans="2:4" x14ac:dyDescent="0.25">
      <c r="B36" s="10" t="s">
        <v>8</v>
      </c>
      <c r="C36" s="8">
        <f>SUM(C32:C35)</f>
        <v>7298</v>
      </c>
      <c r="D36" s="4">
        <f>SUM(D32:D35)</f>
        <v>212069.41999999998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29716.13</v>
      </c>
    </row>
    <row r="41" spans="2:4" x14ac:dyDescent="0.25">
      <c r="B41" s="1" t="s">
        <v>5</v>
      </c>
      <c r="C41" s="6">
        <v>417</v>
      </c>
      <c r="D41" s="25">
        <v>7129.12</v>
      </c>
    </row>
    <row r="42" spans="2:4" x14ac:dyDescent="0.25">
      <c r="B42" s="1" t="s">
        <v>6</v>
      </c>
      <c r="C42" s="6">
        <v>702</v>
      </c>
      <c r="D42" s="25">
        <v>27884.7</v>
      </c>
    </row>
    <row r="43" spans="2:4" x14ac:dyDescent="0.25">
      <c r="B43" s="1" t="s">
        <v>7</v>
      </c>
      <c r="C43" s="6">
        <v>419</v>
      </c>
      <c r="D43" s="25">
        <v>1464</v>
      </c>
    </row>
    <row r="44" spans="2:4" x14ac:dyDescent="0.25">
      <c r="B44" s="3" t="s">
        <v>8</v>
      </c>
      <c r="C44" s="8">
        <f>SUM(C40:C43)</f>
        <v>2258</v>
      </c>
      <c r="D44" s="4">
        <f>SUM(D40:D43)</f>
        <v>66193.95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1080</v>
      </c>
      <c r="D48" s="25">
        <v>25712</v>
      </c>
    </row>
    <row r="49" spans="2:4" x14ac:dyDescent="0.25">
      <c r="B49" s="1" t="s">
        <v>5</v>
      </c>
      <c r="C49" s="6">
        <v>166</v>
      </c>
      <c r="D49" s="25">
        <v>600</v>
      </c>
    </row>
    <row r="50" spans="2:4" x14ac:dyDescent="0.25">
      <c r="B50" s="1" t="s">
        <v>6</v>
      </c>
      <c r="C50" s="6">
        <v>596</v>
      </c>
      <c r="D50" s="25">
        <v>15360</v>
      </c>
    </row>
    <row r="51" spans="2:4" x14ac:dyDescent="0.25">
      <c r="B51" s="1" t="s">
        <v>7</v>
      </c>
      <c r="C51" s="6">
        <v>2409</v>
      </c>
      <c r="D51" s="25">
        <v>9696.98</v>
      </c>
    </row>
    <row r="52" spans="2:4" x14ac:dyDescent="0.25">
      <c r="B52" s="3" t="s">
        <v>8</v>
      </c>
      <c r="C52" s="8">
        <f>SUM(C48:C51)</f>
        <v>4251</v>
      </c>
      <c r="D52" s="4">
        <f>SUM(D48:D51)</f>
        <v>51368.979999999996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1756</v>
      </c>
      <c r="D56" s="25">
        <v>13875</v>
      </c>
    </row>
    <row r="57" spans="2:4" x14ac:dyDescent="0.25">
      <c r="B57" s="10" t="s">
        <v>8</v>
      </c>
      <c r="C57" s="8">
        <f>SUM(C56:C56)</f>
        <v>1756</v>
      </c>
      <c r="D57" s="4">
        <f>SUM(D56:D56)</f>
        <v>13875</v>
      </c>
    </row>
    <row r="59" spans="2:4" x14ac:dyDescent="0.25">
      <c r="B59" s="12" t="s">
        <v>13</v>
      </c>
      <c r="C59" s="13">
        <f>SUMIF(B:B, "Total general", C:C)</f>
        <v>95799</v>
      </c>
      <c r="D59" s="13">
        <f>SUMIF(B:B, "Total general", D:D)</f>
        <v>2069792.5399999998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15571</v>
      </c>
      <c r="E6" s="16">
        <f>SUMIF('REPORTE DIARIO'!B:B,'EPR 26 JUN'!C6, 'REPORTE DIARIO'!D:D)</f>
        <v>946765.86</v>
      </c>
      <c r="F6" s="16">
        <f>J6*D6</f>
        <v>978748.57142857136</v>
      </c>
      <c r="G6" s="16">
        <f>+E6-F6</f>
        <v>-31982.711428571376</v>
      </c>
      <c r="H6" s="15">
        <f>ABS(G6/F6)</f>
        <v>3.2677147494468102E-2</v>
      </c>
      <c r="I6" s="16">
        <f>E6/D6</f>
        <v>60.803150728919142</v>
      </c>
      <c r="J6" s="16">
        <f>(220/7)*2</f>
        <v>62.857142857142854</v>
      </c>
      <c r="K6" s="16">
        <f>+I6-J6</f>
        <v>-2.0539921282237117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9339</v>
      </c>
      <c r="E7" s="16">
        <f>SUMIF('REPORTE DIARIO'!B:B,'EPR 26 JUN'!C7, 'REPORTE DIARIO'!D:D)</f>
        <v>456998.43000000005</v>
      </c>
      <c r="F7" s="16">
        <f>J7*D7</f>
        <v>293511.42857142858</v>
      </c>
      <c r="G7" s="16">
        <f>+E7-F7</f>
        <v>163487.00142857147</v>
      </c>
      <c r="H7" s="15">
        <f>ABS(G7/F7)</f>
        <v>0.55700386940396596</v>
      </c>
      <c r="I7" s="16">
        <f>E7/D7</f>
        <v>48.934407324124642</v>
      </c>
      <c r="J7" s="16">
        <f>(110/7)*2</f>
        <v>31.428571428571427</v>
      </c>
      <c r="K7" s="16">
        <f t="shared" ref="K7:K9" si="0">+I7-J7</f>
        <v>17.505835895553215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15108</v>
      </c>
      <c r="E8" s="16">
        <f>SUMIF('REPORTE DIARIO'!B:B,'EPR 26 JUN'!C8, 'REPORTE DIARIO'!D:D)</f>
        <v>312904.90000000002</v>
      </c>
      <c r="F8" s="16">
        <f>J8*D8</f>
        <v>194245.71428571429</v>
      </c>
      <c r="G8" s="16">
        <f>+E8-F8</f>
        <v>118659.18571428573</v>
      </c>
      <c r="H8" s="15">
        <f>ABS(G8/F8)</f>
        <v>0.6108715765010444</v>
      </c>
      <c r="I8" s="16">
        <f>E8/D8</f>
        <v>20.711205983584858</v>
      </c>
      <c r="J8" s="16">
        <f>(45/7)*2</f>
        <v>12.857142857142858</v>
      </c>
      <c r="K8" s="16">
        <f t="shared" si="0"/>
        <v>7.854063126442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55769</v>
      </c>
      <c r="E9" s="16">
        <f>SUMIF('REPORTE DIARIO'!B:B,'EPR 26 JUN'!C9, 'REPORTE DIARIO'!D:D)</f>
        <v>352123.35</v>
      </c>
      <c r="F9" s="16">
        <f>J9*D9</f>
        <v>239010</v>
      </c>
      <c r="G9" s="16">
        <f>+E9-F9</f>
        <v>113113.34999999998</v>
      </c>
      <c r="H9" s="15">
        <f>ABS(G9/F9)</f>
        <v>0.47325781348060741</v>
      </c>
      <c r="I9" s="16">
        <f>E9/D9</f>
        <v>6.3139620577740319</v>
      </c>
      <c r="J9" s="16">
        <f>(15/7)*2</f>
        <v>4.2857142857142856</v>
      </c>
      <c r="K9" s="16">
        <f t="shared" si="0"/>
        <v>2.0282477720597463</v>
      </c>
    </row>
    <row r="10" spans="2:12" x14ac:dyDescent="0.25">
      <c r="B10" s="16"/>
      <c r="C10" s="19" t="s">
        <v>17</v>
      </c>
      <c r="D10" s="24">
        <f>SUM(D6:D9)</f>
        <v>95787</v>
      </c>
      <c r="E10" s="20">
        <f>SUM(E6:E9)</f>
        <v>2068792.54</v>
      </c>
      <c r="F10" s="20">
        <f>SUM(F6:F9)</f>
        <v>1705515.7142857143</v>
      </c>
      <c r="G10" s="20">
        <f>+E10-F10</f>
        <v>363276.82571428572</v>
      </c>
      <c r="H10" s="21">
        <f>ABS(G10/F10)</f>
        <v>0.21300116010155287</v>
      </c>
      <c r="I10" s="20">
        <f>E10/D10</f>
        <v>21.597842504724024</v>
      </c>
      <c r="J10" s="20">
        <f>F10/D10</f>
        <v>17.805294186953493</v>
      </c>
      <c r="K10" s="20">
        <f>I10-J10</f>
        <v>3.7925483177705317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2025-07-11T01:57:30Z</dcterms:modified>
</cp:coreProperties>
</file>