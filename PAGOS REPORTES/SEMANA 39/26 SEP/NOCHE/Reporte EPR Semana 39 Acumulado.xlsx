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9\26 SEP\NOCHE\"/>
    </mc:Choice>
  </mc:AlternateContent>
  <xr:revisionPtr revIDLastSave="0" documentId="13_ncr:1_{CEF60D58-CC44-42BC-B636-255988462FAA}" xr6:coauthVersionLast="47" xr6:coauthVersionMax="47" xr10:uidLastSave="{00000000-0000-0000-0000-000000000000}"/>
  <bookViews>
    <workbookView xWindow="9060" yWindow="9060" windowWidth="11130" windowHeight="6570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36" i="1"/>
  <c r="C36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28" i="1"/>
  <c r="D28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<sst xmlns="http://schemas.openxmlformats.org/spreadsheetml/2006/main" count="146" uniqueCount="37">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</sst>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abSelected="1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132</v>
      </c>
      <c r="D5" s="29">
        <v>4089.2</v>
      </c>
    </row>
    <row r="6" spans="2:8" x14ac:dyDescent="0.25">
      <c r="B6" s="1" t="s">
        <v>5</v>
      </c>
      <c r="C6" s="6">
        <v>8405</v>
      </c>
      <c r="D6" s="29">
        <v>747743.77999999991</v>
      </c>
    </row>
    <row r="7" spans="2:8" x14ac:dyDescent="0.25">
      <c r="B7" s="1" t="s">
        <v>6</v>
      </c>
      <c r="C7" s="6">
        <v>7201</v>
      </c>
      <c r="D7" s="29">
        <v>124816.48</v>
      </c>
    </row>
    <row r="8" spans="2:8" x14ac:dyDescent="0.25">
      <c r="B8" s="5" t="s">
        <v>11</v>
      </c>
      <c r="C8" s="7">
        <v>1058</v>
      </c>
      <c r="D8" s="26">
        <v>0</v>
      </c>
    </row>
    <row r="9" spans="2:8" x14ac:dyDescent="0.25">
      <c r="B9" s="1" t="s">
        <v>7</v>
      </c>
      <c r="C9" s="6">
        <v>36108</v>
      </c>
      <c r="D9" s="29">
        <v>276013.95999999996</v>
      </c>
      <c r="E9" s="14"/>
      <c r="F9" s="7"/>
    </row>
    <row r="10" spans="2:8" x14ac:dyDescent="0.25">
      <c r="B10" s="3" t="s">
        <v>8</v>
      </c>
      <c r="C10" s="8">
        <f>SUM(C5:C9)</f>
        <v>52904</v>
      </c>
      <c r="D10" s="4">
        <f>SUM(D5:D9)</f>
        <v>1152663.42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22</v>
      </c>
      <c r="D14" s="29">
        <v>5588.26</v>
      </c>
    </row>
    <row r="15" spans="2:8" x14ac:dyDescent="0.25">
      <c r="B15" s="9" t="s">
        <v>5</v>
      </c>
      <c r="C15" s="6">
        <v>2323</v>
      </c>
      <c r="D15" s="29">
        <v>193697.92000000001</v>
      </c>
    </row>
    <row r="16" spans="2:8" x14ac:dyDescent="0.25">
      <c r="B16" s="9" t="s">
        <v>6</v>
      </c>
      <c r="C16" s="6">
        <v>929</v>
      </c>
      <c r="D16" s="29">
        <v>58577.299999999996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12352</v>
      </c>
      <c r="D18" s="29">
        <v>128707.93</v>
      </c>
    </row>
    <row r="19" spans="2:4" x14ac:dyDescent="0.25">
      <c r="B19" s="10" t="s">
        <v>8</v>
      </c>
      <c r="C19" s="8">
        <f>SUM(C14:C18)</f>
        <v>15626</v>
      </c>
      <c r="D19" s="4">
        <f>SUM(D14:D18)</f>
        <v>386571.41000000003</v>
      </c>
    </row>
    <row r="21" spans="2:4" x14ac:dyDescent="0.25">
      <c r="B21" s="30" t="s">
        <v>34</v>
      </c>
      <c r="C21" s="30"/>
      <c r="D21" s="30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1812</v>
      </c>
      <c r="D24" s="29">
        <v>137095.55000000002</v>
      </c>
    </row>
    <row r="25" spans="2:4" x14ac:dyDescent="0.25">
      <c r="B25" s="1" t="s">
        <v>6</v>
      </c>
      <c r="C25" s="6">
        <v>842</v>
      </c>
      <c r="D25" s="29">
        <v>19748</v>
      </c>
    </row>
    <row r="26" spans="2:4" x14ac:dyDescent="0.25">
      <c r="B26" s="5" t="s">
        <v>11</v>
      </c>
      <c r="C26" s="6">
        <v>0</v>
      </c>
      <c r="D26" s="11">
        <v>0</v>
      </c>
    </row>
    <row r="27" spans="2:4" x14ac:dyDescent="0.25">
      <c r="B27" s="1" t="s">
        <v>7</v>
      </c>
      <c r="C27" s="7">
        <v>16830</v>
      </c>
      <c r="D27" s="29">
        <v>120338.23999999999</v>
      </c>
    </row>
    <row r="28" spans="2:4" x14ac:dyDescent="0.25">
      <c r="B28" s="3" t="s">
        <v>8</v>
      </c>
      <c r="C28" s="8">
        <f>SUM(C23:C27)</f>
        <v>19484</v>
      </c>
      <c r="D28" s="4">
        <f>SUM(D23:D27)</f>
        <v>277181.79000000004</v>
      </c>
    </row>
    <row r="30" spans="2:4" x14ac:dyDescent="0.25">
      <c r="B30" s="31" t="s">
        <v>10</v>
      </c>
      <c r="C30" s="31"/>
      <c r="D30" s="31"/>
    </row>
    <row r="31" spans="2:4" x14ac:dyDescent="0.25">
      <c r="B31" s="4" t="s">
        <v>1</v>
      </c>
      <c r="C31" s="4" t="s">
        <v>2</v>
      </c>
      <c r="D31" s="4" t="s">
        <v>3</v>
      </c>
    </row>
    <row r="32" spans="2:4" x14ac:dyDescent="0.25">
      <c r="B32" s="9" t="s">
        <v>4</v>
      </c>
      <c r="C32" s="6">
        <v>3359</v>
      </c>
      <c r="D32" s="29">
        <v>74825.61</v>
      </c>
    </row>
    <row r="33" spans="2:4" x14ac:dyDescent="0.25">
      <c r="B33" s="1" t="s">
        <v>5</v>
      </c>
      <c r="C33" s="6">
        <v>1742</v>
      </c>
      <c r="D33" s="29">
        <v>74429.209999999992</v>
      </c>
    </row>
    <row r="34" spans="2:4" x14ac:dyDescent="0.25">
      <c r="B34" s="1" t="s">
        <v>6</v>
      </c>
      <c r="C34" s="6">
        <v>2955</v>
      </c>
      <c r="D34" s="29">
        <v>39793.01</v>
      </c>
    </row>
    <row r="35" spans="2:4" x14ac:dyDescent="0.25">
      <c r="B35" s="1" t="s">
        <v>7</v>
      </c>
      <c r="C35" s="6">
        <v>1029</v>
      </c>
      <c r="D35" s="29">
        <v>7023</v>
      </c>
    </row>
    <row r="36" spans="2:4" x14ac:dyDescent="0.25">
      <c r="B36" s="10" t="s">
        <v>8</v>
      </c>
      <c r="C36" s="8">
        <f>SUM(C32:C35)</f>
        <v>9085</v>
      </c>
      <c r="D36" s="4">
        <f>SUM(D32:D35)</f>
        <v>196070.83000000002</v>
      </c>
    </row>
    <row r="38" spans="2:4" x14ac:dyDescent="0.25">
      <c r="B38" s="30" t="s">
        <v>29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559</v>
      </c>
      <c r="D41" s="29">
        <v>20198.29</v>
      </c>
    </row>
    <row r="42" spans="2:4" x14ac:dyDescent="0.25">
      <c r="B42" s="1" t="s">
        <v>6</v>
      </c>
      <c r="C42" s="6">
        <v>7</v>
      </c>
      <c r="D42" s="29">
        <v>970</v>
      </c>
    </row>
    <row r="43" spans="2:4" x14ac:dyDescent="0.25">
      <c r="B43" s="1" t="s">
        <v>7</v>
      </c>
      <c r="C43" s="6">
        <v>931</v>
      </c>
      <c r="D43" s="29">
        <v>5334</v>
      </c>
    </row>
    <row r="44" spans="2:4" x14ac:dyDescent="0.25">
      <c r="B44" s="3" t="s">
        <v>8</v>
      </c>
      <c r="C44" s="8">
        <f>SUM(C40:C43)</f>
        <v>1497</v>
      </c>
      <c r="D44" s="4">
        <f>SUM(D40:D43)</f>
        <v>26502.29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98596</v>
      </c>
      <c r="D52" s="13">
        <f>SUMIF(B:B, "Total general", D:D)</f>
        <v>2038989.7400000002</v>
      </c>
    </row>
  </sheetData>
  <mergeCells count="5">
    <mergeCell ref="B3:D3"/>
    <mergeCell ref="B12:D12"/>
    <mergeCell ref="B30:D30"/>
    <mergeCell ref="B21:D21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30" t="s">
        <v>34</v>
      </c>
      <c r="C38" s="30"/>
      <c r="D38" s="30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30" t="s">
        <v>29</v>
      </c>
      <c r="C47" s="30"/>
      <c r="D47" s="30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3513</v>
      </c>
      <c r="E6" s="16">
        <f>SUMIF('REPORTE DIARIO'!B:B,'EPR 26 JUN'!C6, 'REPORTE DIARIO'!D:D)</f>
        <v>84503.07</v>
      </c>
      <c r="F6" s="16">
        <f>J6*D6</f>
        <v>220817.14285714284</v>
      </c>
      <c r="G6" s="16">
        <f>+E6-F6</f>
        <v>-136314.07285714283</v>
      </c>
      <c r="H6" s="15">
        <f>ABS(G6/F6)</f>
        <v>0.6173165321015448</v>
      </c>
      <c r="I6" s="16">
        <f>E6/D6</f>
        <v>24.054389410760034</v>
      </c>
      <c r="J6" s="16">
        <f>(220/7)*2</f>
        <v>62.857142857142854</v>
      </c>
      <c r="K6" s="16">
        <f>+I6-J6</f>
        <v>-38.802753446382823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14841</v>
      </c>
      <c r="E7" s="16">
        <f>SUMIF('REPORTE DIARIO'!B:B,'EPR 26 JUN'!C7, 'REPORTE DIARIO'!D:D)</f>
        <v>1173164.75</v>
      </c>
      <c r="F7" s="16">
        <f>J7*D7</f>
        <v>466431.42857142852</v>
      </c>
      <c r="G7" s="16">
        <f>+E7-F7</f>
        <v>706733.32142857148</v>
      </c>
      <c r="H7" s="15">
        <f>ABS(G7/F7)</f>
        <v>1.5151923265401133</v>
      </c>
      <c r="I7" s="16">
        <f>E7/D7</f>
        <v>79.048901691260696</v>
      </c>
      <c r="J7" s="16">
        <f>(110/7)*2</f>
        <v>31.428571428571427</v>
      </c>
      <c r="K7" s="16">
        <f t="shared" ref="K7:K9" si="0">+I7-J7</f>
        <v>47.620330262689265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11934</v>
      </c>
      <c r="E8" s="16">
        <f>SUMIF('REPORTE DIARIO'!B:B,'EPR 26 JUN'!C8, 'REPORTE DIARIO'!D:D)</f>
        <v>243904.79</v>
      </c>
      <c r="F8" s="16">
        <f>J8*D8</f>
        <v>153437.14285714287</v>
      </c>
      <c r="G8" s="16">
        <f>+E8-F8</f>
        <v>90467.647142857139</v>
      </c>
      <c r="H8" s="15">
        <f>ABS(G8/F8)</f>
        <v>0.58960721933597748</v>
      </c>
      <c r="I8" s="16">
        <f>E8/D8</f>
        <v>20.437807105748284</v>
      </c>
      <c r="J8" s="16">
        <f>(45/7)*2</f>
        <v>12.857142857142858</v>
      </c>
      <c r="K8" s="16">
        <f t="shared" si="0"/>
        <v>7.5806642486054265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67250</v>
      </c>
      <c r="E9" s="16">
        <f>SUMIF('REPORTE DIARIO'!B:B,'EPR 26 JUN'!C9, 'REPORTE DIARIO'!D:D)</f>
        <v>537417.12999999989</v>
      </c>
      <c r="F9" s="16">
        <f>J9*D9</f>
        <v>288214.28571428568</v>
      </c>
      <c r="G9" s="16">
        <f>+E9-F9</f>
        <v>249202.84428571421</v>
      </c>
      <c r="H9" s="15">
        <f>ABS(G9/F9)</f>
        <v>0.86464431722428736</v>
      </c>
      <c r="I9" s="16">
        <f>E9/D9</f>
        <v>7.9913327881040876</v>
      </c>
      <c r="J9" s="16">
        <f>(15/7)*2</f>
        <v>4.2857142857142856</v>
      </c>
      <c r="K9" s="16">
        <f t="shared" si="0"/>
        <v>3.7056185023898021</v>
      </c>
    </row>
    <row r="10" spans="2:12" x14ac:dyDescent="0.25">
      <c r="B10" s="16"/>
      <c r="C10" s="19" t="s">
        <v>16</v>
      </c>
      <c r="D10" s="24">
        <f>SUM(D6:D9)</f>
        <v>97538</v>
      </c>
      <c r="E10" s="20">
        <f>SUM(E6:E9)</f>
        <v>2038989.74</v>
      </c>
      <c r="F10" s="20">
        <f>SUM(F6:F9)</f>
        <v>1128900</v>
      </c>
      <c r="G10" s="20">
        <f>+E10-F10</f>
        <v>910089.74</v>
      </c>
      <c r="H10" s="21">
        <f>ABS(G10/F10)</f>
        <v>0.80617392151652045</v>
      </c>
      <c r="I10" s="20">
        <f>E10/D10</f>
        <v>20.904567860731202</v>
      </c>
      <c r="J10" s="20">
        <f>F10/D10</f>
        <v>11.573950665381698</v>
      </c>
      <c r="K10" s="20">
        <f>I10-J10</f>
        <v>9.3306171953495038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2025-09-27T04:02:45Z</dcterms:modified>
</cp:coreProperties>
</file>