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9\27 SEP\NOCHE\"/>
    </mc:Choice>
  </mc:AlternateContent>
  <xr:revisionPtr revIDLastSave="0" documentId="13_ncr:1_{2E57EA33-25A9-4CC1-ACF7-E8F877727FA9}" xr6:coauthVersionLast="47" xr6:coauthVersionMax="47" xr10:uidLastSave="{00000000-0000-0000-0000-000000000000}"/>
  <bookViews>
    <workbookView xWindow="9060" yWindow="9060" windowWidth="11130" windowHeight="6570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D18" i="5"/>
  <c r="C18" i="5"/>
  <c r="D36" i="1"/>
  <c r="C36" i="1"/>
  <c r="D10" i="5"/>
  <c r="D27" i="5"/>
  <c r="D53" i="5"/>
  <c r="C53" i="5"/>
  <c r="D7" i="6"/>
  <c r="D6" i="6"/>
  <c r="D5" i="6"/>
  <c r="D4" i="6"/>
  <c r="D3" i="6"/>
  <c r="C7" i="6"/>
  <c r="C6" i="6"/>
  <c r="C5" i="6"/>
  <c r="C4" i="6"/>
  <c r="C3" i="6"/>
  <c r="D45" i="5"/>
  <c r="C45" i="5"/>
  <c r="D36" i="5"/>
  <c r="C36" i="5"/>
  <c r="C27" i="5"/>
  <c r="C10" i="5"/>
  <c r="J9" i="3"/>
  <c r="J8" i="3"/>
  <c r="J7" i="3"/>
  <c r="J6" i="3"/>
  <c r="C44" i="1"/>
  <c r="C55" i="5" l="1"/>
  <c r="D8" i="6"/>
  <c r="C8" i="6"/>
  <c r="D55" i="5"/>
  <c r="C28" i="1"/>
  <c r="D28" i="1"/>
  <c r="D19" i="1"/>
  <c r="C19" i="1"/>
  <c r="D6" i="3"/>
  <c r="D10" i="1" l="1"/>
  <c r="D52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2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<sst xmlns="http://schemas.openxmlformats.org/spreadsheetml/2006/main" count="146" uniqueCount="37">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</sst>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2"/>
  <sheetViews>
    <sheetView showGridLines="0" tabSelected="1" topLeftCell="A10" zoomScaleNormal="100" workbookViewId="0">
      <selection activeCell="D40" sqref="D4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145</v>
      </c>
      <c r="D5" s="29">
        <v>4089.2</v>
      </c>
    </row>
    <row r="6" spans="2:8" x14ac:dyDescent="0.25">
      <c r="B6" s="1" t="s">
        <v>5</v>
      </c>
      <c r="C6" s="6">
        <v>8381</v>
      </c>
      <c r="D6" s="29">
        <v>857394.99999999988</v>
      </c>
    </row>
    <row r="7" spans="2:8" x14ac:dyDescent="0.25">
      <c r="B7" s="1" t="s">
        <v>6</v>
      </c>
      <c r="C7" s="6">
        <v>7336</v>
      </c>
      <c r="D7" s="29">
        <v>170650.65</v>
      </c>
    </row>
    <row r="8" spans="2:8" x14ac:dyDescent="0.25">
      <c r="B8" s="5" t="s">
        <v>11</v>
      </c>
      <c r="C8" s="7">
        <v>1058</v>
      </c>
      <c r="D8" s="26">
        <v>0</v>
      </c>
    </row>
    <row r="9" spans="2:8" x14ac:dyDescent="0.25">
      <c r="B9" s="1" t="s">
        <v>7</v>
      </c>
      <c r="C9" s="6">
        <v>36185</v>
      </c>
      <c r="D9" s="29">
        <v>396530.58</v>
      </c>
      <c r="E9" s="14"/>
      <c r="F9" s="7"/>
    </row>
    <row r="10" spans="2:8" x14ac:dyDescent="0.25">
      <c r="B10" s="3" t="s">
        <v>8</v>
      </c>
      <c r="C10" s="8">
        <f>SUM(C5:C9)</f>
        <v>53105</v>
      </c>
      <c r="D10" s="4">
        <f>SUM(D5:D9)</f>
        <v>1428665.43</v>
      </c>
      <c r="E10" s="11" t="s">
        <v>13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</v>
      </c>
      <c r="D14" s="29">
        <v>5588.26</v>
      </c>
    </row>
    <row r="15" spans="2:8" x14ac:dyDescent="0.25">
      <c r="B15" s="9" t="s">
        <v>5</v>
      </c>
      <c r="C15" s="6">
        <v>2324</v>
      </c>
      <c r="D15" s="29">
        <v>242217.92000000004</v>
      </c>
    </row>
    <row r="16" spans="2:8" x14ac:dyDescent="0.25">
      <c r="B16" s="9" t="s">
        <v>6</v>
      </c>
      <c r="C16" s="6">
        <v>1208</v>
      </c>
      <c r="D16" s="29">
        <v>63445.45</v>
      </c>
    </row>
    <row r="17" spans="2:4" x14ac:dyDescent="0.25">
      <c r="B17" s="5" t="s">
        <v>11</v>
      </c>
      <c r="C17" s="7">
        <v>0</v>
      </c>
      <c r="D17" s="26">
        <v>0</v>
      </c>
    </row>
    <row r="18" spans="2:4" x14ac:dyDescent="0.25">
      <c r="B18" s="9" t="s">
        <v>7</v>
      </c>
      <c r="C18" s="6">
        <v>12350</v>
      </c>
      <c r="D18" s="29">
        <v>142258.75</v>
      </c>
    </row>
    <row r="19" spans="2:4" x14ac:dyDescent="0.25">
      <c r="B19" s="10" t="s">
        <v>8</v>
      </c>
      <c r="C19" s="8">
        <f>SUM(C14:C18)</f>
        <v>15902</v>
      </c>
      <c r="D19" s="4">
        <f>SUM(D14:D18)</f>
        <v>453510.38000000006</v>
      </c>
    </row>
    <row r="21" spans="2:4" x14ac:dyDescent="0.25">
      <c r="B21" s="30" t="s">
        <v>34</v>
      </c>
      <c r="C21" s="30"/>
      <c r="D21" s="30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0</v>
      </c>
      <c r="D23" s="26">
        <v>0</v>
      </c>
    </row>
    <row r="24" spans="2:4" x14ac:dyDescent="0.25">
      <c r="B24" s="1" t="s">
        <v>5</v>
      </c>
      <c r="C24" s="6">
        <v>1812</v>
      </c>
      <c r="D24" s="29">
        <v>165870.85</v>
      </c>
    </row>
    <row r="25" spans="2:4" x14ac:dyDescent="0.25">
      <c r="B25" s="1" t="s">
        <v>6</v>
      </c>
      <c r="C25" s="6">
        <v>810</v>
      </c>
      <c r="D25" s="29">
        <v>29521</v>
      </c>
    </row>
    <row r="26" spans="2:4" x14ac:dyDescent="0.25">
      <c r="B26" s="5" t="s">
        <v>11</v>
      </c>
      <c r="C26" s="6">
        <v>0</v>
      </c>
      <c r="D26" s="11">
        <v>0</v>
      </c>
    </row>
    <row r="27" spans="2:4" x14ac:dyDescent="0.25">
      <c r="B27" s="1" t="s">
        <v>7</v>
      </c>
      <c r="C27" s="7">
        <v>16827</v>
      </c>
      <c r="D27" s="29">
        <v>141120.40000000002</v>
      </c>
    </row>
    <row r="28" spans="2:4" x14ac:dyDescent="0.25">
      <c r="B28" s="3" t="s">
        <v>8</v>
      </c>
      <c r="C28" s="8">
        <f>SUM(C23:C27)</f>
        <v>19449</v>
      </c>
      <c r="D28" s="4">
        <f>SUM(D23:D27)</f>
        <v>336512.25</v>
      </c>
    </row>
    <row r="30" spans="2:4" x14ac:dyDescent="0.25">
      <c r="B30" s="31" t="s">
        <v>10</v>
      </c>
      <c r="C30" s="31"/>
      <c r="D30" s="31"/>
    </row>
    <row r="31" spans="2:4" x14ac:dyDescent="0.25">
      <c r="B31" s="4" t="s">
        <v>1</v>
      </c>
      <c r="C31" s="4" t="s">
        <v>2</v>
      </c>
      <c r="D31" s="4" t="s">
        <v>3</v>
      </c>
    </row>
    <row r="32" spans="2:4" x14ac:dyDescent="0.25">
      <c r="B32" s="9" t="s">
        <v>4</v>
      </c>
      <c r="C32" s="6">
        <v>3408</v>
      </c>
      <c r="D32" s="29">
        <v>88076.56</v>
      </c>
    </row>
    <row r="33" spans="2:4" x14ac:dyDescent="0.25">
      <c r="B33" s="1" t="s">
        <v>5</v>
      </c>
      <c r="C33" s="6">
        <v>1715</v>
      </c>
      <c r="D33" s="29">
        <v>93199.810000000012</v>
      </c>
    </row>
    <row r="34" spans="2:4" x14ac:dyDescent="0.25">
      <c r="B34" s="1" t="s">
        <v>6</v>
      </c>
      <c r="C34" s="6">
        <v>3038</v>
      </c>
      <c r="D34" s="29">
        <v>42332.4</v>
      </c>
    </row>
    <row r="35" spans="2:4" x14ac:dyDescent="0.25">
      <c r="B35" s="1" t="s">
        <v>7</v>
      </c>
      <c r="C35" s="6">
        <v>1029</v>
      </c>
      <c r="D35" s="29">
        <v>7023</v>
      </c>
    </row>
    <row r="36" spans="2:4" x14ac:dyDescent="0.25">
      <c r="B36" s="10" t="s">
        <v>8</v>
      </c>
      <c r="C36" s="8">
        <f>SUM(C32:C35)</f>
        <v>9190</v>
      </c>
      <c r="D36" s="4">
        <f>SUM(D32:D35)</f>
        <v>230631.77</v>
      </c>
    </row>
    <row r="38" spans="2:4" x14ac:dyDescent="0.25">
      <c r="B38" s="30" t="s">
        <v>29</v>
      </c>
      <c r="C38" s="30"/>
      <c r="D38" s="30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0</v>
      </c>
      <c r="D40" s="26">
        <v>0</v>
      </c>
    </row>
    <row r="41" spans="2:4" x14ac:dyDescent="0.25">
      <c r="B41" s="1" t="s">
        <v>5</v>
      </c>
      <c r="C41" s="6">
        <v>559</v>
      </c>
      <c r="D41" s="29">
        <v>23698.29</v>
      </c>
    </row>
    <row r="42" spans="2:4" x14ac:dyDescent="0.25">
      <c r="B42" s="1" t="s">
        <v>6</v>
      </c>
      <c r="C42" s="6">
        <v>7</v>
      </c>
      <c r="D42" s="29">
        <v>1970</v>
      </c>
    </row>
    <row r="43" spans="2:4" x14ac:dyDescent="0.25">
      <c r="B43" s="1" t="s">
        <v>7</v>
      </c>
      <c r="C43" s="6">
        <v>931</v>
      </c>
      <c r="D43" s="29">
        <v>5334</v>
      </c>
    </row>
    <row r="44" spans="2:4" x14ac:dyDescent="0.25">
      <c r="B44" s="3" t="s">
        <v>8</v>
      </c>
      <c r="C44" s="8">
        <f>SUM(C40:C43)</f>
        <v>1497</v>
      </c>
      <c r="D44" s="4">
        <f>SUM(D40:D43)</f>
        <v>31002.29</v>
      </c>
    </row>
    <row r="45" spans="2:4" hidden="1" x14ac:dyDescent="0.25"/>
    <row r="46" spans="2:4" hidden="1" x14ac:dyDescent="0.25"/>
    <row r="47" spans="2:4" hidden="1" x14ac:dyDescent="0.25"/>
    <row r="48" spans="2:4" hidden="1" x14ac:dyDescent="0.25"/>
    <row r="49" spans="2:4" hidden="1" x14ac:dyDescent="0.25"/>
    <row r="50" spans="2:4" hidden="1" x14ac:dyDescent="0.25"/>
    <row r="52" spans="2:4" x14ac:dyDescent="0.25">
      <c r="B52" s="12" t="s">
        <v>12</v>
      </c>
      <c r="C52" s="13">
        <f>SUMIF(B:B, "Total general", C:C)</f>
        <v>99143</v>
      </c>
      <c r="D52" s="13">
        <f>SUMIF(B:B, "Total general", D:D)</f>
        <v>2480322.12</v>
      </c>
    </row>
  </sheetData>
  <mergeCells count="5">
    <mergeCell ref="B3:D3"/>
    <mergeCell ref="B12:D12"/>
    <mergeCell ref="B30:D30"/>
    <mergeCell ref="B21:D21"/>
    <mergeCell ref="B38:D38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5"/>
  <sheetViews>
    <sheetView showGridLines="0" zoomScaleNormal="100" workbookViewId="0"/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8">
        <v>1600</v>
      </c>
      <c r="D5" s="25">
        <v>13741.220000000001</v>
      </c>
      <c r="E5" s="11"/>
    </row>
    <row r="6" spans="2:8" x14ac:dyDescent="0.25">
      <c r="B6" s="1" t="s">
        <v>5</v>
      </c>
      <c r="C6" s="28">
        <v>14146</v>
      </c>
      <c r="D6" s="25">
        <v>155245.48000000001</v>
      </c>
    </row>
    <row r="7" spans="2:8" x14ac:dyDescent="0.25">
      <c r="B7" s="1" t="s">
        <v>6</v>
      </c>
      <c r="C7" s="28">
        <v>3905</v>
      </c>
      <c r="D7" s="25">
        <v>17509</v>
      </c>
    </row>
    <row r="8" spans="2:8" x14ac:dyDescent="0.25">
      <c r="B8" s="5" t="s">
        <v>11</v>
      </c>
      <c r="C8" s="28">
        <v>2739</v>
      </c>
      <c r="D8" s="26">
        <v>0</v>
      </c>
    </row>
    <row r="9" spans="2:8" x14ac:dyDescent="0.25">
      <c r="B9" s="1" t="s">
        <v>7</v>
      </c>
      <c r="C9" s="28">
        <v>2920</v>
      </c>
      <c r="D9" s="25">
        <v>2633.36</v>
      </c>
      <c r="E9" s="14"/>
      <c r="F9" s="7"/>
    </row>
    <row r="10" spans="2:8" x14ac:dyDescent="0.25">
      <c r="B10" s="3" t="s">
        <v>8</v>
      </c>
      <c r="C10" s="8">
        <f>SUM(C5:C9)</f>
        <v>25310</v>
      </c>
      <c r="D10" s="4">
        <f>SUM(D5:D9)</f>
        <v>189129.06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7">
        <v>2928</v>
      </c>
      <c r="D14" s="25">
        <v>73740.55</v>
      </c>
    </row>
    <row r="15" spans="2:8" x14ac:dyDescent="0.25">
      <c r="B15" s="1" t="s">
        <v>5</v>
      </c>
      <c r="C15" s="27">
        <v>1253</v>
      </c>
      <c r="D15" s="25">
        <v>53440.08</v>
      </c>
    </row>
    <row r="16" spans="2:8" x14ac:dyDescent="0.25">
      <c r="B16" s="1" t="s">
        <v>6</v>
      </c>
      <c r="C16" s="27">
        <v>2387</v>
      </c>
      <c r="D16" s="25">
        <v>8490</v>
      </c>
    </row>
    <row r="17" spans="2:4" x14ac:dyDescent="0.25">
      <c r="B17" s="9" t="s">
        <v>7</v>
      </c>
      <c r="C17">
        <v>26</v>
      </c>
      <c r="D17" s="25">
        <v>2000</v>
      </c>
    </row>
    <row r="18" spans="2:4" x14ac:dyDescent="0.25">
      <c r="B18" s="10" t="s">
        <v>8</v>
      </c>
      <c r="C18" s="8">
        <f>SUM(C14:C17)</f>
        <v>6594</v>
      </c>
      <c r="D18" s="4">
        <f>SUM(D14:D17)</f>
        <v>137670.63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27">
        <v>0</v>
      </c>
      <c r="D22" s="26">
        <v>0</v>
      </c>
    </row>
    <row r="23" spans="2:4" x14ac:dyDescent="0.25">
      <c r="B23" s="1" t="s">
        <v>5</v>
      </c>
      <c r="C23">
        <v>16</v>
      </c>
      <c r="D23" s="25">
        <v>3041</v>
      </c>
    </row>
    <row r="24" spans="2:4" x14ac:dyDescent="0.25">
      <c r="B24" s="1" t="s">
        <v>6</v>
      </c>
      <c r="C24">
        <v>46</v>
      </c>
      <c r="D24" s="26">
        <v>0</v>
      </c>
    </row>
    <row r="25" spans="2:4" x14ac:dyDescent="0.25">
      <c r="B25" s="5" t="s">
        <v>11</v>
      </c>
      <c r="C25">
        <v>1</v>
      </c>
      <c r="D25" s="26">
        <v>0</v>
      </c>
    </row>
    <row r="26" spans="2:4" x14ac:dyDescent="0.25">
      <c r="B26" s="1" t="s">
        <v>7</v>
      </c>
      <c r="C26">
        <v>303</v>
      </c>
      <c r="D26" s="25">
        <v>3919.04</v>
      </c>
    </row>
    <row r="27" spans="2:4" x14ac:dyDescent="0.25">
      <c r="B27" s="3" t="s">
        <v>8</v>
      </c>
      <c r="C27" s="8">
        <f>SUM(C22:C26)</f>
        <v>366</v>
      </c>
      <c r="D27" s="4">
        <f>SUM(D22:D26)</f>
        <v>6960.04</v>
      </c>
    </row>
    <row r="29" spans="2:4" x14ac:dyDescent="0.25">
      <c r="B29" s="31" t="s">
        <v>9</v>
      </c>
      <c r="C29" s="31"/>
      <c r="D29" s="31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11">
        <v>0</v>
      </c>
      <c r="D31" s="7">
        <v>0</v>
      </c>
    </row>
    <row r="32" spans="2:4" x14ac:dyDescent="0.25">
      <c r="B32" s="9" t="s">
        <v>5</v>
      </c>
      <c r="C32">
        <v>3</v>
      </c>
      <c r="D32" s="25">
        <v>3282</v>
      </c>
    </row>
    <row r="33" spans="2:4" x14ac:dyDescent="0.25">
      <c r="B33" s="9" t="s">
        <v>6</v>
      </c>
      <c r="C33" s="7">
        <v>0</v>
      </c>
      <c r="D33" s="26">
        <v>0</v>
      </c>
    </row>
    <row r="34" spans="2:4" x14ac:dyDescent="0.25">
      <c r="B34" s="5" t="s">
        <v>11</v>
      </c>
      <c r="C34" s="7">
        <v>0</v>
      </c>
      <c r="D34" s="7">
        <v>0</v>
      </c>
    </row>
    <row r="35" spans="2:4" x14ac:dyDescent="0.25">
      <c r="B35" s="9" t="s">
        <v>7</v>
      </c>
      <c r="C35">
        <v>167</v>
      </c>
      <c r="D35" s="25">
        <v>1079</v>
      </c>
    </row>
    <row r="36" spans="2:4" x14ac:dyDescent="0.25">
      <c r="B36" s="10" t="s">
        <v>8</v>
      </c>
      <c r="C36" s="8">
        <f>SUM(C31:C35)</f>
        <v>170</v>
      </c>
      <c r="D36" s="4">
        <f>SUM(D31:D35)</f>
        <v>4361</v>
      </c>
    </row>
    <row r="38" spans="2:4" x14ac:dyDescent="0.25">
      <c r="B38" s="30" t="s">
        <v>34</v>
      </c>
      <c r="C38" s="30"/>
      <c r="D38" s="30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1" t="s">
        <v>4</v>
      </c>
      <c r="C40" s="11">
        <v>0</v>
      </c>
      <c r="D40" s="26">
        <v>0</v>
      </c>
    </row>
    <row r="41" spans="2:4" x14ac:dyDescent="0.25">
      <c r="B41" s="1" t="s">
        <v>5</v>
      </c>
      <c r="C41">
        <v>3</v>
      </c>
      <c r="D41" s="26">
        <v>0</v>
      </c>
    </row>
    <row r="42" spans="2:4" x14ac:dyDescent="0.25">
      <c r="B42" s="1" t="s">
        <v>6</v>
      </c>
      <c r="C42">
        <v>19</v>
      </c>
      <c r="D42" s="26">
        <v>0</v>
      </c>
    </row>
    <row r="43" spans="2:4" x14ac:dyDescent="0.25">
      <c r="B43" s="5" t="s">
        <v>11</v>
      </c>
      <c r="C43" s="11">
        <v>0</v>
      </c>
      <c r="D43" s="26">
        <v>0</v>
      </c>
    </row>
    <row r="44" spans="2:4" x14ac:dyDescent="0.25">
      <c r="B44" s="1" t="s">
        <v>7</v>
      </c>
      <c r="C44">
        <v>332</v>
      </c>
      <c r="D44" s="25">
        <v>388</v>
      </c>
    </row>
    <row r="45" spans="2:4" x14ac:dyDescent="0.25">
      <c r="B45" s="3" t="s">
        <v>8</v>
      </c>
      <c r="C45" s="8">
        <f>SUM(C40:C44)</f>
        <v>354</v>
      </c>
      <c r="D45" s="4">
        <f>SUM(D40:D44)</f>
        <v>388</v>
      </c>
    </row>
    <row r="47" spans="2:4" x14ac:dyDescent="0.25">
      <c r="B47" s="30" t="s">
        <v>29</v>
      </c>
      <c r="C47" s="30"/>
      <c r="D47" s="30"/>
    </row>
    <row r="48" spans="2:4" x14ac:dyDescent="0.25">
      <c r="B48" s="2" t="s">
        <v>1</v>
      </c>
      <c r="C48" s="2" t="s">
        <v>2</v>
      </c>
      <c r="D48" s="2" t="s">
        <v>3</v>
      </c>
    </row>
    <row r="49" spans="2:4" x14ac:dyDescent="0.25">
      <c r="B49" s="9" t="s">
        <v>4</v>
      </c>
      <c r="C49" s="26">
        <v>0</v>
      </c>
      <c r="D49" s="26">
        <v>0</v>
      </c>
    </row>
    <row r="50" spans="2:4" x14ac:dyDescent="0.25">
      <c r="B50" s="1" t="s">
        <v>5</v>
      </c>
      <c r="C50">
        <v>3</v>
      </c>
      <c r="D50" s="26">
        <v>0</v>
      </c>
    </row>
    <row r="51" spans="2:4" x14ac:dyDescent="0.25">
      <c r="B51" s="1" t="s">
        <v>6</v>
      </c>
      <c r="C51" s="11">
        <v>0</v>
      </c>
      <c r="D51" s="26">
        <v>0</v>
      </c>
    </row>
    <row r="52" spans="2:4" x14ac:dyDescent="0.25">
      <c r="B52" s="1" t="s">
        <v>7</v>
      </c>
      <c r="C52">
        <v>64</v>
      </c>
      <c r="D52" s="26">
        <v>0</v>
      </c>
    </row>
    <row r="53" spans="2:4" x14ac:dyDescent="0.25">
      <c r="B53" s="3" t="s">
        <v>8</v>
      </c>
      <c r="C53" s="8">
        <f>SUM(C49:C52)</f>
        <v>67</v>
      </c>
      <c r="D53" s="4">
        <f>SUM(D49:D52)</f>
        <v>0</v>
      </c>
    </row>
    <row r="55" spans="2:4" x14ac:dyDescent="0.25">
      <c r="B55" s="12" t="s">
        <v>12</v>
      </c>
      <c r="C55" s="13">
        <f>SUMIF(B:B, "Total general", C:C)</f>
        <v>32861</v>
      </c>
      <c r="D55" s="13">
        <f>SUMIF(B:B, "Total general", D:D)</f>
        <v>338508.73</v>
      </c>
    </row>
  </sheetData>
  <mergeCells count="7">
    <mergeCell ref="B29:D29"/>
    <mergeCell ref="B47:D47"/>
    <mergeCell ref="B12:D12"/>
    <mergeCell ref="B38:D38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F4" sqref="F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4528</v>
      </c>
      <c r="D3" s="14">
        <f>SUMIF('CDC-OLGUIN'!B:B, "Extrajudicial - 0 a 28 semanas de atraso", 'CDC-OLGUIN'!D:D)</f>
        <v>87481.77</v>
      </c>
    </row>
    <row r="4" spans="2:6" x14ac:dyDescent="0.25">
      <c r="B4" s="1" t="s">
        <v>5</v>
      </c>
      <c r="C4" s="6">
        <f>SUMIF('CDC-OLGUIN'!B:B, "Extrajudicial - 29 a 39 semanas de atraso", 'CDC-OLGUIN'!C:C)</f>
        <v>15424</v>
      </c>
      <c r="D4" s="14">
        <f>SUMIF('CDC-OLGUIN'!B:B, "Extrajudicial - 29 a 39 semanas de atraso", 'CDC-OLGUIN'!D:D)</f>
        <v>215008.56</v>
      </c>
    </row>
    <row r="5" spans="2:6" x14ac:dyDescent="0.25">
      <c r="B5" s="1" t="s">
        <v>6</v>
      </c>
      <c r="C5" s="6">
        <f>SUMIF('CDC-OLGUIN'!B:B, "Extrajudicial - 40 a 55 semanas de atraso", 'CDC-OLGUIN'!C:C)</f>
        <v>6357</v>
      </c>
      <c r="D5" s="14">
        <f>SUMIF('CDC-OLGUIN'!B:B, "Extrajudicial - 40 a 55 semanas de atraso", 'CDC-OLGUIN'!D:D)</f>
        <v>25999</v>
      </c>
    </row>
    <row r="6" spans="2:6" x14ac:dyDescent="0.25">
      <c r="B6" s="5" t="s">
        <v>11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3812</v>
      </c>
      <c r="D7" s="6">
        <f>SUMIF('CDC-OLGUIN'!B:B, "Mas 55 semanas de atraso", 'CDC-OLGUIN'!D:D)</f>
        <v>10019.400000000001</v>
      </c>
      <c r="E7" s="14"/>
      <c r="F7" s="7"/>
    </row>
    <row r="8" spans="2:6" x14ac:dyDescent="0.25">
      <c r="B8" s="3" t="s">
        <v>8</v>
      </c>
      <c r="C8" s="8">
        <f>SUM(C3:C7)</f>
        <v>32861</v>
      </c>
      <c r="D8" s="4">
        <f>SUM(D3:D7)</f>
        <v>338508.73000000004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3573</v>
      </c>
      <c r="E6" s="16">
        <f>SUMIF('REPORTE DIARIO'!B:B,'EPR 26 JUN'!C6, 'REPORTE DIARIO'!D:D)</f>
        <v>97754.01999999999</v>
      </c>
      <c r="F6" s="16">
        <f>J6*D6</f>
        <v>224588.57142857142</v>
      </c>
      <c r="G6" s="16">
        <f>+E6-F6</f>
        <v>-126834.55142857143</v>
      </c>
      <c r="H6" s="15">
        <f>ABS(G6/F6)</f>
        <v>0.56474178815866471</v>
      </c>
      <c r="I6" s="16">
        <f>E6/D6</f>
        <v>27.359087601455357</v>
      </c>
      <c r="J6" s="16">
        <f>(220/7)*2</f>
        <v>62.857142857142854</v>
      </c>
      <c r="K6" s="16">
        <f>+I6-J6</f>
        <v>-35.498055255687497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14791</v>
      </c>
      <c r="E7" s="16">
        <f>SUMIF('REPORTE DIARIO'!B:B,'EPR 26 JUN'!C7, 'REPORTE DIARIO'!D:D)</f>
        <v>1382381.87</v>
      </c>
      <c r="F7" s="16">
        <f>J7*D7</f>
        <v>464860</v>
      </c>
      <c r="G7" s="16">
        <f>+E7-F7</f>
        <v>917521.87000000011</v>
      </c>
      <c r="H7" s="15">
        <f>ABS(G7/F7)</f>
        <v>1.9737595620186725</v>
      </c>
      <c r="I7" s="16">
        <f>E7/D7</f>
        <v>93.461014806301137</v>
      </c>
      <c r="J7" s="16">
        <f>(110/7)*2</f>
        <v>31.428571428571427</v>
      </c>
      <c r="K7" s="16">
        <f t="shared" ref="K7:K9" si="0">+I7-J7</f>
        <v>62.032443377729706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12399</v>
      </c>
      <c r="E8" s="16">
        <f>SUMIF('REPORTE DIARIO'!B:B,'EPR 26 JUN'!C8, 'REPORTE DIARIO'!D:D)</f>
        <v>307919.5</v>
      </c>
      <c r="F8" s="16">
        <f>J8*D8</f>
        <v>159415.71428571429</v>
      </c>
      <c r="G8" s="16">
        <f>+E8-F8</f>
        <v>148503.78571428571</v>
      </c>
      <c r="H8" s="15">
        <f>ABS(G8/F8)</f>
        <v>0.93155048346192793</v>
      </c>
      <c r="I8" s="16">
        <f>E8/D8</f>
        <v>24.834220501653359</v>
      </c>
      <c r="J8" s="16">
        <f>(45/7)*2</f>
        <v>12.857142857142858</v>
      </c>
      <c r="K8" s="16">
        <f t="shared" si="0"/>
        <v>11.977077644510501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67322</v>
      </c>
      <c r="E9" s="16">
        <f>SUMIF('REPORTE DIARIO'!B:B,'EPR 26 JUN'!C9, 'REPORTE DIARIO'!D:D)</f>
        <v>692266.7300000001</v>
      </c>
      <c r="F9" s="16">
        <f>J9*D9</f>
        <v>288522.85714285716</v>
      </c>
      <c r="G9" s="16">
        <f>+E9-F9</f>
        <v>403743.87285714294</v>
      </c>
      <c r="H9" s="15">
        <f>ABS(G9/F9)</f>
        <v>1.399347964508878</v>
      </c>
      <c r="I9" s="16">
        <f>E9/D9</f>
        <v>10.282919847895192</v>
      </c>
      <c r="J9" s="16">
        <f>(15/7)*2</f>
        <v>4.2857142857142856</v>
      </c>
      <c r="K9" s="16">
        <f t="shared" si="0"/>
        <v>5.9972055621809064</v>
      </c>
    </row>
    <row r="10" spans="2:12" x14ac:dyDescent="0.25">
      <c r="B10" s="16"/>
      <c r="C10" s="19" t="s">
        <v>16</v>
      </c>
      <c r="D10" s="24">
        <f>SUM(D6:D9)</f>
        <v>98085</v>
      </c>
      <c r="E10" s="20">
        <f>SUM(E6:E9)</f>
        <v>2480322.12</v>
      </c>
      <c r="F10" s="20">
        <f>SUM(F6:F9)</f>
        <v>1137387.1428571427</v>
      </c>
      <c r="G10" s="20">
        <f>+E10-F10</f>
        <v>1342934.9771428574</v>
      </c>
      <c r="H10" s="21">
        <f>ABS(G10/F10)</f>
        <v>1.1807193228590345</v>
      </c>
      <c r="I10" s="20">
        <f>E10/D10</f>
        <v>25.287476372534027</v>
      </c>
      <c r="J10" s="20">
        <f>F10/D10</f>
        <v>11.595933556172124</v>
      </c>
      <c r="K10" s="20">
        <f>I10-J10</f>
        <v>13.691542816361903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2025-09-05T16:07:37Z</cp:lastPrinted>
  <dcterms:created xsi:type="dcterms:W3CDTF">2025-01-27T15:11:28Z</dcterms:created>
  <dcterms:modified xsi:type="dcterms:W3CDTF">2025-09-28T03:39:47Z</dcterms:modified>
</cp:coreProperties>
</file>