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5\17 JUN\MAÑANA\"/>
    </mc:Choice>
  </mc:AlternateContent>
  <xr:revisionPtr revIDLastSave="0" documentId="13_ncr:1_{CB5E0796-53B1-4B79-8EB7-74667E8DB7D0}" xr6:coauthVersionLast="47" xr6:coauthVersionMax="47" xr10:uidLastSave="{00000000-0000-0000-0000-000000000000}"/>
  <bookViews>
    <workbookView xWindow="28665" yWindow="15480" windowWidth="9945" windowHeight="5400" xr2:uid="{4DC6C92A-CD8A-4966-829B-0B6A986E825B}"/>
  </bookViews>
  <sheets>
    <sheet name="REPORTE DIARIO" sheetId="1" r:id="rId1"/>
    <sheet name="DATA" sheetId="4" r:id="rId2"/>
    <sheet name="EPR 17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44" i="1"/>
  <c r="C28" i="1" l="1"/>
  <c r="D28" i="1"/>
  <c r="D19" i="1"/>
  <c r="C19" i="1"/>
  <c r="D6" i="3"/>
  <c r="D57" i="1"/>
  <c r="C57" i="1"/>
  <c r="D44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<sst xmlns="http://schemas.openxmlformats.org/spreadsheetml/2006/main" count="89" uniqueCount="37">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</sst>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3" fontId="0" fillId="0" borderId="1" xfId="0" applyNumberFormat="1" applyFon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7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3161</v>
      </c>
      <c r="D5" s="25">
        <v>183525.87</v>
      </c>
    </row>
    <row r="6" spans="2:8" x14ac:dyDescent="0.25">
      <c r="B6" s="1" t="s">
        <v>5</v>
      </c>
      <c r="C6" s="6">
        <v>3720</v>
      </c>
      <c r="D6" s="25">
        <v>65524.140000000007</v>
      </c>
    </row>
    <row r="7" spans="2:8" x14ac:dyDescent="0.25">
      <c r="B7" s="1" t="s">
        <v>6</v>
      </c>
      <c r="C7" s="6">
        <v>6470</v>
      </c>
      <c r="D7" s="25">
        <v>60840.189999999995</v>
      </c>
    </row>
    <row r="8" spans="2:8" x14ac:dyDescent="0.25">
      <c r="B8" s="5" t="s">
        <v>12</v>
      </c>
      <c r="C8" s="7">
        <v>11</v>
      </c>
      <c r="D8" s="29">
        <v>0</v>
      </c>
    </row>
    <row r="9" spans="2:8" x14ac:dyDescent="0.25">
      <c r="B9" s="1" t="s">
        <v>7</v>
      </c>
      <c r="C9" s="6">
        <v>12657</v>
      </c>
      <c r="D9" s="25">
        <v>73506.860000000015</v>
      </c>
      <c r="E9" s="14"/>
      <c r="F9" s="7"/>
    </row>
    <row r="10" spans="2:8" x14ac:dyDescent="0.25">
      <c r="B10" s="3" t="s">
        <v>8</v>
      </c>
      <c r="C10" s="8">
        <f>SUM(C5:C9)</f>
        <v>26019</v>
      </c>
      <c r="D10" s="4">
        <f>SUM(D5:D9)</f>
        <v>383397.06000000006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3207</v>
      </c>
      <c r="D14" s="25">
        <v>60714.700000000004</v>
      </c>
    </row>
    <row r="15" spans="2:8" x14ac:dyDescent="0.25">
      <c r="B15" s="9" t="s">
        <v>5</v>
      </c>
      <c r="C15" s="6">
        <v>1578</v>
      </c>
      <c r="D15" s="25">
        <v>16511.04</v>
      </c>
    </row>
    <row r="16" spans="2:8" x14ac:dyDescent="0.25">
      <c r="B16" s="9" t="s">
        <v>6</v>
      </c>
      <c r="C16" s="6">
        <v>2081</v>
      </c>
      <c r="D16" s="25">
        <v>17291.830000000002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16855</v>
      </c>
      <c r="D18" s="25">
        <v>45294.01</v>
      </c>
    </row>
    <row r="19" spans="2:4" x14ac:dyDescent="0.25">
      <c r="B19" s="10" t="s">
        <v>8</v>
      </c>
      <c r="C19" s="8">
        <f>SUM(C14:C18)</f>
        <v>23722</v>
      </c>
      <c r="D19" s="4">
        <f>SUM(D14:D18)</f>
        <v>139811.58000000002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2706</v>
      </c>
      <c r="D23" s="25">
        <v>76489</v>
      </c>
    </row>
    <row r="24" spans="2:4" x14ac:dyDescent="0.25">
      <c r="B24" s="1" t="s">
        <v>5</v>
      </c>
      <c r="C24" s="6">
        <v>1905</v>
      </c>
      <c r="D24" s="25">
        <v>11759</v>
      </c>
    </row>
    <row r="25" spans="2:4" x14ac:dyDescent="0.25">
      <c r="B25" s="1" t="s">
        <v>6</v>
      </c>
      <c r="C25" s="6">
        <v>2633</v>
      </c>
      <c r="D25" s="25">
        <v>35070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12629</v>
      </c>
      <c r="D27" s="25">
        <v>11364</v>
      </c>
    </row>
    <row r="28" spans="2:4" x14ac:dyDescent="0.25">
      <c r="B28" s="3" t="s">
        <v>8</v>
      </c>
      <c r="C28" s="8">
        <f>SUM(C23:C27)</f>
        <v>19873</v>
      </c>
      <c r="D28" s="4">
        <f>SUM(D23:D27)</f>
        <v>134682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496</v>
      </c>
      <c r="D32" s="25">
        <v>29366.13</v>
      </c>
    </row>
    <row r="33" spans="2:4" x14ac:dyDescent="0.25">
      <c r="B33" s="9" t="s">
        <v>5</v>
      </c>
      <c r="C33" s="6">
        <v>2858</v>
      </c>
      <c r="D33" s="25">
        <v>48886.42</v>
      </c>
    </row>
    <row r="34" spans="2:4" x14ac:dyDescent="0.25">
      <c r="B34" s="9" t="s">
        <v>6</v>
      </c>
      <c r="C34" s="6">
        <v>362</v>
      </c>
      <c r="D34" s="25">
        <v>594</v>
      </c>
    </row>
    <row r="35" spans="2:4" x14ac:dyDescent="0.25">
      <c r="B35" s="9" t="s">
        <v>7</v>
      </c>
      <c r="C35" s="6">
        <v>4001</v>
      </c>
      <c r="D35" s="25">
        <v>1050</v>
      </c>
    </row>
    <row r="36" spans="2:4" x14ac:dyDescent="0.25">
      <c r="B36" s="10" t="s">
        <v>8</v>
      </c>
      <c r="C36" s="8">
        <f>SUM(C32:C35)</f>
        <v>7717</v>
      </c>
      <c r="D36" s="4">
        <f>SUM(D32:D35)</f>
        <v>79896.55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580</v>
      </c>
      <c r="D40" s="25">
        <v>4892</v>
      </c>
    </row>
    <row r="41" spans="2:4" x14ac:dyDescent="0.25">
      <c r="B41" s="1" t="s">
        <v>5</v>
      </c>
      <c r="C41" s="6">
        <v>606</v>
      </c>
      <c r="D41" s="25">
        <v>640</v>
      </c>
    </row>
    <row r="42" spans="2:4" x14ac:dyDescent="0.25">
      <c r="B42" s="1" t="s">
        <v>6</v>
      </c>
      <c r="C42" s="6">
        <v>776</v>
      </c>
      <c r="D42" s="25">
        <v>16201</v>
      </c>
    </row>
    <row r="43" spans="2:4" x14ac:dyDescent="0.25">
      <c r="B43" s="1" t="s">
        <v>7</v>
      </c>
      <c r="C43" s="6">
        <v>2426</v>
      </c>
      <c r="D43" s="25">
        <v>2468</v>
      </c>
    </row>
    <row r="44" spans="2:4" x14ac:dyDescent="0.25">
      <c r="B44" s="3" t="s">
        <v>8</v>
      </c>
      <c r="C44" s="8">
        <f>SUM(C40:C43)</f>
        <v>4388</v>
      </c>
      <c r="D44" s="4">
        <f>SUM(D40:D43)</f>
        <v>24201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2438</v>
      </c>
      <c r="D48" s="25">
        <v>12805</v>
      </c>
    </row>
    <row r="49" spans="2:4" x14ac:dyDescent="0.25">
      <c r="B49" s="10" t="s">
        <v>8</v>
      </c>
      <c r="C49" s="8">
        <f>SUM(C48:C48)</f>
        <v>2438</v>
      </c>
      <c r="D49" s="4">
        <f>SUM(D48:D48)</f>
        <v>12805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2282</v>
      </c>
      <c r="D53" s="25">
        <v>9540.619999999999</v>
      </c>
    </row>
    <row r="54" spans="2:4" x14ac:dyDescent="0.25">
      <c r="B54" s="1" t="s">
        <v>5</v>
      </c>
      <c r="C54" s="6">
        <v>1489</v>
      </c>
      <c r="D54" s="25">
        <v>1156</v>
      </c>
    </row>
    <row r="55" spans="2:4" x14ac:dyDescent="0.25">
      <c r="B55" s="1" t="s">
        <v>6</v>
      </c>
      <c r="C55" s="6">
        <v>2014</v>
      </c>
      <c r="D55" s="25">
        <v>1000</v>
      </c>
    </row>
    <row r="56" spans="2:4" x14ac:dyDescent="0.25">
      <c r="B56" s="1" t="s">
        <v>7</v>
      </c>
      <c r="C56" s="6">
        <v>1864</v>
      </c>
      <c r="D56" s="25">
        <v>1084</v>
      </c>
    </row>
    <row r="57" spans="2:4" x14ac:dyDescent="0.25">
      <c r="B57" s="3" t="s">
        <v>8</v>
      </c>
      <c r="C57" s="8">
        <f>SUM(C53:C56)</f>
        <v>7649</v>
      </c>
      <c r="D57" s="4">
        <f>SUM(D53:D56)</f>
        <v>12780.619999999999</v>
      </c>
    </row>
    <row r="59" spans="2:4" x14ac:dyDescent="0.25">
      <c r="B59" s="12" t="s">
        <v>13</v>
      </c>
      <c r="C59" s="13">
        <f>SUM(C10+C19+C36+C49+C28+C44+C57)</f>
        <v>91806</v>
      </c>
      <c r="D59" s="13">
        <f>SUM(D10+D19+D36+D49+D28+D44+D57)</f>
        <v>787573.81</v>
      </c>
    </row>
  </sheetData>
  <mergeCells count="7">
    <mergeCell ref="B46:D46"/>
    <mergeCell ref="B51:D51"/>
    <mergeCell ref="B21:D21"/>
    <mergeCell ref="B38:D38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17 JUN'!C6, 'REPORTE DIARIO'!C:C)</f>
        <v>14870</v>
      </c>
      <c r="E6" s="16">
        <f>SUMIF('REPORTE DIARIO'!B:B,'EPR 17 JUN'!C6, 'REPORTE DIARIO'!D:D)</f>
        <v>377333.32</v>
      </c>
      <c r="F6" s="16">
        <f>J6*D6</f>
        <v>934685.7142857142</v>
      </c>
      <c r="G6" s="16">
        <f>+E6-F6</f>
        <v>-557352.39428571425</v>
      </c>
      <c r="H6" s="15">
        <f>ABS(G6/F6)</f>
        <v>0.59629925414195761</v>
      </c>
      <c r="I6" s="16">
        <f>E6/D6</f>
        <v>25.375475453934097</v>
      </c>
      <c r="J6" s="16">
        <f>(220/7)*2</f>
        <v>62.857142857142854</v>
      </c>
      <c r="K6" s="16">
        <f>+I6-J6</f>
        <v>-37.48166740320876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17 JUN'!C7, 'REPORTE DIARIO'!C:C)</f>
        <v>12156</v>
      </c>
      <c r="E7" s="16">
        <f>SUMIF('REPORTE DIARIO'!B:B,'EPR 17 JUN'!C7, 'REPORTE DIARIO'!D:D)</f>
        <v>144476.6</v>
      </c>
      <c r="F7" s="16">
        <f>J7*D7</f>
        <v>382045.71428571426</v>
      </c>
      <c r="G7" s="16">
        <f>+E7-F7</f>
        <v>-237569.11428571425</v>
      </c>
      <c r="H7" s="15">
        <f>ABS(G7/F7)</f>
        <v>0.62183426067187164</v>
      </c>
      <c r="I7" s="16">
        <f>E7/D7</f>
        <v>11.885208950312604</v>
      </c>
      <c r="J7" s="16">
        <f>(110/7)*2</f>
        <v>31.428571428571427</v>
      </c>
      <c r="K7" s="16">
        <f t="shared" ref="K7:K9" si="0">+I7-J7</f>
        <v>-19.543362478258821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17 JUN'!C8, 'REPORTE DIARIO'!C:C)</f>
        <v>14336</v>
      </c>
      <c r="E8" s="16">
        <f>SUMIF('REPORTE DIARIO'!B:B,'EPR 17 JUN'!C8, 'REPORTE DIARIO'!D:D)</f>
        <v>130997.01999999999</v>
      </c>
      <c r="F8" s="16">
        <f>J8*D8</f>
        <v>184320</v>
      </c>
      <c r="G8" s="16">
        <f>+E8-F8</f>
        <v>-53322.98000000001</v>
      </c>
      <c r="H8" s="15">
        <f>ABS(G8/F8)</f>
        <v>0.28929568142361117</v>
      </c>
      <c r="I8" s="16">
        <f>E8/D8</f>
        <v>9.1376269531249985</v>
      </c>
      <c r="J8" s="16">
        <f>(45/7)*2</f>
        <v>12.857142857142858</v>
      </c>
      <c r="K8" s="16">
        <f t="shared" si="0"/>
        <v>-3.7195159040178591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17 JUN'!C9, 'REPORTE DIARIO'!C:C)</f>
        <v>50432</v>
      </c>
      <c r="E9" s="16">
        <f>SUMIF('REPORTE DIARIO'!B:B,'EPR 17 JUN'!C9, 'REPORTE DIARIO'!D:D)</f>
        <v>134766.87000000002</v>
      </c>
      <c r="F9" s="16">
        <f>J9*D9</f>
        <v>216137.14285714284</v>
      </c>
      <c r="G9" s="16">
        <f>+E9-F9</f>
        <v>-81370.272857142816</v>
      </c>
      <c r="H9" s="15">
        <f>ABS(G9/F9)</f>
        <v>0.37647519432106585</v>
      </c>
      <c r="I9" s="16">
        <f>E9/D9</f>
        <v>2.672249167195432</v>
      </c>
      <c r="J9" s="16">
        <f>(15/7)*2</f>
        <v>4.2857142857142856</v>
      </c>
      <c r="K9" s="16">
        <f t="shared" si="0"/>
        <v>-1.6134651185188535</v>
      </c>
    </row>
    <row r="10" spans="2:12" x14ac:dyDescent="0.25">
      <c r="B10" s="16"/>
      <c r="C10" s="19" t="s">
        <v>17</v>
      </c>
      <c r="D10" s="24">
        <f>SUM(D6:D9)</f>
        <v>91794</v>
      </c>
      <c r="E10" s="20">
        <f>SUM(E6:E9)</f>
        <v>787573.81</v>
      </c>
      <c r="F10" s="20">
        <f>SUM(F6:F9)</f>
        <v>1717188.5714285714</v>
      </c>
      <c r="G10" s="20">
        <f>+E10-F10</f>
        <v>-929614.76142857131</v>
      </c>
      <c r="H10" s="21">
        <f>ABS(G10/F10)</f>
        <v>0.54135857697632006</v>
      </c>
      <c r="I10" s="20">
        <f>E10/D10</f>
        <v>8.5797961740418778</v>
      </c>
      <c r="J10" s="20">
        <f>F10/D10</f>
        <v>18.706980537165517</v>
      </c>
      <c r="K10" s="20">
        <f>I10-J10</f>
        <v>-10.127184363123639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2025-06-17T15:09:25Z</dcterms:modified>
</cp:coreProperties>
</file>