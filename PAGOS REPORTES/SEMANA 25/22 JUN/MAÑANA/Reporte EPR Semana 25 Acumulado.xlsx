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5\22 JUN\MAÑANA\"/>
    </mc:Choice>
  </mc:AlternateContent>
  <xr:revisionPtr revIDLastSave="0" documentId="13_ncr:1_{31B77419-09E2-4D6D-A537-6664FBB2C7C6}" xr6:coauthVersionLast="47" xr6:coauthVersionMax="47" xr10:uidLastSave="{00000000-0000-0000-0000-000000000000}"/>
  <bookViews>
    <workbookView xWindow="1125" yWindow="1125" windowWidth="19860" windowHeight="19530" xr2:uid="{4DC6C92A-CD8A-4966-829B-0B6A986E825B}"/>
  </bookViews>
  <sheets>
    <sheet name="REPORTE DIARIO" sheetId="1" r:id="rId1"/>
    <sheet name="DATA" sheetId="4" r:id="rId2"/>
    <sheet name="EPR 22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28" i="1" l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<sst xmlns="http://schemas.openxmlformats.org/spreadsheetml/2006/main" count="89" uniqueCount="37">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</sst>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4" zoomScaleNormal="100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3229</v>
      </c>
      <c r="D5" s="25">
        <v>733504.99000000011</v>
      </c>
    </row>
    <row r="6" spans="2:8" x14ac:dyDescent="0.25">
      <c r="B6" s="1" t="s">
        <v>5</v>
      </c>
      <c r="C6" s="6">
        <v>3778</v>
      </c>
      <c r="D6" s="25">
        <v>370718.64</v>
      </c>
    </row>
    <row r="7" spans="2:8" x14ac:dyDescent="0.25">
      <c r="B7" s="1" t="s">
        <v>6</v>
      </c>
      <c r="C7" s="6">
        <v>5797</v>
      </c>
      <c r="D7" s="25">
        <v>253728.14999999997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14075</v>
      </c>
      <c r="D9" s="25">
        <v>361144.96</v>
      </c>
      <c r="E9" s="14"/>
      <c r="F9" s="7"/>
    </row>
    <row r="10" spans="2:8" x14ac:dyDescent="0.25">
      <c r="B10" s="3" t="s">
        <v>8</v>
      </c>
      <c r="C10" s="8">
        <f>SUM(C5:C9)</f>
        <v>26890</v>
      </c>
      <c r="D10" s="4">
        <f>SUM(D5:D9)</f>
        <v>1719096.74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3089</v>
      </c>
      <c r="D14" s="25">
        <v>279512.63</v>
      </c>
    </row>
    <row r="15" spans="2:8" x14ac:dyDescent="0.25">
      <c r="B15" s="9" t="s">
        <v>5</v>
      </c>
      <c r="C15" s="6">
        <v>1582</v>
      </c>
      <c r="D15" s="25">
        <v>186510.32</v>
      </c>
    </row>
    <row r="16" spans="2:8" x14ac:dyDescent="0.25">
      <c r="B16" s="9" t="s">
        <v>6</v>
      </c>
      <c r="C16" s="6">
        <v>2136</v>
      </c>
      <c r="D16" s="25">
        <v>43310.270000000004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17220</v>
      </c>
      <c r="D18" s="25">
        <v>89641.63</v>
      </c>
    </row>
    <row r="19" spans="2:4" x14ac:dyDescent="0.25">
      <c r="B19" s="10" t="s">
        <v>8</v>
      </c>
      <c r="C19" s="8">
        <f>SUM(C14:C18)</f>
        <v>24028</v>
      </c>
      <c r="D19" s="4">
        <f>SUM(D14:D18)</f>
        <v>599013.85000000009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2546</v>
      </c>
      <c r="D23" s="25">
        <v>235143.37</v>
      </c>
    </row>
    <row r="24" spans="2:4" x14ac:dyDescent="0.25">
      <c r="B24" s="1" t="s">
        <v>5</v>
      </c>
      <c r="C24" s="6">
        <v>1606</v>
      </c>
      <c r="D24" s="25">
        <v>55699</v>
      </c>
    </row>
    <row r="25" spans="2:4" x14ac:dyDescent="0.25">
      <c r="B25" s="1" t="s">
        <v>6</v>
      </c>
      <c r="C25" s="6">
        <v>2165</v>
      </c>
      <c r="D25" s="25">
        <v>100304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12689</v>
      </c>
      <c r="D27" s="25">
        <v>102667.44</v>
      </c>
    </row>
    <row r="28" spans="2:4" x14ac:dyDescent="0.25">
      <c r="B28" s="3" t="s">
        <v>8</v>
      </c>
      <c r="C28" s="8">
        <f>SUM(C23:C27)</f>
        <v>19006</v>
      </c>
      <c r="D28" s="4">
        <f>SUM(D23:D27)</f>
        <v>493813.81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490</v>
      </c>
      <c r="D32" s="25">
        <v>115527.43000000001</v>
      </c>
    </row>
    <row r="33" spans="2:4" x14ac:dyDescent="0.25">
      <c r="B33" s="9" t="s">
        <v>5</v>
      </c>
      <c r="C33" s="6">
        <v>3046</v>
      </c>
      <c r="D33" s="25">
        <v>178889.01</v>
      </c>
    </row>
    <row r="34" spans="2:4" x14ac:dyDescent="0.25">
      <c r="B34" s="9" t="s">
        <v>6</v>
      </c>
      <c r="C34" s="6">
        <v>479</v>
      </c>
      <c r="D34" s="25">
        <v>13074</v>
      </c>
    </row>
    <row r="35" spans="2:4" x14ac:dyDescent="0.25">
      <c r="B35" s="9" t="s">
        <v>7</v>
      </c>
      <c r="C35" s="6">
        <v>4018</v>
      </c>
      <c r="D35" s="25">
        <v>25416.76</v>
      </c>
    </row>
    <row r="36" spans="2:4" x14ac:dyDescent="0.25">
      <c r="B36" s="10" t="s">
        <v>8</v>
      </c>
      <c r="C36" s="8">
        <f>SUM(C32:C35)</f>
        <v>8033</v>
      </c>
      <c r="D36" s="4">
        <f>SUM(D32:D35)</f>
        <v>332907.2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2248</v>
      </c>
      <c r="D40" s="25">
        <v>121099.93000000001</v>
      </c>
    </row>
    <row r="41" spans="2:4" x14ac:dyDescent="0.25">
      <c r="B41" s="1" t="s">
        <v>5</v>
      </c>
      <c r="C41" s="6">
        <v>1279</v>
      </c>
      <c r="D41" s="25">
        <v>61558.83</v>
      </c>
    </row>
    <row r="42" spans="2:4" x14ac:dyDescent="0.25">
      <c r="B42" s="1" t="s">
        <v>6</v>
      </c>
      <c r="C42" s="6">
        <v>1672</v>
      </c>
      <c r="D42" s="25">
        <v>18135</v>
      </c>
    </row>
    <row r="43" spans="2:4" x14ac:dyDescent="0.25">
      <c r="B43" s="1" t="s">
        <v>7</v>
      </c>
      <c r="C43" s="6">
        <v>1866</v>
      </c>
      <c r="D43" s="25">
        <v>13027</v>
      </c>
    </row>
    <row r="44" spans="2:4" x14ac:dyDescent="0.25">
      <c r="B44" s="3" t="s">
        <v>8</v>
      </c>
      <c r="C44" s="8">
        <f>SUM(C40:C43)</f>
        <v>7065</v>
      </c>
      <c r="D44" s="4">
        <f>SUM(D40:D43)</f>
        <v>213820.76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574</v>
      </c>
      <c r="D48" s="25">
        <v>19751</v>
      </c>
    </row>
    <row r="49" spans="2:4" x14ac:dyDescent="0.25">
      <c r="B49" s="1" t="s">
        <v>5</v>
      </c>
      <c r="C49" s="6">
        <v>415</v>
      </c>
      <c r="D49" s="25">
        <v>6675</v>
      </c>
    </row>
    <row r="50" spans="2:4" x14ac:dyDescent="0.25">
      <c r="B50" s="1" t="s">
        <v>6</v>
      </c>
      <c r="C50" s="6">
        <v>617</v>
      </c>
      <c r="D50" s="25">
        <v>18982</v>
      </c>
    </row>
    <row r="51" spans="2:4" x14ac:dyDescent="0.25">
      <c r="B51" s="1" t="s">
        <v>7</v>
      </c>
      <c r="C51" s="6">
        <v>2426</v>
      </c>
      <c r="D51" s="25">
        <v>17388.480000000003</v>
      </c>
    </row>
    <row r="52" spans="2:4" x14ac:dyDescent="0.25">
      <c r="B52" s="3" t="s">
        <v>8</v>
      </c>
      <c r="C52" s="8">
        <f>SUM(C48:C51)</f>
        <v>4032</v>
      </c>
      <c r="D52" s="4">
        <f>SUM(D48:D51)</f>
        <v>62796.480000000003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1949</v>
      </c>
      <c r="D56" s="25">
        <v>56277</v>
      </c>
    </row>
    <row r="57" spans="2:4" x14ac:dyDescent="0.25">
      <c r="B57" s="10" t="s">
        <v>8</v>
      </c>
      <c r="C57" s="8">
        <f>SUM(C56:C56)</f>
        <v>1949</v>
      </c>
      <c r="D57" s="4">
        <f>SUM(D56:D56)</f>
        <v>56277</v>
      </c>
    </row>
    <row r="59" spans="2:4" x14ac:dyDescent="0.25">
      <c r="B59" s="12" t="s">
        <v>13</v>
      </c>
      <c r="C59" s="13">
        <f>SUM(C10+C19+C36+C57+C28+C52+C44)</f>
        <v>91003</v>
      </c>
      <c r="D59" s="13">
        <f>SUM(D10+D19+D36+D57+D28+D52+D44)</f>
        <v>3477725.84</v>
      </c>
    </row>
  </sheetData>
  <mergeCells count="7">
    <mergeCell ref="B54:D54"/>
    <mergeCell ref="B38:D38"/>
    <mergeCell ref="B21:D21"/>
    <mergeCell ref="B46:D46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22 JUN'!C6, 'REPORTE DIARIO'!C:C)</f>
        <v>14125</v>
      </c>
      <c r="E6" s="16">
        <f>SUMIF('REPORTE DIARIO'!B:B,'EPR 22 JUN'!C6, 'REPORTE DIARIO'!D:D)</f>
        <v>1560816.35</v>
      </c>
      <c r="F6" s="16">
        <f>J6*D6</f>
        <v>2663571.4285714282</v>
      </c>
      <c r="G6" s="16">
        <f>+E6-F6</f>
        <v>-1102755.0785714281</v>
      </c>
      <c r="H6" s="15">
        <f>ABS(G6/F6)</f>
        <v>0.41401370608742277</v>
      </c>
      <c r="I6" s="16">
        <f>E6/D6</f>
        <v>110.50027256637169</v>
      </c>
      <c r="J6" s="16">
        <f>(220/7)*6</f>
        <v>188.57142857142856</v>
      </c>
      <c r="K6" s="16">
        <f>+I6-J6</f>
        <v>-78.071156005056864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22 JUN'!C7, 'REPORTE DIARIO'!C:C)</f>
        <v>11706</v>
      </c>
      <c r="E7" s="16">
        <f>SUMIF('REPORTE DIARIO'!B:B,'EPR 22 JUN'!C7, 'REPORTE DIARIO'!D:D)</f>
        <v>860050.79999999993</v>
      </c>
      <c r="F7" s="16">
        <f>J7*D7</f>
        <v>1103708.5714285714</v>
      </c>
      <c r="G7" s="16">
        <f>+E7-F7</f>
        <v>-243657.77142857143</v>
      </c>
      <c r="H7" s="15">
        <f>ABS(G7/F7)</f>
        <v>0.22076277899445507</v>
      </c>
      <c r="I7" s="16">
        <f>E7/D7</f>
        <v>73.470937980522805</v>
      </c>
      <c r="J7" s="16">
        <f>(110/7)*6</f>
        <v>94.285714285714278</v>
      </c>
      <c r="K7" s="16">
        <f t="shared" ref="K7:K9" si="0">+I7-J7</f>
        <v>-20.814776305191472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22 JUN'!C8, 'REPORTE DIARIO'!C:C)</f>
        <v>12866</v>
      </c>
      <c r="E8" s="16">
        <f>SUMIF('REPORTE DIARIO'!B:B,'EPR 22 JUN'!C8, 'REPORTE DIARIO'!D:D)</f>
        <v>447533.42</v>
      </c>
      <c r="F8" s="16">
        <f>J8*D8</f>
        <v>496260</v>
      </c>
      <c r="G8" s="16">
        <f>+E8-F8</f>
        <v>-48726.580000000016</v>
      </c>
      <c r="H8" s="15">
        <f>ABS(G8/F8)</f>
        <v>9.8187603272478163E-2</v>
      </c>
      <c r="I8" s="16">
        <f>E8/D8</f>
        <v>34.784192445204411</v>
      </c>
      <c r="J8" s="16">
        <f>(45/7)*6</f>
        <v>38.571428571428569</v>
      </c>
      <c r="K8" s="16">
        <f t="shared" si="0"/>
        <v>-3.7872361262241583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22 JUN'!C9, 'REPORTE DIARIO'!C:C)</f>
        <v>52294</v>
      </c>
      <c r="E9" s="16">
        <f>SUMIF('REPORTE DIARIO'!B:B,'EPR 22 JUN'!C9, 'REPORTE DIARIO'!D:D)</f>
        <v>609286.27</v>
      </c>
      <c r="F9" s="16">
        <f>J9*D9</f>
        <v>672351.42857142864</v>
      </c>
      <c r="G9" s="16">
        <f>+E9-F9</f>
        <v>-63065.158571428619</v>
      </c>
      <c r="H9" s="15">
        <f>ABS(G9/F9)</f>
        <v>9.3797909681586647E-2</v>
      </c>
      <c r="I9" s="16">
        <f>E9/D9</f>
        <v>11.651169732665316</v>
      </c>
      <c r="J9" s="16">
        <f>(15/7)*6</f>
        <v>12.857142857142858</v>
      </c>
      <c r="K9" s="16">
        <f t="shared" si="0"/>
        <v>-1.2059731244775413</v>
      </c>
    </row>
    <row r="10" spans="2:12" x14ac:dyDescent="0.25">
      <c r="B10" s="16"/>
      <c r="C10" s="19" t="s">
        <v>17</v>
      </c>
      <c r="D10" s="24">
        <f>SUM(D6:D9)</f>
        <v>90991</v>
      </c>
      <c r="E10" s="20">
        <f>SUM(E6:E9)</f>
        <v>3477686.84</v>
      </c>
      <c r="F10" s="20">
        <f>SUM(F6:F9)</f>
        <v>4935891.4285714291</v>
      </c>
      <c r="G10" s="20">
        <f>+E10-F10</f>
        <v>-1458204.5885714293</v>
      </c>
      <c r="H10" s="21">
        <f>ABS(G10/F10)</f>
        <v>0.29542882165734147</v>
      </c>
      <c r="I10" s="20">
        <f>E10/D10</f>
        <v>38.220118912859512</v>
      </c>
      <c r="J10" s="20">
        <f>F10/D10</f>
        <v>54.245930131237472</v>
      </c>
      <c r="K10" s="20">
        <f>I10-J10</f>
        <v>-16.02581121837796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2025-06-22T16:11:26Z</dcterms:modified>
</cp:coreProperties>
</file>