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25\22 JUN\NOCHE\"/>
    </mc:Choice>
  </mc:AlternateContent>
  <xr:revisionPtr revIDLastSave="0" documentId="13_ncr:1_{01F1A415-2C0B-4178-A32B-74BA619B4A93}" xr6:coauthVersionLast="47" xr6:coauthVersionMax="47" xr10:uidLastSave="{00000000-0000-0000-0000-000000000000}"/>
  <bookViews>
    <workbookView xWindow="-96" yWindow="0" windowWidth="11712" windowHeight="12336" xr2:uid="{4DC6C92A-CD8A-4966-829B-0B6A986E825B}"/>
  </bookViews>
  <sheets>
    <sheet name="REPORTE DIARIO" sheetId="1" r:id="rId1"/>
    <sheet name="DATA" sheetId="4" r:id="rId2"/>
    <sheet name="EPR 22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2" i="1"/>
  <c r="C28" i="1" l="1"/>
  <c r="D28" i="1"/>
  <c r="D19" i="1"/>
  <c r="C19" i="1"/>
  <c r="D6" i="3"/>
  <c r="D44" i="1"/>
  <c r="C44" i="1"/>
  <c r="D52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<sst xmlns="http://schemas.openxmlformats.org/spreadsheetml/2006/main" count="89" uniqueCount="37">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</sst>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41" zoomScaleNormal="100" workbookViewId="0">
      <selection activeCell="C57" sqref="C57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8" t="s">
        <v>0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3244</v>
      </c>
      <c r="D5" s="25">
        <v>852163.87000000011</v>
      </c>
    </row>
    <row r="6" spans="2:8" x14ac:dyDescent="0.3">
      <c r="B6" s="1" t="s">
        <v>5</v>
      </c>
      <c r="C6" s="6">
        <v>3794</v>
      </c>
      <c r="D6" s="25">
        <v>516671.64</v>
      </c>
    </row>
    <row r="7" spans="2:8" x14ac:dyDescent="0.3">
      <c r="B7" s="1" t="s">
        <v>6</v>
      </c>
      <c r="C7" s="6">
        <v>5808</v>
      </c>
      <c r="D7" s="25">
        <v>304940.15000000002</v>
      </c>
    </row>
    <row r="8" spans="2:8" x14ac:dyDescent="0.3">
      <c r="B8" s="5" t="s">
        <v>12</v>
      </c>
      <c r="C8" s="7">
        <v>11</v>
      </c>
      <c r="D8" s="26">
        <v>0</v>
      </c>
    </row>
    <row r="9" spans="2:8" x14ac:dyDescent="0.3">
      <c r="B9" s="1" t="s">
        <v>7</v>
      </c>
      <c r="C9" s="6">
        <v>14670</v>
      </c>
      <c r="D9" s="25">
        <v>411729.96</v>
      </c>
      <c r="E9" s="14"/>
      <c r="F9" s="7"/>
    </row>
    <row r="10" spans="2:8" x14ac:dyDescent="0.3">
      <c r="B10" s="3" t="s">
        <v>8</v>
      </c>
      <c r="C10" s="8">
        <f>SUM(C5:C9)</f>
        <v>27527</v>
      </c>
      <c r="D10" s="4">
        <f>SUM(D5:D9)</f>
        <v>2085505.62</v>
      </c>
      <c r="E10" s="11" t="s">
        <v>14</v>
      </c>
    </row>
    <row r="12" spans="2:8" x14ac:dyDescent="0.3">
      <c r="B12" s="27" t="s">
        <v>10</v>
      </c>
      <c r="C12" s="27"/>
      <c r="D12" s="27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6">
        <v>3091</v>
      </c>
      <c r="D14" s="25">
        <v>399946.67000000004</v>
      </c>
    </row>
    <row r="15" spans="2:8" x14ac:dyDescent="0.3">
      <c r="B15" s="9" t="s">
        <v>5</v>
      </c>
      <c r="C15" s="6">
        <v>1582</v>
      </c>
      <c r="D15" s="25">
        <v>198435.32</v>
      </c>
    </row>
    <row r="16" spans="2:8" x14ac:dyDescent="0.3">
      <c r="B16" s="9" t="s">
        <v>6</v>
      </c>
      <c r="C16" s="6">
        <v>2135</v>
      </c>
      <c r="D16" s="25">
        <v>47949.680000000008</v>
      </c>
    </row>
    <row r="17" spans="2:4" x14ac:dyDescent="0.3">
      <c r="B17" s="5" t="s">
        <v>12</v>
      </c>
      <c r="C17" s="7">
        <v>1</v>
      </c>
      <c r="D17" s="25">
        <v>39</v>
      </c>
    </row>
    <row r="18" spans="2:4" x14ac:dyDescent="0.3">
      <c r="B18" s="9" t="s">
        <v>7</v>
      </c>
      <c r="C18" s="6">
        <v>17300</v>
      </c>
      <c r="D18" s="25">
        <v>102915.74</v>
      </c>
    </row>
    <row r="19" spans="2:4" x14ac:dyDescent="0.3">
      <c r="B19" s="10" t="s">
        <v>8</v>
      </c>
      <c r="C19" s="8">
        <f>SUM(C14:C18)</f>
        <v>24109</v>
      </c>
      <c r="D19" s="4">
        <f>SUM(D14:D18)</f>
        <v>749286.41</v>
      </c>
    </row>
    <row r="21" spans="2:4" x14ac:dyDescent="0.3">
      <c r="B21" s="28" t="s">
        <v>30</v>
      </c>
      <c r="C21" s="28"/>
      <c r="D21" s="28"/>
    </row>
    <row r="22" spans="2:4" x14ac:dyDescent="0.3">
      <c r="B22" s="2" t="s">
        <v>1</v>
      </c>
      <c r="C22" s="2" t="s">
        <v>2</v>
      </c>
      <c r="D22" s="2" t="s">
        <v>3</v>
      </c>
    </row>
    <row r="23" spans="2:4" x14ac:dyDescent="0.3">
      <c r="B23" s="1" t="s">
        <v>4</v>
      </c>
      <c r="C23" s="6">
        <v>2565</v>
      </c>
      <c r="D23" s="25">
        <v>255260.37</v>
      </c>
    </row>
    <row r="24" spans="2:4" x14ac:dyDescent="0.3">
      <c r="B24" s="1" t="s">
        <v>5</v>
      </c>
      <c r="C24" s="6">
        <v>1605</v>
      </c>
      <c r="D24" s="25">
        <v>60892</v>
      </c>
    </row>
    <row r="25" spans="2:4" x14ac:dyDescent="0.3">
      <c r="B25" s="1" t="s">
        <v>6</v>
      </c>
      <c r="C25" s="6">
        <v>2162</v>
      </c>
      <c r="D25" s="25">
        <v>109340</v>
      </c>
    </row>
    <row r="26" spans="2:4" x14ac:dyDescent="0.3">
      <c r="B26" s="5" t="s">
        <v>12</v>
      </c>
      <c r="C26" s="7">
        <v>0</v>
      </c>
      <c r="D26" s="26">
        <v>0</v>
      </c>
    </row>
    <row r="27" spans="2:4" x14ac:dyDescent="0.3">
      <c r="B27" s="1" t="s">
        <v>7</v>
      </c>
      <c r="C27" s="6">
        <v>12689</v>
      </c>
      <c r="D27" s="25">
        <v>114681.44</v>
      </c>
    </row>
    <row r="28" spans="2:4" x14ac:dyDescent="0.3">
      <c r="B28" s="3" t="s">
        <v>8</v>
      </c>
      <c r="C28" s="8">
        <f>SUM(C23:C27)</f>
        <v>19021</v>
      </c>
      <c r="D28" s="4">
        <f>SUM(D23:D27)</f>
        <v>540173.81000000006</v>
      </c>
    </row>
    <row r="30" spans="2:4" x14ac:dyDescent="0.3">
      <c r="B30" s="28" t="s">
        <v>9</v>
      </c>
      <c r="C30" s="28"/>
      <c r="D30" s="28"/>
    </row>
    <row r="31" spans="2:4" x14ac:dyDescent="0.3">
      <c r="B31" s="2" t="s">
        <v>1</v>
      </c>
      <c r="C31" s="2" t="s">
        <v>2</v>
      </c>
      <c r="D31" s="2" t="s">
        <v>3</v>
      </c>
    </row>
    <row r="32" spans="2:4" x14ac:dyDescent="0.3">
      <c r="B32" s="9" t="s">
        <v>4</v>
      </c>
      <c r="C32" s="6">
        <v>489</v>
      </c>
      <c r="D32" s="25">
        <v>123524.44</v>
      </c>
    </row>
    <row r="33" spans="2:4" x14ac:dyDescent="0.3">
      <c r="B33" s="9" t="s">
        <v>5</v>
      </c>
      <c r="C33" s="6">
        <v>3046</v>
      </c>
      <c r="D33" s="25">
        <v>215894.95</v>
      </c>
    </row>
    <row r="34" spans="2:4" x14ac:dyDescent="0.3">
      <c r="B34" s="9" t="s">
        <v>6</v>
      </c>
      <c r="C34" s="6">
        <v>480</v>
      </c>
      <c r="D34" s="25">
        <v>14456</v>
      </c>
    </row>
    <row r="35" spans="2:4" x14ac:dyDescent="0.3">
      <c r="B35" s="9" t="s">
        <v>7</v>
      </c>
      <c r="C35" s="6">
        <v>4018</v>
      </c>
      <c r="D35" s="25">
        <v>30971.26</v>
      </c>
    </row>
    <row r="36" spans="2:4" x14ac:dyDescent="0.3">
      <c r="B36" s="10" t="s">
        <v>8</v>
      </c>
      <c r="C36" s="8">
        <f>SUM(C32:C35)</f>
        <v>8033</v>
      </c>
      <c r="D36" s="4">
        <f>SUM(D32:D35)</f>
        <v>384846.65</v>
      </c>
    </row>
    <row r="38" spans="2:4" x14ac:dyDescent="0.3">
      <c r="B38" s="28" t="s">
        <v>32</v>
      </c>
      <c r="C38" s="28"/>
      <c r="D38" s="28"/>
    </row>
    <row r="39" spans="2:4" x14ac:dyDescent="0.3">
      <c r="B39" s="2" t="s">
        <v>1</v>
      </c>
      <c r="C39" s="2" t="s">
        <v>2</v>
      </c>
      <c r="D39" s="2" t="s">
        <v>3</v>
      </c>
    </row>
    <row r="40" spans="2:4" x14ac:dyDescent="0.3">
      <c r="B40" s="9" t="s">
        <v>4</v>
      </c>
      <c r="C40" s="6">
        <v>2242</v>
      </c>
      <c r="D40" s="25">
        <v>124191.93000000001</v>
      </c>
    </row>
    <row r="41" spans="2:4" x14ac:dyDescent="0.3">
      <c r="B41" s="1" t="s">
        <v>5</v>
      </c>
      <c r="C41" s="6">
        <v>1279</v>
      </c>
      <c r="D41" s="25">
        <v>69619.83</v>
      </c>
    </row>
    <row r="42" spans="2:4" x14ac:dyDescent="0.3">
      <c r="B42" s="1" t="s">
        <v>6</v>
      </c>
      <c r="C42" s="6">
        <v>1672</v>
      </c>
      <c r="D42" s="25">
        <v>18635</v>
      </c>
    </row>
    <row r="43" spans="2:4" x14ac:dyDescent="0.3">
      <c r="B43" s="1" t="s">
        <v>7</v>
      </c>
      <c r="C43" s="6">
        <v>1866</v>
      </c>
      <c r="D43" s="25">
        <v>13512</v>
      </c>
    </row>
    <row r="44" spans="2:4" x14ac:dyDescent="0.3">
      <c r="B44" s="3" t="s">
        <v>8</v>
      </c>
      <c r="C44" s="8">
        <f>SUM(C40:C43)</f>
        <v>7059</v>
      </c>
      <c r="D44" s="4">
        <f>SUM(D40:D43)</f>
        <v>225958.76</v>
      </c>
    </row>
    <row r="46" spans="2:4" x14ac:dyDescent="0.3">
      <c r="B46" s="28" t="s">
        <v>31</v>
      </c>
      <c r="C46" s="28"/>
      <c r="D46" s="28"/>
    </row>
    <row r="47" spans="2:4" x14ac:dyDescent="0.3">
      <c r="B47" s="2" t="s">
        <v>1</v>
      </c>
      <c r="C47" s="2" t="s">
        <v>2</v>
      </c>
      <c r="D47" s="2" t="s">
        <v>3</v>
      </c>
    </row>
    <row r="48" spans="2:4" x14ac:dyDescent="0.3">
      <c r="B48" s="9" t="s">
        <v>4</v>
      </c>
      <c r="C48" s="6">
        <v>574</v>
      </c>
      <c r="D48" s="25">
        <v>22005</v>
      </c>
    </row>
    <row r="49" spans="2:4" x14ac:dyDescent="0.3">
      <c r="B49" s="1" t="s">
        <v>5</v>
      </c>
      <c r="C49" s="6">
        <v>415</v>
      </c>
      <c r="D49" s="25">
        <v>6675</v>
      </c>
    </row>
    <row r="50" spans="2:4" x14ac:dyDescent="0.3">
      <c r="B50" s="1" t="s">
        <v>6</v>
      </c>
      <c r="C50" s="6">
        <v>617</v>
      </c>
      <c r="D50" s="25">
        <v>18982</v>
      </c>
    </row>
    <row r="51" spans="2:4" x14ac:dyDescent="0.3">
      <c r="B51" s="1" t="s">
        <v>7</v>
      </c>
      <c r="C51" s="6">
        <v>2426</v>
      </c>
      <c r="D51" s="25">
        <v>18644.480000000003</v>
      </c>
    </row>
    <row r="52" spans="2:4" x14ac:dyDescent="0.3">
      <c r="B52" s="3" t="s">
        <v>8</v>
      </c>
      <c r="C52" s="8">
        <f>SUM(C48:C51)</f>
        <v>4032</v>
      </c>
      <c r="D52" s="4">
        <f>SUM(D48:D51)</f>
        <v>66306.48000000001</v>
      </c>
    </row>
    <row r="54" spans="2:4" x14ac:dyDescent="0.3">
      <c r="B54" s="27" t="s">
        <v>11</v>
      </c>
      <c r="C54" s="27"/>
      <c r="D54" s="27"/>
    </row>
    <row r="55" spans="2:4" x14ac:dyDescent="0.3">
      <c r="B55" s="4" t="s">
        <v>1</v>
      </c>
      <c r="C55" s="4" t="s">
        <v>2</v>
      </c>
      <c r="D55" s="4" t="s">
        <v>3</v>
      </c>
    </row>
    <row r="56" spans="2:4" x14ac:dyDescent="0.3">
      <c r="B56" s="9" t="s">
        <v>4</v>
      </c>
      <c r="C56" s="6">
        <v>1943</v>
      </c>
      <c r="D56" s="25">
        <v>61412</v>
      </c>
    </row>
    <row r="57" spans="2:4" x14ac:dyDescent="0.3">
      <c r="B57" s="10" t="s">
        <v>8</v>
      </c>
      <c r="C57" s="8">
        <f>SUM(C56:C56)</f>
        <v>1943</v>
      </c>
      <c r="D57" s="4">
        <f>SUM(D56:D56)</f>
        <v>61412</v>
      </c>
    </row>
    <row r="59" spans="2:4" x14ac:dyDescent="0.3">
      <c r="B59" s="12" t="s">
        <v>13</v>
      </c>
      <c r="C59" s="13">
        <f>SUM(C10+C19+C36+C57+C28+C52+C44)</f>
        <v>91724</v>
      </c>
      <c r="D59" s="13">
        <f>SUM(D10+D19+D36+D57+D28+D52+D44)</f>
        <v>4113489.7300000004</v>
      </c>
    </row>
  </sheetData>
  <mergeCells count="7">
    <mergeCell ref="B54:D54"/>
    <mergeCell ref="B38:D38"/>
    <mergeCell ref="B21:D21"/>
    <mergeCell ref="B46:D46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opLeftCell="E1" zoomScale="145" zoomScaleNormal="145" workbookViewId="0">
      <selection activeCell="J10" sqref="J10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36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34</v>
      </c>
      <c r="C6" s="16" t="s">
        <v>4</v>
      </c>
      <c r="D6" s="23">
        <f>SUMIF('REPORTE DIARIO'!B:B,'EPR 22 JUN'!C6, 'REPORTE DIARIO'!C:C)</f>
        <v>14148</v>
      </c>
      <c r="E6" s="16">
        <f>SUMIF('REPORTE DIARIO'!B:B,'EPR 22 JUN'!C6, 'REPORTE DIARIO'!D:D)</f>
        <v>1838504.28</v>
      </c>
      <c r="F6" s="16">
        <f>J6*D6</f>
        <v>3112560</v>
      </c>
      <c r="G6" s="16">
        <f>+E6-F6</f>
        <v>-1274055.72</v>
      </c>
      <c r="H6" s="15">
        <f>ABS(G6/F6)</f>
        <v>0.40932728043796746</v>
      </c>
      <c r="I6" s="16">
        <f>E6/D6</f>
        <v>129.94799830364715</v>
      </c>
      <c r="J6" s="16">
        <f>(220/7)*7</f>
        <v>220</v>
      </c>
      <c r="K6" s="16">
        <f>+I6-J6</f>
        <v>-90.052001696352846</v>
      </c>
      <c r="L6" s="15"/>
    </row>
    <row r="7" spans="2:12" x14ac:dyDescent="0.3">
      <c r="B7" s="16" t="s">
        <v>29</v>
      </c>
      <c r="C7" s="16" t="s">
        <v>5</v>
      </c>
      <c r="D7" s="23">
        <f>SUMIF('REPORTE DIARIO'!B:B,'EPR 22 JUN'!C7, 'REPORTE DIARIO'!C:C)</f>
        <v>11721</v>
      </c>
      <c r="E7" s="16">
        <f>SUMIF('REPORTE DIARIO'!B:B,'EPR 22 JUN'!C7, 'REPORTE DIARIO'!D:D)</f>
        <v>1068188.74</v>
      </c>
      <c r="F7" s="16">
        <f>J7*D7</f>
        <v>1289310</v>
      </c>
      <c r="G7" s="16">
        <f>+E7-F7</f>
        <v>-221121.26</v>
      </c>
      <c r="H7" s="15">
        <f>ABS(G7/F7)</f>
        <v>0.17150356392178762</v>
      </c>
      <c r="I7" s="16">
        <f>E7/D7</f>
        <v>91.134607968603362</v>
      </c>
      <c r="J7" s="16">
        <f>(110/7)*7</f>
        <v>110</v>
      </c>
      <c r="K7" s="16">
        <f t="shared" ref="K7:K9" si="0">+I7-J7</f>
        <v>-18.865392031396638</v>
      </c>
      <c r="L7" s="15"/>
    </row>
    <row r="8" spans="2:12" x14ac:dyDescent="0.3">
      <c r="B8" s="16" t="s">
        <v>29</v>
      </c>
      <c r="C8" s="16" t="s">
        <v>6</v>
      </c>
      <c r="D8" s="23">
        <f>SUMIF('REPORTE DIARIO'!B:B,'EPR 22 JUN'!C8, 'REPORTE DIARIO'!C:C)</f>
        <v>12874</v>
      </c>
      <c r="E8" s="16">
        <f>SUMIF('REPORTE DIARIO'!B:B,'EPR 22 JUN'!C8, 'REPORTE DIARIO'!D:D)</f>
        <v>514302.83</v>
      </c>
      <c r="F8" s="16">
        <f>J8*D8</f>
        <v>579330</v>
      </c>
      <c r="G8" s="16">
        <f>+E8-F8</f>
        <v>-65027.169999999984</v>
      </c>
      <c r="H8" s="15">
        <f>ABS(G8/F8)</f>
        <v>0.11224547321906338</v>
      </c>
      <c r="I8" s="16">
        <f>E8/D8</f>
        <v>39.948953705142145</v>
      </c>
      <c r="J8" s="16">
        <f>(45/7)*7</f>
        <v>45</v>
      </c>
      <c r="K8" s="16">
        <f t="shared" si="0"/>
        <v>-5.0510462948578549</v>
      </c>
      <c r="L8" s="15"/>
    </row>
    <row r="9" spans="2:12" x14ac:dyDescent="0.3">
      <c r="B9" s="16" t="s">
        <v>35</v>
      </c>
      <c r="C9" s="16" t="s">
        <v>7</v>
      </c>
      <c r="D9" s="23">
        <f>SUMIF('REPORTE DIARIO'!B:B,'EPR 22 JUN'!C9, 'REPORTE DIARIO'!C:C)</f>
        <v>52969</v>
      </c>
      <c r="E9" s="16">
        <f>SUMIF('REPORTE DIARIO'!B:B,'EPR 22 JUN'!C9, 'REPORTE DIARIO'!D:D)</f>
        <v>692454.88</v>
      </c>
      <c r="F9" s="16">
        <f>J9*D9</f>
        <v>794535</v>
      </c>
      <c r="G9" s="16">
        <f>+E9-F9</f>
        <v>-102080.12</v>
      </c>
      <c r="H9" s="15">
        <f>ABS(G9/F9)</f>
        <v>0.12847781406734757</v>
      </c>
      <c r="I9" s="16">
        <f>E9/D9</f>
        <v>13.072832788989787</v>
      </c>
      <c r="J9" s="16">
        <f>(15/7)*7</f>
        <v>15</v>
      </c>
      <c r="K9" s="16">
        <f t="shared" si="0"/>
        <v>-1.9271672110102127</v>
      </c>
    </row>
    <row r="10" spans="2:12" x14ac:dyDescent="0.3">
      <c r="B10" s="16"/>
      <c r="C10" s="19" t="s">
        <v>17</v>
      </c>
      <c r="D10" s="24">
        <f>SUM(D6:D9)</f>
        <v>91712</v>
      </c>
      <c r="E10" s="20">
        <f>SUM(E6:E9)</f>
        <v>4113450.73</v>
      </c>
      <c r="F10" s="20">
        <f>SUM(F6:F9)</f>
        <v>5775735</v>
      </c>
      <c r="G10" s="20">
        <f>+E10-F10</f>
        <v>-1662284.27</v>
      </c>
      <c r="H10" s="21">
        <f>ABS(G10/F10)</f>
        <v>0.28780480233251698</v>
      </c>
      <c r="I10" s="20">
        <f>E10/D10</f>
        <v>44.85182669661549</v>
      </c>
      <c r="J10" s="20">
        <f>F10/D10</f>
        <v>62.976873255408236</v>
      </c>
      <c r="K10" s="20">
        <f>I10-J10</f>
        <v>-18.125046558792747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22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2025-05-23T14:10:25Z</cp:lastPrinted>
  <dcterms:created xsi:type="dcterms:W3CDTF">2025-01-27T15:11:28Z</dcterms:created>
  <dcterms:modified xsi:type="dcterms:W3CDTF">2025-06-23T02:12:07Z</dcterms:modified>
</cp:coreProperties>
</file>