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5\16 JUN\MAÑANA\"/>
    </mc:Choice>
  </mc:AlternateContent>
  <xr:revisionPtr revIDLastSave="0" documentId="13_ncr:1_{6970BD7D-B04E-4671-94D5-87DFC921F18A}" xr6:coauthVersionLast="47" xr6:coauthVersionMax="47" xr10:uidLastSave="{00000000-0000-0000-0000-000000000000}"/>
  <bookViews>
    <workbookView xWindow="28320" yWindow="15180" windowWidth="10005" windowHeight="5445" xr2:uid="{4DC6C92A-CD8A-4966-829B-0B6A986E825B}"/>
  </bookViews>
  <sheets>
    <sheet name="REPORTE DIARIO" sheetId="1" r:id="rId1"/>
    <sheet name="DATA" sheetId="4" r:id="rId2"/>
    <sheet name="EPR 1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<sst xmlns="http://schemas.openxmlformats.org/spreadsheetml/2006/main" count="89" uniqueCount="37">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</sst>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9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3130</v>
      </c>
      <c r="D5" s="25">
        <v>803095.15</v>
      </c>
    </row>
    <row r="6" spans="2:8" x14ac:dyDescent="0.25">
      <c r="B6" s="1" t="s">
        <v>5</v>
      </c>
      <c r="C6" s="6">
        <v>3667</v>
      </c>
      <c r="D6" s="25">
        <v>355735.81999999995</v>
      </c>
    </row>
    <row r="7" spans="2:8" x14ac:dyDescent="0.25">
      <c r="B7" s="1" t="s">
        <v>6</v>
      </c>
      <c r="C7" s="6">
        <v>6827</v>
      </c>
      <c r="D7" s="25">
        <v>382803.73000000004</v>
      </c>
    </row>
    <row r="8" spans="2:8" x14ac:dyDescent="0.25">
      <c r="B8" s="5" t="s">
        <v>12</v>
      </c>
      <c r="C8" s="7">
        <v>14</v>
      </c>
      <c r="D8" s="25">
        <v>300</v>
      </c>
    </row>
    <row r="9" spans="2:8" x14ac:dyDescent="0.25">
      <c r="B9" s="1" t="s">
        <v>7</v>
      </c>
      <c r="C9" s="6">
        <v>12502</v>
      </c>
      <c r="D9" s="25">
        <v>467021.9</v>
      </c>
      <c r="E9" s="14"/>
      <c r="F9" s="7"/>
    </row>
    <row r="10" spans="2:8" x14ac:dyDescent="0.25">
      <c r="B10" s="3" t="s">
        <v>8</v>
      </c>
      <c r="C10" s="8">
        <f>SUM(C5:C9)</f>
        <v>26140</v>
      </c>
      <c r="D10" s="4">
        <f>SUM(D5:D9)</f>
        <v>2008956.6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3216</v>
      </c>
      <c r="D14" s="25">
        <v>348880.67000000004</v>
      </c>
    </row>
    <row r="15" spans="2:8" x14ac:dyDescent="0.25">
      <c r="B15" s="9" t="s">
        <v>5</v>
      </c>
      <c r="C15" s="6">
        <v>1570</v>
      </c>
      <c r="D15" s="25">
        <v>57195.92</v>
      </c>
    </row>
    <row r="16" spans="2:8" x14ac:dyDescent="0.25">
      <c r="B16" s="9" t="s">
        <v>6</v>
      </c>
      <c r="C16" s="6">
        <v>2075</v>
      </c>
      <c r="D16" s="25">
        <v>126470.81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16855</v>
      </c>
      <c r="D18" s="25">
        <v>82997.69</v>
      </c>
    </row>
    <row r="19" spans="2:4" x14ac:dyDescent="0.25">
      <c r="B19" s="10" t="s">
        <v>8</v>
      </c>
      <c r="C19" s="8">
        <f>SUM(C14:C18)</f>
        <v>23717</v>
      </c>
      <c r="D19" s="4">
        <f>SUM(D14:D18)</f>
        <v>615584.09000000008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2737</v>
      </c>
      <c r="D23" s="25">
        <v>217829.44</v>
      </c>
    </row>
    <row r="24" spans="2:4" x14ac:dyDescent="0.25">
      <c r="B24" s="1" t="s">
        <v>5</v>
      </c>
      <c r="C24" s="6">
        <v>1910</v>
      </c>
      <c r="D24" s="25">
        <v>103933.85</v>
      </c>
    </row>
    <row r="25" spans="2:4" x14ac:dyDescent="0.25">
      <c r="B25" s="1" t="s">
        <v>6</v>
      </c>
      <c r="C25" s="6">
        <v>2582</v>
      </c>
      <c r="D25" s="25">
        <v>105308</v>
      </c>
    </row>
    <row r="26" spans="2:4" x14ac:dyDescent="0.25">
      <c r="B26" s="5" t="s">
        <v>12</v>
      </c>
      <c r="C26" s="7">
        <v>0</v>
      </c>
      <c r="D26" s="26">
        <v>0</v>
      </c>
    </row>
    <row r="27" spans="2:4" x14ac:dyDescent="0.25">
      <c r="B27" s="1" t="s">
        <v>7</v>
      </c>
      <c r="C27" s="6">
        <v>12608</v>
      </c>
      <c r="D27" s="25">
        <v>174067.88999999998</v>
      </c>
    </row>
    <row r="28" spans="2:4" x14ac:dyDescent="0.25">
      <c r="B28" s="3" t="s">
        <v>8</v>
      </c>
      <c r="C28" s="8">
        <f>SUM(C23:C27)</f>
        <v>19837</v>
      </c>
      <c r="D28" s="4">
        <f>SUM(D23:D27)</f>
        <v>601139.18000000005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470</v>
      </c>
      <c r="D32" s="25">
        <v>134447.51</v>
      </c>
    </row>
    <row r="33" spans="2:4" x14ac:dyDescent="0.25">
      <c r="B33" s="9" t="s">
        <v>5</v>
      </c>
      <c r="C33" s="6">
        <v>2861</v>
      </c>
      <c r="D33" s="25">
        <v>132120</v>
      </c>
    </row>
    <row r="34" spans="2:4" x14ac:dyDescent="0.25">
      <c r="B34" s="9" t="s">
        <v>6</v>
      </c>
      <c r="C34" s="6">
        <v>344</v>
      </c>
      <c r="D34" s="25">
        <v>9539</v>
      </c>
    </row>
    <row r="35" spans="2:4" x14ac:dyDescent="0.25">
      <c r="B35" s="9" t="s">
        <v>7</v>
      </c>
      <c r="C35" s="6">
        <v>3986</v>
      </c>
      <c r="D35" s="25">
        <v>40048.400000000001</v>
      </c>
    </row>
    <row r="36" spans="2:4" x14ac:dyDescent="0.25">
      <c r="B36" s="10" t="s">
        <v>8</v>
      </c>
      <c r="C36" s="8">
        <f>SUM(C32:C35)</f>
        <v>7661</v>
      </c>
      <c r="D36" s="4">
        <f>SUM(D32:D35)</f>
        <v>316154.91000000003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2271</v>
      </c>
      <c r="D40" s="25">
        <v>97332.52</v>
      </c>
    </row>
    <row r="41" spans="2:4" x14ac:dyDescent="0.25">
      <c r="B41" s="1" t="s">
        <v>5</v>
      </c>
      <c r="C41" s="6">
        <v>1474</v>
      </c>
      <c r="D41" s="25">
        <v>49481.59</v>
      </c>
    </row>
    <row r="42" spans="2:4" x14ac:dyDescent="0.25">
      <c r="B42" s="1" t="s">
        <v>6</v>
      </c>
      <c r="C42" s="6">
        <v>1995</v>
      </c>
      <c r="D42" s="25">
        <v>19101</v>
      </c>
    </row>
    <row r="43" spans="2:4" x14ac:dyDescent="0.25">
      <c r="B43" s="1" t="s">
        <v>7</v>
      </c>
      <c r="C43" s="6">
        <v>1839</v>
      </c>
      <c r="D43" s="25">
        <v>18327</v>
      </c>
    </row>
    <row r="44" spans="2:4" x14ac:dyDescent="0.25">
      <c r="B44" s="3" t="s">
        <v>8</v>
      </c>
      <c r="C44" s="8">
        <f>SUM(C40:C43)</f>
        <v>7579</v>
      </c>
      <c r="D44" s="4">
        <f>SUM(D40:D43)</f>
        <v>184242.11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2603</v>
      </c>
      <c r="D48" s="25">
        <v>81938.570000000007</v>
      </c>
    </row>
    <row r="49" spans="2:4" x14ac:dyDescent="0.25">
      <c r="B49" s="10" t="s">
        <v>8</v>
      </c>
      <c r="C49" s="8">
        <f>SUM(C48:C48)</f>
        <v>2603</v>
      </c>
      <c r="D49" s="4">
        <f>SUM(D48:D48)</f>
        <v>81938.570000000007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15665</v>
      </c>
    </row>
    <row r="54" spans="2:4" x14ac:dyDescent="0.25">
      <c r="B54" s="1" t="s">
        <v>5</v>
      </c>
      <c r="C54" s="6">
        <v>606</v>
      </c>
      <c r="D54" s="25">
        <v>7266</v>
      </c>
    </row>
    <row r="55" spans="2:4" x14ac:dyDescent="0.25">
      <c r="B55" s="1" t="s">
        <v>6</v>
      </c>
      <c r="C55" s="6">
        <v>776</v>
      </c>
      <c r="D55" s="25">
        <v>3089</v>
      </c>
    </row>
    <row r="56" spans="2:4" x14ac:dyDescent="0.25">
      <c r="B56" s="1" t="s">
        <v>7</v>
      </c>
      <c r="C56" s="6">
        <v>2427</v>
      </c>
      <c r="D56" s="25">
        <v>12674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38694</v>
      </c>
    </row>
    <row r="59" spans="2:4" x14ac:dyDescent="0.25">
      <c r="B59" s="12" t="s">
        <v>13</v>
      </c>
      <c r="C59" s="13">
        <f>SUM(C10+C19+C36+C49+C28+C57+C44)</f>
        <v>91926</v>
      </c>
      <c r="D59" s="13">
        <f>SUM(D10+D19+D36+D49+D28+D57+D44)</f>
        <v>3846709.4600000004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15 JUN'!C6, 'REPORTE DIARIO'!C:C)</f>
        <v>15007</v>
      </c>
      <c r="E6" s="16">
        <f>SUMIF('REPORTE DIARIO'!B:B,'EPR 15 JUN'!C6, 'REPORTE DIARIO'!D:D)</f>
        <v>1699188.86</v>
      </c>
      <c r="F6" s="16">
        <f>J6*D6</f>
        <v>3301540</v>
      </c>
      <c r="G6" s="16">
        <f>+E6-F6</f>
        <v>-1602351.14</v>
      </c>
      <c r="H6" s="15">
        <f>ABS(G6/F6)</f>
        <v>0.48533446209950504</v>
      </c>
      <c r="I6" s="16">
        <f>E6/D6</f>
        <v>113.22641833810889</v>
      </c>
      <c r="J6" s="16">
        <f>(220/7)*7</f>
        <v>220</v>
      </c>
      <c r="K6" s="16">
        <f>+I6-J6</f>
        <v>-106.77358166189111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15 JUN'!C7, 'REPORTE DIARIO'!C:C)</f>
        <v>12088</v>
      </c>
      <c r="E7" s="16">
        <f>SUMIF('REPORTE DIARIO'!B:B,'EPR 15 JUN'!C7, 'REPORTE DIARIO'!D:D)</f>
        <v>705733.17999999993</v>
      </c>
      <c r="F7" s="16">
        <f>J7*D7</f>
        <v>1329680</v>
      </c>
      <c r="G7" s="16">
        <f>+E7-F7</f>
        <v>-623946.82000000007</v>
      </c>
      <c r="H7" s="15">
        <f>ABS(G7/F7)</f>
        <v>0.46924584862523316</v>
      </c>
      <c r="I7" s="16">
        <f>E7/D7</f>
        <v>58.382956651224347</v>
      </c>
      <c r="J7" s="16">
        <f>(110/7)*7</f>
        <v>110</v>
      </c>
      <c r="K7" s="16">
        <f t="shared" ref="K7:K9" si="0">+I7-J7</f>
        <v>-51.617043348775653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15 JUN'!C8, 'REPORTE DIARIO'!C:C)</f>
        <v>14599</v>
      </c>
      <c r="E8" s="16">
        <f>SUMIF('REPORTE DIARIO'!B:B,'EPR 15 JUN'!C8, 'REPORTE DIARIO'!D:D)</f>
        <v>646311.54</v>
      </c>
      <c r="F8" s="16">
        <f>J8*D8</f>
        <v>656955</v>
      </c>
      <c r="G8" s="16">
        <f>+E8-F8</f>
        <v>-10643.459999999963</v>
      </c>
      <c r="H8" s="15">
        <f>ABS(G8/F8)</f>
        <v>1.6201200995501919E-2</v>
      </c>
      <c r="I8" s="16">
        <f>E8/D8</f>
        <v>44.270945955202414</v>
      </c>
      <c r="J8" s="16">
        <f>(45/7)*7</f>
        <v>45</v>
      </c>
      <c r="K8" s="16">
        <f t="shared" si="0"/>
        <v>-0.72905404479758573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15 JUN'!C9, 'REPORTE DIARIO'!C:C)</f>
        <v>50217</v>
      </c>
      <c r="E9" s="16">
        <f>SUMIF('REPORTE DIARIO'!B:B,'EPR 15 JUN'!C9, 'REPORTE DIARIO'!D:D)</f>
        <v>795136.88000000012</v>
      </c>
      <c r="F9" s="16">
        <f>J9*D9</f>
        <v>753255</v>
      </c>
      <c r="G9" s="16">
        <f>+E9-F9</f>
        <v>41881.880000000121</v>
      </c>
      <c r="H9" s="15">
        <f>ABS(G9/F9)</f>
        <v>5.5601197469648554E-2</v>
      </c>
      <c r="I9" s="16">
        <f>E9/D9</f>
        <v>15.834017962044728</v>
      </c>
      <c r="J9" s="16">
        <f>(15/7)*7</f>
        <v>15</v>
      </c>
      <c r="K9" s="16">
        <f t="shared" si="0"/>
        <v>0.83401796204472767</v>
      </c>
    </row>
    <row r="10" spans="2:12" x14ac:dyDescent="0.25">
      <c r="B10" s="16"/>
      <c r="C10" s="19" t="s">
        <v>17</v>
      </c>
      <c r="D10" s="24">
        <f>SUM(D6:D9)</f>
        <v>91911</v>
      </c>
      <c r="E10" s="20">
        <f>SUM(E6:E9)</f>
        <v>3846370.46</v>
      </c>
      <c r="F10" s="20">
        <f>SUM(F6:F9)</f>
        <v>6041430</v>
      </c>
      <c r="G10" s="20">
        <f>+E10-F10</f>
        <v>-2195059.54</v>
      </c>
      <c r="H10" s="21">
        <f>ABS(G10/F10)</f>
        <v>0.3633344324108696</v>
      </c>
      <c r="I10" s="20">
        <f>E10/D10</f>
        <v>41.848858787305112</v>
      </c>
      <c r="J10" s="20">
        <f>F10/D10</f>
        <v>65.731305284459964</v>
      </c>
      <c r="K10" s="20">
        <f>I10-J10</f>
        <v>-23.882446497154852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2025-06-16T15:05:13Z</dcterms:modified>
</cp:coreProperties>
</file>