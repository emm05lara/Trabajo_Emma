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NOCHE2\"/>
    </mc:Choice>
  </mc:AlternateContent>
  <xr:revisionPtr revIDLastSave="0" documentId="13_ncr:1_{BE1F598E-78D3-47A5-B890-D36999A92BC8}" xr6:coauthVersionLast="47" xr6:coauthVersionMax="47" xr10:uidLastSave="{00000000-0000-0000-0000-000000000000}"/>
  <bookViews>
    <workbookView xWindow="27630" yWindow="14490" windowWidth="10005" windowHeight="5445" xr2:uid="{4DC6C92A-CD8A-4966-829B-0B6A986E825B}"/>
  </bookViews>
  <sheets>
    <sheet name="REPORTE DIARIO" sheetId="1" r:id="rId1"/>
    <sheet name="DATA" sheetId="4" r:id="rId2"/>
    <sheet name="EPR 1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44" i="1"/>
  <c r="C44" i="1"/>
  <c r="C57" i="1"/>
  <c r="D19" i="1" l="1"/>
  <c r="C19" i="1"/>
  <c r="J9" i="3"/>
  <c r="J8" i="3"/>
  <c r="J7" i="3"/>
  <c r="D6" i="3"/>
  <c r="F6" i="3" s="1"/>
  <c r="D49" i="1"/>
  <c r="C49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<sst xmlns="http://schemas.openxmlformats.org/spreadsheetml/2006/main" count="88" uniqueCount="36">
  <si>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</si>
  <si>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</si>
  <si>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</si>
  <si>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</si>
  <si>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</si>
  <si>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</si>
  <si>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</si>
  <si>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</si>
  <si>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</si>
  <si>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</si>
  <si>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</si>
  <si>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</si>
  <si>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</si>
  <si>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</si>
  <si>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</si>
  <si>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</si>
  <si>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</si>
  <si>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</si>
  <si>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</si>
  <si>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</si>
  <si>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</si>
  <si>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</si>
  <si>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</si>
  <si>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</si>
  <si>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</si>
  <si>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</si>
  <si>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</si>
  <si>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</si>
  <si>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</si>
  <si>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</si>
  <si>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</si>
  <si>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</si>
  <si>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</si>
  <si>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</si>
  <si>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</si>
  <si>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15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</si>
</sst>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22" workbookViewId="0">
      <selection activeCell="A45" sqref="A4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3157</v>
      </c>
      <c r="D5" s="25">
        <v>143191.43</v>
      </c>
    </row>
    <row r="6" spans="2:8" x14ac:dyDescent="0.25">
      <c r="B6" s="1" t="s">
        <v>5</v>
      </c>
      <c r="C6" s="6">
        <v>3692</v>
      </c>
      <c r="D6" s="25">
        <v>67603.72</v>
      </c>
    </row>
    <row r="7" spans="2:8" x14ac:dyDescent="0.25">
      <c r="B7" s="1" t="s">
        <v>6</v>
      </c>
      <c r="C7" s="6">
        <v>6337</v>
      </c>
      <c r="D7" s="25">
        <v>95988.26999999999</v>
      </c>
    </row>
    <row r="8" spans="2:8" x14ac:dyDescent="0.25">
      <c r="B8" s="5" t="s">
        <v>12</v>
      </c>
      <c r="C8" s="7">
        <v>1980</v>
      </c>
      <c r="D8" s="25">
        <v>300</v>
      </c>
    </row>
    <row r="9" spans="2:8" x14ac:dyDescent="0.25">
      <c r="B9" s="1" t="s">
        <v>7</v>
      </c>
      <c r="C9" s="6">
        <v>12534</v>
      </c>
      <c r="D9" s="25">
        <v>77762</v>
      </c>
    </row>
    <row r="10" spans="2:8" x14ac:dyDescent="0.25">
      <c r="B10" s="3" t="s">
        <v>8</v>
      </c>
      <c r="C10" s="8">
        <f>SUM(C5:C9)</f>
        <v>27700</v>
      </c>
      <c r="D10" s="4">
        <f>SUM(D5:D9)</f>
        <v>384845.42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2789</v>
      </c>
      <c r="D14" s="25">
        <v>45472</v>
      </c>
    </row>
    <row r="15" spans="2:8" x14ac:dyDescent="0.25">
      <c r="B15" s="1" t="s">
        <v>5</v>
      </c>
      <c r="C15" s="6">
        <v>1956</v>
      </c>
      <c r="D15" s="25">
        <v>23610</v>
      </c>
    </row>
    <row r="16" spans="2:8" x14ac:dyDescent="0.25">
      <c r="B16" s="1" t="s">
        <v>6</v>
      </c>
      <c r="C16" s="6">
        <v>2583</v>
      </c>
      <c r="D16" s="25">
        <v>19519</v>
      </c>
    </row>
    <row r="17" spans="2:11" x14ac:dyDescent="0.25">
      <c r="B17" s="5" t="s">
        <v>12</v>
      </c>
      <c r="C17" s="7">
        <v>0</v>
      </c>
      <c r="D17" s="24">
        <v>0</v>
      </c>
    </row>
    <row r="18" spans="2:11" x14ac:dyDescent="0.25">
      <c r="B18" s="1" t="s">
        <v>7</v>
      </c>
      <c r="C18" s="6">
        <v>12612</v>
      </c>
      <c r="D18" s="25">
        <v>21282</v>
      </c>
    </row>
    <row r="19" spans="2:11" x14ac:dyDescent="0.25">
      <c r="B19" s="3" t="s">
        <v>8</v>
      </c>
      <c r="C19" s="8">
        <f>SUM(C14:C18)</f>
        <v>19940</v>
      </c>
      <c r="D19" s="4">
        <f>SUM(D14:D18)</f>
        <v>109883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3229</v>
      </c>
      <c r="D23" s="25">
        <v>50911.229999999996</v>
      </c>
    </row>
    <row r="24" spans="2:11" x14ac:dyDescent="0.25">
      <c r="B24" s="9" t="s">
        <v>5</v>
      </c>
      <c r="C24" s="6">
        <v>1584</v>
      </c>
      <c r="D24" s="25">
        <v>18192.419999999998</v>
      </c>
    </row>
    <row r="25" spans="2:11" x14ac:dyDescent="0.25">
      <c r="B25" s="9" t="s">
        <v>6</v>
      </c>
      <c r="C25" s="6">
        <v>2075</v>
      </c>
      <c r="D25" s="25">
        <v>5238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16855</v>
      </c>
      <c r="D27" s="25">
        <v>20997.690000000002</v>
      </c>
    </row>
    <row r="28" spans="2:11" x14ac:dyDescent="0.25">
      <c r="B28" s="10" t="s">
        <v>8</v>
      </c>
      <c r="C28" s="8">
        <f>SUM(C23:C27)</f>
        <v>23744</v>
      </c>
      <c r="D28" s="4">
        <f>SUM(D23:D27)</f>
        <v>95339.34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472</v>
      </c>
      <c r="D32" s="25">
        <v>10332.450000000001</v>
      </c>
    </row>
    <row r="33" spans="2:4" x14ac:dyDescent="0.25">
      <c r="B33" s="9" t="s">
        <v>5</v>
      </c>
      <c r="C33" s="6">
        <v>2865</v>
      </c>
      <c r="D33" s="25">
        <v>22472</v>
      </c>
    </row>
    <row r="34" spans="2:4" x14ac:dyDescent="0.25">
      <c r="B34" s="9" t="s">
        <v>6</v>
      </c>
      <c r="C34" s="6">
        <v>345</v>
      </c>
      <c r="D34" s="25">
        <v>4033</v>
      </c>
    </row>
    <row r="35" spans="2:4" x14ac:dyDescent="0.25">
      <c r="B35" s="9" t="s">
        <v>7</v>
      </c>
      <c r="C35" s="6">
        <v>3986</v>
      </c>
      <c r="D35" s="25">
        <v>6468</v>
      </c>
    </row>
    <row r="36" spans="2:4" x14ac:dyDescent="0.25">
      <c r="B36" s="10" t="s">
        <v>8</v>
      </c>
      <c r="C36" s="8">
        <f>SUM(C32:C35)</f>
        <v>7668</v>
      </c>
      <c r="D36" s="4">
        <f>SUM(D32:D35)</f>
        <v>43305.45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2277</v>
      </c>
      <c r="D40" s="25">
        <v>5982</v>
      </c>
    </row>
    <row r="41" spans="2:4" x14ac:dyDescent="0.25">
      <c r="B41" s="1" t="s">
        <v>5</v>
      </c>
      <c r="C41" s="6">
        <v>1475</v>
      </c>
      <c r="D41" s="25">
        <v>5591</v>
      </c>
    </row>
    <row r="42" spans="2:4" x14ac:dyDescent="0.25">
      <c r="B42" s="1" t="s">
        <v>6</v>
      </c>
      <c r="C42" s="6">
        <v>1995</v>
      </c>
      <c r="D42" s="25">
        <v>1471</v>
      </c>
    </row>
    <row r="43" spans="2:4" x14ac:dyDescent="0.25">
      <c r="B43" s="1" t="s">
        <v>7</v>
      </c>
      <c r="C43" s="6">
        <v>1842</v>
      </c>
      <c r="D43" s="25">
        <v>2575</v>
      </c>
    </row>
    <row r="44" spans="2:4" x14ac:dyDescent="0.25">
      <c r="B44" s="3" t="s">
        <v>8</v>
      </c>
      <c r="C44" s="8">
        <f>SUM(C40:C43)</f>
        <v>7589</v>
      </c>
      <c r="D44" s="4">
        <f>SUM(D40:D43)</f>
        <v>15619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2607</v>
      </c>
      <c r="D48" s="25">
        <v>11366</v>
      </c>
    </row>
    <row r="49" spans="2:4" x14ac:dyDescent="0.25">
      <c r="B49" s="10" t="s">
        <v>8</v>
      </c>
      <c r="C49" s="8">
        <f>SUM(C48:C48)</f>
        <v>2607</v>
      </c>
      <c r="D49" s="4">
        <f>SUM(D48:D48)</f>
        <v>11366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4723</v>
      </c>
    </row>
    <row r="54" spans="2:4" x14ac:dyDescent="0.25">
      <c r="B54" s="1" t="s">
        <v>5</v>
      </c>
      <c r="C54" s="6">
        <v>606</v>
      </c>
      <c r="D54" s="26">
        <v>0</v>
      </c>
    </row>
    <row r="55" spans="2:4" x14ac:dyDescent="0.25">
      <c r="B55" s="1" t="s">
        <v>6</v>
      </c>
      <c r="C55" s="6">
        <v>776</v>
      </c>
      <c r="D55" s="25">
        <v>318</v>
      </c>
    </row>
    <row r="56" spans="2:4" x14ac:dyDescent="0.25">
      <c r="B56" s="1" t="s">
        <v>7</v>
      </c>
      <c r="C56" s="6">
        <v>2427</v>
      </c>
      <c r="D56" s="25">
        <v>3784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8825</v>
      </c>
    </row>
    <row r="59" spans="2:4" x14ac:dyDescent="0.25">
      <c r="B59" s="11" t="s">
        <v>13</v>
      </c>
      <c r="C59" s="12">
        <f>SUM(C10+C36+C28+C49+C19+C57+C44)</f>
        <v>93637</v>
      </c>
      <c r="D59" s="12">
        <f>SUM(D10+D36+D28+D49+D19+D57+D44)</f>
        <v>669183.21</v>
      </c>
    </row>
  </sheetData>
  <mergeCells count="7">
    <mergeCell ref="B3:D3"/>
    <mergeCell ref="B30:D30"/>
    <mergeCell ref="B46:D46"/>
    <mergeCell ref="B51:D51"/>
    <mergeCell ref="B12:D12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C4" sqref="C4"/>
    </sheetView>
  </sheetViews>
  <sheetFormatPr baseColWidth="10" defaultRowHeight="15" x14ac:dyDescent="0.25"/>
  <cols>
    <col min="2" max="2" width="20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15 JUN'!C6, 'REPORTE DIARIO'!C:C)</f>
        <v>15111</v>
      </c>
      <c r="E6" s="15">
        <f>SUMIF('REPORTE DIARIO'!B:B,'EPR 15 JUN'!C6, 'REPORTE DIARIO'!D:D)</f>
        <v>271978.11</v>
      </c>
      <c r="F6" s="15">
        <f>J6*D6</f>
        <v>474917.14285714284</v>
      </c>
      <c r="G6" s="15">
        <f>+E6-F6</f>
        <v>-202939.03285714285</v>
      </c>
      <c r="H6" s="14">
        <f>ABS(G6/F6)</f>
        <v>0.4273146082624939</v>
      </c>
      <c r="I6" s="15">
        <f>E6/D6</f>
        <v>17.998683740321621</v>
      </c>
      <c r="J6" s="15">
        <f>220/7</f>
        <v>31.428571428571427</v>
      </c>
      <c r="K6" s="15">
        <f>+I6-J6</f>
        <v>-13.429887688249806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15 JUN'!C7, 'REPORTE DIARIO'!C:C)</f>
        <v>12178</v>
      </c>
      <c r="E7" s="15">
        <f>SUMIF('REPORTE DIARIO'!B:B,'EPR 15 JUN'!C7, 'REPORTE DIARIO'!D:D)</f>
        <v>137469.14000000001</v>
      </c>
      <c r="F7" s="15">
        <f>J7*D7</f>
        <v>191368.57142857142</v>
      </c>
      <c r="G7" s="15">
        <f>+E7-F7</f>
        <v>-53899.431428571406</v>
      </c>
      <c r="H7" s="14">
        <f>ABS(G7/F7)</f>
        <v>0.28165247316323017</v>
      </c>
      <c r="I7" s="15">
        <f>E7/D7</f>
        <v>11.288318278863526</v>
      </c>
      <c r="J7" s="15">
        <f>110/7</f>
        <v>15.714285714285714</v>
      </c>
      <c r="K7" s="15">
        <f t="shared" ref="K7:K9" si="0">+I7-J7</f>
        <v>-4.4259674354221872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15 JUN'!C8, 'REPORTE DIARIO'!C:C)</f>
        <v>14111</v>
      </c>
      <c r="E8" s="15">
        <f>SUMIF('REPORTE DIARIO'!B:B,'EPR 15 JUN'!C8, 'REPORTE DIARIO'!D:D)</f>
        <v>126567.26999999999</v>
      </c>
      <c r="F8" s="15">
        <f>J8*D8</f>
        <v>90713.571428571435</v>
      </c>
      <c r="G8" s="15">
        <f>+E8-F8</f>
        <v>35853.698571428555</v>
      </c>
      <c r="H8" s="14">
        <f>ABS(G8/F8)</f>
        <v>0.39524073417900907</v>
      </c>
      <c r="I8" s="15">
        <f>E8/D8</f>
        <v>8.9694047197222027</v>
      </c>
      <c r="J8" s="15">
        <f>45/7</f>
        <v>6.4285714285714288</v>
      </c>
      <c r="K8" s="15">
        <f t="shared" si="0"/>
        <v>2.5408332911507738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15 JUN'!C9, 'REPORTE DIARIO'!C:C)</f>
        <v>50256</v>
      </c>
      <c r="E9" s="15">
        <f>SUMIF('REPORTE DIARIO'!B:B,'EPR 15 JUN'!C9, 'REPORTE DIARIO'!D:D)</f>
        <v>132868.69</v>
      </c>
      <c r="F9" s="15">
        <f>J9*D9</f>
        <v>107691.42857142857</v>
      </c>
      <c r="G9" s="15">
        <f>+E9-F9</f>
        <v>25177.261428571437</v>
      </c>
      <c r="H9" s="14">
        <f>ABS(G9/F9)</f>
        <v>0.23379076461848677</v>
      </c>
      <c r="I9" s="15">
        <f>E9/D9</f>
        <v>2.6438373527538999</v>
      </c>
      <c r="J9" s="15">
        <f>15/7</f>
        <v>2.1428571428571428</v>
      </c>
      <c r="K9" s="15">
        <f t="shared" si="0"/>
        <v>0.50098020989675707</v>
      </c>
    </row>
    <row r="10" spans="2:12" x14ac:dyDescent="0.25">
      <c r="B10" s="15"/>
      <c r="C10" s="18" t="s">
        <v>16</v>
      </c>
      <c r="D10" s="23">
        <f>SUM(D6:D9)</f>
        <v>91656</v>
      </c>
      <c r="E10" s="19">
        <f>SUM(E6:E9)</f>
        <v>668883.21</v>
      </c>
      <c r="F10" s="19">
        <f>SUM(F6:F9)</f>
        <v>864690.71428571432</v>
      </c>
      <c r="G10" s="19">
        <f>+E10-F10</f>
        <v>-195807.50428571436</v>
      </c>
      <c r="H10" s="20">
        <f>ABS(G10/F10)</f>
        <v>0.22644802476855894</v>
      </c>
      <c r="I10" s="19">
        <f>E10/D10</f>
        <v>7.2977569389892638</v>
      </c>
      <c r="J10" s="19">
        <f>F10/D10</f>
        <v>9.4340873951046778</v>
      </c>
      <c r="K10" s="19">
        <f>I10-J10</f>
        <v>-2.1363304561154139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2025-06-16T05:08:36Z</dcterms:modified>
</cp:coreProperties>
</file>