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3 JUN\MAÑANA\"/>
    </mc:Choice>
  </mc:AlternateContent>
  <xr:revisionPtr revIDLastSave="0" documentId="13_ncr:1_{DA14CEA6-B480-459E-B1D9-76B2CC0E96CC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3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<sst xmlns="http://schemas.openxmlformats.org/spreadsheetml/2006/main" count="89" uniqueCount="37">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</sst>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41" zoomScaleNormal="100" workbookViewId="0">
      <selection activeCell="C52" sqref="C5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3083</v>
      </c>
      <c r="D5" s="25">
        <v>316671.39999999997</v>
      </c>
    </row>
    <row r="6" spans="2:8" x14ac:dyDescent="0.25">
      <c r="B6" s="1" t="s">
        <v>5</v>
      </c>
      <c r="C6" s="6">
        <v>3488</v>
      </c>
      <c r="D6" s="25">
        <v>147656.96000000002</v>
      </c>
    </row>
    <row r="7" spans="2:8" x14ac:dyDescent="0.25">
      <c r="B7" s="1" t="s">
        <v>6</v>
      </c>
      <c r="C7" s="6">
        <v>6304</v>
      </c>
      <c r="D7" s="25">
        <v>164332.46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12593</v>
      </c>
      <c r="D9" s="25">
        <v>219630.3</v>
      </c>
      <c r="E9" s="14"/>
      <c r="F9" s="7"/>
    </row>
    <row r="10" spans="2:8" x14ac:dyDescent="0.25">
      <c r="B10" s="3" t="s">
        <v>8</v>
      </c>
      <c r="C10" s="8">
        <f>SUM(C5:C9)</f>
        <v>25479</v>
      </c>
      <c r="D10" s="4">
        <f>SUM(D5:D9)</f>
        <v>848291.11999999988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3402</v>
      </c>
      <c r="D14" s="25">
        <v>201949.21</v>
      </c>
    </row>
    <row r="15" spans="2:8" x14ac:dyDescent="0.25">
      <c r="B15" s="9" t="s">
        <v>5</v>
      </c>
      <c r="C15" s="6">
        <v>1370</v>
      </c>
      <c r="D15" s="25">
        <v>18164.5</v>
      </c>
    </row>
    <row r="16" spans="2:8" x14ac:dyDescent="0.25">
      <c r="B16" s="9" t="s">
        <v>6</v>
      </c>
      <c r="C16" s="6">
        <v>2069</v>
      </c>
      <c r="D16" s="25">
        <v>106897.8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16858</v>
      </c>
      <c r="D18" s="25">
        <v>43023</v>
      </c>
    </row>
    <row r="19" spans="2:4" x14ac:dyDescent="0.25">
      <c r="B19" s="10" t="s">
        <v>8</v>
      </c>
      <c r="C19" s="8">
        <f>SUM(C14:C18)</f>
        <v>23700</v>
      </c>
      <c r="D19" s="4">
        <f>SUM(D14:D18)</f>
        <v>370073.51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2877</v>
      </c>
      <c r="D23" s="25">
        <v>95271</v>
      </c>
    </row>
    <row r="24" spans="2:4" x14ac:dyDescent="0.25">
      <c r="B24" s="1" t="s">
        <v>5</v>
      </c>
      <c r="C24" s="6">
        <v>1957</v>
      </c>
      <c r="D24" s="25">
        <v>42417.32</v>
      </c>
    </row>
    <row r="25" spans="2:4" x14ac:dyDescent="0.25">
      <c r="B25" s="1" t="s">
        <v>6</v>
      </c>
      <c r="C25" s="6">
        <v>2564</v>
      </c>
      <c r="D25" s="25">
        <v>45354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12596</v>
      </c>
      <c r="D27" s="25">
        <v>81444.89</v>
      </c>
    </row>
    <row r="28" spans="2:4" x14ac:dyDescent="0.25">
      <c r="B28" s="3" t="s">
        <v>8</v>
      </c>
      <c r="C28" s="8">
        <f>SUM(C23:C27)</f>
        <v>19994</v>
      </c>
      <c r="D28" s="4">
        <f>SUM(D23:D27)</f>
        <v>264487.21000000002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437</v>
      </c>
      <c r="D32" s="25">
        <v>81587.5</v>
      </c>
    </row>
    <row r="33" spans="2:4" x14ac:dyDescent="0.25">
      <c r="B33" s="9" t="s">
        <v>5</v>
      </c>
      <c r="C33" s="6">
        <v>2867</v>
      </c>
      <c r="D33" s="25">
        <v>52050.5</v>
      </c>
    </row>
    <row r="34" spans="2:4" x14ac:dyDescent="0.25">
      <c r="B34" s="9" t="s">
        <v>6</v>
      </c>
      <c r="C34" s="6">
        <v>317</v>
      </c>
      <c r="D34" s="25">
        <v>2430</v>
      </c>
    </row>
    <row r="35" spans="2:4" x14ac:dyDescent="0.25">
      <c r="B35" s="9" t="s">
        <v>7</v>
      </c>
      <c r="C35" s="6">
        <v>3972</v>
      </c>
      <c r="D35" s="25">
        <v>9800</v>
      </c>
    </row>
    <row r="36" spans="2:4" x14ac:dyDescent="0.25">
      <c r="B36" s="10" t="s">
        <v>8</v>
      </c>
      <c r="C36" s="8">
        <f>SUM(C32:C35)</f>
        <v>7593</v>
      </c>
      <c r="D36" s="4">
        <f>SUM(D32:D35)</f>
        <v>145868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2276</v>
      </c>
      <c r="D40" s="25">
        <v>61858</v>
      </c>
    </row>
    <row r="41" spans="2:4" x14ac:dyDescent="0.25">
      <c r="B41" s="1" t="s">
        <v>5</v>
      </c>
      <c r="C41" s="6">
        <v>1423</v>
      </c>
      <c r="D41" s="25">
        <v>15354</v>
      </c>
    </row>
    <row r="42" spans="2:4" x14ac:dyDescent="0.25">
      <c r="B42" s="1" t="s">
        <v>6</v>
      </c>
      <c r="C42" s="6">
        <v>2039</v>
      </c>
      <c r="D42" s="25">
        <v>10171</v>
      </c>
    </row>
    <row r="43" spans="2:4" x14ac:dyDescent="0.25">
      <c r="B43" s="1" t="s">
        <v>7</v>
      </c>
      <c r="C43" s="6">
        <v>1825</v>
      </c>
      <c r="D43" s="25">
        <v>9642</v>
      </c>
    </row>
    <row r="44" spans="2:4" x14ac:dyDescent="0.25">
      <c r="B44" s="3" t="s">
        <v>8</v>
      </c>
      <c r="C44" s="8">
        <f>SUM(C40:C43)</f>
        <v>7563</v>
      </c>
      <c r="D44" s="4">
        <f>SUM(D40:D43)</f>
        <v>97025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2728</v>
      </c>
      <c r="D48" s="25">
        <v>53869.440000000002</v>
      </c>
    </row>
    <row r="49" spans="2:4" x14ac:dyDescent="0.25">
      <c r="B49" s="10" t="s">
        <v>8</v>
      </c>
      <c r="C49" s="8">
        <f>SUM(C48:C48)</f>
        <v>2728</v>
      </c>
      <c r="D49" s="4">
        <f>SUM(D48:D48)</f>
        <v>53869.440000000002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582</v>
      </c>
      <c r="D53" s="25">
        <v>9744</v>
      </c>
    </row>
    <row r="54" spans="2:4" x14ac:dyDescent="0.25">
      <c r="B54" s="1" t="s">
        <v>5</v>
      </c>
      <c r="C54" s="6">
        <v>607</v>
      </c>
      <c r="D54" s="25">
        <v>5953</v>
      </c>
    </row>
    <row r="55" spans="2:4" x14ac:dyDescent="0.25">
      <c r="B55" s="1" t="s">
        <v>6</v>
      </c>
      <c r="C55" s="6">
        <v>804</v>
      </c>
      <c r="D55" s="25">
        <v>141</v>
      </c>
    </row>
    <row r="56" spans="2:4" x14ac:dyDescent="0.25">
      <c r="B56" s="1" t="s">
        <v>7</v>
      </c>
      <c r="C56" s="6">
        <v>2427</v>
      </c>
      <c r="D56" s="25">
        <v>3537</v>
      </c>
    </row>
    <row r="57" spans="2:4" x14ac:dyDescent="0.25">
      <c r="B57" s="3" t="s">
        <v>8</v>
      </c>
      <c r="C57" s="8">
        <f>SUM(C53:C56)</f>
        <v>4420</v>
      </c>
      <c r="D57" s="4">
        <f>SUM(D53:D56)</f>
        <v>19375</v>
      </c>
    </row>
    <row r="59" spans="2:4" x14ac:dyDescent="0.25">
      <c r="B59" s="12" t="s">
        <v>13</v>
      </c>
      <c r="C59" s="13">
        <f>SUM(C10+C19+C36+C49+C28+C57+C44)</f>
        <v>91477</v>
      </c>
      <c r="D59" s="13">
        <f>SUM(D10+D19+D36+D49+D28+D57+D44)</f>
        <v>1798989.2799999998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13 JUN'!C6, 'REPORTE DIARIO'!C:C)</f>
        <v>15385</v>
      </c>
      <c r="E6" s="16">
        <f>SUMIF('REPORTE DIARIO'!B:B,'EPR 13 JUN'!C6, 'REPORTE DIARIO'!D:D)</f>
        <v>820950.55</v>
      </c>
      <c r="F6" s="16">
        <f>J6*D6</f>
        <v>2417642.8571428573</v>
      </c>
      <c r="G6" s="16">
        <f>+E6-F6</f>
        <v>-1596692.3071428572</v>
      </c>
      <c r="H6" s="15">
        <f>ABS(G6/F6)</f>
        <v>0.66043348893550391</v>
      </c>
      <c r="I6" s="16">
        <f>E6/D6</f>
        <v>53.360451738706537</v>
      </c>
      <c r="J6" s="16">
        <f>(220/7)*5</f>
        <v>157.14285714285714</v>
      </c>
      <c r="K6" s="16">
        <f>+I6-J6</f>
        <v>-103.78240540415061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13 JUN'!C7, 'REPORTE DIARIO'!C:C)</f>
        <v>11712</v>
      </c>
      <c r="E7" s="16">
        <f>SUMIF('REPORTE DIARIO'!B:B,'EPR 13 JUN'!C7, 'REPORTE DIARIO'!D:D)</f>
        <v>281596.28000000003</v>
      </c>
      <c r="F7" s="16">
        <f>J7*D7</f>
        <v>920228.57142857136</v>
      </c>
      <c r="G7" s="16">
        <f>+E7-F7</f>
        <v>-638632.29142857133</v>
      </c>
      <c r="H7" s="15">
        <f>ABS(G7/F7)</f>
        <v>0.69399311351217086</v>
      </c>
      <c r="I7" s="16">
        <f>E7/D7</f>
        <v>24.043398224043717</v>
      </c>
      <c r="J7" s="16">
        <f>(110/7)*5</f>
        <v>78.571428571428569</v>
      </c>
      <c r="K7" s="16">
        <f t="shared" ref="K7:K9" si="0">+I7-J7</f>
        <v>-54.528030347384856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13 JUN'!C8, 'REPORTE DIARIO'!C:C)</f>
        <v>14097</v>
      </c>
      <c r="E8" s="16">
        <f>SUMIF('REPORTE DIARIO'!B:B,'EPR 13 JUN'!C8, 'REPORTE DIARIO'!D:D)</f>
        <v>329326.26</v>
      </c>
      <c r="F8" s="16">
        <f>J8*D8</f>
        <v>453117.85714285716</v>
      </c>
      <c r="G8" s="16">
        <f>+E8-F8</f>
        <v>-123791.59714285715</v>
      </c>
      <c r="H8" s="15">
        <f>ABS(G8/F8)</f>
        <v>0.2731995554609728</v>
      </c>
      <c r="I8" s="16">
        <f>E8/D8</f>
        <v>23.361442860183018</v>
      </c>
      <c r="J8" s="16">
        <f>(45/7)*5</f>
        <v>32.142857142857146</v>
      </c>
      <c r="K8" s="16">
        <f t="shared" si="0"/>
        <v>-8.7814142826741275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13 JUN'!C9, 'REPORTE DIARIO'!C:C)</f>
        <v>50271</v>
      </c>
      <c r="E9" s="16">
        <f>SUMIF('REPORTE DIARIO'!B:B,'EPR 13 JUN'!C9, 'REPORTE DIARIO'!D:D)</f>
        <v>367077.19</v>
      </c>
      <c r="F9" s="16">
        <f>J9*D9</f>
        <v>538617.85714285716</v>
      </c>
      <c r="G9" s="16">
        <f>+E9-F9</f>
        <v>-171540.66714285716</v>
      </c>
      <c r="H9" s="15">
        <f>ABS(G9/F9)</f>
        <v>0.31848306710959934</v>
      </c>
      <c r="I9" s="16">
        <f>E9/D9</f>
        <v>7.3019671381114364</v>
      </c>
      <c r="J9" s="16">
        <f>(15/7)*5</f>
        <v>10.714285714285714</v>
      </c>
      <c r="K9" s="16">
        <f t="shared" si="0"/>
        <v>-3.4123185761742771</v>
      </c>
    </row>
    <row r="10" spans="2:12" x14ac:dyDescent="0.25">
      <c r="B10" s="16"/>
      <c r="C10" s="19" t="s">
        <v>17</v>
      </c>
      <c r="D10" s="24">
        <f>SUM(D6:D9)</f>
        <v>91465</v>
      </c>
      <c r="E10" s="20">
        <f>SUM(E6:E9)</f>
        <v>1798950.28</v>
      </c>
      <c r="F10" s="20">
        <f>SUM(F6:F9)</f>
        <v>4329607.1428571427</v>
      </c>
      <c r="G10" s="20">
        <f>+E10-F10</f>
        <v>-2530656.8628571425</v>
      </c>
      <c r="H10" s="21">
        <f>ABS(G10/F10)</f>
        <v>0.58450034364714709</v>
      </c>
      <c r="I10" s="20">
        <f>E10/D10</f>
        <v>19.668182146176132</v>
      </c>
      <c r="J10" s="20">
        <f>F10/D10</f>
        <v>47.336217600799678</v>
      </c>
      <c r="K10" s="20">
        <f>I10-J10</f>
        <v>-27.668035454623546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13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2025-06-13T15:19:19Z</dcterms:modified>
</cp:coreProperties>
</file>