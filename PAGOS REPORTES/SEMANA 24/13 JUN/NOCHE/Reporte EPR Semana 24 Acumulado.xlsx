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3 JUN\NOCHE\"/>
    </mc:Choice>
  </mc:AlternateContent>
  <xr:revisionPtr revIDLastSave="0" documentId="13_ncr:1_{2CD07B59-73C5-49D0-B11E-35440722F342}" xr6:coauthVersionLast="47" xr6:coauthVersionMax="47" xr10:uidLastSave="{00000000-0000-0000-0000-000000000000}"/>
  <bookViews>
    <workbookView xWindow="20730" yWindow="7590" windowWidth="10005" windowHeight="5445" xr2:uid="{4DC6C92A-CD8A-4966-829B-0B6A986E825B}"/>
  </bookViews>
  <sheets>
    <sheet name="REPORTE DIARIO" sheetId="1" r:id="rId1"/>
    <sheet name="DATA" sheetId="4" r:id="rId2"/>
    <sheet name="EPR 13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<sst xmlns="http://schemas.openxmlformats.org/spreadsheetml/2006/main" count="89" uniqueCount="37">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</sst>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D54" sqref="D5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3101</v>
      </c>
      <c r="D5" s="25">
        <v>459665.26999999996</v>
      </c>
    </row>
    <row r="6" spans="2:8" x14ac:dyDescent="0.25">
      <c r="B6" s="1" t="s">
        <v>5</v>
      </c>
      <c r="C6" s="6">
        <v>3488</v>
      </c>
      <c r="D6" s="25">
        <v>184268.96000000002</v>
      </c>
    </row>
    <row r="7" spans="2:8" x14ac:dyDescent="0.25">
      <c r="B7" s="1" t="s">
        <v>6</v>
      </c>
      <c r="C7" s="6">
        <v>6073</v>
      </c>
      <c r="D7" s="25">
        <v>191689.46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12452</v>
      </c>
      <c r="D9" s="25">
        <v>287131.19</v>
      </c>
      <c r="E9" s="14"/>
      <c r="F9" s="7"/>
    </row>
    <row r="10" spans="2:8" x14ac:dyDescent="0.25">
      <c r="B10" s="3" t="s">
        <v>8</v>
      </c>
      <c r="C10" s="8">
        <f>SUM(C5:C9)</f>
        <v>25125</v>
      </c>
      <c r="D10" s="4">
        <f>SUM(D5:D9)</f>
        <v>1122754.8799999999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3397</v>
      </c>
      <c r="D14" s="25">
        <v>231513.71</v>
      </c>
    </row>
    <row r="15" spans="2:8" x14ac:dyDescent="0.25">
      <c r="B15" s="9" t="s">
        <v>5</v>
      </c>
      <c r="C15" s="6">
        <v>1366</v>
      </c>
      <c r="D15" s="25">
        <v>27573.5</v>
      </c>
    </row>
    <row r="16" spans="2:8" x14ac:dyDescent="0.25">
      <c r="B16" s="9" t="s">
        <v>6</v>
      </c>
      <c r="C16" s="6">
        <v>2069</v>
      </c>
      <c r="D16" s="25">
        <v>111240.8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16858</v>
      </c>
      <c r="D18" s="25">
        <v>48222</v>
      </c>
    </row>
    <row r="19" spans="2:4" x14ac:dyDescent="0.25">
      <c r="B19" s="10" t="s">
        <v>8</v>
      </c>
      <c r="C19" s="8">
        <f>SUM(C14:C18)</f>
        <v>23691</v>
      </c>
      <c r="D19" s="4">
        <f>SUM(D14:D18)</f>
        <v>418589.01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2864</v>
      </c>
      <c r="D23" s="25">
        <v>126170.44</v>
      </c>
    </row>
    <row r="24" spans="2:4" x14ac:dyDescent="0.25">
      <c r="B24" s="1" t="s">
        <v>5</v>
      </c>
      <c r="C24" s="6">
        <v>1942</v>
      </c>
      <c r="D24" s="25">
        <v>47230.85</v>
      </c>
    </row>
    <row r="25" spans="2:4" x14ac:dyDescent="0.25">
      <c r="B25" s="1" t="s">
        <v>6</v>
      </c>
      <c r="C25" s="6">
        <v>2518</v>
      </c>
      <c r="D25" s="25">
        <v>51502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12600</v>
      </c>
      <c r="D27" s="25">
        <v>129786.89</v>
      </c>
    </row>
    <row r="28" spans="2:4" x14ac:dyDescent="0.25">
      <c r="B28" s="3" t="s">
        <v>8</v>
      </c>
      <c r="C28" s="8">
        <f>SUM(C23:C27)</f>
        <v>19924</v>
      </c>
      <c r="D28" s="4">
        <f>SUM(D23:D27)</f>
        <v>354690.18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447</v>
      </c>
      <c r="D32" s="25">
        <v>89629.5</v>
      </c>
    </row>
    <row r="33" spans="2:4" x14ac:dyDescent="0.25">
      <c r="B33" s="9" t="s">
        <v>5</v>
      </c>
      <c r="C33" s="6">
        <v>2866</v>
      </c>
      <c r="D33" s="25">
        <v>94216.5</v>
      </c>
    </row>
    <row r="34" spans="2:4" x14ac:dyDescent="0.25">
      <c r="B34" s="9" t="s">
        <v>6</v>
      </c>
      <c r="C34" s="6">
        <v>323</v>
      </c>
      <c r="D34" s="25">
        <v>3975</v>
      </c>
    </row>
    <row r="35" spans="2:4" x14ac:dyDescent="0.25">
      <c r="B35" s="9" t="s">
        <v>7</v>
      </c>
      <c r="C35" s="6">
        <v>3976</v>
      </c>
      <c r="D35" s="25">
        <v>20822</v>
      </c>
    </row>
    <row r="36" spans="2:4" x14ac:dyDescent="0.25">
      <c r="B36" s="10" t="s">
        <v>8</v>
      </c>
      <c r="C36" s="8">
        <f>SUM(C32:C35)</f>
        <v>7612</v>
      </c>
      <c r="D36" s="4">
        <f>SUM(D32:D35)</f>
        <v>208643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2276</v>
      </c>
      <c r="D40" s="25">
        <v>72683</v>
      </c>
    </row>
    <row r="41" spans="2:4" x14ac:dyDescent="0.25">
      <c r="B41" s="1" t="s">
        <v>5</v>
      </c>
      <c r="C41" s="6">
        <v>1423</v>
      </c>
      <c r="D41" s="25">
        <v>35182</v>
      </c>
    </row>
    <row r="42" spans="2:4" x14ac:dyDescent="0.25">
      <c r="B42" s="1" t="s">
        <v>6</v>
      </c>
      <c r="C42" s="6">
        <v>1969</v>
      </c>
      <c r="D42" s="25">
        <v>16662</v>
      </c>
    </row>
    <row r="43" spans="2:4" x14ac:dyDescent="0.25">
      <c r="B43" s="1" t="s">
        <v>7</v>
      </c>
      <c r="C43" s="6">
        <v>1830</v>
      </c>
      <c r="D43" s="25">
        <v>11313</v>
      </c>
    </row>
    <row r="44" spans="2:4" x14ac:dyDescent="0.25">
      <c r="B44" s="3" t="s">
        <v>8</v>
      </c>
      <c r="C44" s="8">
        <f>SUM(C40:C43)</f>
        <v>7498</v>
      </c>
      <c r="D44" s="4">
        <f>SUM(D40:D43)</f>
        <v>135840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2653</v>
      </c>
      <c r="D48" s="25">
        <v>59815.57</v>
      </c>
    </row>
    <row r="49" spans="2:4" x14ac:dyDescent="0.25">
      <c r="B49" s="10" t="s">
        <v>8</v>
      </c>
      <c r="C49" s="8">
        <f>SUM(C48:C48)</f>
        <v>2653</v>
      </c>
      <c r="D49" s="4">
        <f>SUM(D48:D48)</f>
        <v>59815.57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582</v>
      </c>
      <c r="D53" s="25">
        <v>9744</v>
      </c>
    </row>
    <row r="54" spans="2:4" x14ac:dyDescent="0.25">
      <c r="B54" s="1" t="s">
        <v>5</v>
      </c>
      <c r="C54" s="6">
        <v>606</v>
      </c>
      <c r="D54" s="25">
        <v>5953</v>
      </c>
    </row>
    <row r="55" spans="2:4" x14ac:dyDescent="0.25">
      <c r="B55" s="1" t="s">
        <v>6</v>
      </c>
      <c r="C55" s="6">
        <v>775</v>
      </c>
      <c r="D55" s="25">
        <v>1461</v>
      </c>
    </row>
    <row r="56" spans="2:4" x14ac:dyDescent="0.25">
      <c r="B56" s="1" t="s">
        <v>7</v>
      </c>
      <c r="C56" s="6">
        <v>2427</v>
      </c>
      <c r="D56" s="25">
        <v>5163</v>
      </c>
    </row>
    <row r="57" spans="2:4" x14ac:dyDescent="0.25">
      <c r="B57" s="3" t="s">
        <v>8</v>
      </c>
      <c r="C57" s="8">
        <f>SUM(C53:C56)</f>
        <v>4390</v>
      </c>
      <c r="D57" s="4">
        <f>SUM(D53:D56)</f>
        <v>22321</v>
      </c>
    </row>
    <row r="59" spans="2:4" x14ac:dyDescent="0.25">
      <c r="B59" s="12" t="s">
        <v>13</v>
      </c>
      <c r="C59" s="13">
        <f>SUM(C10+C19+C36+C49+C28+C57+C44)</f>
        <v>90893</v>
      </c>
      <c r="D59" s="13">
        <f>SUM(D10+D19+D36+D49+D28+D57+D44)</f>
        <v>2322653.64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13 JUN'!C6, 'REPORTE DIARIO'!C:C)</f>
        <v>15320</v>
      </c>
      <c r="E6" s="16">
        <f>SUMIF('REPORTE DIARIO'!B:B,'EPR 13 JUN'!C6, 'REPORTE DIARIO'!D:D)</f>
        <v>1049221.4899999998</v>
      </c>
      <c r="F6" s="16">
        <f>J6*D6</f>
        <v>2407428.5714285714</v>
      </c>
      <c r="G6" s="16">
        <f>+E6-F6</f>
        <v>-1358207.0814285716</v>
      </c>
      <c r="H6" s="15">
        <f>ABS(G6/F6)</f>
        <v>0.56417336636601001</v>
      </c>
      <c r="I6" s="16">
        <f>E6/D6</f>
        <v>68.487042428198421</v>
      </c>
      <c r="J6" s="16">
        <f>(220/7)*5</f>
        <v>157.14285714285714</v>
      </c>
      <c r="K6" s="16">
        <f>+I6-J6</f>
        <v>-88.655814714658717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13 JUN'!C7, 'REPORTE DIARIO'!C:C)</f>
        <v>11691</v>
      </c>
      <c r="E7" s="16">
        <f>SUMIF('REPORTE DIARIO'!B:B,'EPR 13 JUN'!C7, 'REPORTE DIARIO'!D:D)</f>
        <v>394424.81000000006</v>
      </c>
      <c r="F7" s="16">
        <f>J7*D7</f>
        <v>918578.57142857136</v>
      </c>
      <c r="G7" s="16">
        <f>+E7-F7</f>
        <v>-524153.76142857131</v>
      </c>
      <c r="H7" s="15">
        <f>ABS(G7/F7)</f>
        <v>0.57061396567678313</v>
      </c>
      <c r="I7" s="16">
        <f>E7/D7</f>
        <v>33.737474125395607</v>
      </c>
      <c r="J7" s="16">
        <f>(110/7)*5</f>
        <v>78.571428571428569</v>
      </c>
      <c r="K7" s="16">
        <f t="shared" ref="K7:K9" si="0">+I7-J7</f>
        <v>-44.833954446032962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13 JUN'!C8, 'REPORTE DIARIO'!C:C)</f>
        <v>13727</v>
      </c>
      <c r="E8" s="16">
        <f>SUMIF('REPORTE DIARIO'!B:B,'EPR 13 JUN'!C8, 'REPORTE DIARIO'!D:D)</f>
        <v>376530.26</v>
      </c>
      <c r="F8" s="16">
        <f>J8*D8</f>
        <v>441225.00000000006</v>
      </c>
      <c r="G8" s="16">
        <f>+E8-F8</f>
        <v>-64694.740000000049</v>
      </c>
      <c r="H8" s="15">
        <f>ABS(G8/F8)</f>
        <v>0.14662528188565935</v>
      </c>
      <c r="I8" s="16">
        <f>E8/D8</f>
        <v>27.429901653675238</v>
      </c>
      <c r="J8" s="16">
        <f>(45/7)*5</f>
        <v>32.142857142857146</v>
      </c>
      <c r="K8" s="16">
        <f t="shared" si="0"/>
        <v>-4.7129554891819083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13 JUN'!C9, 'REPORTE DIARIO'!C:C)</f>
        <v>50143</v>
      </c>
      <c r="E9" s="16">
        <f>SUMIF('REPORTE DIARIO'!B:B,'EPR 13 JUN'!C9, 'REPORTE DIARIO'!D:D)</f>
        <v>502438.08</v>
      </c>
      <c r="F9" s="16">
        <f>J9*D9</f>
        <v>537246.42857142852</v>
      </c>
      <c r="G9" s="16">
        <f>+E9-F9</f>
        <v>-34808.348571428505</v>
      </c>
      <c r="H9" s="15">
        <f>ABS(G9/F9)</f>
        <v>6.4790283788365155E-2</v>
      </c>
      <c r="I9" s="16">
        <f>E9/D9</f>
        <v>10.020104102267515</v>
      </c>
      <c r="J9" s="16">
        <f>(15/7)*5</f>
        <v>10.714285714285714</v>
      </c>
      <c r="K9" s="16">
        <f t="shared" si="0"/>
        <v>-0.69418161201819828</v>
      </c>
    </row>
    <row r="10" spans="2:12" x14ac:dyDescent="0.25">
      <c r="B10" s="16"/>
      <c r="C10" s="19" t="s">
        <v>17</v>
      </c>
      <c r="D10" s="24">
        <f>SUM(D6:D9)</f>
        <v>90881</v>
      </c>
      <c r="E10" s="20">
        <f>SUM(E6:E9)</f>
        <v>2322614.6399999997</v>
      </c>
      <c r="F10" s="20">
        <f>SUM(F6:F9)</f>
        <v>4304478.5714285709</v>
      </c>
      <c r="G10" s="20">
        <f>+E10-F10</f>
        <v>-1981863.9314285712</v>
      </c>
      <c r="H10" s="21">
        <f>ABS(G10/F10)</f>
        <v>0.46041904926264504</v>
      </c>
      <c r="I10" s="20">
        <f>E10/D10</f>
        <v>25.556658047336622</v>
      </c>
      <c r="J10" s="20">
        <f>F10/D10</f>
        <v>47.363899730731077</v>
      </c>
      <c r="K10" s="20">
        <f>I10-J10</f>
        <v>-21.807241683394455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2025-06-14T02:09:37Z</dcterms:modified>
</cp:coreProperties>
</file>