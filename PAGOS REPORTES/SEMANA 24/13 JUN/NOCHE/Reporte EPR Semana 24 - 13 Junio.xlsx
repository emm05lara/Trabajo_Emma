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3 JUN\NOCHE\"/>
    </mc:Choice>
  </mc:AlternateContent>
  <xr:revisionPtr revIDLastSave="0" documentId="13_ncr:1_{BC5F60A0-A320-443D-A7B3-3765ED3B9292}" xr6:coauthVersionLast="47" xr6:coauthVersionMax="47" xr10:uidLastSave="{00000000-0000-0000-0000-000000000000}"/>
  <bookViews>
    <workbookView xWindow="20385" yWindow="7245" windowWidth="10005" windowHeight="5445" xr2:uid="{4DC6C92A-CD8A-4966-829B-0B6A986E825B}"/>
  </bookViews>
  <sheets>
    <sheet name="REPORTE DIARIO" sheetId="1" r:id="rId1"/>
    <sheet name="DATA" sheetId="4" r:id="rId2"/>
    <sheet name="EPR 13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C36" i="1"/>
  <c r="J6" i="3"/>
  <c r="D57" i="1"/>
  <c r="D44" i="1"/>
  <c r="C44" i="1"/>
  <c r="C57" i="1"/>
  <c r="D19" i="1" l="1"/>
  <c r="C19" i="1"/>
  <c r="J9" i="3"/>
  <c r="J8" i="3"/>
  <c r="J7" i="3"/>
  <c r="D6" i="3"/>
  <c r="F6" i="3" s="1"/>
  <c r="D49" i="1"/>
  <c r="C49" i="1"/>
  <c r="D27" i="1"/>
  <c r="C27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<sst xmlns="http://schemas.openxmlformats.org/spreadsheetml/2006/main" count="88" uniqueCount="36">
  <si>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</si>
  <si>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</si>
  <si>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</si>
  <si>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</si>
  <si>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</si>
  <si>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</si>
  <si>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</si>
  <si>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</si>
  <si>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</si>
  <si>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</si>
  <si>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</si>
  <si>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</si>
  <si>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</si>
  <si>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</si>
  <si>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</si>
  <si>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</si>
  <si>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</si>
  <si>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</si>
  <si>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</si>
  <si>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</si>
  <si>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</si>
  <si>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</si>
  <si>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</si>
  <si>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</si>
  <si>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</si>
  <si>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</si>
  <si>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</si>
  <si>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</si>
  <si>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</si>
  <si>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</si>
  <si>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</si>
  <si>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</si>
  <si>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</si>
  <si>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</si>
  <si>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</si>
  <si>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13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</si>
</sst>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25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3101</v>
      </c>
      <c r="D5" s="25">
        <v>144758.87</v>
      </c>
    </row>
    <row r="6" spans="2:8" x14ac:dyDescent="0.25">
      <c r="B6" s="1" t="s">
        <v>5</v>
      </c>
      <c r="C6" s="6">
        <v>3488</v>
      </c>
      <c r="D6" s="25">
        <v>38575</v>
      </c>
    </row>
    <row r="7" spans="2:8" x14ac:dyDescent="0.25">
      <c r="B7" s="1" t="s">
        <v>6</v>
      </c>
      <c r="C7" s="6">
        <v>6073</v>
      </c>
      <c r="D7" s="25">
        <v>30672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12452</v>
      </c>
      <c r="D9" s="25">
        <v>73058.89</v>
      </c>
    </row>
    <row r="10" spans="2:8" x14ac:dyDescent="0.25">
      <c r="B10" s="3" t="s">
        <v>8</v>
      </c>
      <c r="C10" s="8">
        <f>SUM(C5:C9)</f>
        <v>25125</v>
      </c>
      <c r="D10" s="4">
        <f>SUM(D5:D9)</f>
        <v>287064.76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2864</v>
      </c>
      <c r="D14" s="25">
        <v>31317.439999999999</v>
      </c>
    </row>
    <row r="15" spans="2:8" x14ac:dyDescent="0.25">
      <c r="B15" s="1" t="s">
        <v>5</v>
      </c>
      <c r="C15" s="6">
        <v>1942</v>
      </c>
      <c r="D15" s="25">
        <v>5516.53</v>
      </c>
    </row>
    <row r="16" spans="2:8" x14ac:dyDescent="0.25">
      <c r="B16" s="1" t="s">
        <v>6</v>
      </c>
      <c r="C16" s="6">
        <v>2518</v>
      </c>
      <c r="D16" s="25">
        <v>6987</v>
      </c>
    </row>
    <row r="17" spans="2:11" x14ac:dyDescent="0.25">
      <c r="B17" s="5" t="s">
        <v>12</v>
      </c>
      <c r="C17" s="7">
        <v>0</v>
      </c>
      <c r="D17" s="24">
        <v>0</v>
      </c>
    </row>
    <row r="18" spans="2:11" x14ac:dyDescent="0.25">
      <c r="B18" s="1" t="s">
        <v>7</v>
      </c>
      <c r="C18" s="6">
        <v>12600</v>
      </c>
      <c r="D18" s="25">
        <v>56352</v>
      </c>
    </row>
    <row r="19" spans="2:11" x14ac:dyDescent="0.25">
      <c r="B19" s="3" t="s">
        <v>8</v>
      </c>
      <c r="C19" s="8">
        <f>SUM(C14:C18)</f>
        <v>19924</v>
      </c>
      <c r="D19" s="4">
        <f>SUM(D14:D18)</f>
        <v>100172.97</v>
      </c>
    </row>
    <row r="21" spans="2:11" x14ac:dyDescent="0.25">
      <c r="B21" s="27" t="s">
        <v>9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9" t="s">
        <v>4</v>
      </c>
      <c r="C23" s="6">
        <v>447</v>
      </c>
      <c r="D23" s="25">
        <v>8042</v>
      </c>
    </row>
    <row r="24" spans="2:11" x14ac:dyDescent="0.25">
      <c r="B24" s="9" t="s">
        <v>5</v>
      </c>
      <c r="C24" s="6">
        <v>2866</v>
      </c>
      <c r="D24" s="25">
        <v>47995</v>
      </c>
    </row>
    <row r="25" spans="2:11" x14ac:dyDescent="0.25">
      <c r="B25" s="9" t="s">
        <v>6</v>
      </c>
      <c r="C25" s="6">
        <v>323</v>
      </c>
      <c r="D25" s="25">
        <v>1912</v>
      </c>
    </row>
    <row r="26" spans="2:11" x14ac:dyDescent="0.25">
      <c r="B26" s="9" t="s">
        <v>7</v>
      </c>
      <c r="C26" s="6">
        <v>3976</v>
      </c>
      <c r="D26" s="25">
        <v>11022</v>
      </c>
      <c r="K26" s="7"/>
    </row>
    <row r="27" spans="2:11" x14ac:dyDescent="0.25">
      <c r="B27" s="10" t="s">
        <v>8</v>
      </c>
      <c r="C27" s="8">
        <f>SUM(C23:C26)</f>
        <v>7612</v>
      </c>
      <c r="D27" s="4">
        <f>SUM(D23:D26)</f>
        <v>68971</v>
      </c>
    </row>
    <row r="29" spans="2:11" x14ac:dyDescent="0.25">
      <c r="B29" s="28" t="s">
        <v>10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3397</v>
      </c>
      <c r="D31" s="25">
        <v>38612.229999999996</v>
      </c>
    </row>
    <row r="32" spans="2:11" x14ac:dyDescent="0.25">
      <c r="B32" s="9" t="s">
        <v>5</v>
      </c>
      <c r="C32" s="6">
        <v>1366</v>
      </c>
      <c r="D32" s="25">
        <v>9553</v>
      </c>
    </row>
    <row r="33" spans="2:4" x14ac:dyDescent="0.25">
      <c r="B33" s="9" t="s">
        <v>6</v>
      </c>
      <c r="C33" s="6">
        <v>2069</v>
      </c>
      <c r="D33" s="25">
        <v>6101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16858</v>
      </c>
      <c r="D35" s="25">
        <v>7199</v>
      </c>
    </row>
    <row r="36" spans="2:4" x14ac:dyDescent="0.25">
      <c r="B36" s="10" t="s">
        <v>8</v>
      </c>
      <c r="C36" s="8">
        <f>SUM(C31:C35)</f>
        <v>23691</v>
      </c>
      <c r="D36" s="4">
        <f>SUM(D31:D35)</f>
        <v>61465.229999999996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2276</v>
      </c>
      <c r="D40" s="25">
        <v>10825</v>
      </c>
    </row>
    <row r="41" spans="2:4" x14ac:dyDescent="0.25">
      <c r="B41" s="1" t="s">
        <v>5</v>
      </c>
      <c r="C41" s="6">
        <v>1423</v>
      </c>
      <c r="D41" s="25">
        <v>19828</v>
      </c>
    </row>
    <row r="42" spans="2:4" x14ac:dyDescent="0.25">
      <c r="B42" s="1" t="s">
        <v>6</v>
      </c>
      <c r="C42" s="6">
        <v>1969</v>
      </c>
      <c r="D42" s="25">
        <v>6842</v>
      </c>
    </row>
    <row r="43" spans="2:4" x14ac:dyDescent="0.25">
      <c r="B43" s="1" t="s">
        <v>7</v>
      </c>
      <c r="C43" s="6">
        <v>1830</v>
      </c>
      <c r="D43" s="25">
        <v>2171</v>
      </c>
    </row>
    <row r="44" spans="2:4" x14ac:dyDescent="0.25">
      <c r="B44" s="3" t="s">
        <v>8</v>
      </c>
      <c r="C44" s="8">
        <f>SUM(C40:C43)</f>
        <v>7498</v>
      </c>
      <c r="D44" s="4">
        <f>SUM(D40:D43)</f>
        <v>39666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2653</v>
      </c>
      <c r="D48" s="25">
        <v>6414.13</v>
      </c>
    </row>
    <row r="49" spans="2:4" x14ac:dyDescent="0.25">
      <c r="B49" s="10" t="s">
        <v>8</v>
      </c>
      <c r="C49" s="8">
        <f>SUM(C48:C48)</f>
        <v>2653</v>
      </c>
      <c r="D49" s="4">
        <f>SUM(D48:D48)</f>
        <v>6414.13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582</v>
      </c>
      <c r="D53" s="26">
        <v>0</v>
      </c>
    </row>
    <row r="54" spans="2:4" x14ac:dyDescent="0.25">
      <c r="B54" s="1" t="s">
        <v>5</v>
      </c>
      <c r="C54" s="6">
        <v>606</v>
      </c>
      <c r="D54" s="26">
        <v>0</v>
      </c>
    </row>
    <row r="55" spans="2:4" x14ac:dyDescent="0.25">
      <c r="B55" s="1" t="s">
        <v>6</v>
      </c>
      <c r="C55" s="6">
        <v>775</v>
      </c>
      <c r="D55" s="25">
        <v>1320</v>
      </c>
    </row>
    <row r="56" spans="2:4" x14ac:dyDescent="0.25">
      <c r="B56" s="1" t="s">
        <v>7</v>
      </c>
      <c r="C56" s="6">
        <v>2427</v>
      </c>
      <c r="D56" s="25">
        <v>1626</v>
      </c>
    </row>
    <row r="57" spans="2:4" x14ac:dyDescent="0.25">
      <c r="B57" s="3" t="s">
        <v>8</v>
      </c>
      <c r="C57" s="8">
        <f>SUM(C53:C56)</f>
        <v>4390</v>
      </c>
      <c r="D57" s="4">
        <f>SUM(D53:D56)</f>
        <v>2946</v>
      </c>
    </row>
    <row r="59" spans="2:4" x14ac:dyDescent="0.25">
      <c r="B59" s="11" t="s">
        <v>13</v>
      </c>
      <c r="C59" s="12">
        <f>SUM(C10+C27+C36+C49+C19+C57+C44)</f>
        <v>90893</v>
      </c>
      <c r="D59" s="12">
        <f>SUM(D10+D27+D36+D49+D19+D57+D44)</f>
        <v>566700.09</v>
      </c>
    </row>
  </sheetData>
  <mergeCells count="7">
    <mergeCell ref="B3:D3"/>
    <mergeCell ref="B21:D21"/>
    <mergeCell ref="B46:D46"/>
    <mergeCell ref="B51:D51"/>
    <mergeCell ref="B12:D12"/>
    <mergeCell ref="B29:D29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" sqref="B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13 JUN'!C6, 'REPORTE DIARIO'!C:C)</f>
        <v>15320</v>
      </c>
      <c r="E6" s="15">
        <f>SUMIF('REPORTE DIARIO'!B:B,'EPR 13 JUN'!C6, 'REPORTE DIARIO'!D:D)</f>
        <v>239969.66999999998</v>
      </c>
      <c r="F6" s="15">
        <f>J6*D6</f>
        <v>481485.71428571426</v>
      </c>
      <c r="G6" s="15">
        <f>+E6-F6</f>
        <v>-241516.04428571428</v>
      </c>
      <c r="H6" s="14">
        <f>ABS(G6/F6)</f>
        <v>0.50160583610253973</v>
      </c>
      <c r="I6" s="15">
        <f>E6/D6</f>
        <v>15.663816579634464</v>
      </c>
      <c r="J6" s="15">
        <f>220/7</f>
        <v>31.428571428571427</v>
      </c>
      <c r="K6" s="15">
        <f>+I6-J6</f>
        <v>-15.764754848936963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13 JUN'!C7, 'REPORTE DIARIO'!C:C)</f>
        <v>11691</v>
      </c>
      <c r="E7" s="15">
        <f>SUMIF('REPORTE DIARIO'!B:B,'EPR 13 JUN'!C7, 'REPORTE DIARIO'!D:D)</f>
        <v>121467.53</v>
      </c>
      <c r="F7" s="15">
        <f>J7*D7</f>
        <v>183715.71428571429</v>
      </c>
      <c r="G7" s="15">
        <f>+E7-F7</f>
        <v>-62248.184285714291</v>
      </c>
      <c r="H7" s="14">
        <f>ABS(G7/F7)</f>
        <v>0.33882885047550176</v>
      </c>
      <c r="I7" s="15">
        <f>E7/D7</f>
        <v>10.389832349670687</v>
      </c>
      <c r="J7" s="15">
        <f>110/7</f>
        <v>15.714285714285714</v>
      </c>
      <c r="K7" s="15">
        <f t="shared" ref="K7:K9" si="0">+I7-J7</f>
        <v>-5.3244533646150263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13 JUN'!C8, 'REPORTE DIARIO'!C:C)</f>
        <v>13727</v>
      </c>
      <c r="E8" s="15">
        <f>SUMIF('REPORTE DIARIO'!B:B,'EPR 13 JUN'!C8, 'REPORTE DIARIO'!D:D)</f>
        <v>53834</v>
      </c>
      <c r="F8" s="15">
        <f>J8*D8</f>
        <v>88245</v>
      </c>
      <c r="G8" s="15">
        <f>+E8-F8</f>
        <v>-34411</v>
      </c>
      <c r="H8" s="14">
        <f>ABS(G8/F8)</f>
        <v>0.38994843900504278</v>
      </c>
      <c r="I8" s="15">
        <f>E8/D8</f>
        <v>3.9217600349675821</v>
      </c>
      <c r="J8" s="15">
        <f>45/7</f>
        <v>6.4285714285714288</v>
      </c>
      <c r="K8" s="15">
        <f t="shared" si="0"/>
        <v>-2.5068113936038467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13 JUN'!C9, 'REPORTE DIARIO'!C:C)</f>
        <v>50143</v>
      </c>
      <c r="E9" s="15">
        <f>SUMIF('REPORTE DIARIO'!B:B,'EPR 13 JUN'!C9, 'REPORTE DIARIO'!D:D)</f>
        <v>151428.89000000001</v>
      </c>
      <c r="F9" s="15">
        <f>J9*D9</f>
        <v>107449.28571428571</v>
      </c>
      <c r="G9" s="15">
        <f>+E9-F9</f>
        <v>43979.604285714304</v>
      </c>
      <c r="H9" s="14">
        <f>ABS(G9/F9)</f>
        <v>0.40930569238644166</v>
      </c>
      <c r="I9" s="15">
        <f>E9/D9</f>
        <v>3.0199407693995175</v>
      </c>
      <c r="J9" s="15">
        <f>15/7</f>
        <v>2.1428571428571428</v>
      </c>
      <c r="K9" s="15">
        <f t="shared" si="0"/>
        <v>0.87708362654237471</v>
      </c>
    </row>
    <row r="10" spans="2:12" x14ac:dyDescent="0.25">
      <c r="B10" s="15"/>
      <c r="C10" s="18" t="s">
        <v>16</v>
      </c>
      <c r="D10" s="23">
        <f>SUM(D6:D9)</f>
        <v>90881</v>
      </c>
      <c r="E10" s="19">
        <f>SUM(E6:E9)</f>
        <v>566700.09</v>
      </c>
      <c r="F10" s="19">
        <f>SUM(F6:F9)</f>
        <v>860895.7142857142</v>
      </c>
      <c r="G10" s="19">
        <f>+E10-F10</f>
        <v>-294195.62428571424</v>
      </c>
      <c r="H10" s="20">
        <f>ABS(G10/F10)</f>
        <v>0.34173201167554718</v>
      </c>
      <c r="I10" s="19">
        <f>E10/D10</f>
        <v>6.2356277989898876</v>
      </c>
      <c r="J10" s="19">
        <f>F10/D10</f>
        <v>9.4727799461462148</v>
      </c>
      <c r="K10" s="19">
        <f>I10-J10</f>
        <v>-3.2371521471563272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2025-06-14T02:05:59Z</dcterms:modified>
</cp:coreProperties>
</file>