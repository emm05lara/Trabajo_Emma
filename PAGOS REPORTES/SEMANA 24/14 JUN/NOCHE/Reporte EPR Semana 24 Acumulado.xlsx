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NOCHE\"/>
    </mc:Choice>
  </mc:AlternateContent>
  <xr:revisionPtr revIDLastSave="0" documentId="13_ncr:1_{4190304B-5E7B-478B-8DF0-0B2DAFD14A94}" xr6:coauthVersionLast="47" xr6:coauthVersionMax="47" xr10:uidLastSave="{00000000-0000-0000-0000-000000000000}"/>
  <bookViews>
    <workbookView xWindow="22800" yWindow="9660" windowWidth="10005" windowHeight="5445" xr2:uid="{4DC6C92A-CD8A-4966-829B-0B6A986E825B}"/>
  </bookViews>
  <sheets>
    <sheet name="REPORTE DIARIO" sheetId="1" r:id="rId1"/>
    <sheet name="DATA" sheetId="4" r:id="rId2"/>
    <sheet name="EPR 1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" i="1" l="1"/>
  <c r="C59" i="1"/>
  <c r="J9" i="3"/>
  <c r="J8" i="3"/>
  <c r="J7" i="3"/>
  <c r="J6" i="3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9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<sst xmlns="http://schemas.openxmlformats.org/spreadsheetml/2006/main" count="89" uniqueCount="37">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</sst>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8" zoomScaleNormal="100" workbookViewId="0">
      <selection activeCell="D53" sqref="D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3124</v>
      </c>
      <c r="D5" s="25">
        <v>641900.72</v>
      </c>
    </row>
    <row r="6" spans="2:8" x14ac:dyDescent="0.25">
      <c r="B6" s="1" t="s">
        <v>5</v>
      </c>
      <c r="C6" s="6">
        <v>3536</v>
      </c>
      <c r="D6" s="25">
        <v>258329.1</v>
      </c>
    </row>
    <row r="7" spans="2:8" x14ac:dyDescent="0.25">
      <c r="B7" s="1" t="s">
        <v>6</v>
      </c>
      <c r="C7" s="6">
        <v>6138</v>
      </c>
      <c r="D7" s="25">
        <v>271618.45999999996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12495</v>
      </c>
      <c r="D9" s="25">
        <v>372345.89999999997</v>
      </c>
      <c r="E9" s="14"/>
      <c r="F9" s="7"/>
    </row>
    <row r="10" spans="2:8" x14ac:dyDescent="0.25">
      <c r="B10" s="3" t="s">
        <v>8</v>
      </c>
      <c r="C10" s="8">
        <f>SUM(C5:C9)</f>
        <v>25304</v>
      </c>
      <c r="D10" s="4">
        <f>SUM(D5:D9)</f>
        <v>1544194.1799999997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3355</v>
      </c>
      <c r="D14" s="25">
        <v>287090.78000000003</v>
      </c>
    </row>
    <row r="15" spans="2:8" x14ac:dyDescent="0.25">
      <c r="B15" s="9" t="s">
        <v>5</v>
      </c>
      <c r="C15" s="6">
        <v>1424</v>
      </c>
      <c r="D15" s="25">
        <v>36761.5</v>
      </c>
    </row>
    <row r="16" spans="2:8" x14ac:dyDescent="0.25">
      <c r="B16" s="9" t="s">
        <v>6</v>
      </c>
      <c r="C16" s="6">
        <v>2070</v>
      </c>
      <c r="D16" s="25">
        <v>119184.8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16857</v>
      </c>
      <c r="D18" s="25">
        <v>59130</v>
      </c>
    </row>
    <row r="19" spans="2:4" x14ac:dyDescent="0.25">
      <c r="B19" s="10" t="s">
        <v>8</v>
      </c>
      <c r="C19" s="8">
        <f>SUM(C14:C18)</f>
        <v>23707</v>
      </c>
      <c r="D19" s="4">
        <f>SUM(D14:D18)</f>
        <v>502206.08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2838</v>
      </c>
      <c r="D23" s="25">
        <v>162806.44</v>
      </c>
    </row>
    <row r="24" spans="2:4" x14ac:dyDescent="0.25">
      <c r="B24" s="1" t="s">
        <v>5</v>
      </c>
      <c r="C24" s="6">
        <v>1944</v>
      </c>
      <c r="D24" s="25">
        <v>78723.850000000006</v>
      </c>
    </row>
    <row r="25" spans="2:4" x14ac:dyDescent="0.25">
      <c r="B25" s="1" t="s">
        <v>6</v>
      </c>
      <c r="C25" s="6">
        <v>2535</v>
      </c>
      <c r="D25" s="25">
        <v>77931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12610</v>
      </c>
      <c r="D27" s="25">
        <v>147988.88999999998</v>
      </c>
    </row>
    <row r="28" spans="2:4" x14ac:dyDescent="0.25">
      <c r="B28" s="3" t="s">
        <v>8</v>
      </c>
      <c r="C28" s="8">
        <f>SUM(C23:C27)</f>
        <v>19927</v>
      </c>
      <c r="D28" s="4">
        <f>SUM(D23:D27)</f>
        <v>467450.18000000005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456</v>
      </c>
      <c r="D32" s="25">
        <v>115042.06</v>
      </c>
    </row>
    <row r="33" spans="2:4" x14ac:dyDescent="0.25">
      <c r="B33" s="9" t="s">
        <v>5</v>
      </c>
      <c r="C33" s="6">
        <v>2865</v>
      </c>
      <c r="D33" s="25">
        <v>108987</v>
      </c>
    </row>
    <row r="34" spans="2:4" x14ac:dyDescent="0.25">
      <c r="B34" s="9" t="s">
        <v>6</v>
      </c>
      <c r="C34" s="6">
        <v>327</v>
      </c>
      <c r="D34" s="25">
        <v>5214</v>
      </c>
    </row>
    <row r="35" spans="2:4" x14ac:dyDescent="0.25">
      <c r="B35" s="9" t="s">
        <v>7</v>
      </c>
      <c r="C35" s="6">
        <v>3983</v>
      </c>
      <c r="D35" s="25">
        <v>33580.400000000001</v>
      </c>
    </row>
    <row r="36" spans="2:4" x14ac:dyDescent="0.25">
      <c r="B36" s="10" t="s">
        <v>8</v>
      </c>
      <c r="C36" s="8">
        <f>SUM(C32:C35)</f>
        <v>7631</v>
      </c>
      <c r="D36" s="4">
        <f>SUM(D32:D35)</f>
        <v>262823.46000000002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2278</v>
      </c>
      <c r="D40" s="25">
        <v>87022.38</v>
      </c>
    </row>
    <row r="41" spans="2:4" x14ac:dyDescent="0.25">
      <c r="B41" s="1" t="s">
        <v>5</v>
      </c>
      <c r="C41" s="6">
        <v>1437</v>
      </c>
      <c r="D41" s="25">
        <v>41252</v>
      </c>
    </row>
    <row r="42" spans="2:4" x14ac:dyDescent="0.25">
      <c r="B42" s="1" t="s">
        <v>6</v>
      </c>
      <c r="C42" s="6">
        <v>1974</v>
      </c>
      <c r="D42" s="25">
        <v>17130</v>
      </c>
    </row>
    <row r="43" spans="2:4" x14ac:dyDescent="0.25">
      <c r="B43" s="1" t="s">
        <v>7</v>
      </c>
      <c r="C43" s="6">
        <v>1840</v>
      </c>
      <c r="D43" s="25">
        <v>14795</v>
      </c>
    </row>
    <row r="44" spans="2:4" x14ac:dyDescent="0.25">
      <c r="B44" s="3" t="s">
        <v>8</v>
      </c>
      <c r="C44" s="8">
        <f>SUM(C40:C43)</f>
        <v>7529</v>
      </c>
      <c r="D44" s="4">
        <f>SUM(D40:D43)</f>
        <v>160199.38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2640</v>
      </c>
      <c r="D48" s="25">
        <v>68968.570000000007</v>
      </c>
    </row>
    <row r="49" spans="2:4" x14ac:dyDescent="0.25">
      <c r="B49" s="10" t="s">
        <v>8</v>
      </c>
      <c r="C49" s="8">
        <f>SUM(C48:C48)</f>
        <v>2640</v>
      </c>
      <c r="D49" s="4">
        <f>SUM(D48:D48)</f>
        <v>68968.570000000007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10376</v>
      </c>
    </row>
    <row r="54" spans="2:4" x14ac:dyDescent="0.25">
      <c r="B54" s="1" t="s">
        <v>5</v>
      </c>
      <c r="C54" s="6">
        <v>607</v>
      </c>
      <c r="D54" s="25">
        <v>6203</v>
      </c>
    </row>
    <row r="55" spans="2:4" x14ac:dyDescent="0.25">
      <c r="B55" s="1" t="s">
        <v>6</v>
      </c>
      <c r="C55" s="6">
        <v>775</v>
      </c>
      <c r="D55" s="25">
        <v>2771</v>
      </c>
    </row>
    <row r="56" spans="2:4" x14ac:dyDescent="0.25">
      <c r="B56" s="1" t="s">
        <v>7</v>
      </c>
      <c r="C56" s="6">
        <v>2427</v>
      </c>
      <c r="D56" s="25">
        <v>7920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27270</v>
      </c>
    </row>
    <row r="59" spans="2:4" x14ac:dyDescent="0.25">
      <c r="B59" s="12" t="s">
        <v>13</v>
      </c>
      <c r="C59" s="13">
        <f>SUM(C10+C19+C36+C49+C28+C57+C44)</f>
        <v>91127</v>
      </c>
      <c r="D59" s="13">
        <f>SUM(D10+D19+D36+D49+D28+D57+D44)</f>
        <v>3033111.8499999996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I10" sqref="I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14 JUN'!C6, 'REPORTE DIARIO'!C:C)</f>
        <v>15271</v>
      </c>
      <c r="E6" s="16">
        <f>SUMIF('REPORTE DIARIO'!B:B,'EPR 14 JUN'!C6, 'REPORTE DIARIO'!D:D)</f>
        <v>1373206.95</v>
      </c>
      <c r="F6" s="16">
        <f>J6*D6</f>
        <v>2879674.2857142854</v>
      </c>
      <c r="G6" s="16">
        <f>+E6-F6</f>
        <v>-1506467.3357142855</v>
      </c>
      <c r="H6" s="15">
        <f>ABS(G6/F6)</f>
        <v>0.5231381004399307</v>
      </c>
      <c r="I6" s="16">
        <f>E6/D6</f>
        <v>89.92252963132735</v>
      </c>
      <c r="J6" s="16">
        <f>(220/7)*6</f>
        <v>188.57142857142856</v>
      </c>
      <c r="K6" s="16">
        <f>+I6-J6</f>
        <v>-98.648898940101205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14 JUN'!C7, 'REPORTE DIARIO'!C:C)</f>
        <v>11813</v>
      </c>
      <c r="E7" s="16">
        <f>SUMIF('REPORTE DIARIO'!B:B,'EPR 14 JUN'!C7, 'REPORTE DIARIO'!D:D)</f>
        <v>530256.44999999995</v>
      </c>
      <c r="F7" s="16">
        <f>J7*D7</f>
        <v>1113797.1428571427</v>
      </c>
      <c r="G7" s="16">
        <f>+E7-F7</f>
        <v>-583540.69285714277</v>
      </c>
      <c r="H7" s="15">
        <f>ABS(G7/F7)</f>
        <v>0.52392008419076053</v>
      </c>
      <c r="I7" s="16">
        <f>E7/D7</f>
        <v>44.887534919156856</v>
      </c>
      <c r="J7" s="16">
        <f>(110/7)*6</f>
        <v>94.285714285714278</v>
      </c>
      <c r="K7" s="16">
        <f t="shared" ref="K7:K9" si="0">+I7-J7</f>
        <v>-49.398179366557422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14 JUN'!C8, 'REPORTE DIARIO'!C:C)</f>
        <v>13819</v>
      </c>
      <c r="E8" s="16">
        <f>SUMIF('REPORTE DIARIO'!B:B,'EPR 14 JUN'!C8, 'REPORTE DIARIO'!D:D)</f>
        <v>493849.25999999995</v>
      </c>
      <c r="F8" s="16">
        <f>J8*D8</f>
        <v>533018.57142857136</v>
      </c>
      <c r="G8" s="16">
        <f>+E8-F8</f>
        <v>-39169.311428571411</v>
      </c>
      <c r="H8" s="15">
        <f>ABS(G8/F8)</f>
        <v>7.3485828689967891E-2</v>
      </c>
      <c r="I8" s="16">
        <f>E8/D8</f>
        <v>35.736975179101236</v>
      </c>
      <c r="J8" s="16">
        <f>(45/7)*6</f>
        <v>38.571428571428569</v>
      </c>
      <c r="K8" s="16">
        <f t="shared" si="0"/>
        <v>-2.8344533923273332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14 JUN'!C9, 'REPORTE DIARIO'!C:C)</f>
        <v>50212</v>
      </c>
      <c r="E9" s="16">
        <f>SUMIF('REPORTE DIARIO'!B:B,'EPR 14 JUN'!C9, 'REPORTE DIARIO'!D:D)</f>
        <v>635760.18999999994</v>
      </c>
      <c r="F9" s="16">
        <f>J9*D9</f>
        <v>645582.85714285716</v>
      </c>
      <c r="G9" s="16">
        <f>+E9-F9</f>
        <v>-9822.6671428572154</v>
      </c>
      <c r="H9" s="15">
        <f>ABS(G9/F9)</f>
        <v>1.5215192030236354E-2</v>
      </c>
      <c r="I9" s="16">
        <f>E9/D9</f>
        <v>12.661518959611247</v>
      </c>
      <c r="J9" s="16">
        <f>(15/7)*6</f>
        <v>12.857142857142858</v>
      </c>
      <c r="K9" s="16">
        <f t="shared" si="0"/>
        <v>-0.19562389753161114</v>
      </c>
    </row>
    <row r="10" spans="2:12" x14ac:dyDescent="0.25">
      <c r="B10" s="16"/>
      <c r="C10" s="19" t="s">
        <v>17</v>
      </c>
      <c r="D10" s="24">
        <f>SUM(D6:D9)</f>
        <v>91115</v>
      </c>
      <c r="E10" s="20">
        <f>SUM(E6:E9)</f>
        <v>3033072.8499999996</v>
      </c>
      <c r="F10" s="20">
        <f>SUM(F6:F9)</f>
        <v>5172072.8571428573</v>
      </c>
      <c r="G10" s="20">
        <f>+E10-F10</f>
        <v>-2139000.0071428576</v>
      </c>
      <c r="H10" s="21">
        <f>ABS(G10/F10)</f>
        <v>0.41356726137158056</v>
      </c>
      <c r="I10" s="20">
        <f>E10/D10</f>
        <v>33.288403116940124</v>
      </c>
      <c r="J10" s="20">
        <f>F10/D10</f>
        <v>56.764230446609858</v>
      </c>
      <c r="K10" s="20">
        <f>I10-J10</f>
        <v>-23.475827329669734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2025-06-15T02:04:28Z</dcterms:modified>
</cp:coreProperties>
</file>