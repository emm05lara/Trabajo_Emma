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4 JUN\NOCHE\"/>
    </mc:Choice>
  </mc:AlternateContent>
  <xr:revisionPtr revIDLastSave="0" documentId="13_ncr:1_{0C54532F-8336-4DFC-86CE-E7BE3B2183C3}" xr6:coauthVersionLast="47" xr6:coauthVersionMax="47" xr10:uidLastSave="{00000000-0000-0000-0000-000000000000}"/>
  <bookViews>
    <workbookView xWindow="22455" yWindow="9315" windowWidth="10005" windowHeight="5445" xr2:uid="{4DC6C92A-CD8A-4966-829B-0B6A986E825B}"/>
  </bookViews>
  <sheets>
    <sheet name="REPORTE DIARIO" sheetId="1" r:id="rId1"/>
    <sheet name="DATA" sheetId="4" r:id="rId2"/>
    <sheet name="EPR 1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J6" i="3"/>
  <c r="D57" i="1"/>
  <c r="D44" i="1"/>
  <c r="C44" i="1"/>
  <c r="C57" i="1"/>
  <c r="D19" i="1" l="1"/>
  <c r="C19" i="1"/>
  <c r="J9" i="3"/>
  <c r="J8" i="3"/>
  <c r="J7" i="3"/>
  <c r="D6" i="3"/>
  <c r="F6" i="3" s="1"/>
  <c r="D49" i="1"/>
  <c r="C49" i="1"/>
  <c r="D36" i="1"/>
  <c r="C36" i="1"/>
  <c r="D10" i="1"/>
  <c r="C10" i="1"/>
  <c r="E7" i="3"/>
  <c r="E8" i="3"/>
  <c r="E9" i="3"/>
  <c r="E6" i="3"/>
  <c r="D7" i="3"/>
  <c r="F7" i="3" s="1"/>
  <c r="D8" i="3"/>
  <c r="F8" i="3" s="1"/>
  <c r="D9" i="3"/>
  <c r="F9" i="3" s="1"/>
  <c r="D59" i="1" l="1"/>
  <c r="C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<sst xmlns="http://schemas.openxmlformats.org/spreadsheetml/2006/main" count="88" uniqueCount="36">
  <si>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</si>
  <si>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</si>
  <si>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</si>
  <si>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</si>
  <si>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</si>
  <si>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</si>
  <si>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</si>
  <si>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</si>
  <si>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</si>
  <si>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</si>
  <si>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</si>
  <si>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</si>
  <si>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</si>
  <si>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</si>
  <si>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</si>
  <si>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</si>
  <si>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</si>
  <si>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</si>
  <si>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</si>
  <si>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</si>
  <si>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</si>
  <si>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</si>
  <si>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</si>
  <si>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</si>
  <si>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</si>
  <si>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</si>
  <si>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</si>
  <si>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</si>
  <si>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</si>
  <si>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</si>
  <si>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</si>
  <si>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</si>
  <si>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</si>
  <si>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</si>
  <si>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</si>
  <si>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COBRANZA 14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</si>
</sst>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9"/>
  <sheetViews>
    <sheetView showGridLines="0" tabSelected="1" topLeftCell="A34" workbookViewId="0">
      <selection activeCell="C56" sqref="C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3124</v>
      </c>
      <c r="D5" s="25">
        <v>144785.45000000001</v>
      </c>
    </row>
    <row r="6" spans="2:8" x14ac:dyDescent="0.25">
      <c r="B6" s="1" t="s">
        <v>5</v>
      </c>
      <c r="C6" s="6">
        <v>3536</v>
      </c>
      <c r="D6" s="25">
        <v>57509.97</v>
      </c>
    </row>
    <row r="7" spans="2:8" x14ac:dyDescent="0.25">
      <c r="B7" s="1" t="s">
        <v>6</v>
      </c>
      <c r="C7" s="6">
        <v>6138</v>
      </c>
      <c r="D7" s="25">
        <v>64413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12495</v>
      </c>
      <c r="D9" s="25">
        <v>65974.66</v>
      </c>
    </row>
    <row r="10" spans="2:8" x14ac:dyDescent="0.25">
      <c r="B10" s="3" t="s">
        <v>8</v>
      </c>
      <c r="C10" s="8">
        <f>SUM(C5:C9)</f>
        <v>25304</v>
      </c>
      <c r="D10" s="4">
        <f>SUM(D5:D9)</f>
        <v>332683.08000000007</v>
      </c>
    </row>
    <row r="12" spans="2:8" x14ac:dyDescent="0.25">
      <c r="B12" s="27" t="s">
        <v>29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2838</v>
      </c>
      <c r="D14" s="25">
        <v>27101</v>
      </c>
    </row>
    <row r="15" spans="2:8" x14ac:dyDescent="0.25">
      <c r="B15" s="1" t="s">
        <v>5</v>
      </c>
      <c r="C15" s="6">
        <v>1944</v>
      </c>
      <c r="D15" s="25">
        <v>29952</v>
      </c>
    </row>
    <row r="16" spans="2:8" x14ac:dyDescent="0.25">
      <c r="B16" s="1" t="s">
        <v>6</v>
      </c>
      <c r="C16" s="6">
        <v>2535</v>
      </c>
      <c r="D16" s="25">
        <v>22701</v>
      </c>
    </row>
    <row r="17" spans="2:11" x14ac:dyDescent="0.25">
      <c r="B17" s="5" t="s">
        <v>12</v>
      </c>
      <c r="C17" s="7">
        <v>0</v>
      </c>
      <c r="D17" s="24">
        <v>0</v>
      </c>
    </row>
    <row r="18" spans="2:11" x14ac:dyDescent="0.25">
      <c r="B18" s="1" t="s">
        <v>7</v>
      </c>
      <c r="C18" s="6">
        <v>12610</v>
      </c>
      <c r="D18" s="25">
        <v>16142</v>
      </c>
    </row>
    <row r="19" spans="2:11" x14ac:dyDescent="0.25">
      <c r="B19" s="3" t="s">
        <v>8</v>
      </c>
      <c r="C19" s="8">
        <f>SUM(C14:C18)</f>
        <v>19927</v>
      </c>
      <c r="D19" s="4">
        <f>SUM(D14:D18)</f>
        <v>95896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3355</v>
      </c>
      <c r="D23" s="25">
        <v>31583.460000000003</v>
      </c>
    </row>
    <row r="24" spans="2:11" x14ac:dyDescent="0.25">
      <c r="B24" s="9" t="s">
        <v>5</v>
      </c>
      <c r="C24" s="6">
        <v>1424</v>
      </c>
      <c r="D24" s="25">
        <v>7179</v>
      </c>
    </row>
    <row r="25" spans="2:11" x14ac:dyDescent="0.25">
      <c r="B25" s="9" t="s">
        <v>6</v>
      </c>
      <c r="C25" s="6">
        <v>2070</v>
      </c>
      <c r="D25" s="25">
        <v>4548</v>
      </c>
    </row>
    <row r="26" spans="2:11" x14ac:dyDescent="0.25">
      <c r="B26" s="5" t="s">
        <v>12</v>
      </c>
      <c r="C26" s="7">
        <v>1</v>
      </c>
      <c r="D26" s="26">
        <v>0</v>
      </c>
      <c r="K26" s="7"/>
    </row>
    <row r="27" spans="2:11" x14ac:dyDescent="0.25">
      <c r="B27" s="9" t="s">
        <v>7</v>
      </c>
      <c r="C27" s="6">
        <v>16857</v>
      </c>
      <c r="D27" s="25">
        <v>9023</v>
      </c>
    </row>
    <row r="28" spans="2:11" x14ac:dyDescent="0.25">
      <c r="B28" s="10" t="s">
        <v>8</v>
      </c>
      <c r="C28" s="8">
        <f>SUM(C23:C27)</f>
        <v>23707</v>
      </c>
      <c r="D28" s="4">
        <f>SUM(D23:D27)</f>
        <v>52333.460000000006</v>
      </c>
    </row>
    <row r="30" spans="2:11" x14ac:dyDescent="0.25">
      <c r="B30" s="27" t="s">
        <v>9</v>
      </c>
      <c r="C30" s="27"/>
      <c r="D30" s="27"/>
    </row>
    <row r="31" spans="2:11" x14ac:dyDescent="0.25">
      <c r="B31" s="2" t="s">
        <v>1</v>
      </c>
      <c r="C31" s="2" t="s">
        <v>2</v>
      </c>
      <c r="D31" s="2" t="s">
        <v>3</v>
      </c>
    </row>
    <row r="32" spans="2:11" x14ac:dyDescent="0.25">
      <c r="B32" s="9" t="s">
        <v>4</v>
      </c>
      <c r="C32" s="6">
        <v>456</v>
      </c>
      <c r="D32" s="25">
        <v>19421.14</v>
      </c>
    </row>
    <row r="33" spans="2:4" x14ac:dyDescent="0.25">
      <c r="B33" s="9" t="s">
        <v>5</v>
      </c>
      <c r="C33" s="6">
        <v>2865</v>
      </c>
      <c r="D33" s="25">
        <v>14446.5</v>
      </c>
    </row>
    <row r="34" spans="2:4" x14ac:dyDescent="0.25">
      <c r="B34" s="9" t="s">
        <v>6</v>
      </c>
      <c r="C34" s="6">
        <v>327</v>
      </c>
      <c r="D34" s="25">
        <v>966</v>
      </c>
    </row>
    <row r="35" spans="2:4" x14ac:dyDescent="0.25">
      <c r="B35" s="9" t="s">
        <v>7</v>
      </c>
      <c r="C35" s="6">
        <v>3983</v>
      </c>
      <c r="D35" s="25">
        <v>12758.4</v>
      </c>
    </row>
    <row r="36" spans="2:4" x14ac:dyDescent="0.25">
      <c r="B36" s="10" t="s">
        <v>8</v>
      </c>
      <c r="C36" s="8">
        <f>SUM(C32:C35)</f>
        <v>7631</v>
      </c>
      <c r="D36" s="4">
        <f>SUM(D32:D35)</f>
        <v>47592.04</v>
      </c>
    </row>
    <row r="38" spans="2:4" x14ac:dyDescent="0.25">
      <c r="B38" s="27" t="s">
        <v>31</v>
      </c>
      <c r="C38" s="27"/>
      <c r="D38" s="27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2278</v>
      </c>
      <c r="D40" s="25">
        <v>8032.38</v>
      </c>
    </row>
    <row r="41" spans="2:4" x14ac:dyDescent="0.25">
      <c r="B41" s="1" t="s">
        <v>5</v>
      </c>
      <c r="C41" s="6">
        <v>1437</v>
      </c>
      <c r="D41" s="25">
        <v>5847</v>
      </c>
    </row>
    <row r="42" spans="2:4" x14ac:dyDescent="0.25">
      <c r="B42" s="1" t="s">
        <v>6</v>
      </c>
      <c r="C42" s="6">
        <v>1974</v>
      </c>
      <c r="D42" s="25">
        <v>468</v>
      </c>
    </row>
    <row r="43" spans="2:4" x14ac:dyDescent="0.25">
      <c r="B43" s="1" t="s">
        <v>7</v>
      </c>
      <c r="C43" s="6">
        <v>1840</v>
      </c>
      <c r="D43" s="25">
        <v>3272</v>
      </c>
    </row>
    <row r="44" spans="2:4" x14ac:dyDescent="0.25">
      <c r="B44" s="3" t="s">
        <v>8</v>
      </c>
      <c r="C44" s="8">
        <f>SUM(C40:C43)</f>
        <v>7529</v>
      </c>
      <c r="D44" s="4">
        <f>SUM(D40:D43)</f>
        <v>17619.38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2640</v>
      </c>
      <c r="D48" s="25">
        <v>7059</v>
      </c>
    </row>
    <row r="49" spans="2:4" x14ac:dyDescent="0.25">
      <c r="B49" s="10" t="s">
        <v>8</v>
      </c>
      <c r="C49" s="8">
        <f>SUM(C48:C48)</f>
        <v>2640</v>
      </c>
      <c r="D49" s="4">
        <f>SUM(D48:D48)</f>
        <v>7059</v>
      </c>
    </row>
    <row r="51" spans="2:4" x14ac:dyDescent="0.25">
      <c r="B51" s="27" t="s">
        <v>30</v>
      </c>
      <c r="C51" s="27"/>
      <c r="D51" s="27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580</v>
      </c>
      <c r="D53" s="25">
        <v>632</v>
      </c>
    </row>
    <row r="54" spans="2:4" x14ac:dyDescent="0.25">
      <c r="B54" s="1" t="s">
        <v>5</v>
      </c>
      <c r="C54" s="6">
        <v>607</v>
      </c>
      <c r="D54" s="25">
        <v>250</v>
      </c>
    </row>
    <row r="55" spans="2:4" x14ac:dyDescent="0.25">
      <c r="B55" s="1" t="s">
        <v>6</v>
      </c>
      <c r="C55" s="6">
        <v>775</v>
      </c>
      <c r="D55" s="25">
        <v>1310</v>
      </c>
    </row>
    <row r="56" spans="2:4" x14ac:dyDescent="0.25">
      <c r="B56" s="1" t="s">
        <v>7</v>
      </c>
      <c r="C56" s="6">
        <v>2427</v>
      </c>
      <c r="D56" s="25">
        <v>2756</v>
      </c>
    </row>
    <row r="57" spans="2:4" x14ac:dyDescent="0.25">
      <c r="B57" s="3" t="s">
        <v>8</v>
      </c>
      <c r="C57" s="8">
        <f>SUM(C53:C56)</f>
        <v>4389</v>
      </c>
      <c r="D57" s="4">
        <f>SUM(D53:D56)</f>
        <v>4948</v>
      </c>
    </row>
    <row r="59" spans="2:4" x14ac:dyDescent="0.25">
      <c r="B59" s="11" t="s">
        <v>13</v>
      </c>
      <c r="C59" s="12">
        <f>SUM(C10+C36+C28+C49+C19+C57+C44)</f>
        <v>91127</v>
      </c>
      <c r="D59" s="12">
        <f>SUM(D10+D36+D28+D49+D19+D57+D44)</f>
        <v>558130.96000000008</v>
      </c>
    </row>
  </sheetData>
  <mergeCells count="7">
    <mergeCell ref="B3:D3"/>
    <mergeCell ref="B30:D30"/>
    <mergeCell ref="B46:D46"/>
    <mergeCell ref="B51:D51"/>
    <mergeCell ref="B12:D12"/>
    <mergeCell ref="B21:D21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30" zoomScaleNormal="130" workbookViewId="0">
      <selection activeCell="B5" sqref="B5"/>
    </sheetView>
  </sheetViews>
  <sheetFormatPr baseColWidth="10" defaultRowHeight="15" x14ac:dyDescent="0.25"/>
  <cols>
    <col min="2" max="2" width="20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8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33</v>
      </c>
      <c r="C6" s="1" t="s">
        <v>4</v>
      </c>
      <c r="D6" s="22">
        <f>SUMIF('REPORTE DIARIO'!B:B,'EPR 14 JUN'!C6, 'REPORTE DIARIO'!C:C)</f>
        <v>15271</v>
      </c>
      <c r="E6" s="15">
        <f>SUMIF('REPORTE DIARIO'!B:B,'EPR 14 JUN'!C6, 'REPORTE DIARIO'!D:D)</f>
        <v>238614.43</v>
      </c>
      <c r="F6" s="15">
        <f>J6*D6</f>
        <v>479945.71428571426</v>
      </c>
      <c r="G6" s="15">
        <f>+E6-F6</f>
        <v>-241331.28428571427</v>
      </c>
      <c r="H6" s="14">
        <f>ABS(G6/F6)</f>
        <v>0.50283037664974017</v>
      </c>
      <c r="I6" s="15">
        <f>E6/D6</f>
        <v>15.625331019579594</v>
      </c>
      <c r="J6" s="15">
        <f>220/7</f>
        <v>31.428571428571427</v>
      </c>
      <c r="K6" s="15">
        <f>+I6-J6</f>
        <v>-15.803240408991833</v>
      </c>
      <c r="L6" s="14"/>
    </row>
    <row r="7" spans="2:12" x14ac:dyDescent="0.25">
      <c r="B7" s="15" t="s">
        <v>28</v>
      </c>
      <c r="C7" s="1" t="s">
        <v>5</v>
      </c>
      <c r="D7" s="22">
        <f>SUMIF('REPORTE DIARIO'!B:B,'EPR 14 JUN'!C7, 'REPORTE DIARIO'!C:C)</f>
        <v>11813</v>
      </c>
      <c r="E7" s="15">
        <f>SUMIF('REPORTE DIARIO'!B:B,'EPR 14 JUN'!C7, 'REPORTE DIARIO'!D:D)</f>
        <v>115184.47</v>
      </c>
      <c r="F7" s="15">
        <f>J7*D7</f>
        <v>185632.85714285713</v>
      </c>
      <c r="G7" s="15">
        <f>+E7-F7</f>
        <v>-70448.387142857129</v>
      </c>
      <c r="H7" s="14">
        <f>ABS(G7/F7)</f>
        <v>0.37950386708018125</v>
      </c>
      <c r="I7" s="15">
        <f>E7/D7</f>
        <v>9.7506535173114361</v>
      </c>
      <c r="J7" s="15">
        <f>110/7</f>
        <v>15.714285714285714</v>
      </c>
      <c r="K7" s="15">
        <f t="shared" ref="K7:K9" si="0">+I7-J7</f>
        <v>-5.9636321969742774</v>
      </c>
      <c r="L7" s="14"/>
    </row>
    <row r="8" spans="2:12" x14ac:dyDescent="0.25">
      <c r="B8" s="15" t="s">
        <v>28</v>
      </c>
      <c r="C8" s="1" t="s">
        <v>6</v>
      </c>
      <c r="D8" s="22">
        <f>SUMIF('REPORTE DIARIO'!B:B,'EPR 14 JUN'!C8, 'REPORTE DIARIO'!C:C)</f>
        <v>13819</v>
      </c>
      <c r="E8" s="15">
        <f>SUMIF('REPORTE DIARIO'!B:B,'EPR 14 JUN'!C8, 'REPORTE DIARIO'!D:D)</f>
        <v>94406</v>
      </c>
      <c r="F8" s="15">
        <f>J8*D8</f>
        <v>88836.42857142858</v>
      </c>
      <c r="G8" s="15">
        <f>+E8-F8</f>
        <v>5569.5714285714203</v>
      </c>
      <c r="H8" s="14">
        <f>ABS(G8/F8)</f>
        <v>6.2694679627887426E-2</v>
      </c>
      <c r="I8" s="15">
        <f>E8/D8</f>
        <v>6.8316086547507053</v>
      </c>
      <c r="J8" s="15">
        <f>45/7</f>
        <v>6.4285714285714288</v>
      </c>
      <c r="K8" s="15">
        <f t="shared" si="0"/>
        <v>0.40303722617927651</v>
      </c>
      <c r="L8" s="14"/>
    </row>
    <row r="9" spans="2:12" x14ac:dyDescent="0.25">
      <c r="B9" s="15" t="s">
        <v>34</v>
      </c>
      <c r="C9" s="1" t="s">
        <v>7</v>
      </c>
      <c r="D9" s="22">
        <f>SUMIF('REPORTE DIARIO'!B:B,'EPR 14 JUN'!C9, 'REPORTE DIARIO'!C:C)</f>
        <v>50212</v>
      </c>
      <c r="E9" s="15">
        <f>SUMIF('REPORTE DIARIO'!B:B,'EPR 14 JUN'!C9, 'REPORTE DIARIO'!D:D)</f>
        <v>109926.06</v>
      </c>
      <c r="F9" s="15">
        <f>J9*D9</f>
        <v>107597.14285714286</v>
      </c>
      <c r="G9" s="15">
        <f>+E9-F9</f>
        <v>2328.9171428571426</v>
      </c>
      <c r="H9" s="14">
        <f>ABS(G9/F9)</f>
        <v>2.1644786106906715E-2</v>
      </c>
      <c r="I9" s="15">
        <f>E9/D9</f>
        <v>2.189238827371943</v>
      </c>
      <c r="J9" s="15">
        <f>15/7</f>
        <v>2.1428571428571428</v>
      </c>
      <c r="K9" s="15">
        <f t="shared" si="0"/>
        <v>4.6381684514800181E-2</v>
      </c>
    </row>
    <row r="10" spans="2:12" x14ac:dyDescent="0.25">
      <c r="B10" s="15"/>
      <c r="C10" s="18" t="s">
        <v>16</v>
      </c>
      <c r="D10" s="23">
        <f>SUM(D6:D9)</f>
        <v>91115</v>
      </c>
      <c r="E10" s="19">
        <f>SUM(E6:E9)</f>
        <v>558130.96</v>
      </c>
      <c r="F10" s="19">
        <f>SUM(F6:F9)</f>
        <v>862012.14285714284</v>
      </c>
      <c r="G10" s="19">
        <f>+E10-F10</f>
        <v>-303881.18285714288</v>
      </c>
      <c r="H10" s="20">
        <f>ABS(G10/F10)</f>
        <v>0.35252540857478809</v>
      </c>
      <c r="I10" s="19">
        <f>E10/D10</f>
        <v>6.1255661526642156</v>
      </c>
      <c r="J10" s="19">
        <f>F10/D10</f>
        <v>9.4607050744349763</v>
      </c>
      <c r="K10" s="19">
        <f>I10-J10</f>
        <v>-3.3351389217707608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32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2025-05-19T02:14:07Z</cp:lastPrinted>
  <dcterms:created xsi:type="dcterms:W3CDTF">2025-01-27T15:11:28Z</dcterms:created>
  <dcterms:modified xsi:type="dcterms:W3CDTF">2025-06-15T02:00:57Z</dcterms:modified>
</cp:coreProperties>
</file>