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4 JUN\MAÑANA\"/>
    </mc:Choice>
  </mc:AlternateContent>
  <xr:revisionPtr revIDLastSave="0" documentId="13_ncr:1_{910C6031-39C7-42A8-BF32-7B4EED3727D3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4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<sst xmlns="http://schemas.openxmlformats.org/spreadsheetml/2006/main" count="89" uniqueCount="37">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</sst>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3101</v>
      </c>
      <c r="D5" s="25">
        <v>497115.26999999996</v>
      </c>
    </row>
    <row r="6" spans="2:8" x14ac:dyDescent="0.25">
      <c r="B6" s="1" t="s">
        <v>5</v>
      </c>
      <c r="C6" s="6">
        <v>3488</v>
      </c>
      <c r="D6" s="25">
        <v>200819.13</v>
      </c>
    </row>
    <row r="7" spans="2:8" x14ac:dyDescent="0.25">
      <c r="B7" s="1" t="s">
        <v>6</v>
      </c>
      <c r="C7" s="6">
        <v>6073</v>
      </c>
      <c r="D7" s="25">
        <v>207205.46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12452</v>
      </c>
      <c r="D9" s="25">
        <v>306371.24</v>
      </c>
      <c r="E9" s="14"/>
      <c r="F9" s="7"/>
    </row>
    <row r="10" spans="2:8" x14ac:dyDescent="0.25">
      <c r="B10" s="3" t="s">
        <v>8</v>
      </c>
      <c r="C10" s="8">
        <f>SUM(C5:C9)</f>
        <v>25125</v>
      </c>
      <c r="D10" s="4">
        <f>SUM(D5:D9)</f>
        <v>1211511.0999999999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3397</v>
      </c>
      <c r="D14" s="25">
        <v>255507.32</v>
      </c>
    </row>
    <row r="15" spans="2:8" x14ac:dyDescent="0.25">
      <c r="B15" s="9" t="s">
        <v>5</v>
      </c>
      <c r="C15" s="6">
        <v>1366</v>
      </c>
      <c r="D15" s="25">
        <v>29582.5</v>
      </c>
    </row>
    <row r="16" spans="2:8" x14ac:dyDescent="0.25">
      <c r="B16" s="9" t="s">
        <v>6</v>
      </c>
      <c r="C16" s="6">
        <v>2069</v>
      </c>
      <c r="D16" s="25">
        <v>114636.8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16858</v>
      </c>
      <c r="D18" s="25">
        <v>50107</v>
      </c>
    </row>
    <row r="19" spans="2:4" x14ac:dyDescent="0.25">
      <c r="B19" s="10" t="s">
        <v>8</v>
      </c>
      <c r="C19" s="8">
        <f>SUM(C14:C18)</f>
        <v>23691</v>
      </c>
      <c r="D19" s="4">
        <f>SUM(D14:D18)</f>
        <v>449872.62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2864</v>
      </c>
      <c r="D23" s="25">
        <v>135705.44</v>
      </c>
    </row>
    <row r="24" spans="2:4" x14ac:dyDescent="0.25">
      <c r="B24" s="1" t="s">
        <v>5</v>
      </c>
      <c r="C24" s="6">
        <v>1942</v>
      </c>
      <c r="D24" s="25">
        <v>48771.85</v>
      </c>
    </row>
    <row r="25" spans="2:4" x14ac:dyDescent="0.25">
      <c r="B25" s="1" t="s">
        <v>6</v>
      </c>
      <c r="C25" s="6">
        <v>2518</v>
      </c>
      <c r="D25" s="25">
        <v>55230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12600</v>
      </c>
      <c r="D27" s="25">
        <v>131846.88999999998</v>
      </c>
    </row>
    <row r="28" spans="2:4" x14ac:dyDescent="0.25">
      <c r="B28" s="3" t="s">
        <v>8</v>
      </c>
      <c r="C28" s="8">
        <f>SUM(C23:C27)</f>
        <v>19924</v>
      </c>
      <c r="D28" s="4">
        <f>SUM(D23:D27)</f>
        <v>371554.18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447</v>
      </c>
      <c r="D32" s="25">
        <v>95620.92</v>
      </c>
    </row>
    <row r="33" spans="2:4" x14ac:dyDescent="0.25">
      <c r="B33" s="9" t="s">
        <v>5</v>
      </c>
      <c r="C33" s="6">
        <v>2866</v>
      </c>
      <c r="D33" s="25">
        <v>94540.5</v>
      </c>
    </row>
    <row r="34" spans="2:4" x14ac:dyDescent="0.25">
      <c r="B34" s="9" t="s">
        <v>6</v>
      </c>
      <c r="C34" s="6">
        <v>323</v>
      </c>
      <c r="D34" s="25">
        <v>4248</v>
      </c>
    </row>
    <row r="35" spans="2:4" x14ac:dyDescent="0.25">
      <c r="B35" s="9" t="s">
        <v>7</v>
      </c>
      <c r="C35" s="6">
        <v>3976</v>
      </c>
      <c r="D35" s="25">
        <v>20822</v>
      </c>
    </row>
    <row r="36" spans="2:4" x14ac:dyDescent="0.25">
      <c r="B36" s="10" t="s">
        <v>8</v>
      </c>
      <c r="C36" s="8">
        <f>SUM(C32:C35)</f>
        <v>7612</v>
      </c>
      <c r="D36" s="4">
        <f>SUM(D32:D35)</f>
        <v>215231.41999999998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2276</v>
      </c>
      <c r="D40" s="25">
        <v>78990</v>
      </c>
    </row>
    <row r="41" spans="2:4" x14ac:dyDescent="0.25">
      <c r="B41" s="1" t="s">
        <v>5</v>
      </c>
      <c r="C41" s="6">
        <v>1423</v>
      </c>
      <c r="D41" s="25">
        <v>35405</v>
      </c>
    </row>
    <row r="42" spans="2:4" x14ac:dyDescent="0.25">
      <c r="B42" s="1" t="s">
        <v>6</v>
      </c>
      <c r="C42" s="6">
        <v>1969</v>
      </c>
      <c r="D42" s="25">
        <v>16662</v>
      </c>
    </row>
    <row r="43" spans="2:4" x14ac:dyDescent="0.25">
      <c r="B43" s="1" t="s">
        <v>7</v>
      </c>
      <c r="C43" s="6">
        <v>1830</v>
      </c>
      <c r="D43" s="25">
        <v>11523</v>
      </c>
    </row>
    <row r="44" spans="2:4" x14ac:dyDescent="0.25">
      <c r="B44" s="3" t="s">
        <v>8</v>
      </c>
      <c r="C44" s="8">
        <f>SUM(C40:C43)</f>
        <v>7498</v>
      </c>
      <c r="D44" s="4">
        <f>SUM(D40:D43)</f>
        <v>142580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2653</v>
      </c>
      <c r="D48" s="25">
        <v>61909.57</v>
      </c>
    </row>
    <row r="49" spans="2:4" x14ac:dyDescent="0.25">
      <c r="B49" s="10" t="s">
        <v>8</v>
      </c>
      <c r="C49" s="8">
        <f>SUM(C48:C48)</f>
        <v>2653</v>
      </c>
      <c r="D49" s="4">
        <f>SUM(D48:D48)</f>
        <v>61909.57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582</v>
      </c>
      <c r="D53" s="25">
        <v>9744</v>
      </c>
    </row>
    <row r="54" spans="2:4" x14ac:dyDescent="0.25">
      <c r="B54" s="1" t="s">
        <v>5</v>
      </c>
      <c r="C54" s="6">
        <v>606</v>
      </c>
      <c r="D54" s="25">
        <v>5953</v>
      </c>
    </row>
    <row r="55" spans="2:4" x14ac:dyDescent="0.25">
      <c r="B55" s="1" t="s">
        <v>6</v>
      </c>
      <c r="C55" s="6">
        <v>775</v>
      </c>
      <c r="D55" s="25">
        <v>1461</v>
      </c>
    </row>
    <row r="56" spans="2:4" x14ac:dyDescent="0.25">
      <c r="B56" s="1" t="s">
        <v>7</v>
      </c>
      <c r="C56" s="6">
        <v>2427</v>
      </c>
      <c r="D56" s="25">
        <v>5164</v>
      </c>
    </row>
    <row r="57" spans="2:4" x14ac:dyDescent="0.25">
      <c r="B57" s="3" t="s">
        <v>8</v>
      </c>
      <c r="C57" s="8">
        <f>SUM(C53:C56)</f>
        <v>4390</v>
      </c>
      <c r="D57" s="4">
        <f>SUM(D53:D56)</f>
        <v>22322</v>
      </c>
    </row>
    <row r="59" spans="2:4" x14ac:dyDescent="0.25">
      <c r="B59" s="12" t="s">
        <v>13</v>
      </c>
      <c r="C59" s="13">
        <f>SUM(C10+C19+C36+C49+C28+C57+C44)</f>
        <v>90893</v>
      </c>
      <c r="D59" s="13">
        <f>SUM(D10+D19+D36+D49+D28+D57+D44)</f>
        <v>2474980.8899999997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14 JUN'!C6, 'REPORTE DIARIO'!C:C)</f>
        <v>15320</v>
      </c>
      <c r="E6" s="16">
        <f>SUMIF('REPORTE DIARIO'!B:B,'EPR 14 JUN'!C6, 'REPORTE DIARIO'!D:D)</f>
        <v>1134592.5200000003</v>
      </c>
      <c r="F6" s="16">
        <f>J6*D6</f>
        <v>2888914.2857142854</v>
      </c>
      <c r="G6" s="16">
        <f>+E6-F6</f>
        <v>-1754321.7657142852</v>
      </c>
      <c r="H6" s="15">
        <f>ABS(G6/F6)</f>
        <v>0.60725988804494013</v>
      </c>
      <c r="I6" s="16">
        <f>E6/D6</f>
        <v>74.059563968668428</v>
      </c>
      <c r="J6" s="16">
        <f>(220/7)*6</f>
        <v>188.57142857142856</v>
      </c>
      <c r="K6" s="16">
        <f>+I6-J6</f>
        <v>-114.51186460276013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14 JUN'!C7, 'REPORTE DIARIO'!C:C)</f>
        <v>11691</v>
      </c>
      <c r="E7" s="16">
        <f>SUMIF('REPORTE DIARIO'!B:B,'EPR 14 JUN'!C7, 'REPORTE DIARIO'!D:D)</f>
        <v>415071.98</v>
      </c>
      <c r="F7" s="16">
        <f>J7*D7</f>
        <v>1102294.2857142857</v>
      </c>
      <c r="G7" s="16">
        <f>+E7-F7</f>
        <v>-687222.3057142857</v>
      </c>
      <c r="H7" s="15">
        <f>ABS(G7/F7)</f>
        <v>0.62344721788062818</v>
      </c>
      <c r="I7" s="16">
        <f>E7/D7</f>
        <v>35.503548028397908</v>
      </c>
      <c r="J7" s="16">
        <f>(110/7)*6</f>
        <v>94.285714285714278</v>
      </c>
      <c r="K7" s="16">
        <f t="shared" ref="K7:K9" si="0">+I7-J7</f>
        <v>-58.782166257316369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14 JUN'!C8, 'REPORTE DIARIO'!C:C)</f>
        <v>13727</v>
      </c>
      <c r="E8" s="16">
        <f>SUMIF('REPORTE DIARIO'!B:B,'EPR 14 JUN'!C8, 'REPORTE DIARIO'!D:D)</f>
        <v>399443.26</v>
      </c>
      <c r="F8" s="16">
        <f>J8*D8</f>
        <v>529470</v>
      </c>
      <c r="G8" s="16">
        <f>+E8-F8</f>
        <v>-130026.73999999999</v>
      </c>
      <c r="H8" s="15">
        <f>ABS(G8/F8)</f>
        <v>0.24557905074886205</v>
      </c>
      <c r="I8" s="16">
        <f>E8/D8</f>
        <v>29.099093756829607</v>
      </c>
      <c r="J8" s="16">
        <f>(45/7)*6</f>
        <v>38.571428571428569</v>
      </c>
      <c r="K8" s="16">
        <f t="shared" si="0"/>
        <v>-9.4723348145989625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14 JUN'!C9, 'REPORTE DIARIO'!C:C)</f>
        <v>50143</v>
      </c>
      <c r="E9" s="16">
        <f>SUMIF('REPORTE DIARIO'!B:B,'EPR 14 JUN'!C9, 'REPORTE DIARIO'!D:D)</f>
        <v>525834.13</v>
      </c>
      <c r="F9" s="16">
        <f>J9*D9</f>
        <v>644695.71428571432</v>
      </c>
      <c r="G9" s="16">
        <f>+E9-F9</f>
        <v>-118861.58428571431</v>
      </c>
      <c r="H9" s="15">
        <f>ABS(G9/F9)</f>
        <v>0.18436850385674752</v>
      </c>
      <c r="I9" s="16">
        <f>E9/D9</f>
        <v>10.486690664698962</v>
      </c>
      <c r="J9" s="16">
        <f>(15/7)*6</f>
        <v>12.857142857142858</v>
      </c>
      <c r="K9" s="16">
        <f t="shared" si="0"/>
        <v>-2.3704521924438957</v>
      </c>
    </row>
    <row r="10" spans="2:12" x14ac:dyDescent="0.25">
      <c r="B10" s="16"/>
      <c r="C10" s="19" t="s">
        <v>17</v>
      </c>
      <c r="D10" s="24">
        <f>SUM(D6:D9)</f>
        <v>90881</v>
      </c>
      <c r="E10" s="20">
        <f>SUM(E6:E9)</f>
        <v>2474941.89</v>
      </c>
      <c r="F10" s="20">
        <f>SUM(F6:F9)</f>
        <v>5165374.2857142854</v>
      </c>
      <c r="G10" s="20">
        <f>+E10-F10</f>
        <v>-2690432.3957142853</v>
      </c>
      <c r="H10" s="21">
        <f>ABS(G10/F10)</f>
        <v>0.52085913757597979</v>
      </c>
      <c r="I10" s="20">
        <f>E10/D10</f>
        <v>27.232775717696768</v>
      </c>
      <c r="J10" s="20">
        <f>F10/D10</f>
        <v>56.836679676877296</v>
      </c>
      <c r="K10" s="20">
        <f>I10-J10</f>
        <v>-29.603903959180528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2025-06-14T14:56:53Z</dcterms:modified>
</cp:coreProperties>
</file>