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2 JUN\MAÑANA\"/>
    </mc:Choice>
  </mc:AlternateContent>
  <xr:revisionPtr revIDLastSave="0" documentId="13_ncr:1_{3BF85B23-2F1E-4670-89D1-A0C74B08EBE9}" xr6:coauthVersionLast="47" xr6:coauthVersionMax="47" xr10:uidLastSave="{00000000-0000-0000-0000-000000000000}"/>
  <bookViews>
    <workbookView xWindow="24315" yWindow="4140" windowWidth="10005" windowHeight="5445" xr2:uid="{4DC6C92A-CD8A-4966-829B-0B6A986E825B}"/>
  </bookViews>
  <sheets>
    <sheet name="REPORTE DIARIO" sheetId="1" r:id="rId1"/>
    <sheet name="DATA" sheetId="4" r:id="rId2"/>
    <sheet name="EPR 11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<sst xmlns="http://schemas.openxmlformats.org/spreadsheetml/2006/main" count="89" uniqueCount="37">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</sst>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9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3007</v>
      </c>
      <c r="D5" s="25">
        <v>259175.3</v>
      </c>
    </row>
    <row r="6" spans="2:8" x14ac:dyDescent="0.25">
      <c r="B6" s="1" t="s">
        <v>5</v>
      </c>
      <c r="C6" s="6">
        <v>3149</v>
      </c>
      <c r="D6" s="25">
        <v>125490</v>
      </c>
    </row>
    <row r="7" spans="2:8" x14ac:dyDescent="0.25">
      <c r="B7" s="1" t="s">
        <v>6</v>
      </c>
      <c r="C7" s="6">
        <v>6066</v>
      </c>
      <c r="D7" s="25">
        <v>133735.46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12535</v>
      </c>
      <c r="D9" s="25">
        <v>174785</v>
      </c>
      <c r="E9" s="14"/>
      <c r="F9" s="7"/>
    </row>
    <row r="10" spans="2:8" x14ac:dyDescent="0.25">
      <c r="B10" s="3" t="s">
        <v>8</v>
      </c>
      <c r="C10" s="8">
        <f>SUM(C5:C9)</f>
        <v>24768</v>
      </c>
      <c r="D10" s="4">
        <f>SUM(D5:D9)</f>
        <v>693185.76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3402</v>
      </c>
      <c r="D14" s="25">
        <v>164081.65000000002</v>
      </c>
    </row>
    <row r="15" spans="2:8" x14ac:dyDescent="0.25">
      <c r="B15" s="9" t="s">
        <v>5</v>
      </c>
      <c r="C15" s="6">
        <v>1031</v>
      </c>
      <c r="D15" s="25">
        <v>13251.5</v>
      </c>
    </row>
    <row r="16" spans="2:8" x14ac:dyDescent="0.25">
      <c r="B16" s="9" t="s">
        <v>6</v>
      </c>
      <c r="C16" s="6">
        <v>2069</v>
      </c>
      <c r="D16" s="25">
        <v>102608.8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16858</v>
      </c>
      <c r="D18" s="25">
        <v>38186</v>
      </c>
    </row>
    <row r="19" spans="2:4" x14ac:dyDescent="0.25">
      <c r="B19" s="10" t="s">
        <v>8</v>
      </c>
      <c r="C19" s="8">
        <f>SUM(C14:C18)</f>
        <v>23361</v>
      </c>
      <c r="D19" s="4">
        <f>SUM(D14:D18)</f>
        <v>318127.95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2867</v>
      </c>
      <c r="D23" s="25">
        <v>59755</v>
      </c>
    </row>
    <row r="24" spans="2:4" x14ac:dyDescent="0.25">
      <c r="B24" s="1" t="s">
        <v>5</v>
      </c>
      <c r="C24" s="6">
        <v>1918</v>
      </c>
      <c r="D24" s="25">
        <v>38802.32</v>
      </c>
    </row>
    <row r="25" spans="2:4" x14ac:dyDescent="0.25">
      <c r="B25" s="1" t="s">
        <v>6</v>
      </c>
      <c r="C25" s="6">
        <v>2529</v>
      </c>
      <c r="D25" s="25">
        <v>36146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12741</v>
      </c>
      <c r="D27" s="25">
        <v>45356.9</v>
      </c>
    </row>
    <row r="28" spans="2:4" x14ac:dyDescent="0.25">
      <c r="B28" s="3" t="s">
        <v>8</v>
      </c>
      <c r="C28" s="8">
        <f>SUM(C23:C27)</f>
        <v>20055</v>
      </c>
      <c r="D28" s="4">
        <f>SUM(D23:D27)</f>
        <v>180060.22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323</v>
      </c>
      <c r="D32" s="25">
        <v>68723.680000000008</v>
      </c>
    </row>
    <row r="33" spans="2:4" x14ac:dyDescent="0.25">
      <c r="B33" s="9" t="s">
        <v>5</v>
      </c>
      <c r="C33" s="6">
        <v>2867</v>
      </c>
      <c r="D33" s="25">
        <v>35975.5</v>
      </c>
    </row>
    <row r="34" spans="2:4" x14ac:dyDescent="0.25">
      <c r="B34" s="9" t="s">
        <v>6</v>
      </c>
      <c r="C34" s="6">
        <v>287</v>
      </c>
      <c r="D34" s="25">
        <v>1637</v>
      </c>
    </row>
    <row r="35" spans="2:4" x14ac:dyDescent="0.25">
      <c r="B35" s="9" t="s">
        <v>7</v>
      </c>
      <c r="C35" s="6">
        <v>3964</v>
      </c>
      <c r="D35" s="25">
        <v>7800</v>
      </c>
    </row>
    <row r="36" spans="2:4" x14ac:dyDescent="0.25">
      <c r="B36" s="10" t="s">
        <v>8</v>
      </c>
      <c r="C36" s="8">
        <f>SUM(C32:C35)</f>
        <v>7441</v>
      </c>
      <c r="D36" s="4">
        <f>SUM(D32:D35)</f>
        <v>114136.18000000001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2266</v>
      </c>
      <c r="D40" s="25">
        <v>52769</v>
      </c>
    </row>
    <row r="41" spans="2:4" x14ac:dyDescent="0.25">
      <c r="B41" s="1" t="s">
        <v>5</v>
      </c>
      <c r="C41" s="6">
        <v>1386</v>
      </c>
      <c r="D41" s="25">
        <v>12413</v>
      </c>
    </row>
    <row r="42" spans="2:4" x14ac:dyDescent="0.25">
      <c r="B42" s="1" t="s">
        <v>6</v>
      </c>
      <c r="C42" s="6">
        <v>2003</v>
      </c>
      <c r="D42" s="25">
        <v>9580</v>
      </c>
    </row>
    <row r="43" spans="2:4" x14ac:dyDescent="0.25">
      <c r="B43" s="1" t="s">
        <v>7</v>
      </c>
      <c r="C43" s="6">
        <v>1810</v>
      </c>
      <c r="D43" s="25">
        <v>7200</v>
      </c>
    </row>
    <row r="44" spans="2:4" x14ac:dyDescent="0.25">
      <c r="B44" s="3" t="s">
        <v>8</v>
      </c>
      <c r="C44" s="8">
        <f>SUM(C40:C43)</f>
        <v>7465</v>
      </c>
      <c r="D44" s="4">
        <f>SUM(D40:D43)</f>
        <v>81962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2728</v>
      </c>
      <c r="D48" s="25">
        <v>23932</v>
      </c>
    </row>
    <row r="49" spans="2:4" x14ac:dyDescent="0.25">
      <c r="B49" s="10" t="s">
        <v>8</v>
      </c>
      <c r="C49" s="8">
        <f>SUM(C48:C48)</f>
        <v>2728</v>
      </c>
      <c r="D49" s="4">
        <f>SUM(D48:D48)</f>
        <v>23932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5">
        <v>8834</v>
      </c>
    </row>
    <row r="54" spans="2:4" x14ac:dyDescent="0.25">
      <c r="B54" s="1" t="s">
        <v>5</v>
      </c>
      <c r="C54" s="6">
        <v>607</v>
      </c>
      <c r="D54" s="25">
        <v>4653</v>
      </c>
    </row>
    <row r="55" spans="2:4" x14ac:dyDescent="0.25">
      <c r="B55" s="1" t="s">
        <v>6</v>
      </c>
      <c r="C55" s="6">
        <v>804</v>
      </c>
      <c r="D55" s="26">
        <v>0</v>
      </c>
    </row>
    <row r="56" spans="2:4" x14ac:dyDescent="0.25">
      <c r="B56" s="1" t="s">
        <v>7</v>
      </c>
      <c r="C56" s="6">
        <v>2461</v>
      </c>
      <c r="D56" s="25">
        <v>3537</v>
      </c>
    </row>
    <row r="57" spans="2:4" x14ac:dyDescent="0.25">
      <c r="B57" s="3" t="s">
        <v>8</v>
      </c>
      <c r="C57" s="8">
        <f>SUM(C53:C56)</f>
        <v>4454</v>
      </c>
      <c r="D57" s="4">
        <f>SUM(D53:D56)</f>
        <v>17024</v>
      </c>
    </row>
    <row r="59" spans="2:4" x14ac:dyDescent="0.25">
      <c r="B59" s="12" t="s">
        <v>13</v>
      </c>
      <c r="C59" s="13">
        <f>SUM(C10+C19+C36+C49+C28+C57+C44)</f>
        <v>90272</v>
      </c>
      <c r="D59" s="13">
        <f>SUM(D10+D19+D36+D49+D28+D57+D44)</f>
        <v>1428428.1099999999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11 JUN'!C6, 'REPORTE DIARIO'!C:C)</f>
        <v>15175</v>
      </c>
      <c r="E6" s="16">
        <f>SUMIF('REPORTE DIARIO'!B:B,'EPR 11 JUN'!C6, 'REPORTE DIARIO'!D:D)</f>
        <v>637270.63</v>
      </c>
      <c r="F6" s="16">
        <f>J6*D6</f>
        <v>1907714.2857142857</v>
      </c>
      <c r="G6" s="16">
        <f>+E6-F6</f>
        <v>-1270443.6557142856</v>
      </c>
      <c r="H6" s="15">
        <f>ABS(G6/F6)</f>
        <v>0.66595069567170884</v>
      </c>
      <c r="I6" s="16">
        <f>E6/D6</f>
        <v>41.994769686985173</v>
      </c>
      <c r="J6" s="16">
        <f>(220/7)*4</f>
        <v>125.71428571428571</v>
      </c>
      <c r="K6" s="16">
        <f>+I6-J6</f>
        <v>-83.719516027300529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11 JUN'!C7, 'REPORTE DIARIO'!C:C)</f>
        <v>10958</v>
      </c>
      <c r="E7" s="16">
        <f>SUMIF('REPORTE DIARIO'!B:B,'EPR 11 JUN'!C7, 'REPORTE DIARIO'!D:D)</f>
        <v>230585.32</v>
      </c>
      <c r="F7" s="16">
        <f>J7*D7</f>
        <v>688788.57142857136</v>
      </c>
      <c r="G7" s="16">
        <f>+E7-F7</f>
        <v>-458203.25142857136</v>
      </c>
      <c r="H7" s="15">
        <f>ABS(G7/F7)</f>
        <v>0.66523062436741931</v>
      </c>
      <c r="I7" s="16">
        <f>E7/D7</f>
        <v>21.04264646833364</v>
      </c>
      <c r="J7" s="16">
        <f>(110/7)*4</f>
        <v>62.857142857142854</v>
      </c>
      <c r="K7" s="16">
        <f t="shared" ref="K7:K9" si="0">+I7-J7</f>
        <v>-41.814496388809218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11 JUN'!C8, 'REPORTE DIARIO'!C:C)</f>
        <v>13758</v>
      </c>
      <c r="E8" s="16">
        <f>SUMIF('REPORTE DIARIO'!B:B,'EPR 11 JUN'!C8, 'REPORTE DIARIO'!D:D)</f>
        <v>283707.26</v>
      </c>
      <c r="F8" s="16">
        <f>J8*D8</f>
        <v>353777.1428571429</v>
      </c>
      <c r="G8" s="16">
        <f>+E8-F8</f>
        <v>-70069.882857142889</v>
      </c>
      <c r="H8" s="15">
        <f>ABS(G8/F8)</f>
        <v>0.1980622102695806</v>
      </c>
      <c r="I8" s="16">
        <f>E8/D8</f>
        <v>20.621257450210788</v>
      </c>
      <c r="J8" s="16">
        <f>(45/7)*4</f>
        <v>25.714285714285715</v>
      </c>
      <c r="K8" s="16">
        <f t="shared" si="0"/>
        <v>-5.0930282640749276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11 JUN'!C9, 'REPORTE DIARIO'!C:C)</f>
        <v>50369</v>
      </c>
      <c r="E9" s="16">
        <f>SUMIF('REPORTE DIARIO'!B:B,'EPR 11 JUN'!C9, 'REPORTE DIARIO'!D:D)</f>
        <v>276864.90000000002</v>
      </c>
      <c r="F9" s="16">
        <f>J9*D9</f>
        <v>431734.28571428568</v>
      </c>
      <c r="G9" s="16">
        <f>+E9-F9</f>
        <v>-154869.38571428566</v>
      </c>
      <c r="H9" s="15">
        <f>ABS(G9/F9)</f>
        <v>0.35871458635271686</v>
      </c>
      <c r="I9" s="16">
        <f>E9/D9</f>
        <v>5.4967321169767125</v>
      </c>
      <c r="J9" s="16">
        <f>(15/7)*4</f>
        <v>8.5714285714285712</v>
      </c>
      <c r="K9" s="16">
        <f t="shared" si="0"/>
        <v>-3.0746964544518587</v>
      </c>
    </row>
    <row r="10" spans="2:12" x14ac:dyDescent="0.25">
      <c r="B10" s="16"/>
      <c r="C10" s="19" t="s">
        <v>17</v>
      </c>
      <c r="D10" s="24">
        <f>SUM(D6:D9)</f>
        <v>90260</v>
      </c>
      <c r="E10" s="20">
        <f>SUM(E6:E9)</f>
        <v>1428428.1099999999</v>
      </c>
      <c r="F10" s="20">
        <f>SUM(F6:F9)</f>
        <v>3382014.2857142854</v>
      </c>
      <c r="G10" s="20">
        <f>+E10-F10</f>
        <v>-1953586.1757142856</v>
      </c>
      <c r="H10" s="21">
        <f>ABS(G10/F10)</f>
        <v>0.57763983551645048</v>
      </c>
      <c r="I10" s="20">
        <f>E10/D10</f>
        <v>15.825704741856857</v>
      </c>
      <c r="J10" s="20">
        <f>F10/D10</f>
        <v>37.469690734702915</v>
      </c>
      <c r="K10" s="20">
        <f>I10-J10</f>
        <v>-21.643985992846059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2025-06-12T15:18:16Z</dcterms:modified>
</cp:coreProperties>
</file>