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2 JUN\NOCHE\"/>
    </mc:Choice>
  </mc:AlternateContent>
  <xr:revisionPtr revIDLastSave="0" documentId="13_ncr:1_{58E7E0CD-1E31-4300-808F-44BF6B8A8322}" xr6:coauthVersionLast="47" xr6:coauthVersionMax="47" xr10:uidLastSave="{00000000-0000-0000-0000-000000000000}"/>
  <bookViews>
    <workbookView xWindow="16245" yWindow="3105" windowWidth="10005" windowHeight="5445" activeTab="2" xr2:uid="{4DC6C92A-CD8A-4966-829B-0B6A986E825B}"/>
  </bookViews>
  <sheets>
    <sheet name="REPORTE DIARIO" sheetId="1" r:id="rId1"/>
    <sheet name="DATA" sheetId="4" r:id="rId2"/>
    <sheet name="EPR 12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7" i="1"/>
  <c r="D41" i="1"/>
  <c r="C41" i="1"/>
  <c r="C57" i="1"/>
  <c r="D19" i="1" l="1"/>
  <c r="C19" i="1"/>
  <c r="J9" i="3"/>
  <c r="J8" i="3"/>
  <c r="J7" i="3"/>
  <c r="D6" i="3"/>
  <c r="F6" i="3" s="1"/>
  <c r="D33" i="1"/>
  <c r="C33" i="1"/>
  <c r="D49" i="1"/>
  <c r="C49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<sst xmlns="http://schemas.openxmlformats.org/spreadsheetml/2006/main" count="88" uniqueCount="36">
  <si>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</si>
  <si>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</si>
  <si>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</si>
  <si>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</si>
  <si>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</si>
  <si>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</si>
  <si>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</si>
  <si>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</si>
  <si>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</si>
  <si>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</si>
  <si>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</si>
  <si>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</si>
  <si>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</si>
  <si>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</si>
  <si>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</si>
  <si>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</si>
  <si>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</si>
  <si>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</si>
  <si>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</si>
  <si>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</si>
  <si>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</si>
  <si>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</si>
  <si>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</si>
  <si>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</si>
  <si>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</si>
  <si>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</si>
  <si>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</si>
  <si>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</si>
  <si>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</si>
  <si>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</si>
  <si>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</si>
  <si>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</si>
  <si>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</si>
  <si>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</si>
  <si>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</si>
  <si>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12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</si>
</sst>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3083</v>
      </c>
      <c r="D5" s="25">
        <v>48854.1</v>
      </c>
    </row>
    <row r="6" spans="2:8" x14ac:dyDescent="0.25">
      <c r="B6" s="1" t="s">
        <v>5</v>
      </c>
      <c r="C6" s="6">
        <v>3488</v>
      </c>
      <c r="D6" s="25">
        <v>13570.96</v>
      </c>
    </row>
    <row r="7" spans="2:8" x14ac:dyDescent="0.25">
      <c r="B7" s="1" t="s">
        <v>6</v>
      </c>
      <c r="C7" s="6">
        <v>6304</v>
      </c>
      <c r="D7" s="25">
        <v>20851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12593</v>
      </c>
      <c r="D9" s="25">
        <v>28303</v>
      </c>
    </row>
    <row r="10" spans="2:8" x14ac:dyDescent="0.25">
      <c r="B10" s="3" t="s">
        <v>8</v>
      </c>
      <c r="C10" s="8">
        <f>SUM(C5:C9)</f>
        <v>25479</v>
      </c>
      <c r="D10" s="4">
        <f>SUM(D5:D9)</f>
        <v>111579.06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2877</v>
      </c>
      <c r="D14" s="25">
        <v>17441</v>
      </c>
    </row>
    <row r="15" spans="2:8" x14ac:dyDescent="0.25">
      <c r="B15" s="1" t="s">
        <v>5</v>
      </c>
      <c r="C15" s="6">
        <v>1957</v>
      </c>
      <c r="D15" s="25">
        <v>1790</v>
      </c>
    </row>
    <row r="16" spans="2:8" x14ac:dyDescent="0.25">
      <c r="B16" s="1" t="s">
        <v>6</v>
      </c>
      <c r="C16" s="6">
        <v>2564</v>
      </c>
      <c r="D16" s="25">
        <v>7369</v>
      </c>
    </row>
    <row r="17" spans="2:11" x14ac:dyDescent="0.25">
      <c r="B17" s="5" t="s">
        <v>12</v>
      </c>
      <c r="C17" s="7">
        <v>0</v>
      </c>
      <c r="D17" s="24">
        <v>0</v>
      </c>
    </row>
    <row r="18" spans="2:11" x14ac:dyDescent="0.25">
      <c r="B18" s="1" t="s">
        <v>7</v>
      </c>
      <c r="C18" s="6">
        <v>12596</v>
      </c>
      <c r="D18" s="25">
        <v>26402.989999999998</v>
      </c>
    </row>
    <row r="19" spans="2:11" x14ac:dyDescent="0.25">
      <c r="B19" s="3" t="s">
        <v>8</v>
      </c>
      <c r="C19" s="8">
        <f>SUM(C14:C18)</f>
        <v>19994</v>
      </c>
      <c r="D19" s="4">
        <f>SUM(D14:D18)</f>
        <v>53002.99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3402</v>
      </c>
      <c r="D23" s="25">
        <v>19511.830000000002</v>
      </c>
    </row>
    <row r="24" spans="2:11" x14ac:dyDescent="0.25">
      <c r="B24" s="9" t="s">
        <v>5</v>
      </c>
      <c r="C24" s="6">
        <v>1370</v>
      </c>
      <c r="D24" s="25">
        <v>5226</v>
      </c>
    </row>
    <row r="25" spans="2:11" x14ac:dyDescent="0.25">
      <c r="B25" s="9" t="s">
        <v>6</v>
      </c>
      <c r="C25" s="6">
        <v>2069</v>
      </c>
      <c r="D25" s="25">
        <v>2125</v>
      </c>
    </row>
    <row r="26" spans="2:11" x14ac:dyDescent="0.25">
      <c r="B26" s="5" t="s">
        <v>12</v>
      </c>
      <c r="C26" s="7">
        <v>1</v>
      </c>
      <c r="D26" s="25">
        <v>39</v>
      </c>
      <c r="K26" s="7"/>
    </row>
    <row r="27" spans="2:11" x14ac:dyDescent="0.25">
      <c r="B27" s="9" t="s">
        <v>7</v>
      </c>
      <c r="C27" s="6">
        <v>16858</v>
      </c>
      <c r="D27" s="25">
        <v>2837</v>
      </c>
    </row>
    <row r="28" spans="2:11" x14ac:dyDescent="0.25">
      <c r="B28" s="10" t="s">
        <v>8</v>
      </c>
      <c r="C28" s="8">
        <f>SUM(C23:C27)</f>
        <v>23700</v>
      </c>
      <c r="D28" s="4">
        <f>SUM(D23:D27)</f>
        <v>29738.83</v>
      </c>
    </row>
    <row r="30" spans="2:11" x14ac:dyDescent="0.25">
      <c r="B30" s="28" t="s">
        <v>11</v>
      </c>
      <c r="C30" s="28"/>
      <c r="D30" s="28"/>
    </row>
    <row r="31" spans="2:11" x14ac:dyDescent="0.25">
      <c r="B31" s="4" t="s">
        <v>1</v>
      </c>
      <c r="C31" s="4" t="s">
        <v>2</v>
      </c>
      <c r="D31" s="4" t="s">
        <v>3</v>
      </c>
    </row>
    <row r="32" spans="2:11" x14ac:dyDescent="0.25">
      <c r="B32" s="9" t="s">
        <v>4</v>
      </c>
      <c r="C32" s="6">
        <v>2728</v>
      </c>
      <c r="D32" s="25">
        <v>29469.439999999999</v>
      </c>
    </row>
    <row r="33" spans="2:4" x14ac:dyDescent="0.25">
      <c r="B33" s="10" t="s">
        <v>8</v>
      </c>
      <c r="C33" s="8">
        <f>SUM(C32:C32)</f>
        <v>2728</v>
      </c>
      <c r="D33" s="4">
        <f>SUM(D32:D32)</f>
        <v>29469.439999999999</v>
      </c>
    </row>
    <row r="35" spans="2:4" x14ac:dyDescent="0.25">
      <c r="B35" s="27" t="s">
        <v>31</v>
      </c>
      <c r="C35" s="27"/>
      <c r="D35" s="27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 s="6">
        <v>2276</v>
      </c>
      <c r="D37" s="25">
        <v>8380</v>
      </c>
    </row>
    <row r="38" spans="2:4" x14ac:dyDescent="0.25">
      <c r="B38" s="1" t="s">
        <v>5</v>
      </c>
      <c r="C38" s="6">
        <v>1423</v>
      </c>
      <c r="D38" s="25">
        <v>2735</v>
      </c>
    </row>
    <row r="39" spans="2:4" x14ac:dyDescent="0.25">
      <c r="B39" s="1" t="s">
        <v>6</v>
      </c>
      <c r="C39" s="6">
        <v>2039</v>
      </c>
      <c r="D39" s="25">
        <v>240</v>
      </c>
    </row>
    <row r="40" spans="2:4" x14ac:dyDescent="0.25">
      <c r="B40" s="1" t="s">
        <v>7</v>
      </c>
      <c r="C40" s="6">
        <v>1825</v>
      </c>
      <c r="D40" s="25">
        <v>1450</v>
      </c>
    </row>
    <row r="41" spans="2:4" x14ac:dyDescent="0.25">
      <c r="B41" s="3" t="s">
        <v>8</v>
      </c>
      <c r="C41" s="8">
        <f>SUM(C37:C40)</f>
        <v>7563</v>
      </c>
      <c r="D41" s="4">
        <f>SUM(D37:D40)</f>
        <v>12805</v>
      </c>
    </row>
    <row r="43" spans="2:4" x14ac:dyDescent="0.25">
      <c r="B43" s="27" t="s">
        <v>9</v>
      </c>
      <c r="C43" s="27"/>
      <c r="D43" s="27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437</v>
      </c>
      <c r="D45" s="25">
        <v>7354.6399999999994</v>
      </c>
    </row>
    <row r="46" spans="2:4" x14ac:dyDescent="0.25">
      <c r="B46" s="9" t="s">
        <v>5</v>
      </c>
      <c r="C46" s="6">
        <v>2867</v>
      </c>
      <c r="D46" s="25">
        <v>3765</v>
      </c>
    </row>
    <row r="47" spans="2:4" x14ac:dyDescent="0.25">
      <c r="B47" s="9" t="s">
        <v>6</v>
      </c>
      <c r="C47" s="6">
        <v>317</v>
      </c>
      <c r="D47" s="25">
        <v>168</v>
      </c>
    </row>
    <row r="48" spans="2:4" x14ac:dyDescent="0.25">
      <c r="B48" s="9" t="s">
        <v>7</v>
      </c>
      <c r="C48" s="6">
        <v>3972</v>
      </c>
      <c r="D48" s="26">
        <v>0</v>
      </c>
    </row>
    <row r="49" spans="2:4" x14ac:dyDescent="0.25">
      <c r="B49" s="10" t="s">
        <v>8</v>
      </c>
      <c r="C49" s="8">
        <f>SUM(C45:C48)</f>
        <v>7593</v>
      </c>
      <c r="D49" s="4">
        <f>SUM(D45:D48)</f>
        <v>11287.64</v>
      </c>
    </row>
    <row r="51" spans="2:4" x14ac:dyDescent="0.25">
      <c r="B51" s="27" t="s">
        <v>30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582</v>
      </c>
      <c r="D53" s="25">
        <v>910</v>
      </c>
    </row>
    <row r="54" spans="2:4" x14ac:dyDescent="0.25">
      <c r="B54" s="1" t="s">
        <v>5</v>
      </c>
      <c r="C54" s="6">
        <v>607</v>
      </c>
      <c r="D54" s="25">
        <v>1300</v>
      </c>
    </row>
    <row r="55" spans="2:4" x14ac:dyDescent="0.25">
      <c r="B55" s="1" t="s">
        <v>6</v>
      </c>
      <c r="C55" s="6">
        <v>804</v>
      </c>
      <c r="D55" s="25">
        <v>141</v>
      </c>
    </row>
    <row r="56" spans="2:4" x14ac:dyDescent="0.25">
      <c r="B56" s="1" t="s">
        <v>7</v>
      </c>
      <c r="C56" s="6">
        <v>2427</v>
      </c>
      <c r="D56" s="26">
        <v>0</v>
      </c>
    </row>
    <row r="57" spans="2:4" x14ac:dyDescent="0.25">
      <c r="B57" s="3" t="s">
        <v>8</v>
      </c>
      <c r="C57" s="8">
        <f>SUM(C53:C56)</f>
        <v>4420</v>
      </c>
      <c r="D57" s="4">
        <f>SUM(D53:D56)</f>
        <v>2351</v>
      </c>
    </row>
    <row r="59" spans="2:4" x14ac:dyDescent="0.25">
      <c r="B59" s="11" t="s">
        <v>13</v>
      </c>
      <c r="C59" s="12">
        <f>SUM(C10+C49+C28+C33+C19+C57+C41)</f>
        <v>91477</v>
      </c>
      <c r="D59" s="12">
        <f>SUM(D10+D49+D28+D33+D19+D57+D41)</f>
        <v>250233.96</v>
      </c>
    </row>
  </sheetData>
  <mergeCells count="7">
    <mergeCell ref="B3:D3"/>
    <mergeCell ref="B43:D43"/>
    <mergeCell ref="B30:D30"/>
    <mergeCell ref="B51:D51"/>
    <mergeCell ref="B12:D12"/>
    <mergeCell ref="B21:D21"/>
    <mergeCell ref="B35:D35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12 JUN'!C6, 'REPORTE DIARIO'!C:C)</f>
        <v>15385</v>
      </c>
      <c r="E6" s="15">
        <f>SUMIF('REPORTE DIARIO'!B:B,'EPR 12 JUN'!C6, 'REPORTE DIARIO'!D:D)</f>
        <v>131921.01</v>
      </c>
      <c r="F6" s="15">
        <f>J6*D6</f>
        <v>483528.57142857142</v>
      </c>
      <c r="G6" s="15">
        <f>+E6-F6</f>
        <v>-351607.56142857141</v>
      </c>
      <c r="H6" s="14">
        <f>ABS(G6/F6)</f>
        <v>0.72717018642715747</v>
      </c>
      <c r="I6" s="15">
        <f>E6/D6</f>
        <v>8.5746512837179072</v>
      </c>
      <c r="J6" s="15">
        <f>220/7</f>
        <v>31.428571428571427</v>
      </c>
      <c r="K6" s="15">
        <f>+I6-J6</f>
        <v>-22.853920144853518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12 JUN'!C7, 'REPORTE DIARIO'!C:C)</f>
        <v>11712</v>
      </c>
      <c r="E7" s="15">
        <f>SUMIF('REPORTE DIARIO'!B:B,'EPR 12 JUN'!C7, 'REPORTE DIARIO'!D:D)</f>
        <v>28386.959999999999</v>
      </c>
      <c r="F7" s="15">
        <f>J7*D7</f>
        <v>184045.71428571429</v>
      </c>
      <c r="G7" s="15">
        <f>+E7-F7</f>
        <v>-155658.7542857143</v>
      </c>
      <c r="H7" s="14">
        <f>ABS(G7/F7)</f>
        <v>0.84576136363636367</v>
      </c>
      <c r="I7" s="15">
        <f>E7/D7</f>
        <v>2.4237500000000001</v>
      </c>
      <c r="J7" s="15">
        <f>110/7</f>
        <v>15.714285714285714</v>
      </c>
      <c r="K7" s="15">
        <f t="shared" ref="K7:K9" si="0">+I7-J7</f>
        <v>-13.290535714285713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12 JUN'!C8, 'REPORTE DIARIO'!C:C)</f>
        <v>14097</v>
      </c>
      <c r="E8" s="15">
        <f>SUMIF('REPORTE DIARIO'!B:B,'EPR 12 JUN'!C8, 'REPORTE DIARIO'!D:D)</f>
        <v>30894</v>
      </c>
      <c r="F8" s="15">
        <f>J8*D8</f>
        <v>90623.571428571435</v>
      </c>
      <c r="G8" s="15">
        <f>+E8-F8</f>
        <v>-59729.571428571435</v>
      </c>
      <c r="H8" s="14">
        <f>ABS(G8/F8)</f>
        <v>0.65909531578822922</v>
      </c>
      <c r="I8" s="15">
        <f>E8/D8</f>
        <v>2.1915301127899554</v>
      </c>
      <c r="J8" s="15">
        <f>45/7</f>
        <v>6.4285714285714288</v>
      </c>
      <c r="K8" s="15">
        <f t="shared" si="0"/>
        <v>-4.2370413157814735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12 JUN'!C9, 'REPORTE DIARIO'!C:C)</f>
        <v>50271</v>
      </c>
      <c r="E9" s="15">
        <f>SUMIF('REPORTE DIARIO'!B:B,'EPR 12 JUN'!C9, 'REPORTE DIARIO'!D:D)</f>
        <v>58992.99</v>
      </c>
      <c r="F9" s="15">
        <f>J9*D9</f>
        <v>107723.57142857142</v>
      </c>
      <c r="G9" s="15">
        <f>+E9-F9</f>
        <v>-48730.581428571422</v>
      </c>
      <c r="H9" s="14">
        <f>ABS(G9/F9)</f>
        <v>0.45236693123271865</v>
      </c>
      <c r="I9" s="15">
        <f>E9/D9</f>
        <v>1.1734994330727457</v>
      </c>
      <c r="J9" s="15">
        <f>15/7</f>
        <v>2.1428571428571428</v>
      </c>
      <c r="K9" s="15">
        <f t="shared" si="0"/>
        <v>-0.96935770978439706</v>
      </c>
    </row>
    <row r="10" spans="2:12" x14ac:dyDescent="0.25">
      <c r="B10" s="15"/>
      <c r="C10" s="18" t="s">
        <v>16</v>
      </c>
      <c r="D10" s="23">
        <f>SUM(D6:D9)</f>
        <v>91465</v>
      </c>
      <c r="E10" s="19">
        <f>SUM(E6:E9)</f>
        <v>250194.96</v>
      </c>
      <c r="F10" s="19">
        <f>SUM(F6:F9)</f>
        <v>865921.42857142864</v>
      </c>
      <c r="G10" s="19">
        <f>+E10-F10</f>
        <v>-615726.46857142868</v>
      </c>
      <c r="H10" s="20">
        <f>ABS(G10/F10)</f>
        <v>0.71106505539103682</v>
      </c>
      <c r="I10" s="19">
        <f>E10/D10</f>
        <v>2.735417482096977</v>
      </c>
      <c r="J10" s="19">
        <f>F10/D10</f>
        <v>9.4672435201599363</v>
      </c>
      <c r="K10" s="19">
        <f>I10-J10</f>
        <v>-6.7318260380629589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12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2025-06-13T01:56:18Z</dcterms:modified>
</cp:coreProperties>
</file>