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NOCHE\"/>
    </mc:Choice>
  </mc:AlternateContent>
  <xr:revisionPtr revIDLastSave="0" documentId="13_ncr:1_{1FA1B770-2B35-4C4F-9056-E07EEE6B50C8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2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<sst xmlns="http://schemas.openxmlformats.org/spreadsheetml/2006/main" count="89" uniqueCount="37">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</sst>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3083</v>
      </c>
      <c r="D5" s="25">
        <v>308029.39999999997</v>
      </c>
    </row>
    <row r="6" spans="2:8" x14ac:dyDescent="0.25">
      <c r="B6" s="1" t="s">
        <v>5</v>
      </c>
      <c r="C6" s="6">
        <v>3488</v>
      </c>
      <c r="D6" s="25">
        <v>139060.96</v>
      </c>
    </row>
    <row r="7" spans="2:8" x14ac:dyDescent="0.25">
      <c r="B7" s="1" t="s">
        <v>6</v>
      </c>
      <c r="C7" s="6">
        <v>6304</v>
      </c>
      <c r="D7" s="25">
        <v>154586.46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12593</v>
      </c>
      <c r="D9" s="25">
        <v>203088</v>
      </c>
      <c r="E9" s="14"/>
      <c r="F9" s="7"/>
    </row>
    <row r="10" spans="2:8" x14ac:dyDescent="0.25">
      <c r="B10" s="3" t="s">
        <v>8</v>
      </c>
      <c r="C10" s="8">
        <f>SUM(C5:C9)</f>
        <v>25479</v>
      </c>
      <c r="D10" s="4">
        <f>SUM(D5:D9)</f>
        <v>804764.82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3402</v>
      </c>
      <c r="D14" s="27">
        <v>183593.48</v>
      </c>
    </row>
    <row r="15" spans="2:8" x14ac:dyDescent="0.25">
      <c r="B15" s="9" t="s">
        <v>5</v>
      </c>
      <c r="C15" s="6">
        <v>1370</v>
      </c>
      <c r="D15" s="27">
        <v>18477.5</v>
      </c>
    </row>
    <row r="16" spans="2:8" x14ac:dyDescent="0.25">
      <c r="B16" s="9" t="s">
        <v>6</v>
      </c>
      <c r="C16" s="6">
        <v>2069</v>
      </c>
      <c r="D16" s="27">
        <v>104733.8</v>
      </c>
    </row>
    <row r="17" spans="2:4" x14ac:dyDescent="0.25">
      <c r="B17" s="5" t="s">
        <v>12</v>
      </c>
      <c r="C17" s="7">
        <v>1</v>
      </c>
      <c r="D17" s="27">
        <v>39</v>
      </c>
    </row>
    <row r="18" spans="2:4" x14ac:dyDescent="0.25">
      <c r="B18" s="9" t="s">
        <v>7</v>
      </c>
      <c r="C18" s="6">
        <v>16858</v>
      </c>
      <c r="D18" s="27">
        <v>41023</v>
      </c>
    </row>
    <row r="19" spans="2:4" x14ac:dyDescent="0.25">
      <c r="B19" s="10" t="s">
        <v>8</v>
      </c>
      <c r="C19" s="8">
        <f>SUM(C14:C18)</f>
        <v>23700</v>
      </c>
      <c r="D19" s="4">
        <f>SUM(D14:D18)</f>
        <v>347866.78</v>
      </c>
    </row>
    <row r="21" spans="2:4" x14ac:dyDescent="0.25">
      <c r="B21" s="29" t="s">
        <v>30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2877</v>
      </c>
      <c r="D23" s="25">
        <v>77196</v>
      </c>
    </row>
    <row r="24" spans="2:4" x14ac:dyDescent="0.25">
      <c r="B24" s="1" t="s">
        <v>5</v>
      </c>
      <c r="C24" s="6">
        <v>1957</v>
      </c>
      <c r="D24" s="25">
        <v>40592.32</v>
      </c>
    </row>
    <row r="25" spans="2:4" x14ac:dyDescent="0.25">
      <c r="B25" s="1" t="s">
        <v>6</v>
      </c>
      <c r="C25" s="6">
        <v>2564</v>
      </c>
      <c r="D25" s="25">
        <v>43515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12596</v>
      </c>
      <c r="D27" s="25">
        <v>71759.89</v>
      </c>
    </row>
    <row r="28" spans="2:4" x14ac:dyDescent="0.25">
      <c r="B28" s="3" t="s">
        <v>8</v>
      </c>
      <c r="C28" s="8">
        <f>SUM(C23:C27)</f>
        <v>19994</v>
      </c>
      <c r="D28" s="4">
        <f>SUM(D23:D27)</f>
        <v>233063.21000000002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437</v>
      </c>
      <c r="D32" s="25">
        <v>76078.320000000007</v>
      </c>
    </row>
    <row r="33" spans="2:4" x14ac:dyDescent="0.25">
      <c r="B33" s="9" t="s">
        <v>5</v>
      </c>
      <c r="C33" s="6">
        <v>2867</v>
      </c>
      <c r="D33" s="25">
        <v>39740.5</v>
      </c>
    </row>
    <row r="34" spans="2:4" x14ac:dyDescent="0.25">
      <c r="B34" s="9" t="s">
        <v>6</v>
      </c>
      <c r="C34" s="6">
        <v>317</v>
      </c>
      <c r="D34" s="25">
        <v>1805</v>
      </c>
    </row>
    <row r="35" spans="2:4" x14ac:dyDescent="0.25">
      <c r="B35" s="9" t="s">
        <v>7</v>
      </c>
      <c r="C35" s="6">
        <v>3972</v>
      </c>
      <c r="D35" s="25">
        <v>7800</v>
      </c>
    </row>
    <row r="36" spans="2:4" x14ac:dyDescent="0.25">
      <c r="B36" s="10" t="s">
        <v>8</v>
      </c>
      <c r="C36" s="8">
        <f>SUM(C32:C35)</f>
        <v>7593</v>
      </c>
      <c r="D36" s="4">
        <f>SUM(D32:D35)</f>
        <v>125423.82</v>
      </c>
    </row>
    <row r="38" spans="2:4" x14ac:dyDescent="0.25">
      <c r="B38" s="29" t="s">
        <v>32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2276</v>
      </c>
      <c r="D40" s="25">
        <v>61149</v>
      </c>
    </row>
    <row r="41" spans="2:4" x14ac:dyDescent="0.25">
      <c r="B41" s="1" t="s">
        <v>5</v>
      </c>
      <c r="C41" s="6">
        <v>1423</v>
      </c>
      <c r="D41" s="25">
        <v>15148</v>
      </c>
    </row>
    <row r="42" spans="2:4" x14ac:dyDescent="0.25">
      <c r="B42" s="1" t="s">
        <v>6</v>
      </c>
      <c r="C42" s="6">
        <v>2039</v>
      </c>
      <c r="D42" s="25">
        <v>9820</v>
      </c>
    </row>
    <row r="43" spans="2:4" x14ac:dyDescent="0.25">
      <c r="B43" s="1" t="s">
        <v>7</v>
      </c>
      <c r="C43" s="6">
        <v>1825</v>
      </c>
      <c r="D43" s="25">
        <v>8650</v>
      </c>
    </row>
    <row r="44" spans="2:4" x14ac:dyDescent="0.25">
      <c r="B44" s="3" t="s">
        <v>8</v>
      </c>
      <c r="C44" s="8">
        <f>SUM(C40:C43)</f>
        <v>7563</v>
      </c>
      <c r="D44" s="4">
        <f>SUM(D40:D43)</f>
        <v>94767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2728</v>
      </c>
      <c r="D48" s="25">
        <v>53401.440000000002</v>
      </c>
    </row>
    <row r="49" spans="2:4" x14ac:dyDescent="0.25">
      <c r="B49" s="10" t="s">
        <v>8</v>
      </c>
      <c r="C49" s="8">
        <f>SUM(C48:C48)</f>
        <v>2728</v>
      </c>
      <c r="D49" s="4">
        <f>SUM(D48:D48)</f>
        <v>53401.440000000002</v>
      </c>
    </row>
    <row r="51" spans="2:4" x14ac:dyDescent="0.25">
      <c r="B51" s="29" t="s">
        <v>31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9744</v>
      </c>
    </row>
    <row r="54" spans="2:4" x14ac:dyDescent="0.25">
      <c r="B54" s="1" t="s">
        <v>5</v>
      </c>
      <c r="C54" s="6">
        <v>607</v>
      </c>
      <c r="D54" s="25">
        <v>5953</v>
      </c>
    </row>
    <row r="55" spans="2:4" x14ac:dyDescent="0.25">
      <c r="B55" s="1" t="s">
        <v>6</v>
      </c>
      <c r="C55" s="6">
        <v>804</v>
      </c>
      <c r="D55" s="25">
        <v>141</v>
      </c>
    </row>
    <row r="56" spans="2:4" x14ac:dyDescent="0.25">
      <c r="B56" s="1" t="s">
        <v>7</v>
      </c>
      <c r="C56" s="6">
        <v>2427</v>
      </c>
      <c r="D56" s="25">
        <v>3537</v>
      </c>
    </row>
    <row r="57" spans="2:4" x14ac:dyDescent="0.25">
      <c r="B57" s="3" t="s">
        <v>8</v>
      </c>
      <c r="C57" s="8">
        <f>SUM(C53:C56)</f>
        <v>4420</v>
      </c>
      <c r="D57" s="4">
        <f>SUM(D53:D56)</f>
        <v>19375</v>
      </c>
    </row>
    <row r="59" spans="2:4" x14ac:dyDescent="0.25">
      <c r="B59" s="12" t="s">
        <v>13</v>
      </c>
      <c r="C59" s="13">
        <f>SUM(C10+C19+C36+C49+C28+C57+C44)</f>
        <v>91477</v>
      </c>
      <c r="D59" s="13">
        <f>SUM(D10+D19+D36+D49+D28+D57+D44)</f>
        <v>1678662.07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12 JUN'!C6, 'REPORTE DIARIO'!C:C)</f>
        <v>15385</v>
      </c>
      <c r="E6" s="16">
        <f>SUMIF('REPORTE DIARIO'!B:B,'EPR 12 JUN'!C6, 'REPORTE DIARIO'!D:D)</f>
        <v>769191.6399999999</v>
      </c>
      <c r="F6" s="16">
        <f>J6*D6</f>
        <v>1934114.2857142857</v>
      </c>
      <c r="G6" s="16">
        <f>+E6-F6</f>
        <v>-1164922.6457142858</v>
      </c>
      <c r="H6" s="15">
        <f>ABS(G6/F6)</f>
        <v>0.60230290129110409</v>
      </c>
      <c r="I6" s="16">
        <f>E6/D6</f>
        <v>49.996206694832622</v>
      </c>
      <c r="J6" s="16">
        <f>(220/7)*4</f>
        <v>125.71428571428571</v>
      </c>
      <c r="K6" s="16">
        <f>+I6-J6</f>
        <v>-75.718079019453086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12 JUN'!C7, 'REPORTE DIARIO'!C:C)</f>
        <v>11712</v>
      </c>
      <c r="E7" s="16">
        <f>SUMIF('REPORTE DIARIO'!B:B,'EPR 12 JUN'!C7, 'REPORTE DIARIO'!D:D)</f>
        <v>258972.28</v>
      </c>
      <c r="F7" s="16">
        <f>J7*D7</f>
        <v>736182.85714285716</v>
      </c>
      <c r="G7" s="16">
        <f>+E7-F7</f>
        <v>-477210.57714285713</v>
      </c>
      <c r="H7" s="15">
        <f>ABS(G7/F7)</f>
        <v>0.64822288717088916</v>
      </c>
      <c r="I7" s="16">
        <f>E7/D7</f>
        <v>22.111704234972677</v>
      </c>
      <c r="J7" s="16">
        <f>(110/7)*4</f>
        <v>62.857142857142854</v>
      </c>
      <c r="K7" s="16">
        <f t="shared" ref="K7:K9" si="0">+I7-J7</f>
        <v>-40.745438622170177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12 JUN'!C8, 'REPORTE DIARIO'!C:C)</f>
        <v>14097</v>
      </c>
      <c r="E8" s="16">
        <f>SUMIF('REPORTE DIARIO'!B:B,'EPR 12 JUN'!C8, 'REPORTE DIARIO'!D:D)</f>
        <v>314601.26</v>
      </c>
      <c r="F8" s="16">
        <f>J8*D8</f>
        <v>362494.28571428574</v>
      </c>
      <c r="G8" s="16">
        <f>+E8-F8</f>
        <v>-47893.02571428573</v>
      </c>
      <c r="H8" s="15">
        <f>ABS(G8/F8)</f>
        <v>0.13212077431762476</v>
      </c>
      <c r="I8" s="16">
        <f>E8/D8</f>
        <v>22.31689437468965</v>
      </c>
      <c r="J8" s="16">
        <f>(45/7)*4</f>
        <v>25.714285714285715</v>
      </c>
      <c r="K8" s="16">
        <f t="shared" si="0"/>
        <v>-3.3973913395960658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12 JUN'!C9, 'REPORTE DIARIO'!C:C)</f>
        <v>50271</v>
      </c>
      <c r="E9" s="16">
        <f>SUMIF('REPORTE DIARIO'!B:B,'EPR 12 JUN'!C9, 'REPORTE DIARIO'!D:D)</f>
        <v>335857.89</v>
      </c>
      <c r="F9" s="16">
        <f>J9*D9</f>
        <v>430894.28571428568</v>
      </c>
      <c r="G9" s="16">
        <f>+E9-F9</f>
        <v>-95036.395714285667</v>
      </c>
      <c r="H9" s="15">
        <f>ABS(G9/F9)</f>
        <v>0.22055617552863471</v>
      </c>
      <c r="I9" s="16">
        <f>E9/D9</f>
        <v>6.6809470668974162</v>
      </c>
      <c r="J9" s="16">
        <f>(15/7)*4</f>
        <v>8.5714285714285712</v>
      </c>
      <c r="K9" s="16">
        <f t="shared" si="0"/>
        <v>-1.8904815045311549</v>
      </c>
    </row>
    <row r="10" spans="2:12" x14ac:dyDescent="0.25">
      <c r="B10" s="16"/>
      <c r="C10" s="19" t="s">
        <v>17</v>
      </c>
      <c r="D10" s="24">
        <f>SUM(D6:D9)</f>
        <v>91465</v>
      </c>
      <c r="E10" s="20">
        <f>SUM(E6:E9)</f>
        <v>1678623.0699999998</v>
      </c>
      <c r="F10" s="20">
        <f>SUM(F6:F9)</f>
        <v>3463685.7142857146</v>
      </c>
      <c r="G10" s="20">
        <f>+E10-F10</f>
        <v>-1785062.6442857147</v>
      </c>
      <c r="H10" s="21">
        <f>ABS(G10/F10)</f>
        <v>0.51536507395095243</v>
      </c>
      <c r="I10" s="20">
        <f>E10/D10</f>
        <v>18.352627453124143</v>
      </c>
      <c r="J10" s="20">
        <f>F10/D10</f>
        <v>37.868974080639745</v>
      </c>
      <c r="K10" s="20">
        <f>I10-J10</f>
        <v>-19.516346627515603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2025-06-13T02:00:00Z</dcterms:modified>
</cp:coreProperties>
</file>