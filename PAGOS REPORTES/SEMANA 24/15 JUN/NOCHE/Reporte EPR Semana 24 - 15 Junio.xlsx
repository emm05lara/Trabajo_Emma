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5 JUN\NOCHE\"/>
    </mc:Choice>
  </mc:AlternateContent>
  <xr:revisionPtr revIDLastSave="0" documentId="13_ncr:1_{32B10E48-106E-4D18-8758-A7AC2ED3725C}" xr6:coauthVersionLast="47" xr6:coauthVersionMax="47" xr10:uidLastSave="{00000000-0000-0000-0000-000000000000}"/>
  <bookViews>
    <workbookView xWindow="25560" yWindow="12420" windowWidth="10005" windowHeight="5445" activeTab="2" xr2:uid="{4DC6C92A-CD8A-4966-829B-0B6A986E825B}"/>
  </bookViews>
  <sheets>
    <sheet name="REPORTE DIARIO" sheetId="1" r:id="rId1"/>
    <sheet name="DATA" sheetId="4" r:id="rId2"/>
    <sheet name="EPR 15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52" i="1"/>
  <c r="D44" i="1"/>
  <c r="C44" i="1"/>
  <c r="C52" i="1"/>
  <c r="D19" i="1" l="1"/>
  <c r="C19" i="1"/>
  <c r="J9" i="3"/>
  <c r="J8" i="3"/>
  <c r="J7" i="3"/>
  <c r="D6" i="3"/>
  <c r="F6" i="3" s="1"/>
  <c r="D57" i="1"/>
  <c r="C57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<sst xmlns="http://schemas.openxmlformats.org/spreadsheetml/2006/main" count="88" uniqueCount="36">
  <si>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</si>
  <si>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</si>
  <si>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</si>
  <si>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</si>
  <si>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</si>
  <si>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</si>
  <si>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</si>
  <si>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</si>
  <si>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</si>
  <si>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</si>
  <si>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</si>
  <si>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</si>
  <si>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</si>
  <si>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</si>
  <si>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</si>
  <si>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</si>
  <si>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</si>
  <si>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</si>
  <si>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</si>
  <si>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</si>
  <si>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</si>
  <si>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</si>
  <si>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</si>
  <si>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</si>
  <si>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</si>
  <si>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</si>
  <si>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</si>
  <si>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</si>
  <si>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</si>
  <si>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</si>
  <si>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</si>
  <si>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</si>
  <si>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</si>
  <si>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</si>
  <si>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</si>
  <si>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15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</si>
</sst>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16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3157</v>
      </c>
      <c r="D5" s="25">
        <v>101631.17</v>
      </c>
    </row>
    <row r="6" spans="2:8" x14ac:dyDescent="0.25">
      <c r="B6" s="1" t="s">
        <v>5</v>
      </c>
      <c r="C6" s="6">
        <v>3692</v>
      </c>
      <c r="D6" s="25">
        <v>46650.720000000001</v>
      </c>
    </row>
    <row r="7" spans="2:8" x14ac:dyDescent="0.25">
      <c r="B7" s="1" t="s">
        <v>6</v>
      </c>
      <c r="C7" s="6">
        <v>6337</v>
      </c>
      <c r="D7" s="25">
        <v>79760.26999999999</v>
      </c>
    </row>
    <row r="8" spans="2:8" x14ac:dyDescent="0.25">
      <c r="B8" s="5" t="s">
        <v>12</v>
      </c>
      <c r="C8" s="7">
        <v>1980</v>
      </c>
      <c r="D8" s="25">
        <v>300</v>
      </c>
    </row>
    <row r="9" spans="2:8" x14ac:dyDescent="0.25">
      <c r="B9" s="1" t="s">
        <v>7</v>
      </c>
      <c r="C9" s="6">
        <v>12534</v>
      </c>
      <c r="D9" s="25">
        <v>58854</v>
      </c>
    </row>
    <row r="10" spans="2:8" x14ac:dyDescent="0.25">
      <c r="B10" s="3" t="s">
        <v>8</v>
      </c>
      <c r="C10" s="8">
        <f>SUM(C5:C9)</f>
        <v>27700</v>
      </c>
      <c r="D10" s="4">
        <f>SUM(D5:D9)</f>
        <v>287196.16000000003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2789</v>
      </c>
      <c r="D14" s="25">
        <v>32074</v>
      </c>
    </row>
    <row r="15" spans="2:8" x14ac:dyDescent="0.25">
      <c r="B15" s="1" t="s">
        <v>5</v>
      </c>
      <c r="C15" s="6">
        <v>1956</v>
      </c>
      <c r="D15" s="25">
        <v>19315</v>
      </c>
    </row>
    <row r="16" spans="2:8" x14ac:dyDescent="0.25">
      <c r="B16" s="1" t="s">
        <v>6</v>
      </c>
      <c r="C16" s="6">
        <v>2583</v>
      </c>
      <c r="D16" s="25">
        <v>15334</v>
      </c>
    </row>
    <row r="17" spans="2:11" x14ac:dyDescent="0.25">
      <c r="B17" s="5" t="s">
        <v>12</v>
      </c>
      <c r="C17" s="7">
        <v>0</v>
      </c>
      <c r="D17" s="24">
        <v>0</v>
      </c>
    </row>
    <row r="18" spans="2:11" x14ac:dyDescent="0.25">
      <c r="B18" s="1" t="s">
        <v>7</v>
      </c>
      <c r="C18" s="6">
        <v>12612</v>
      </c>
      <c r="D18" s="25">
        <v>20073</v>
      </c>
    </row>
    <row r="19" spans="2:11" x14ac:dyDescent="0.25">
      <c r="B19" s="3" t="s">
        <v>8</v>
      </c>
      <c r="C19" s="8">
        <f>SUM(C14:C18)</f>
        <v>19940</v>
      </c>
      <c r="D19" s="4">
        <f>SUM(D14:D18)</f>
        <v>86796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3229</v>
      </c>
      <c r="D23" s="25">
        <v>47847.25</v>
      </c>
    </row>
    <row r="24" spans="2:11" x14ac:dyDescent="0.25">
      <c r="B24" s="9" t="s">
        <v>5</v>
      </c>
      <c r="C24" s="6">
        <v>1584</v>
      </c>
      <c r="D24" s="25">
        <v>14592.42</v>
      </c>
    </row>
    <row r="25" spans="2:11" x14ac:dyDescent="0.25">
      <c r="B25" s="9" t="s">
        <v>6</v>
      </c>
      <c r="C25" s="6">
        <v>2075</v>
      </c>
      <c r="D25" s="25">
        <v>4656</v>
      </c>
    </row>
    <row r="26" spans="2:11" x14ac:dyDescent="0.25">
      <c r="B26" s="5" t="s">
        <v>12</v>
      </c>
      <c r="C26" s="7">
        <v>1</v>
      </c>
      <c r="D26" s="26">
        <v>0</v>
      </c>
      <c r="K26" s="7"/>
    </row>
    <row r="27" spans="2:11" x14ac:dyDescent="0.25">
      <c r="B27" s="9" t="s">
        <v>7</v>
      </c>
      <c r="C27" s="6">
        <v>16855</v>
      </c>
      <c r="D27" s="25">
        <v>19156.690000000002</v>
      </c>
    </row>
    <row r="28" spans="2:11" x14ac:dyDescent="0.25">
      <c r="B28" s="10" t="s">
        <v>8</v>
      </c>
      <c r="C28" s="8">
        <f>SUM(C23:C27)</f>
        <v>23744</v>
      </c>
      <c r="D28" s="4">
        <f>SUM(D23:D27)</f>
        <v>86252.36</v>
      </c>
    </row>
    <row r="30" spans="2:11" x14ac:dyDescent="0.25">
      <c r="B30" s="27" t="s">
        <v>9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472</v>
      </c>
      <c r="D32" s="25">
        <v>7000.45</v>
      </c>
    </row>
    <row r="33" spans="2:4" x14ac:dyDescent="0.25">
      <c r="B33" s="9" t="s">
        <v>5</v>
      </c>
      <c r="C33" s="6">
        <v>2865</v>
      </c>
      <c r="D33" s="25">
        <v>17997</v>
      </c>
    </row>
    <row r="34" spans="2:4" x14ac:dyDescent="0.25">
      <c r="B34" s="9" t="s">
        <v>6</v>
      </c>
      <c r="C34" s="6">
        <v>345</v>
      </c>
      <c r="D34" s="25">
        <v>976</v>
      </c>
    </row>
    <row r="35" spans="2:4" x14ac:dyDescent="0.25">
      <c r="B35" s="9" t="s">
        <v>7</v>
      </c>
      <c r="C35" s="6">
        <v>3986</v>
      </c>
      <c r="D35" s="25">
        <v>6011</v>
      </c>
    </row>
    <row r="36" spans="2:4" x14ac:dyDescent="0.25">
      <c r="B36" s="10" t="s">
        <v>8</v>
      </c>
      <c r="C36" s="8">
        <f>SUM(C32:C35)</f>
        <v>7668</v>
      </c>
      <c r="D36" s="4">
        <f>SUM(D32:D35)</f>
        <v>31984.45</v>
      </c>
    </row>
    <row r="38" spans="2:4" x14ac:dyDescent="0.25">
      <c r="B38" s="27" t="s">
        <v>31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2277</v>
      </c>
      <c r="D40" s="25">
        <v>5483</v>
      </c>
    </row>
    <row r="41" spans="2:4" x14ac:dyDescent="0.25">
      <c r="B41" s="1" t="s">
        <v>5</v>
      </c>
      <c r="C41" s="6">
        <v>1475</v>
      </c>
      <c r="D41" s="25">
        <v>3837</v>
      </c>
    </row>
    <row r="42" spans="2:4" x14ac:dyDescent="0.25">
      <c r="B42" s="1" t="s">
        <v>6</v>
      </c>
      <c r="C42" s="6">
        <v>1995</v>
      </c>
      <c r="D42" s="25">
        <v>1200</v>
      </c>
    </row>
    <row r="43" spans="2:4" x14ac:dyDescent="0.25">
      <c r="B43" s="1" t="s">
        <v>7</v>
      </c>
      <c r="C43" s="6">
        <v>1842</v>
      </c>
      <c r="D43" s="25">
        <v>2575</v>
      </c>
    </row>
    <row r="44" spans="2:4" x14ac:dyDescent="0.25">
      <c r="B44" s="3" t="s">
        <v>8</v>
      </c>
      <c r="C44" s="8">
        <f>SUM(C40:C43)</f>
        <v>7589</v>
      </c>
      <c r="D44" s="4">
        <f>SUM(D40:D43)</f>
        <v>13095</v>
      </c>
    </row>
    <row r="46" spans="2:4" x14ac:dyDescent="0.25">
      <c r="B46" s="27" t="s">
        <v>30</v>
      </c>
      <c r="C46" s="27"/>
      <c r="D46" s="27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580</v>
      </c>
      <c r="D48" s="25">
        <v>4723</v>
      </c>
    </row>
    <row r="49" spans="2:4" x14ac:dyDescent="0.25">
      <c r="B49" s="1" t="s">
        <v>5</v>
      </c>
      <c r="C49" s="6">
        <v>606</v>
      </c>
      <c r="D49" s="26">
        <v>0</v>
      </c>
    </row>
    <row r="50" spans="2:4" x14ac:dyDescent="0.25">
      <c r="B50" s="1" t="s">
        <v>6</v>
      </c>
      <c r="C50" s="6">
        <v>776</v>
      </c>
      <c r="D50" s="26">
        <v>0</v>
      </c>
    </row>
    <row r="51" spans="2:4" x14ac:dyDescent="0.25">
      <c r="B51" s="1" t="s">
        <v>7</v>
      </c>
      <c r="C51" s="6">
        <v>2427</v>
      </c>
      <c r="D51" s="25">
        <v>3284</v>
      </c>
    </row>
    <row r="52" spans="2:4" x14ac:dyDescent="0.25">
      <c r="B52" s="3" t="s">
        <v>8</v>
      </c>
      <c r="C52" s="8">
        <f>SUM(C48:C51)</f>
        <v>4389</v>
      </c>
      <c r="D52" s="4">
        <f>SUM(D48:D51)</f>
        <v>8007</v>
      </c>
    </row>
    <row r="54" spans="2:4" x14ac:dyDescent="0.25">
      <c r="B54" s="28" t="s">
        <v>11</v>
      </c>
      <c r="C54" s="28"/>
      <c r="D54" s="28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2607</v>
      </c>
      <c r="D56" s="25">
        <v>7138</v>
      </c>
    </row>
    <row r="57" spans="2:4" x14ac:dyDescent="0.25">
      <c r="B57" s="10" t="s">
        <v>8</v>
      </c>
      <c r="C57" s="8">
        <f>SUM(C56:C56)</f>
        <v>2607</v>
      </c>
      <c r="D57" s="4">
        <f>SUM(D56:D56)</f>
        <v>7138</v>
      </c>
    </row>
    <row r="59" spans="2:4" x14ac:dyDescent="0.25">
      <c r="B59" s="11" t="s">
        <v>13</v>
      </c>
      <c r="C59" s="12">
        <f>SUM(C10+C36+C28+C57+C19+C52+C44)</f>
        <v>93637</v>
      </c>
      <c r="D59" s="12">
        <f>SUM(D10+D36+D28+D57+D19+D52+D44)</f>
        <v>520468.97000000003</v>
      </c>
    </row>
  </sheetData>
  <mergeCells count="7">
    <mergeCell ref="B3:D3"/>
    <mergeCell ref="B30:D30"/>
    <mergeCell ref="B54:D54"/>
    <mergeCell ref="B46:D46"/>
    <mergeCell ref="B12:D12"/>
    <mergeCell ref="B21:D21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15 JUN'!C6, 'REPORTE DIARIO'!C:C)</f>
        <v>15111</v>
      </c>
      <c r="E6" s="15">
        <f>SUMIF('REPORTE DIARIO'!B:B,'EPR 15 JUN'!C6, 'REPORTE DIARIO'!D:D)</f>
        <v>205896.87</v>
      </c>
      <c r="F6" s="15">
        <f>J6*D6</f>
        <v>474917.14285714284</v>
      </c>
      <c r="G6" s="15">
        <f>+E6-F6</f>
        <v>-269020.27285714285</v>
      </c>
      <c r="H6" s="14">
        <f>ABS(G6/F6)</f>
        <v>0.5664572797660945</v>
      </c>
      <c r="I6" s="15">
        <f>E6/D6</f>
        <v>13.625628350208457</v>
      </c>
      <c r="J6" s="15">
        <f>220/7</f>
        <v>31.428571428571427</v>
      </c>
      <c r="K6" s="15">
        <f>+I6-J6</f>
        <v>-17.802943078362972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15 JUN'!C7, 'REPORTE DIARIO'!C:C)</f>
        <v>12178</v>
      </c>
      <c r="E7" s="15">
        <f>SUMIF('REPORTE DIARIO'!B:B,'EPR 15 JUN'!C7, 'REPORTE DIARIO'!D:D)</f>
        <v>102392.14</v>
      </c>
      <c r="F7" s="15">
        <f>J7*D7</f>
        <v>191368.57142857142</v>
      </c>
      <c r="G7" s="15">
        <f>+E7-F7</f>
        <v>-88976.431428571421</v>
      </c>
      <c r="H7" s="14">
        <f>ABS(G7/F7)</f>
        <v>0.46494798369638241</v>
      </c>
      <c r="I7" s="15">
        <f>E7/D7</f>
        <v>8.4079602561997042</v>
      </c>
      <c r="J7" s="15">
        <f>110/7</f>
        <v>15.714285714285714</v>
      </c>
      <c r="K7" s="15">
        <f t="shared" ref="K7:K9" si="0">+I7-J7</f>
        <v>-7.3063254580860093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15 JUN'!C8, 'REPORTE DIARIO'!C:C)</f>
        <v>14111</v>
      </c>
      <c r="E8" s="15">
        <f>SUMIF('REPORTE DIARIO'!B:B,'EPR 15 JUN'!C8, 'REPORTE DIARIO'!D:D)</f>
        <v>101926.26999999999</v>
      </c>
      <c r="F8" s="15">
        <f>J8*D8</f>
        <v>90713.571428571435</v>
      </c>
      <c r="G8" s="15">
        <f>+E8-F8</f>
        <v>11212.698571428555</v>
      </c>
      <c r="H8" s="14">
        <f>ABS(G8/F8)</f>
        <v>0.12360552445294826</v>
      </c>
      <c r="I8" s="15">
        <f>E8/D8</f>
        <v>7.2231783714832396</v>
      </c>
      <c r="J8" s="15">
        <f>45/7</f>
        <v>6.4285714285714288</v>
      </c>
      <c r="K8" s="15">
        <f t="shared" si="0"/>
        <v>0.79460694291181078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15 JUN'!C9, 'REPORTE DIARIO'!C:C)</f>
        <v>50256</v>
      </c>
      <c r="E9" s="15">
        <f>SUMIF('REPORTE DIARIO'!B:B,'EPR 15 JUN'!C9, 'REPORTE DIARIO'!D:D)</f>
        <v>109953.69</v>
      </c>
      <c r="F9" s="15">
        <f>J9*D9</f>
        <v>107691.42857142857</v>
      </c>
      <c r="G9" s="15">
        <f>+E9-F9</f>
        <v>2262.2614285714371</v>
      </c>
      <c r="H9" s="14">
        <f>ABS(G9/F9)</f>
        <v>2.1006884750079672E-2</v>
      </c>
      <c r="I9" s="15">
        <f>E9/D9</f>
        <v>2.1878718958930277</v>
      </c>
      <c r="J9" s="15">
        <f>15/7</f>
        <v>2.1428571428571428</v>
      </c>
      <c r="K9" s="15">
        <f t="shared" si="0"/>
        <v>4.5014753035884869E-2</v>
      </c>
    </row>
    <row r="10" spans="2:12" x14ac:dyDescent="0.25">
      <c r="B10" s="15"/>
      <c r="C10" s="18" t="s">
        <v>16</v>
      </c>
      <c r="D10" s="23">
        <f>SUM(D6:D9)</f>
        <v>91656</v>
      </c>
      <c r="E10" s="19">
        <f>SUM(E6:E9)</f>
        <v>520168.97000000003</v>
      </c>
      <c r="F10" s="19">
        <f>SUM(F6:F9)</f>
        <v>864690.71428571432</v>
      </c>
      <c r="G10" s="19">
        <f>+E10-F10</f>
        <v>-344521.74428571429</v>
      </c>
      <c r="H10" s="20">
        <f>ABS(G10/F10)</f>
        <v>0.39843349603945916</v>
      </c>
      <c r="I10" s="19">
        <f>E10/D10</f>
        <v>5.6752309723313266</v>
      </c>
      <c r="J10" s="19">
        <f>F10/D10</f>
        <v>9.4340873951046778</v>
      </c>
      <c r="K10" s="19">
        <f>I10-J10</f>
        <v>-3.7588564227733512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15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2025-06-16T02:03:29Z</dcterms:modified>
</cp:coreProperties>
</file>