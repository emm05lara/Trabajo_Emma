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4\11 JUN\MAÑANA\"/>
    </mc:Choice>
  </mc:AlternateContent>
  <xr:revisionPtr revIDLastSave="0" documentId="13_ncr:1_{F4CE7B70-DB4E-4B35-B8DA-80440E2D12BC}" xr6:coauthVersionLast="47" xr6:coauthVersionMax="47" xr10:uidLastSave="{00000000-0000-0000-0000-000000000000}"/>
  <bookViews>
    <workbookView xWindow="23280" yWindow="3105" windowWidth="10005" windowHeight="5445" firstSheet="1" activeTab="2" xr2:uid="{4DC6C92A-CD8A-4966-829B-0B6A986E825B}"/>
  </bookViews>
  <sheets>
    <sheet name="REPORTE DIARIO" sheetId="1" r:id="rId1"/>
    <sheet name="DATA" sheetId="4" r:id="rId2"/>
    <sheet name="EPR 11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28" i="1" l="1"/>
  <c r="D28" i="1"/>
  <c r="D19" i="1"/>
  <c r="C19" i="1"/>
  <c r="D6" i="3"/>
  <c r="D36" i="1"/>
  <c r="C36" i="1"/>
  <c r="D57" i="1"/>
  <c r="C57" i="1"/>
  <c r="D49" i="1" l="1"/>
  <c r="C49" i="1"/>
  <c r="D44" i="1"/>
  <c r="C44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<sst xmlns="http://schemas.openxmlformats.org/spreadsheetml/2006/main" count="89" uniqueCount="37">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</sst>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opLeftCell="A40" zoomScaleNormal="100" workbookViewId="0">
      <selection activeCell="D55" sqref="D55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2868</v>
      </c>
      <c r="D5" s="25">
        <v>210619.43</v>
      </c>
    </row>
    <row r="6" spans="2:8" x14ac:dyDescent="0.25">
      <c r="B6" s="1" t="s">
        <v>5</v>
      </c>
      <c r="C6" s="6">
        <v>3094</v>
      </c>
      <c r="D6" s="25">
        <v>98825</v>
      </c>
    </row>
    <row r="7" spans="2:8" x14ac:dyDescent="0.25">
      <c r="B7" s="1" t="s">
        <v>6</v>
      </c>
      <c r="C7" s="6">
        <v>6083</v>
      </c>
      <c r="D7" s="25">
        <v>85441.46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12564</v>
      </c>
      <c r="D9" s="25">
        <v>122652</v>
      </c>
      <c r="E9" s="14"/>
      <c r="F9" s="7"/>
    </row>
    <row r="10" spans="2:8" x14ac:dyDescent="0.25">
      <c r="B10" s="3" t="s">
        <v>8</v>
      </c>
      <c r="C10" s="8">
        <f>SUM(C5:C9)</f>
        <v>24620</v>
      </c>
      <c r="D10" s="4">
        <f>SUM(D5:D9)</f>
        <v>517537.89</v>
      </c>
      <c r="E10" s="11" t="s">
        <v>14</v>
      </c>
    </row>
    <row r="12" spans="2:8" x14ac:dyDescent="0.25">
      <c r="B12" s="27" t="s">
        <v>10</v>
      </c>
      <c r="C12" s="27"/>
      <c r="D12" s="27"/>
    </row>
    <row r="13" spans="2:8" x14ac:dyDescent="0.25">
      <c r="B13" s="4" t="s">
        <v>1</v>
      </c>
      <c r="C13" s="4" t="s">
        <v>2</v>
      </c>
      <c r="D13" s="4" t="s">
        <v>3</v>
      </c>
    </row>
    <row r="14" spans="2:8" x14ac:dyDescent="0.25">
      <c r="B14" s="9" t="s">
        <v>4</v>
      </c>
      <c r="C14" s="6">
        <v>3794</v>
      </c>
      <c r="D14" s="25">
        <v>96525.24</v>
      </c>
    </row>
    <row r="15" spans="2:8" x14ac:dyDescent="0.25">
      <c r="B15" s="9" t="s">
        <v>5</v>
      </c>
      <c r="C15" s="6">
        <v>933</v>
      </c>
      <c r="D15" s="25">
        <v>11165.5</v>
      </c>
    </row>
    <row r="16" spans="2:8" x14ac:dyDescent="0.25">
      <c r="B16" s="9" t="s">
        <v>6</v>
      </c>
      <c r="C16" s="6">
        <v>2079</v>
      </c>
      <c r="D16" s="25">
        <v>11667</v>
      </c>
    </row>
    <row r="17" spans="2:4" x14ac:dyDescent="0.25">
      <c r="B17" s="5" t="s">
        <v>12</v>
      </c>
      <c r="C17" s="7">
        <v>1</v>
      </c>
      <c r="D17" s="26">
        <v>0</v>
      </c>
    </row>
    <row r="18" spans="2:4" x14ac:dyDescent="0.25">
      <c r="B18" s="9" t="s">
        <v>7</v>
      </c>
      <c r="C18" s="6">
        <v>16872</v>
      </c>
      <c r="D18" s="25">
        <v>25370</v>
      </c>
    </row>
    <row r="19" spans="2:4" x14ac:dyDescent="0.25">
      <c r="B19" s="10" t="s">
        <v>8</v>
      </c>
      <c r="C19" s="8">
        <f>SUM(C14:C18)</f>
        <v>23679</v>
      </c>
      <c r="D19" s="4">
        <f>SUM(D14:D18)</f>
        <v>144727.74</v>
      </c>
    </row>
    <row r="21" spans="2:4" x14ac:dyDescent="0.25">
      <c r="B21" s="28" t="s">
        <v>30</v>
      </c>
      <c r="C21" s="28"/>
      <c r="D21" s="28"/>
    </row>
    <row r="22" spans="2:4" x14ac:dyDescent="0.25">
      <c r="B22" s="2" t="s">
        <v>1</v>
      </c>
      <c r="C22" s="2" t="s">
        <v>2</v>
      </c>
      <c r="D22" s="2" t="s">
        <v>3</v>
      </c>
    </row>
    <row r="23" spans="2:4" x14ac:dyDescent="0.25">
      <c r="B23" s="1" t="s">
        <v>4</v>
      </c>
      <c r="C23" s="6">
        <v>2933</v>
      </c>
      <c r="D23" s="25">
        <v>35564</v>
      </c>
    </row>
    <row r="24" spans="2:4" x14ac:dyDescent="0.25">
      <c r="B24" s="1" t="s">
        <v>5</v>
      </c>
      <c r="C24" s="6">
        <v>1942</v>
      </c>
      <c r="D24" s="25">
        <v>22414.91</v>
      </c>
    </row>
    <row r="25" spans="2:4" x14ac:dyDescent="0.25">
      <c r="B25" s="1" t="s">
        <v>6</v>
      </c>
      <c r="C25" s="6">
        <v>2526</v>
      </c>
      <c r="D25" s="25">
        <v>24890</v>
      </c>
    </row>
    <row r="26" spans="2:4" x14ac:dyDescent="0.25">
      <c r="B26" s="5" t="s">
        <v>12</v>
      </c>
      <c r="C26" s="7">
        <v>2</v>
      </c>
      <c r="D26" s="26">
        <v>0</v>
      </c>
    </row>
    <row r="27" spans="2:4" x14ac:dyDescent="0.25">
      <c r="B27" s="1" t="s">
        <v>7</v>
      </c>
      <c r="C27" s="6">
        <v>12955</v>
      </c>
      <c r="D27" s="25">
        <v>16170</v>
      </c>
    </row>
    <row r="28" spans="2:4" x14ac:dyDescent="0.25">
      <c r="B28" s="3" t="s">
        <v>8</v>
      </c>
      <c r="C28" s="8">
        <f>SUM(C23:C27)</f>
        <v>20358</v>
      </c>
      <c r="D28" s="4">
        <f>SUM(D23:D27)</f>
        <v>99038.91</v>
      </c>
    </row>
    <row r="30" spans="2:4" x14ac:dyDescent="0.25">
      <c r="B30" s="28" t="s">
        <v>32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2274</v>
      </c>
      <c r="D32" s="25">
        <v>5469</v>
      </c>
    </row>
    <row r="33" spans="2:4" x14ac:dyDescent="0.25">
      <c r="B33" s="1" t="s">
        <v>5</v>
      </c>
      <c r="C33" s="6">
        <v>1373</v>
      </c>
      <c r="D33" s="25">
        <v>9741</v>
      </c>
    </row>
    <row r="34" spans="2:4" x14ac:dyDescent="0.25">
      <c r="B34" s="1" t="s">
        <v>6</v>
      </c>
      <c r="C34" s="6">
        <v>2004</v>
      </c>
      <c r="D34" s="25">
        <v>9245</v>
      </c>
    </row>
    <row r="35" spans="2:4" x14ac:dyDescent="0.25">
      <c r="B35" s="1" t="s">
        <v>7</v>
      </c>
      <c r="C35" s="6">
        <v>1813</v>
      </c>
      <c r="D35" s="25">
        <v>5617</v>
      </c>
    </row>
    <row r="36" spans="2:4" x14ac:dyDescent="0.25">
      <c r="B36" s="3" t="s">
        <v>8</v>
      </c>
      <c r="C36" s="8">
        <f>SUM(C32:C35)</f>
        <v>7464</v>
      </c>
      <c r="D36" s="4">
        <f>SUM(D32:D35)</f>
        <v>30072</v>
      </c>
    </row>
    <row r="38" spans="2:4" x14ac:dyDescent="0.25">
      <c r="B38" s="28" t="s">
        <v>9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65</v>
      </c>
      <c r="D40" s="25">
        <v>3668</v>
      </c>
    </row>
    <row r="41" spans="2:4" x14ac:dyDescent="0.25">
      <c r="B41" s="9" t="s">
        <v>5</v>
      </c>
      <c r="C41" s="6">
        <v>3226</v>
      </c>
      <c r="D41" s="25">
        <v>18032.5</v>
      </c>
    </row>
    <row r="42" spans="2:4" x14ac:dyDescent="0.25">
      <c r="B42" s="9" t="s">
        <v>6</v>
      </c>
      <c r="C42" s="6">
        <v>385</v>
      </c>
      <c r="D42" s="25">
        <v>206</v>
      </c>
    </row>
    <row r="43" spans="2:4" x14ac:dyDescent="0.25">
      <c r="B43" s="9" t="s">
        <v>7</v>
      </c>
      <c r="C43" s="6">
        <v>3966</v>
      </c>
      <c r="D43" s="25">
        <v>6800</v>
      </c>
    </row>
    <row r="44" spans="2:4" x14ac:dyDescent="0.25">
      <c r="B44" s="10" t="s">
        <v>8</v>
      </c>
      <c r="C44" s="8">
        <f>SUM(C40:C43)</f>
        <v>7642</v>
      </c>
      <c r="D44" s="4">
        <f>SUM(D40:D43)</f>
        <v>28706.5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2738</v>
      </c>
      <c r="D48" s="25">
        <v>17542</v>
      </c>
    </row>
    <row r="49" spans="2:4" x14ac:dyDescent="0.25">
      <c r="B49" s="10" t="s">
        <v>8</v>
      </c>
      <c r="C49" s="8">
        <f>SUM(C48:C48)</f>
        <v>2738</v>
      </c>
      <c r="D49" s="4">
        <f>SUM(D48:D48)</f>
        <v>17542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584</v>
      </c>
      <c r="D53" s="25">
        <v>5214</v>
      </c>
    </row>
    <row r="54" spans="2:4" x14ac:dyDescent="0.25">
      <c r="B54" s="1" t="s">
        <v>5</v>
      </c>
      <c r="C54" s="6">
        <v>610</v>
      </c>
      <c r="D54" s="25">
        <v>4653</v>
      </c>
    </row>
    <row r="55" spans="2:4" x14ac:dyDescent="0.25">
      <c r="B55" s="1" t="s">
        <v>6</v>
      </c>
      <c r="C55" s="6">
        <v>805</v>
      </c>
      <c r="D55" s="26">
        <v>0</v>
      </c>
    </row>
    <row r="56" spans="2:4" x14ac:dyDescent="0.25">
      <c r="B56" s="1" t="s">
        <v>7</v>
      </c>
      <c r="C56" s="6">
        <v>2469</v>
      </c>
      <c r="D56" s="25">
        <v>1232</v>
      </c>
    </row>
    <row r="57" spans="2:4" x14ac:dyDescent="0.25">
      <c r="B57" s="3" t="s">
        <v>8</v>
      </c>
      <c r="C57" s="8">
        <f>SUM(C53:C56)</f>
        <v>4468</v>
      </c>
      <c r="D57" s="4">
        <f>SUM(D53:D56)</f>
        <v>11099</v>
      </c>
    </row>
    <row r="59" spans="2:4" x14ac:dyDescent="0.25">
      <c r="B59" s="12" t="s">
        <v>13</v>
      </c>
      <c r="C59" s="13">
        <f>SUM(C10+C19+C44+C49+C28+C57+C36)</f>
        <v>90969</v>
      </c>
      <c r="D59" s="13">
        <f>SUM(D10+D19+D44+D49+D28+D57+D36)</f>
        <v>848724.04</v>
      </c>
    </row>
  </sheetData>
  <mergeCells count="7">
    <mergeCell ref="B46:D46"/>
    <mergeCell ref="B30:D30"/>
    <mergeCell ref="B21:D21"/>
    <mergeCell ref="B51:D51"/>
    <mergeCell ref="B3:D3"/>
    <mergeCell ref="B12:D12"/>
    <mergeCell ref="B38:D38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tabSelected="1" zoomScale="145" zoomScaleNormal="145" workbookViewId="0">
      <selection activeCell="B1" sqref="B1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11 JUN'!C6, 'REPORTE DIARIO'!C:C)</f>
        <v>15256</v>
      </c>
      <c r="E6" s="16">
        <f>SUMIF('REPORTE DIARIO'!B:B,'EPR 11 JUN'!C6, 'REPORTE DIARIO'!D:D)</f>
        <v>374601.67</v>
      </c>
      <c r="F6" s="16">
        <f>J6*D6</f>
        <v>1438422.857142857</v>
      </c>
      <c r="G6" s="16">
        <f>+E6-F6</f>
        <v>-1063821.1871428571</v>
      </c>
      <c r="H6" s="15">
        <f>ABS(G6/F6)</f>
        <v>0.73957472370532806</v>
      </c>
      <c r="I6" s="16">
        <f>E6/D6</f>
        <v>24.554383193497639</v>
      </c>
      <c r="J6" s="16">
        <f>(220/7)*3</f>
        <v>94.285714285714278</v>
      </c>
      <c r="K6" s="16">
        <f>+I6-J6</f>
        <v>-69.731331092216635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11 JUN'!C7, 'REPORTE DIARIO'!C:C)</f>
        <v>11178</v>
      </c>
      <c r="E7" s="16">
        <f>SUMIF('REPORTE DIARIO'!B:B,'EPR 11 JUN'!C7, 'REPORTE DIARIO'!D:D)</f>
        <v>164831.91</v>
      </c>
      <c r="F7" s="16">
        <f>J7*D7</f>
        <v>526962.85714285704</v>
      </c>
      <c r="G7" s="16">
        <f>+E7-F7</f>
        <v>-362130.94714285701</v>
      </c>
      <c r="H7" s="15">
        <f>ABS(G7/F7)</f>
        <v>0.68720393142373803</v>
      </c>
      <c r="I7" s="16">
        <f>E7/D7</f>
        <v>14.746100375738058</v>
      </c>
      <c r="J7" s="16">
        <f>(110/7)*3</f>
        <v>47.142857142857139</v>
      </c>
      <c r="K7" s="16">
        <f t="shared" ref="K7:K9" si="0">+I7-J7</f>
        <v>-32.396756767119079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11 JUN'!C8, 'REPORTE DIARIO'!C:C)</f>
        <v>13882</v>
      </c>
      <c r="E8" s="16">
        <f>SUMIF('REPORTE DIARIO'!B:B,'EPR 11 JUN'!C8, 'REPORTE DIARIO'!D:D)</f>
        <v>131449.46000000002</v>
      </c>
      <c r="F8" s="16">
        <f>J8*D8</f>
        <v>267724.28571428568</v>
      </c>
      <c r="G8" s="16">
        <f>+E8-F8</f>
        <v>-136274.82571428566</v>
      </c>
      <c r="H8" s="15">
        <f>ABS(G8/F8)</f>
        <v>0.50901181919565419</v>
      </c>
      <c r="I8" s="16">
        <f>E8/D8</f>
        <v>9.4690577726552387</v>
      </c>
      <c r="J8" s="16">
        <f>(45/7)*3</f>
        <v>19.285714285714285</v>
      </c>
      <c r="K8" s="16">
        <f t="shared" si="0"/>
        <v>-9.816656513059046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11 JUN'!C9, 'REPORTE DIARIO'!C:C)</f>
        <v>50639</v>
      </c>
      <c r="E9" s="16">
        <f>SUMIF('REPORTE DIARIO'!B:B,'EPR 11 JUN'!C9, 'REPORTE DIARIO'!D:D)</f>
        <v>177841</v>
      </c>
      <c r="F9" s="16">
        <f>J9*D9</f>
        <v>325536.42857142858</v>
      </c>
      <c r="G9" s="16">
        <f>+E9-F9</f>
        <v>-147695.42857142858</v>
      </c>
      <c r="H9" s="15">
        <f>ABS(G9/F9)</f>
        <v>0.45369862051866044</v>
      </c>
      <c r="I9" s="16">
        <f>E9/D9</f>
        <v>3.5119374395228973</v>
      </c>
      <c r="J9" s="16">
        <f>(15/7)*3</f>
        <v>6.4285714285714288</v>
      </c>
      <c r="K9" s="16">
        <f t="shared" si="0"/>
        <v>-2.9166339890485316</v>
      </c>
    </row>
    <row r="10" spans="2:12" x14ac:dyDescent="0.25">
      <c r="B10" s="16"/>
      <c r="C10" s="19" t="s">
        <v>17</v>
      </c>
      <c r="D10" s="24">
        <f>SUM(D6:D9)</f>
        <v>90955</v>
      </c>
      <c r="E10" s="20">
        <f>SUM(E6:E9)</f>
        <v>848724.04</v>
      </c>
      <c r="F10" s="20">
        <f>SUM(F6:F9)</f>
        <v>2558646.4285714286</v>
      </c>
      <c r="G10" s="20">
        <f>+E10-F10</f>
        <v>-1709922.3885714286</v>
      </c>
      <c r="H10" s="21">
        <f>ABS(G10/F10)</f>
        <v>0.66829178485834451</v>
      </c>
      <c r="I10" s="20">
        <f>E10/D10</f>
        <v>9.3312521576603817</v>
      </c>
      <c r="J10" s="20">
        <f>F10/D10</f>
        <v>28.130904607458948</v>
      </c>
      <c r="K10" s="20">
        <f>I10-J10</f>
        <v>-18.799652449798565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11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2025-06-11T16:19:10Z</dcterms:modified>
</cp:coreProperties>
</file>