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0 JUN\MAÑANA\"/>
    </mc:Choice>
  </mc:AlternateContent>
  <xr:revisionPtr revIDLastSave="0" documentId="13_ncr:1_{4EB824D6-78F6-4938-9785-8716D500265F}" xr6:coauthVersionLast="47" xr6:coauthVersionMax="47" xr10:uidLastSave="{00000000-0000-0000-0000-000000000000}"/>
  <bookViews>
    <workbookView xWindow="5910" yWindow="5910" windowWidth="10005" windowHeight="5445" xr2:uid="{4DC6C92A-CD8A-4966-829B-0B6A986E825B}"/>
  </bookViews>
  <sheets>
    <sheet name="REPORTE DIARIO" sheetId="1" r:id="rId1"/>
    <sheet name="DATA" sheetId="4" r:id="rId2"/>
    <sheet name="EPR 10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<sst xmlns="http://schemas.openxmlformats.org/spreadsheetml/2006/main" count="89" uniqueCount="37">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</sst>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27" zoomScaleNormal="100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2814</v>
      </c>
      <c r="D5" s="25">
        <v>154476.43</v>
      </c>
    </row>
    <row r="6" spans="2:8" x14ac:dyDescent="0.25">
      <c r="B6" s="1" t="s">
        <v>5</v>
      </c>
      <c r="C6" s="6">
        <v>3087</v>
      </c>
      <c r="D6" s="25">
        <v>67035</v>
      </c>
    </row>
    <row r="7" spans="2:8" x14ac:dyDescent="0.25">
      <c r="B7" s="1" t="s">
        <v>6</v>
      </c>
      <c r="C7" s="6">
        <v>6049</v>
      </c>
      <c r="D7" s="25">
        <v>45669.46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12425</v>
      </c>
      <c r="D9" s="25">
        <v>79776</v>
      </c>
      <c r="E9" s="14"/>
      <c r="F9" s="7"/>
    </row>
    <row r="10" spans="2:8" x14ac:dyDescent="0.25">
      <c r="B10" s="3" t="s">
        <v>8</v>
      </c>
      <c r="C10" s="8">
        <f>SUM(C5:C9)</f>
        <v>24386</v>
      </c>
      <c r="D10" s="4">
        <f>SUM(D5:D9)</f>
        <v>346956.89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3794</v>
      </c>
      <c r="D14" s="25">
        <v>56485.899999999994</v>
      </c>
    </row>
    <row r="15" spans="2:8" x14ac:dyDescent="0.25">
      <c r="B15" s="9" t="s">
        <v>5</v>
      </c>
      <c r="C15" s="6">
        <v>928</v>
      </c>
      <c r="D15" s="25">
        <v>9465.5</v>
      </c>
    </row>
    <row r="16" spans="2:8" x14ac:dyDescent="0.25">
      <c r="B16" s="9" t="s">
        <v>6</v>
      </c>
      <c r="C16" s="6">
        <v>2079</v>
      </c>
      <c r="D16" s="25">
        <v>8924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16872</v>
      </c>
      <c r="D18" s="25">
        <v>23774</v>
      </c>
    </row>
    <row r="19" spans="2:4" x14ac:dyDescent="0.25">
      <c r="B19" s="10" t="s">
        <v>8</v>
      </c>
      <c r="C19" s="8">
        <f>SUM(C14:C18)</f>
        <v>23674</v>
      </c>
      <c r="D19" s="4">
        <f>SUM(D14:D18)</f>
        <v>98649.4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2918</v>
      </c>
      <c r="D23" s="25">
        <v>21149</v>
      </c>
    </row>
    <row r="24" spans="2:4" x14ac:dyDescent="0.25">
      <c r="B24" s="1" t="s">
        <v>5</v>
      </c>
      <c r="C24" s="6">
        <v>1941</v>
      </c>
      <c r="D24" s="25">
        <v>14628.91</v>
      </c>
    </row>
    <row r="25" spans="2:4" x14ac:dyDescent="0.25">
      <c r="B25" s="1" t="s">
        <v>6</v>
      </c>
      <c r="C25" s="6">
        <v>2519</v>
      </c>
      <c r="D25" s="25">
        <v>19820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12927</v>
      </c>
      <c r="D27" s="25">
        <v>8332</v>
      </c>
    </row>
    <row r="28" spans="2:4" x14ac:dyDescent="0.25">
      <c r="B28" s="3" t="s">
        <v>8</v>
      </c>
      <c r="C28" s="8">
        <f>SUM(C23:C27)</f>
        <v>20307</v>
      </c>
      <c r="D28" s="4">
        <f>SUM(D23:D27)</f>
        <v>63929.91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48</v>
      </c>
      <c r="D32" s="25">
        <v>1659</v>
      </c>
    </row>
    <row r="33" spans="2:4" x14ac:dyDescent="0.25">
      <c r="B33" s="9" t="s">
        <v>5</v>
      </c>
      <c r="C33" s="6">
        <v>3226</v>
      </c>
      <c r="D33" s="25">
        <v>13384.5</v>
      </c>
    </row>
    <row r="34" spans="2:4" x14ac:dyDescent="0.25">
      <c r="B34" s="9" t="s">
        <v>6</v>
      </c>
      <c r="C34" s="6">
        <v>283</v>
      </c>
      <c r="D34" s="25">
        <v>94</v>
      </c>
    </row>
    <row r="35" spans="2:4" x14ac:dyDescent="0.25">
      <c r="B35" s="9" t="s">
        <v>7</v>
      </c>
      <c r="C35" s="6">
        <v>3955</v>
      </c>
      <c r="D35" s="25">
        <v>6800</v>
      </c>
    </row>
    <row r="36" spans="2:4" x14ac:dyDescent="0.25">
      <c r="B36" s="10" t="s">
        <v>8</v>
      </c>
      <c r="C36" s="8">
        <f>SUM(C32:C35)</f>
        <v>7512</v>
      </c>
      <c r="D36" s="4">
        <f>SUM(D32:D35)</f>
        <v>21937.5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2260</v>
      </c>
      <c r="D40" s="25">
        <v>1491</v>
      </c>
    </row>
    <row r="41" spans="2:4" x14ac:dyDescent="0.25">
      <c r="B41" s="1" t="s">
        <v>5</v>
      </c>
      <c r="C41" s="6">
        <v>1372</v>
      </c>
      <c r="D41" s="25">
        <v>5182</v>
      </c>
    </row>
    <row r="42" spans="2:4" x14ac:dyDescent="0.25">
      <c r="B42" s="1" t="s">
        <v>6</v>
      </c>
      <c r="C42" s="6">
        <v>1998</v>
      </c>
      <c r="D42" s="25">
        <v>8245</v>
      </c>
    </row>
    <row r="43" spans="2:4" x14ac:dyDescent="0.25">
      <c r="B43" s="1" t="s">
        <v>7</v>
      </c>
      <c r="C43" s="6">
        <v>1786</v>
      </c>
      <c r="D43" s="25">
        <v>2352</v>
      </c>
    </row>
    <row r="44" spans="2:4" x14ac:dyDescent="0.25">
      <c r="B44" s="3" t="s">
        <v>8</v>
      </c>
      <c r="C44" s="8">
        <f>SUM(C40:C43)</f>
        <v>7416</v>
      </c>
      <c r="D44" s="4">
        <f>SUM(D40:D43)</f>
        <v>17270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2738</v>
      </c>
      <c r="D48" s="25">
        <v>10681</v>
      </c>
    </row>
    <row r="49" spans="2:4" x14ac:dyDescent="0.25">
      <c r="B49" s="10" t="s">
        <v>8</v>
      </c>
      <c r="C49" s="8">
        <f>SUM(C48:C48)</f>
        <v>2738</v>
      </c>
      <c r="D49" s="4">
        <f>SUM(D48:D48)</f>
        <v>10681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3228</v>
      </c>
    </row>
    <row r="54" spans="2:4" x14ac:dyDescent="0.25">
      <c r="B54" s="1" t="s">
        <v>5</v>
      </c>
      <c r="C54" s="6">
        <v>610</v>
      </c>
      <c r="D54" s="25">
        <v>1630</v>
      </c>
    </row>
    <row r="55" spans="2:4" x14ac:dyDescent="0.25">
      <c r="B55" s="1" t="s">
        <v>6</v>
      </c>
      <c r="C55" s="6">
        <v>805</v>
      </c>
      <c r="D55" s="26">
        <v>0</v>
      </c>
    </row>
    <row r="56" spans="2:4" x14ac:dyDescent="0.25">
      <c r="B56" s="1" t="s">
        <v>7</v>
      </c>
      <c r="C56" s="6">
        <v>2469</v>
      </c>
      <c r="D56" s="25">
        <v>700</v>
      </c>
    </row>
    <row r="57" spans="2:4" x14ac:dyDescent="0.25">
      <c r="B57" s="3" t="s">
        <v>8</v>
      </c>
      <c r="C57" s="8">
        <f>SUM(C53:C56)</f>
        <v>4468</v>
      </c>
      <c r="D57" s="4">
        <f>SUM(D53:D56)</f>
        <v>5558</v>
      </c>
    </row>
    <row r="59" spans="2:4" x14ac:dyDescent="0.25">
      <c r="B59" s="12" t="s">
        <v>13</v>
      </c>
      <c r="C59" s="13">
        <f>SUM(C10+C19+C36+C49+C28+C57+C44)</f>
        <v>90501</v>
      </c>
      <c r="D59" s="13">
        <f>SUM(D10+D19+D36+D49+D28+D57+D44)</f>
        <v>564982.70000000007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10 JUN'!C6, 'REPORTE DIARIO'!C:C)</f>
        <v>15156</v>
      </c>
      <c r="E6" s="16">
        <f>SUMIF('REPORTE DIARIO'!B:B,'EPR 10 JUN'!C6, 'REPORTE DIARIO'!D:D)</f>
        <v>249170.33</v>
      </c>
      <c r="F6" s="16">
        <f>J6*D6</f>
        <v>952662.85714285704</v>
      </c>
      <c r="G6" s="16">
        <f>+E6-F6</f>
        <v>-703492.52714285708</v>
      </c>
      <c r="H6" s="15">
        <f>ABS(G6/F6)</f>
        <v>0.73844857272247422</v>
      </c>
      <c r="I6" s="16">
        <f>E6/D6</f>
        <v>16.440375428873054</v>
      </c>
      <c r="J6" s="16">
        <f>(220/7)*2</f>
        <v>62.857142857142854</v>
      </c>
      <c r="K6" s="16">
        <f>+I6-J6</f>
        <v>-46.4167674282698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10 JUN'!C7, 'REPORTE DIARIO'!C:C)</f>
        <v>11164</v>
      </c>
      <c r="E7" s="16">
        <f>SUMIF('REPORTE DIARIO'!B:B,'EPR 10 JUN'!C7, 'REPORTE DIARIO'!D:D)</f>
        <v>111325.91</v>
      </c>
      <c r="F7" s="16">
        <f>J7*D7</f>
        <v>350868.57142857142</v>
      </c>
      <c r="G7" s="16">
        <f>+E7-F7</f>
        <v>-239542.66142857142</v>
      </c>
      <c r="H7" s="15">
        <f>ABS(G7/F7)</f>
        <v>0.68271336031399632</v>
      </c>
      <c r="I7" s="16">
        <f>E7/D7</f>
        <v>9.9718658187029749</v>
      </c>
      <c r="J7" s="16">
        <f>(110/7)*2</f>
        <v>31.428571428571427</v>
      </c>
      <c r="K7" s="16">
        <f t="shared" ref="K7:K9" si="0">+I7-J7</f>
        <v>-21.45670560986845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10 JUN'!C8, 'REPORTE DIARIO'!C:C)</f>
        <v>13733</v>
      </c>
      <c r="E8" s="16">
        <f>SUMIF('REPORTE DIARIO'!B:B,'EPR 10 JUN'!C8, 'REPORTE DIARIO'!D:D)</f>
        <v>82752.459999999992</v>
      </c>
      <c r="F8" s="16">
        <f>J8*D8</f>
        <v>176567.14285714287</v>
      </c>
      <c r="G8" s="16">
        <f>+E8-F8</f>
        <v>-93814.682857142878</v>
      </c>
      <c r="H8" s="15">
        <f>ABS(G8/F8)</f>
        <v>0.53132582506047887</v>
      </c>
      <c r="I8" s="16">
        <f>E8/D8</f>
        <v>6.0258108206509862</v>
      </c>
      <c r="J8" s="16">
        <f>(45/7)*2</f>
        <v>12.857142857142858</v>
      </c>
      <c r="K8" s="16">
        <f t="shared" si="0"/>
        <v>-6.8313320364918715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10 JUN'!C9, 'REPORTE DIARIO'!C:C)</f>
        <v>50434</v>
      </c>
      <c r="E9" s="16">
        <f>SUMIF('REPORTE DIARIO'!B:B,'EPR 10 JUN'!C9, 'REPORTE DIARIO'!D:D)</f>
        <v>121734</v>
      </c>
      <c r="F9" s="16">
        <f>J9*D9</f>
        <v>216145.71428571429</v>
      </c>
      <c r="G9" s="16">
        <f>+E9-F9</f>
        <v>-94411.71428571429</v>
      </c>
      <c r="H9" s="15">
        <f>ABS(G9/F9)</f>
        <v>0.43679660546456756</v>
      </c>
      <c r="I9" s="16">
        <f>E9/D9</f>
        <v>2.4137288337232818</v>
      </c>
      <c r="J9" s="16">
        <f>(15/7)*2</f>
        <v>4.2857142857142856</v>
      </c>
      <c r="K9" s="16">
        <f t="shared" si="0"/>
        <v>-1.8719854519910037</v>
      </c>
    </row>
    <row r="10" spans="2:12" x14ac:dyDescent="0.25">
      <c r="B10" s="16"/>
      <c r="C10" s="19" t="s">
        <v>17</v>
      </c>
      <c r="D10" s="24">
        <f>SUM(D6:D9)</f>
        <v>90487</v>
      </c>
      <c r="E10" s="20">
        <f>SUM(E6:E9)</f>
        <v>564982.69999999995</v>
      </c>
      <c r="F10" s="20">
        <f>SUM(F6:F9)</f>
        <v>1696244.2857142857</v>
      </c>
      <c r="G10" s="20">
        <f>+E10-F10</f>
        <v>-1131261.5857142857</v>
      </c>
      <c r="H10" s="21">
        <f>ABS(G10/F10)</f>
        <v>0.66692138345976115</v>
      </c>
      <c r="I10" s="20">
        <f>E10/D10</f>
        <v>6.2437996618298754</v>
      </c>
      <c r="J10" s="20">
        <f>F10/D10</f>
        <v>18.745723537240551</v>
      </c>
      <c r="K10" s="20">
        <f>I10-J10</f>
        <v>-12.501923875410675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2025-06-10T16:03:43Z</dcterms:modified>
</cp:coreProperties>
</file>