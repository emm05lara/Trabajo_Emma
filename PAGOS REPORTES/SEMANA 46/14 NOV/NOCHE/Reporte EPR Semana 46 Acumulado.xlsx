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4 NOV\NOCHE\"/>
    </mc:Choice>
  </mc:AlternateContent>
  <xr:revisionPtr revIDLastSave="0" documentId="13_ncr:1_{79E53F11-637A-4F2C-8B46-1ACE721CCB4A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33" i="5"/>
  <c r="D18" i="1"/>
  <c r="D41" i="5"/>
  <c r="C18" i="1"/>
  <c r="C34" i="1"/>
  <c r="D34" i="1"/>
  <c r="C41" i="5"/>
  <c r="D48" i="5"/>
  <c r="C48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<sst xmlns="http://schemas.openxmlformats.org/spreadsheetml/2006/main" count="139" uniqueCount="37">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</sst>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7235</v>
      </c>
      <c r="D5" s="28">
        <v>426530.09</v>
      </c>
    </row>
    <row r="6" spans="2:8" x14ac:dyDescent="0.25">
      <c r="B6" s="1" t="s">
        <v>4</v>
      </c>
      <c r="C6" s="6">
        <v>7503</v>
      </c>
      <c r="D6" s="28">
        <v>275153.25</v>
      </c>
    </row>
    <row r="7" spans="2:8" x14ac:dyDescent="0.25">
      <c r="B7" s="1" t="s">
        <v>5</v>
      </c>
      <c r="C7" s="6">
        <v>5998</v>
      </c>
      <c r="D7" s="28">
        <v>110613.73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35952</v>
      </c>
      <c r="D9" s="28">
        <v>242108.16999999998</v>
      </c>
      <c r="E9" s="14"/>
      <c r="F9" s="7"/>
    </row>
    <row r="10" spans="2:8" x14ac:dyDescent="0.25">
      <c r="B10" s="3" t="s">
        <v>7</v>
      </c>
      <c r="C10" s="8">
        <f>SUM(C5:C9)</f>
        <v>57190</v>
      </c>
      <c r="D10" s="4">
        <f>SUM(D5:D9)</f>
        <v>1055405.24</v>
      </c>
      <c r="E10" s="11" t="s">
        <v>12</v>
      </c>
    </row>
    <row r="12" spans="2:8" x14ac:dyDescent="0.25">
      <c r="B12" s="30" t="s">
        <v>33</v>
      </c>
      <c r="C12" s="30"/>
      <c r="D12" s="3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86</v>
      </c>
      <c r="D14" s="28">
        <v>23044</v>
      </c>
    </row>
    <row r="15" spans="2:8" x14ac:dyDescent="0.25">
      <c r="B15" s="1" t="s">
        <v>4</v>
      </c>
      <c r="C15" s="6">
        <v>124</v>
      </c>
      <c r="D15" s="28">
        <v>33850.03</v>
      </c>
    </row>
    <row r="16" spans="2:8" x14ac:dyDescent="0.25">
      <c r="B16" s="1" t="s">
        <v>5</v>
      </c>
      <c r="C16" s="6">
        <v>2010</v>
      </c>
      <c r="D16" s="28">
        <v>121703</v>
      </c>
    </row>
    <row r="17" spans="2:4" x14ac:dyDescent="0.25">
      <c r="B17" s="1" t="s">
        <v>6</v>
      </c>
      <c r="C17" s="7">
        <v>14355</v>
      </c>
      <c r="D17" s="28">
        <v>76529</v>
      </c>
    </row>
    <row r="18" spans="2:4" x14ac:dyDescent="0.25">
      <c r="B18" s="3" t="s">
        <v>7</v>
      </c>
      <c r="C18" s="8">
        <f>SUM(C14:C17)</f>
        <v>16575</v>
      </c>
      <c r="D18" s="4">
        <f>SUM(D14:D17)</f>
        <v>255126.03</v>
      </c>
    </row>
    <row r="20" spans="2:4" x14ac:dyDescent="0.25">
      <c r="B20" s="31" t="s">
        <v>8</v>
      </c>
      <c r="C20" s="31"/>
      <c r="D20" s="3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560</v>
      </c>
      <c r="D22" s="28">
        <v>29187.29</v>
      </c>
    </row>
    <row r="23" spans="2:4" x14ac:dyDescent="0.25">
      <c r="B23" s="9" t="s">
        <v>4</v>
      </c>
      <c r="C23" s="6">
        <v>1247</v>
      </c>
      <c r="D23" s="28">
        <v>34459.47</v>
      </c>
    </row>
    <row r="24" spans="2:4" x14ac:dyDescent="0.25">
      <c r="B24" s="9" t="s">
        <v>5</v>
      </c>
      <c r="C24" s="6">
        <v>3630</v>
      </c>
      <c r="D24" s="28">
        <v>98032.85</v>
      </c>
    </row>
    <row r="25" spans="2:4" x14ac:dyDescent="0.25">
      <c r="B25" s="9" t="s">
        <v>6</v>
      </c>
      <c r="C25" s="6">
        <v>4457</v>
      </c>
      <c r="D25" s="28">
        <v>33410.240000000005</v>
      </c>
    </row>
    <row r="26" spans="2:4" x14ac:dyDescent="0.25">
      <c r="B26" s="10" t="s">
        <v>7</v>
      </c>
      <c r="C26" s="8">
        <f>SUM(C22:C25)</f>
        <v>9894</v>
      </c>
      <c r="D26" s="4">
        <f>SUM(D22:D25)</f>
        <v>195089.85000000003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4813</v>
      </c>
      <c r="D30" s="28">
        <v>137910.21999999997</v>
      </c>
    </row>
    <row r="31" spans="2:4" x14ac:dyDescent="0.25">
      <c r="B31" s="1" t="s">
        <v>4</v>
      </c>
      <c r="C31" s="6">
        <v>796</v>
      </c>
      <c r="D31" s="28">
        <v>21785</v>
      </c>
    </row>
    <row r="32" spans="2:4" x14ac:dyDescent="0.25">
      <c r="B32" s="1" t="s">
        <v>5</v>
      </c>
      <c r="C32" s="6">
        <v>3581</v>
      </c>
      <c r="D32" s="28">
        <v>17370</v>
      </c>
    </row>
    <row r="33" spans="2:4" x14ac:dyDescent="0.25">
      <c r="B33" s="1" t="s">
        <v>6</v>
      </c>
      <c r="C33" s="6">
        <v>1008</v>
      </c>
      <c r="D33" s="28">
        <v>599</v>
      </c>
    </row>
    <row r="34" spans="2:4" x14ac:dyDescent="0.25">
      <c r="B34" s="10" t="s">
        <v>7</v>
      </c>
      <c r="C34" s="8">
        <f>SUM(C30:C33)</f>
        <v>10198</v>
      </c>
      <c r="D34" s="4">
        <f>SUM(D30:D33)</f>
        <v>177664.21999999997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2888</v>
      </c>
    </row>
    <row r="39" spans="2:4" x14ac:dyDescent="0.25">
      <c r="B39" s="1" t="s">
        <v>4</v>
      </c>
      <c r="C39" s="6">
        <v>11</v>
      </c>
      <c r="D39" s="29">
        <v>0</v>
      </c>
    </row>
    <row r="40" spans="2:4" x14ac:dyDescent="0.25">
      <c r="B40" s="1" t="s">
        <v>5</v>
      </c>
      <c r="C40" s="6">
        <v>6</v>
      </c>
      <c r="D40" s="28">
        <v>970</v>
      </c>
    </row>
    <row r="41" spans="2:4" x14ac:dyDescent="0.25">
      <c r="B41" s="1" t="s">
        <v>6</v>
      </c>
      <c r="C41" s="6">
        <v>687</v>
      </c>
      <c r="D41" s="28">
        <v>1833</v>
      </c>
    </row>
    <row r="42" spans="2:4" x14ac:dyDescent="0.25">
      <c r="B42" s="3" t="s">
        <v>7</v>
      </c>
      <c r="C42" s="8">
        <f>SUM(C38:C41)</f>
        <v>717</v>
      </c>
      <c r="D42" s="4">
        <f>SUM(D38:D41)</f>
        <v>5691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94574</v>
      </c>
      <c r="D50" s="13">
        <f>SUMIF(B:B, "Total general", D:D)</f>
        <v>1688976.34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A46" sqref="A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6544</v>
      </c>
      <c r="D5" s="28">
        <v>106478.11</v>
      </c>
      <c r="E5" s="11"/>
    </row>
    <row r="6" spans="2:8" x14ac:dyDescent="0.25">
      <c r="B6" s="1" t="s">
        <v>4</v>
      </c>
      <c r="C6" s="27">
        <v>8617</v>
      </c>
      <c r="D6" s="28">
        <v>70958.33</v>
      </c>
    </row>
    <row r="7" spans="2:8" x14ac:dyDescent="0.25">
      <c r="B7" s="1" t="s">
        <v>5</v>
      </c>
      <c r="C7" s="27">
        <v>8346</v>
      </c>
      <c r="D7" s="28">
        <v>31923</v>
      </c>
    </row>
    <row r="8" spans="2:8" x14ac:dyDescent="0.25">
      <c r="B8" s="5" t="s">
        <v>10</v>
      </c>
      <c r="C8" s="27">
        <v>2737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3289</v>
      </c>
      <c r="E9" s="14"/>
      <c r="F9" s="7"/>
    </row>
    <row r="10" spans="2:8" x14ac:dyDescent="0.25">
      <c r="B10" s="3" t="s">
        <v>7</v>
      </c>
      <c r="C10" s="8">
        <f>SUM(C5:C9)</f>
        <v>37486</v>
      </c>
      <c r="D10" s="4">
        <f>SUM(D5:D9)</f>
        <v>213048.44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4800</v>
      </c>
      <c r="D14" s="28">
        <v>127732.21999999999</v>
      </c>
    </row>
    <row r="15" spans="2:8" x14ac:dyDescent="0.25">
      <c r="B15" s="1" t="s">
        <v>4</v>
      </c>
      <c r="C15" s="26">
        <v>549</v>
      </c>
      <c r="D15" s="28">
        <v>16724</v>
      </c>
    </row>
    <row r="16" spans="2:8" x14ac:dyDescent="0.25">
      <c r="B16" s="1" t="s">
        <v>5</v>
      </c>
      <c r="C16" s="26">
        <v>3486</v>
      </c>
      <c r="D16" s="28">
        <v>14152</v>
      </c>
    </row>
    <row r="17" spans="2:4" x14ac:dyDescent="0.25">
      <c r="B17" s="9" t="s">
        <v>6</v>
      </c>
      <c r="C17" s="26">
        <v>27</v>
      </c>
      <c r="D17" s="28">
        <v>599</v>
      </c>
    </row>
    <row r="18" spans="2:4" x14ac:dyDescent="0.25">
      <c r="B18" s="10" t="s">
        <v>7</v>
      </c>
      <c r="C18" s="8">
        <f>SUM(C14:C17)</f>
        <v>8862</v>
      </c>
      <c r="D18" s="4">
        <f>SUM(D14:D17)</f>
        <v>159207.21999999997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1255</v>
      </c>
      <c r="D22" s="28">
        <v>31743.72</v>
      </c>
    </row>
    <row r="23" spans="2:4" x14ac:dyDescent="0.25">
      <c r="B23" s="1" t="s">
        <v>4</v>
      </c>
      <c r="C23" s="26">
        <v>1034</v>
      </c>
      <c r="D23" s="28">
        <v>1083</v>
      </c>
    </row>
    <row r="24" spans="2:4" x14ac:dyDescent="0.25">
      <c r="B24" s="1" t="s">
        <v>5</v>
      </c>
      <c r="C24" s="26">
        <v>1080</v>
      </c>
      <c r="D24" s="28">
        <v>3110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4811</v>
      </c>
    </row>
    <row r="27" spans="2:4" x14ac:dyDescent="0.25">
      <c r="B27" s="3" t="s">
        <v>7</v>
      </c>
      <c r="C27" s="8">
        <f>SUM(C22:C26)</f>
        <v>3673</v>
      </c>
      <c r="D27" s="4">
        <f>SUM(D22:D26)</f>
        <v>40747.72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1764</v>
      </c>
    </row>
    <row r="32" spans="2:4" x14ac:dyDescent="0.25">
      <c r="B32" s="1" t="s">
        <v>6</v>
      </c>
      <c r="C32" s="26">
        <v>64</v>
      </c>
      <c r="D32" s="28">
        <v>557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2321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743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200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200</v>
      </c>
    </row>
    <row r="50" spans="2:4" x14ac:dyDescent="0.25">
      <c r="B50" s="12" t="s">
        <v>11</v>
      </c>
      <c r="C50" s="13">
        <f>SUMIF(B:B, "Total general", C:C)</f>
        <v>50599</v>
      </c>
      <c r="D50" s="13">
        <f>SUMIF(B:B, "Total general", D:D)</f>
        <v>416267.38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12605</v>
      </c>
      <c r="D3" s="14">
        <f>SUMIF('CDC-OLGUIN'!B:B, "Extrajudicial - 0 a 28 semanas de atraso", 'CDC-OLGUIN'!D:D)</f>
        <v>268461.05</v>
      </c>
    </row>
    <row r="4" spans="2:6" x14ac:dyDescent="0.25">
      <c r="B4" s="1" t="s">
        <v>4</v>
      </c>
      <c r="C4" s="6">
        <f>SUMIF('CDC-OLGUIN'!B:B, "Extrajudicial - 29 a 39 semanas de atraso", 'CDC-OLGUIN'!C:C)</f>
        <v>10201</v>
      </c>
      <c r="D4" s="14">
        <f>SUMIF('CDC-OLGUIN'!B:B, "Extrajudicial - 29 a 39 semanas de atraso", 'CDC-OLGUIN'!D:D)</f>
        <v>88765.33</v>
      </c>
    </row>
    <row r="5" spans="2:6" x14ac:dyDescent="0.25">
      <c r="B5" s="1" t="s">
        <v>5</v>
      </c>
      <c r="C5" s="6">
        <f>SUMIF('CDC-OLGUIN'!B:B, "Extrajudicial - 40 a 55 semanas de atraso", 'CDC-OLGUIN'!C:C)</f>
        <v>12913</v>
      </c>
      <c r="D5" s="14">
        <f>SUMIF('CDC-OLGUIN'!B:B, "Extrajudicial - 40 a 55 semanas de atraso", 'CDC-OLGUIN'!D:D)</f>
        <v>49185</v>
      </c>
    </row>
    <row r="6" spans="2:6" x14ac:dyDescent="0.25">
      <c r="B6" s="5" t="s">
        <v>10</v>
      </c>
      <c r="C6" s="6">
        <f>SUMIF('CDC-OLGUIN'!B:B, "JUDICIAL", 'CDC-OLGUIN'!C:C)</f>
        <v>2737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9456</v>
      </c>
      <c r="E7" s="14"/>
      <c r="F7" s="7"/>
    </row>
    <row r="8" spans="2:6" x14ac:dyDescent="0.25">
      <c r="B8" s="3" t="s">
        <v>7</v>
      </c>
      <c r="C8" s="8">
        <f>SUM(C3:C7)</f>
        <v>50599</v>
      </c>
      <c r="D8" s="4">
        <f>SUM(D3:D7)</f>
        <v>416267.38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12707</v>
      </c>
      <c r="E6" s="16">
        <f>SUMIF('REPORTE DIARIO'!B:B,'EPR 26 JUN'!C6, 'REPORTE DIARIO'!D:D)</f>
        <v>619559.6</v>
      </c>
      <c r="F6" s="16">
        <f>J6*D6</f>
        <v>798725.7142857142</v>
      </c>
      <c r="G6" s="16">
        <f>+E6-F6</f>
        <v>-179166.11428571423</v>
      </c>
      <c r="H6" s="15">
        <f>ABS(G6/F6)</f>
        <v>0.22431494451876913</v>
      </c>
      <c r="I6" s="16">
        <f>E6/D6</f>
        <v>48.757346344534504</v>
      </c>
      <c r="J6" s="16">
        <f>(220/7)*2</f>
        <v>62.857142857142854</v>
      </c>
      <c r="K6" s="16">
        <f>+I6-J6</f>
        <v>-14.09979651260835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9681</v>
      </c>
      <c r="E7" s="16">
        <f>SUMIF('REPORTE DIARIO'!B:B,'EPR 26 JUN'!C7, 'REPORTE DIARIO'!D:D)</f>
        <v>365247.75</v>
      </c>
      <c r="F7" s="16">
        <f>J7*D7</f>
        <v>304260</v>
      </c>
      <c r="G7" s="16">
        <f>+E7-F7</f>
        <v>60987.75</v>
      </c>
      <c r="H7" s="15">
        <f>ABS(G7/F7)</f>
        <v>0.20044616446460264</v>
      </c>
      <c r="I7" s="16">
        <f>E7/D7</f>
        <v>37.728308026030369</v>
      </c>
      <c r="J7" s="16">
        <f>(110/7)*2</f>
        <v>31.428571428571427</v>
      </c>
      <c r="K7" s="16">
        <f t="shared" ref="K7:K9" si="0">+I7-J7</f>
        <v>6.2997365974589421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15225</v>
      </c>
      <c r="E8" s="16">
        <f>SUMIF('REPORTE DIARIO'!B:B,'EPR 26 JUN'!C8, 'REPORTE DIARIO'!D:D)</f>
        <v>348689.57999999996</v>
      </c>
      <c r="F8" s="16">
        <f>J8*D8</f>
        <v>195750</v>
      </c>
      <c r="G8" s="16">
        <f>+E8-F8</f>
        <v>152939.57999999996</v>
      </c>
      <c r="H8" s="15">
        <f>ABS(G8/F8)</f>
        <v>0.78130053639846719</v>
      </c>
      <c r="I8" s="16">
        <f>E8/D8</f>
        <v>22.902435467980293</v>
      </c>
      <c r="J8" s="16">
        <f>(45/7)*2</f>
        <v>12.857142857142858</v>
      </c>
      <c r="K8" s="16">
        <f t="shared" si="0"/>
        <v>10.045292610837436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56459</v>
      </c>
      <c r="E9" s="16">
        <f>SUMIF('REPORTE DIARIO'!B:B,'EPR 26 JUN'!C9, 'REPORTE DIARIO'!D:D)</f>
        <v>354479.41</v>
      </c>
      <c r="F9" s="16">
        <f>J9*D9</f>
        <v>241967.14285714284</v>
      </c>
      <c r="G9" s="16">
        <f>+E9-F9</f>
        <v>112512.26714285713</v>
      </c>
      <c r="H9" s="15">
        <f>ABS(G9/F9)</f>
        <v>0.46498985694633865</v>
      </c>
      <c r="I9" s="16">
        <f>E9/D9</f>
        <v>6.2785279583414511</v>
      </c>
      <c r="J9" s="16">
        <f>(15/7)*2</f>
        <v>4.2857142857142856</v>
      </c>
      <c r="K9" s="16">
        <f t="shared" si="0"/>
        <v>1.9928136726271655</v>
      </c>
    </row>
    <row r="10" spans="2:12" x14ac:dyDescent="0.25">
      <c r="B10" s="16"/>
      <c r="C10" s="19" t="s">
        <v>15</v>
      </c>
      <c r="D10" s="24">
        <f>SUM(D6:D9)</f>
        <v>94072</v>
      </c>
      <c r="E10" s="20">
        <f>SUM(E6:E9)</f>
        <v>1687976.3399999999</v>
      </c>
      <c r="F10" s="20">
        <f>SUM(F6:F9)</f>
        <v>1540702.8571428568</v>
      </c>
      <c r="G10" s="20">
        <f>+E10-F10</f>
        <v>147273.48285714304</v>
      </c>
      <c r="H10" s="21">
        <f>ABS(G10/F10)</f>
        <v>9.5588505060770185E-2</v>
      </c>
      <c r="I10" s="20">
        <f>E10/D10</f>
        <v>17.943451186325365</v>
      </c>
      <c r="J10" s="20">
        <f>F10/D10</f>
        <v>16.377911144047715</v>
      </c>
      <c r="K10" s="20">
        <f>I10-J10</f>
        <v>1.5655400422776502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2025-11-15T02:44:21Z</cp:lastPrinted>
  <dcterms:created xsi:type="dcterms:W3CDTF">2025-01-27T15:11:28Z</dcterms:created>
  <dcterms:modified xsi:type="dcterms:W3CDTF">2025-11-15T02:50:07Z</dcterms:modified>
</cp:coreProperties>
</file>