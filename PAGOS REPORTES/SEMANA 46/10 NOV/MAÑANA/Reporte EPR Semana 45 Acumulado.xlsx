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0 NOV\MAÑANA\"/>
    </mc:Choice>
  </mc:AlternateContent>
  <xr:revisionPtr revIDLastSave="0" documentId="13_ncr:1_{C46DDACD-C32B-4814-B171-5079411BD6F9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<sst xmlns="http://schemas.openxmlformats.org/spreadsheetml/2006/main" count="139" uniqueCount="37">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</sst>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7791</v>
      </c>
      <c r="D5" s="28">
        <v>864182.12000000011</v>
      </c>
    </row>
    <row r="6" spans="2:8" x14ac:dyDescent="0.25">
      <c r="B6" s="1" t="s">
        <v>5</v>
      </c>
      <c r="C6" s="6">
        <v>7030</v>
      </c>
      <c r="D6" s="28">
        <v>403836.96</v>
      </c>
    </row>
    <row r="7" spans="2:8" x14ac:dyDescent="0.25">
      <c r="B7" s="1" t="s">
        <v>6</v>
      </c>
      <c r="C7" s="6">
        <v>7538</v>
      </c>
      <c r="D7" s="28">
        <v>242753.13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36548</v>
      </c>
      <c r="D9" s="28">
        <v>454637.56999999995</v>
      </c>
      <c r="E9" s="14"/>
      <c r="F9" s="7"/>
    </row>
    <row r="10" spans="2:8" x14ac:dyDescent="0.25">
      <c r="B10" s="3" t="s">
        <v>8</v>
      </c>
      <c r="C10" s="8">
        <f>SUM(C5:C9)</f>
        <v>59413</v>
      </c>
      <c r="D10" s="4">
        <f>SUM(D5:D9)</f>
        <v>1965409.7799999998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574</v>
      </c>
      <c r="D14" s="28">
        <v>153075.35000000003</v>
      </c>
    </row>
    <row r="15" spans="2:8" x14ac:dyDescent="0.25">
      <c r="B15" s="9" t="s">
        <v>5</v>
      </c>
      <c r="C15" s="6">
        <v>1392</v>
      </c>
      <c r="D15" s="28">
        <v>54918.54</v>
      </c>
    </row>
    <row r="16" spans="2:8" x14ac:dyDescent="0.25">
      <c r="B16" s="9" t="s">
        <v>6</v>
      </c>
      <c r="C16" s="6">
        <v>3473</v>
      </c>
      <c r="D16" s="28">
        <v>70588</v>
      </c>
    </row>
    <row r="17" spans="2:4" x14ac:dyDescent="0.25">
      <c r="B17" s="9" t="s">
        <v>7</v>
      </c>
      <c r="C17" s="6">
        <v>4207</v>
      </c>
      <c r="D17" s="28">
        <v>65472.14</v>
      </c>
    </row>
    <row r="18" spans="2:4" x14ac:dyDescent="0.25">
      <c r="B18" s="10" t="s">
        <v>8</v>
      </c>
      <c r="C18" s="8">
        <f>SUM(C14:C17)</f>
        <v>9646</v>
      </c>
      <c r="D18" s="4">
        <f>SUM(D14:D17)</f>
        <v>344054.03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89</v>
      </c>
      <c r="D22" s="28">
        <v>81823.94</v>
      </c>
    </row>
    <row r="23" spans="2:4" x14ac:dyDescent="0.25">
      <c r="B23" s="1" t="s">
        <v>5</v>
      </c>
      <c r="C23" s="6">
        <v>144</v>
      </c>
      <c r="D23" s="28">
        <v>51478.09</v>
      </c>
    </row>
    <row r="24" spans="2:4" x14ac:dyDescent="0.25">
      <c r="B24" s="1" t="s">
        <v>6</v>
      </c>
      <c r="C24" s="6">
        <v>1856</v>
      </c>
      <c r="D24" s="28">
        <v>67466</v>
      </c>
    </row>
    <row r="25" spans="2:4" x14ac:dyDescent="0.25">
      <c r="B25" s="1" t="s">
        <v>7</v>
      </c>
      <c r="C25" s="7">
        <v>14539</v>
      </c>
      <c r="D25" s="28">
        <v>79044.87</v>
      </c>
    </row>
    <row r="26" spans="2:4" x14ac:dyDescent="0.25">
      <c r="B26" s="3" t="s">
        <v>8</v>
      </c>
      <c r="C26" s="8">
        <f>SUM(C22:C25)</f>
        <v>16628</v>
      </c>
      <c r="D26" s="4">
        <f>SUM(D22:D25)</f>
        <v>279812.90000000002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4890</v>
      </c>
      <c r="D30" s="28">
        <v>163124.43</v>
      </c>
    </row>
    <row r="31" spans="2:4" x14ac:dyDescent="0.25">
      <c r="B31" s="1" t="s">
        <v>5</v>
      </c>
      <c r="C31" s="6">
        <v>867</v>
      </c>
      <c r="D31" s="28">
        <v>38426.69</v>
      </c>
    </row>
    <row r="32" spans="2:4" x14ac:dyDescent="0.25">
      <c r="B32" s="1" t="s">
        <v>6</v>
      </c>
      <c r="C32" s="6">
        <v>3602</v>
      </c>
      <c r="D32" s="28">
        <v>18734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10387</v>
      </c>
      <c r="D34" s="4">
        <f>SUM(D30:D33)</f>
        <v>226684.12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</v>
      </c>
      <c r="D38" s="28">
        <v>8764.26</v>
      </c>
    </row>
    <row r="39" spans="2:4" x14ac:dyDescent="0.25">
      <c r="B39" s="1" t="s">
        <v>5</v>
      </c>
      <c r="C39" s="6">
        <v>12</v>
      </c>
      <c r="D39" s="28">
        <v>2595</v>
      </c>
    </row>
    <row r="40" spans="2:4" x14ac:dyDescent="0.25">
      <c r="B40" s="1" t="s">
        <v>6</v>
      </c>
      <c r="C40" s="6">
        <v>6</v>
      </c>
      <c r="D40" s="28">
        <v>3485</v>
      </c>
    </row>
    <row r="41" spans="2:4" x14ac:dyDescent="0.25">
      <c r="B41" s="1" t="s">
        <v>7</v>
      </c>
      <c r="C41" s="6">
        <v>691</v>
      </c>
      <c r="D41" s="28">
        <v>8044</v>
      </c>
    </row>
    <row r="42" spans="2:4" x14ac:dyDescent="0.25">
      <c r="B42" s="3" t="s">
        <v>8</v>
      </c>
      <c r="C42" s="8">
        <f>SUM(C38:C41)</f>
        <v>723</v>
      </c>
      <c r="D42" s="4">
        <f>SUM(D38:D41)</f>
        <v>22888.260000000002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96797</v>
      </c>
      <c r="D50" s="13">
        <f>SUMIF(B:B, "Total general", D:D)</f>
        <v>2838849.0899999994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6784</v>
      </c>
      <c r="D5" s="28">
        <v>279687.40000000002</v>
      </c>
      <c r="E5" s="11"/>
    </row>
    <row r="6" spans="2:8" x14ac:dyDescent="0.25">
      <c r="B6" s="1" t="s">
        <v>5</v>
      </c>
      <c r="C6" s="27">
        <v>8429</v>
      </c>
      <c r="D6" s="28">
        <v>134275.5</v>
      </c>
    </row>
    <row r="7" spans="2:8" x14ac:dyDescent="0.25">
      <c r="B7" s="1" t="s">
        <v>6</v>
      </c>
      <c r="C7" s="27">
        <v>8345</v>
      </c>
      <c r="D7" s="28">
        <v>138189.84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11242</v>
      </c>
      <c r="D9" s="28">
        <v>20481</v>
      </c>
      <c r="E9" s="14"/>
      <c r="F9" s="7"/>
    </row>
    <row r="10" spans="2:8" x14ac:dyDescent="0.25">
      <c r="B10" s="3" t="s">
        <v>8</v>
      </c>
      <c r="C10" s="8">
        <f>SUM(C5:C9)</f>
        <v>37538</v>
      </c>
      <c r="D10" s="4">
        <f>SUM(D5:D9)</f>
        <v>574611.74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4877</v>
      </c>
      <c r="D14" s="28">
        <v>157794.43</v>
      </c>
    </row>
    <row r="15" spans="2:8" x14ac:dyDescent="0.25">
      <c r="B15" s="1" t="s">
        <v>5</v>
      </c>
      <c r="C15" s="26">
        <v>565</v>
      </c>
      <c r="D15" s="28">
        <v>28494.690000000002</v>
      </c>
    </row>
    <row r="16" spans="2:8" x14ac:dyDescent="0.25">
      <c r="B16" s="1" t="s">
        <v>6</v>
      </c>
      <c r="C16" s="26">
        <v>3493</v>
      </c>
      <c r="D16" s="28">
        <v>17852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8962</v>
      </c>
      <c r="D18" s="4">
        <f>SUM(D14:D17)</f>
        <v>210540.12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1267</v>
      </c>
      <c r="D22" s="28">
        <v>62382.93</v>
      </c>
    </row>
    <row r="23" spans="2:4" x14ac:dyDescent="0.25">
      <c r="B23" s="1" t="s">
        <v>5</v>
      </c>
      <c r="C23" s="26">
        <v>1036</v>
      </c>
      <c r="D23" s="28">
        <v>60697.66</v>
      </c>
    </row>
    <row r="24" spans="2:4" x14ac:dyDescent="0.25">
      <c r="B24" s="1" t="s">
        <v>6</v>
      </c>
      <c r="C24" s="26">
        <v>1080</v>
      </c>
      <c r="D24" s="28">
        <v>23218.39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10528</v>
      </c>
    </row>
    <row r="27" spans="2:4" x14ac:dyDescent="0.25">
      <c r="B27" s="3" t="s">
        <v>8</v>
      </c>
      <c r="C27" s="8">
        <f>SUM(C22:C26)</f>
        <v>3686</v>
      </c>
      <c r="D27" s="4">
        <f>SUM(D22:D26)</f>
        <v>156826.97999999998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2646</v>
      </c>
    </row>
    <row r="32" spans="2:4" x14ac:dyDescent="0.25">
      <c r="B32" s="1" t="s">
        <v>7</v>
      </c>
      <c r="C32" s="26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3203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8">
        <v>763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330</v>
      </c>
      <c r="D40" s="28">
        <v>1356</v>
      </c>
    </row>
    <row r="41" spans="2:4" x14ac:dyDescent="0.25">
      <c r="B41" s="3" t="s">
        <v>8</v>
      </c>
      <c r="C41" s="8">
        <f>SUM(C37:C40)</f>
        <v>333</v>
      </c>
      <c r="D41" s="4">
        <f>SUM(D37:D40)</f>
        <v>2119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8">
        <v>1080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1080</v>
      </c>
    </row>
    <row r="50" spans="2:4" x14ac:dyDescent="0.25">
      <c r="B50" s="12" t="s">
        <v>12</v>
      </c>
      <c r="C50" s="13">
        <f>SUMIF(B:B, "Total general", C:C)</f>
        <v>50764</v>
      </c>
      <c r="D50" s="13">
        <f>SUMIF(B:B, "Total general", D:D)</f>
        <v>948380.84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12934</v>
      </c>
      <c r="D3" s="14">
        <f>SUMIF('CDC-OLGUIN'!B:B, "Extrajudicial - 0 a 28 semanas de atraso", 'CDC-OLGUIN'!D:D)</f>
        <v>503273.76</v>
      </c>
    </row>
    <row r="4" spans="2:6" x14ac:dyDescent="0.25">
      <c r="B4" s="1" t="s">
        <v>5</v>
      </c>
      <c r="C4" s="6">
        <f>SUMIF('CDC-OLGUIN'!B:B, "Extrajudicial - 29 a 39 semanas de atraso", 'CDC-OLGUIN'!C:C)</f>
        <v>10031</v>
      </c>
      <c r="D4" s="14">
        <f>SUMIF('CDC-OLGUIN'!B:B, "Extrajudicial - 29 a 39 semanas de atraso", 'CDC-OLGUIN'!D:D)</f>
        <v>223467.85</v>
      </c>
    </row>
    <row r="5" spans="2:6" x14ac:dyDescent="0.25">
      <c r="B5" s="1" t="s">
        <v>6</v>
      </c>
      <c r="C5" s="6">
        <f>SUMIF('CDC-OLGUIN'!B:B, "Extrajudicial - 40 a 55 semanas de atraso", 'CDC-OLGUIN'!C:C)</f>
        <v>12919</v>
      </c>
      <c r="D5" s="14">
        <f>SUMIF('CDC-OLGUIN'!B:B, "Extrajudicial - 40 a 55 semanas de atraso", 'CDC-OLGUIN'!D:D)</f>
        <v>179260.22999999998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12142</v>
      </c>
      <c r="D7" s="6">
        <f>SUMIF('CDC-OLGUIN'!B:B, "Mas 55 semanas de atraso", 'CDC-OLGUIN'!D:D)</f>
        <v>40401</v>
      </c>
      <c r="E7" s="14"/>
      <c r="F7" s="7"/>
    </row>
    <row r="8" spans="2:6" x14ac:dyDescent="0.25">
      <c r="B8" s="3" t="s">
        <v>8</v>
      </c>
      <c r="C8" s="8">
        <f>SUM(C3:C7)</f>
        <v>50764</v>
      </c>
      <c r="D8" s="4">
        <f>SUM(D3:D7)</f>
        <v>948380.84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13358</v>
      </c>
      <c r="E6" s="16">
        <f>SUMIF('REPORTE DIARIO'!B:B,'EPR 26 JUN'!C6, 'REPORTE DIARIO'!D:D)</f>
        <v>1270970.1000000001</v>
      </c>
      <c r="F6" s="16">
        <f>J6*D6</f>
        <v>839645.7142857142</v>
      </c>
      <c r="G6" s="16">
        <f>+E6-F6</f>
        <v>431324.38571428589</v>
      </c>
      <c r="H6" s="15">
        <f>ABS(G6/F6)</f>
        <v>0.51369807333705397</v>
      </c>
      <c r="I6" s="16">
        <f>E6/D6</f>
        <v>95.146736038329095</v>
      </c>
      <c r="J6" s="16">
        <f>(220/7)*2</f>
        <v>62.857142857142854</v>
      </c>
      <c r="K6" s="16">
        <f>+I6-J6</f>
        <v>32.289593181186241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9445</v>
      </c>
      <c r="E7" s="16">
        <f>SUMIF('REPORTE DIARIO'!B:B,'EPR 26 JUN'!C7, 'REPORTE DIARIO'!D:D)</f>
        <v>551255.28</v>
      </c>
      <c r="F7" s="16">
        <f>J7*D7</f>
        <v>296842.8571428571</v>
      </c>
      <c r="G7" s="16">
        <f>+E7-F7</f>
        <v>254412.42285714293</v>
      </c>
      <c r="H7" s="15">
        <f>ABS(G7/F7)</f>
        <v>0.8570609557726554</v>
      </c>
      <c r="I7" s="16">
        <f>E7/D7</f>
        <v>58.364772895712022</v>
      </c>
      <c r="J7" s="16">
        <f>(110/7)*2</f>
        <v>31.428571428571427</v>
      </c>
      <c r="K7" s="16">
        <f t="shared" ref="K7:K9" si="0">+I7-J7</f>
        <v>26.936201467140595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16475</v>
      </c>
      <c r="E8" s="16">
        <f>SUMIF('REPORTE DIARIO'!B:B,'EPR 26 JUN'!C8, 'REPORTE DIARIO'!D:D)</f>
        <v>403026.13</v>
      </c>
      <c r="F8" s="16">
        <f>J8*D8</f>
        <v>211821.42857142858</v>
      </c>
      <c r="G8" s="16">
        <f>+E8-F8</f>
        <v>191204.70142857142</v>
      </c>
      <c r="H8" s="15">
        <f>ABS(G8/F8)</f>
        <v>0.90266930365874209</v>
      </c>
      <c r="I8" s="16">
        <f>E8/D8</f>
        <v>24.462891047040973</v>
      </c>
      <c r="J8" s="16">
        <f>(45/7)*2</f>
        <v>12.857142857142858</v>
      </c>
      <c r="K8" s="16">
        <f t="shared" si="0"/>
        <v>11.605748189898115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57013</v>
      </c>
      <c r="E9" s="16">
        <f>SUMIF('REPORTE DIARIO'!B:B,'EPR 26 JUN'!C9, 'REPORTE DIARIO'!D:D)</f>
        <v>613597.57999999996</v>
      </c>
      <c r="F9" s="16">
        <f>J9*D9</f>
        <v>244341.42857142855</v>
      </c>
      <c r="G9" s="16">
        <f>+E9-F9</f>
        <v>369256.15142857144</v>
      </c>
      <c r="H9" s="15">
        <f>ABS(G9/F9)</f>
        <v>1.5112302223469503</v>
      </c>
      <c r="I9" s="16">
        <f>E9/D9</f>
        <v>10.762415238629785</v>
      </c>
      <c r="J9" s="16">
        <f>(15/7)*2</f>
        <v>4.2857142857142856</v>
      </c>
      <c r="K9" s="16">
        <f t="shared" si="0"/>
        <v>6.4767009529154995</v>
      </c>
    </row>
    <row r="10" spans="2:12" x14ac:dyDescent="0.25">
      <c r="B10" s="16"/>
      <c r="C10" s="19" t="s">
        <v>16</v>
      </c>
      <c r="D10" s="24">
        <f>SUM(D6:D9)</f>
        <v>96291</v>
      </c>
      <c r="E10" s="20">
        <f>SUM(E6:E9)</f>
        <v>2838849.0900000003</v>
      </c>
      <c r="F10" s="20">
        <f>SUM(F6:F9)</f>
        <v>1592651.4285714286</v>
      </c>
      <c r="G10" s="20">
        <f>+E10-F10</f>
        <v>1246197.6614285717</v>
      </c>
      <c r="H10" s="21">
        <f>ABS(G10/F10)</f>
        <v>0.78246729891573452</v>
      </c>
      <c r="I10" s="20">
        <f>E10/D10</f>
        <v>29.481977443374774</v>
      </c>
      <c r="J10" s="20">
        <f>F10/D10</f>
        <v>16.539982226494985</v>
      </c>
      <c r="K10" s="20">
        <f>I10-J10</f>
        <v>12.941995216879789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2025-11-10T17:03:32Z</cp:lastPrinted>
  <dcterms:created xsi:type="dcterms:W3CDTF">2025-01-27T15:11:28Z</dcterms:created>
  <dcterms:modified xsi:type="dcterms:W3CDTF">2025-11-10T17:05:54Z</dcterms:modified>
</cp:coreProperties>
</file>