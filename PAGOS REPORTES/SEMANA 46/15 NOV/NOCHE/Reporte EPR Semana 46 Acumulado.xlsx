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6\15 NOV\NOCHE\"/>
    </mc:Choice>
  </mc:AlternateContent>
  <xr:revisionPtr revIDLastSave="0" documentId="13_ncr:1_{C93E9AC3-63D5-419B-AFC1-2783001134B3}" xr6:coauthVersionLast="47" xr6:coauthVersionMax="47" xr10:uidLastSave="{00000000-0000-0000-0000-000000000000}"/>
  <bookViews>
    <workbookView xWindow="-105" yWindow="0" windowWidth="26010" windowHeight="20985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8" i="5" l="1"/>
  <c r="D10" i="1"/>
  <c r="C33" i="5"/>
  <c r="D18" i="1"/>
  <c r="D41" i="5"/>
  <c r="C18" i="1"/>
  <c r="C34" i="1"/>
  <c r="D34" i="1"/>
  <c r="C41" i="5"/>
  <c r="D48" i="5"/>
  <c r="D27" i="5"/>
  <c r="C27" i="5"/>
  <c r="C42" i="1"/>
  <c r="D42" i="1"/>
  <c r="C26" i="1"/>
  <c r="D18" i="5"/>
  <c r="C18" i="5"/>
  <c r="D10" i="5"/>
  <c r="D33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26" i="1"/>
  <c r="D6" i="3"/>
  <c r="D50" i="1" l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<sst xmlns="http://schemas.openxmlformats.org/spreadsheetml/2006/main" count="139" uniqueCount="37">
  <si>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</si>
  <si>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</si>
  <si>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</si>
  <si>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</si>
  <si>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</si>
  <si>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</si>
  <si>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</si>
  <si>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</si>
  <si>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</si>
  <si>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</si>
  <si>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</si>
  <si>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</si>
  <si>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</si>
  <si>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</si>
  <si>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</si>
  <si>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</si>
  <si>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</si>
  <si>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</si>
  <si>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</si>
  <si>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</si>
  <si>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</si>
  <si>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</si>
  <si>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</si>
  <si>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</si>
  <si>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</si>
  <si>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</si>
  <si>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</si>
  <si>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</si>
  <si>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</si>
  <si>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</si>
  <si>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</si>
  <si>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</si>
  <si>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</si>
  <si>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</si>
  <si>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</si>
  <si>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</si>
  <si>
    <t>COBRANZA GENERAL  SKIC COBRO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</si>
</sst>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B3" sqref="B3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5" max="5" width="11.85546875" bestFit="1" customWidth="1"/>
    <col min="6" max="6" width="13.140625" bestFit="1" customWidth="1"/>
  </cols>
  <sheetData>
    <row r="3" spans="2:8" x14ac:dyDescent="0.25">
      <c r="B3" s="29" t="s">
        <v>36</v>
      </c>
      <c r="C3" s="29"/>
      <c r="D3" s="29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6">
        <v>7293</v>
      </c>
      <c r="D5" s="28">
        <v>729269.69000000006</v>
      </c>
    </row>
    <row r="6" spans="2:8" x14ac:dyDescent="0.25">
      <c r="B6" s="1" t="s">
        <v>4</v>
      </c>
      <c r="C6" s="6">
        <v>7531</v>
      </c>
      <c r="D6" s="28">
        <v>439562.81</v>
      </c>
    </row>
    <row r="7" spans="2:8" x14ac:dyDescent="0.25">
      <c r="B7" s="1" t="s">
        <v>5</v>
      </c>
      <c r="C7" s="6">
        <v>5974</v>
      </c>
      <c r="D7" s="28">
        <v>146757.71000000002</v>
      </c>
    </row>
    <row r="8" spans="2:8" x14ac:dyDescent="0.25">
      <c r="B8" s="5" t="s">
        <v>10</v>
      </c>
      <c r="C8" s="7">
        <v>502</v>
      </c>
      <c r="D8" s="28">
        <v>1000</v>
      </c>
    </row>
    <row r="9" spans="2:8" x14ac:dyDescent="0.25">
      <c r="B9" s="1" t="s">
        <v>6</v>
      </c>
      <c r="C9" s="6">
        <v>35953</v>
      </c>
      <c r="D9" s="28">
        <v>357598.06</v>
      </c>
      <c r="E9" s="14"/>
      <c r="F9" s="7"/>
    </row>
    <row r="10" spans="2:8" x14ac:dyDescent="0.25">
      <c r="B10" s="3" t="s">
        <v>7</v>
      </c>
      <c r="C10" s="8">
        <f>SUM(C5:C9)</f>
        <v>57253</v>
      </c>
      <c r="D10" s="4">
        <f>SUM(D5:D9)</f>
        <v>1674188.27</v>
      </c>
      <c r="E10" s="11" t="s">
        <v>12</v>
      </c>
    </row>
    <row r="12" spans="2:8" x14ac:dyDescent="0.25">
      <c r="B12" s="29" t="s">
        <v>33</v>
      </c>
      <c r="C12" s="29"/>
      <c r="D12" s="29"/>
    </row>
    <row r="13" spans="2:8" x14ac:dyDescent="0.25">
      <c r="B13" s="2" t="s">
        <v>0</v>
      </c>
      <c r="C13" s="2" t="s">
        <v>1</v>
      </c>
      <c r="D13" s="2" t="s">
        <v>2</v>
      </c>
    </row>
    <row r="14" spans="2:8" x14ac:dyDescent="0.25">
      <c r="B14" s="9" t="s">
        <v>3</v>
      </c>
      <c r="C14">
        <v>85</v>
      </c>
      <c r="D14" s="28">
        <v>32912.68</v>
      </c>
    </row>
    <row r="15" spans="2:8" x14ac:dyDescent="0.25">
      <c r="B15" s="1" t="s">
        <v>4</v>
      </c>
      <c r="C15" s="6">
        <v>123</v>
      </c>
      <c r="D15" s="28">
        <v>46706.03</v>
      </c>
    </row>
    <row r="16" spans="2:8" x14ac:dyDescent="0.25">
      <c r="B16" s="1" t="s">
        <v>5</v>
      </c>
      <c r="C16" s="6">
        <v>2025</v>
      </c>
      <c r="D16" s="28">
        <v>138548</v>
      </c>
    </row>
    <row r="17" spans="2:4" x14ac:dyDescent="0.25">
      <c r="B17" s="1" t="s">
        <v>6</v>
      </c>
      <c r="C17" s="7">
        <v>14198</v>
      </c>
      <c r="D17" s="28">
        <v>129283</v>
      </c>
    </row>
    <row r="18" spans="2:4" x14ac:dyDescent="0.25">
      <c r="B18" s="3" t="s">
        <v>7</v>
      </c>
      <c r="C18" s="8">
        <f>SUM(C14:C17)</f>
        <v>16431</v>
      </c>
      <c r="D18" s="4">
        <f>SUM(D14:D17)</f>
        <v>347449.70999999996</v>
      </c>
    </row>
    <row r="20" spans="2:4" x14ac:dyDescent="0.25">
      <c r="B20" s="30" t="s">
        <v>8</v>
      </c>
      <c r="C20" s="30"/>
      <c r="D20" s="30"/>
    </row>
    <row r="21" spans="2:4" x14ac:dyDescent="0.25">
      <c r="B21" s="4" t="s">
        <v>0</v>
      </c>
      <c r="C21" s="4" t="s">
        <v>1</v>
      </c>
      <c r="D21" s="4" t="s">
        <v>2</v>
      </c>
    </row>
    <row r="22" spans="2:4" x14ac:dyDescent="0.25">
      <c r="B22" s="9" t="s">
        <v>3</v>
      </c>
      <c r="C22" s="6">
        <v>557</v>
      </c>
      <c r="D22" s="28">
        <v>39567.29</v>
      </c>
    </row>
    <row r="23" spans="2:4" x14ac:dyDescent="0.25">
      <c r="B23" s="9" t="s">
        <v>4</v>
      </c>
      <c r="C23" s="6">
        <v>1178</v>
      </c>
      <c r="D23" s="28">
        <v>47045.08</v>
      </c>
    </row>
    <row r="24" spans="2:4" x14ac:dyDescent="0.25">
      <c r="B24" s="9" t="s">
        <v>5</v>
      </c>
      <c r="C24" s="6">
        <v>3647</v>
      </c>
      <c r="D24" s="28">
        <v>108113.85</v>
      </c>
    </row>
    <row r="25" spans="2:4" x14ac:dyDescent="0.25">
      <c r="B25" s="9" t="s">
        <v>6</v>
      </c>
      <c r="C25" s="6">
        <v>4564</v>
      </c>
      <c r="D25" s="28">
        <v>45620.24</v>
      </c>
    </row>
    <row r="26" spans="2:4" x14ac:dyDescent="0.25">
      <c r="B26" s="10" t="s">
        <v>7</v>
      </c>
      <c r="C26" s="8">
        <f>SUM(C22:C25)</f>
        <v>9946</v>
      </c>
      <c r="D26" s="4">
        <f>SUM(D22:D25)</f>
        <v>240346.46</v>
      </c>
    </row>
    <row r="28" spans="2:4" x14ac:dyDescent="0.25">
      <c r="B28" s="30" t="s">
        <v>9</v>
      </c>
      <c r="C28" s="30"/>
      <c r="D28" s="30"/>
    </row>
    <row r="29" spans="2:4" x14ac:dyDescent="0.25">
      <c r="B29" s="4" t="s">
        <v>0</v>
      </c>
      <c r="C29" s="4" t="s">
        <v>1</v>
      </c>
      <c r="D29" s="4" t="s">
        <v>2</v>
      </c>
    </row>
    <row r="30" spans="2:4" x14ac:dyDescent="0.25">
      <c r="B30" s="9" t="s">
        <v>3</v>
      </c>
      <c r="C30" s="6">
        <v>4786</v>
      </c>
      <c r="D30" s="28">
        <v>156452.12</v>
      </c>
    </row>
    <row r="31" spans="2:4" x14ac:dyDescent="0.25">
      <c r="B31" s="1" t="s">
        <v>4</v>
      </c>
      <c r="C31" s="6">
        <v>784</v>
      </c>
      <c r="D31" s="28">
        <v>28198</v>
      </c>
    </row>
    <row r="32" spans="2:4" x14ac:dyDescent="0.25">
      <c r="B32" s="1" t="s">
        <v>5</v>
      </c>
      <c r="C32" s="6">
        <v>3578</v>
      </c>
      <c r="D32" s="28">
        <v>23434.38</v>
      </c>
    </row>
    <row r="33" spans="2:4" x14ac:dyDescent="0.25">
      <c r="B33" s="1" t="s">
        <v>6</v>
      </c>
      <c r="C33" s="6">
        <v>1008</v>
      </c>
      <c r="D33" s="28">
        <v>599</v>
      </c>
    </row>
    <row r="34" spans="2:4" x14ac:dyDescent="0.25">
      <c r="B34" s="10" t="s">
        <v>7</v>
      </c>
      <c r="C34" s="8">
        <f>SUM(C30:C33)</f>
        <v>10156</v>
      </c>
      <c r="D34" s="4">
        <f>SUM(D30:D33)</f>
        <v>208683.5</v>
      </c>
    </row>
    <row r="36" spans="2:4" x14ac:dyDescent="0.25">
      <c r="B36" s="29" t="s">
        <v>28</v>
      </c>
      <c r="C36" s="29"/>
      <c r="D36" s="29"/>
    </row>
    <row r="37" spans="2:4" x14ac:dyDescent="0.25">
      <c r="B37" s="2" t="s">
        <v>0</v>
      </c>
      <c r="C37" s="2" t="s">
        <v>1</v>
      </c>
      <c r="D37" s="2" t="s">
        <v>2</v>
      </c>
    </row>
    <row r="38" spans="2:4" x14ac:dyDescent="0.25">
      <c r="B38" s="9" t="s">
        <v>3</v>
      </c>
      <c r="C38" s="6">
        <v>13</v>
      </c>
      <c r="D38" s="28">
        <v>3707</v>
      </c>
    </row>
    <row r="39" spans="2:4" x14ac:dyDescent="0.25">
      <c r="B39" s="1" t="s">
        <v>4</v>
      </c>
      <c r="C39" s="6">
        <v>10</v>
      </c>
      <c r="D39" s="28">
        <v>1580</v>
      </c>
    </row>
    <row r="40" spans="2:4" x14ac:dyDescent="0.25">
      <c r="B40" s="1" t="s">
        <v>5</v>
      </c>
      <c r="C40" s="6">
        <v>6</v>
      </c>
      <c r="D40" s="28">
        <v>3485</v>
      </c>
    </row>
    <row r="41" spans="2:4" x14ac:dyDescent="0.25">
      <c r="B41" s="1" t="s">
        <v>6</v>
      </c>
      <c r="C41" s="6">
        <v>687</v>
      </c>
      <c r="D41" s="28">
        <v>4649</v>
      </c>
    </row>
    <row r="42" spans="2:4" x14ac:dyDescent="0.25">
      <c r="B42" s="3" t="s">
        <v>7</v>
      </c>
      <c r="C42" s="8">
        <f>SUM(C38:C41)</f>
        <v>716</v>
      </c>
      <c r="D42" s="4">
        <f>SUM(D38:D41)</f>
        <v>13421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11</v>
      </c>
      <c r="C50" s="13">
        <f>SUMIF(B:B, "Total general", C:C)</f>
        <v>94502</v>
      </c>
      <c r="D50" s="13">
        <f>SUMIF(B:B, "Total general", D:D)</f>
        <v>2484088.94</v>
      </c>
    </row>
  </sheetData>
  <mergeCells count="5">
    <mergeCell ref="B3:D3"/>
    <mergeCell ref="B20:D20"/>
    <mergeCell ref="B28:D28"/>
    <mergeCell ref="B12:D12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zoomScaleNormal="100" workbookViewId="0"/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9" t="s">
        <v>35</v>
      </c>
      <c r="C1" s="29"/>
      <c r="D1" s="29"/>
    </row>
    <row r="3" spans="2:8" x14ac:dyDescent="0.25">
      <c r="B3" s="29" t="s">
        <v>34</v>
      </c>
      <c r="C3" s="29"/>
      <c r="D3" s="29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27">
        <v>6610</v>
      </c>
      <c r="D5" s="28">
        <v>168781.14</v>
      </c>
      <c r="E5" s="11"/>
    </row>
    <row r="6" spans="2:8" x14ac:dyDescent="0.25">
      <c r="B6" s="1" t="s">
        <v>4</v>
      </c>
      <c r="C6" s="27">
        <v>8619</v>
      </c>
      <c r="D6" s="28">
        <v>90905.33</v>
      </c>
    </row>
    <row r="7" spans="2:8" x14ac:dyDescent="0.25">
      <c r="B7" s="1" t="s">
        <v>5</v>
      </c>
      <c r="C7" s="27">
        <v>7257</v>
      </c>
      <c r="D7" s="28">
        <v>46476</v>
      </c>
    </row>
    <row r="8" spans="2:8" x14ac:dyDescent="0.25">
      <c r="B8" s="5" t="s">
        <v>10</v>
      </c>
      <c r="C8" s="27">
        <v>2737</v>
      </c>
      <c r="D8" s="28">
        <v>400</v>
      </c>
    </row>
    <row r="9" spans="2:8" x14ac:dyDescent="0.25">
      <c r="B9" s="1" t="s">
        <v>6</v>
      </c>
      <c r="C9" s="27">
        <v>11242</v>
      </c>
      <c r="D9" s="28">
        <v>8849</v>
      </c>
      <c r="E9" s="14"/>
      <c r="F9" s="7"/>
    </row>
    <row r="10" spans="2:8" x14ac:dyDescent="0.25">
      <c r="B10" s="3" t="s">
        <v>7</v>
      </c>
      <c r="C10" s="8">
        <f>SUM(C5:C9)</f>
        <v>36465</v>
      </c>
      <c r="D10" s="4">
        <f>SUM(D5:D9)</f>
        <v>315411.47000000003</v>
      </c>
      <c r="E10" s="11" t="s">
        <v>12</v>
      </c>
    </row>
    <row r="12" spans="2:8" x14ac:dyDescent="0.25">
      <c r="B12" s="30" t="s">
        <v>9</v>
      </c>
      <c r="C12" s="30"/>
      <c r="D12" s="30"/>
    </row>
    <row r="13" spans="2:8" x14ac:dyDescent="0.25">
      <c r="B13" s="4" t="s">
        <v>0</v>
      </c>
      <c r="C13" s="4" t="s">
        <v>1</v>
      </c>
      <c r="D13" s="4" t="s">
        <v>2</v>
      </c>
    </row>
    <row r="14" spans="2:8" x14ac:dyDescent="0.25">
      <c r="B14" s="9" t="s">
        <v>3</v>
      </c>
      <c r="C14" s="26">
        <v>4800</v>
      </c>
      <c r="D14" s="28">
        <v>146274.12</v>
      </c>
    </row>
    <row r="15" spans="2:8" x14ac:dyDescent="0.25">
      <c r="B15" s="1" t="s">
        <v>4</v>
      </c>
      <c r="C15" s="26">
        <v>549</v>
      </c>
      <c r="D15" s="28">
        <v>22610</v>
      </c>
    </row>
    <row r="16" spans="2:8" x14ac:dyDescent="0.25">
      <c r="B16" s="1" t="s">
        <v>5</v>
      </c>
      <c r="C16" s="26">
        <v>3486</v>
      </c>
      <c r="D16" s="28">
        <v>20216.379999999997</v>
      </c>
    </row>
    <row r="17" spans="2:4" x14ac:dyDescent="0.25">
      <c r="B17" s="9" t="s">
        <v>6</v>
      </c>
      <c r="C17" s="26">
        <v>27</v>
      </c>
      <c r="D17" s="28">
        <v>599</v>
      </c>
    </row>
    <row r="18" spans="2:4" x14ac:dyDescent="0.25">
      <c r="B18" s="10" t="s">
        <v>7</v>
      </c>
      <c r="C18" s="8">
        <f>SUM(C14:C17)</f>
        <v>8862</v>
      </c>
      <c r="D18" s="4">
        <f>SUM(D14:D17)</f>
        <v>189699.5</v>
      </c>
    </row>
    <row r="20" spans="2:4" x14ac:dyDescent="0.25">
      <c r="B20" s="29" t="s">
        <v>36</v>
      </c>
      <c r="C20" s="29"/>
      <c r="D20" s="29"/>
    </row>
    <row r="21" spans="2:4" x14ac:dyDescent="0.25">
      <c r="B21" s="2" t="s">
        <v>0</v>
      </c>
      <c r="C21" s="2" t="s">
        <v>1</v>
      </c>
      <c r="D21" s="2" t="s">
        <v>2</v>
      </c>
    </row>
    <row r="22" spans="2:4" x14ac:dyDescent="0.25">
      <c r="B22" s="9" t="s">
        <v>3</v>
      </c>
      <c r="C22" s="26">
        <v>1255</v>
      </c>
      <c r="D22" s="28">
        <v>32980.720000000001</v>
      </c>
    </row>
    <row r="23" spans="2:4" x14ac:dyDescent="0.25">
      <c r="B23" s="1" t="s">
        <v>4</v>
      </c>
      <c r="C23" s="26">
        <v>1034</v>
      </c>
      <c r="D23" s="28">
        <v>3018</v>
      </c>
    </row>
    <row r="24" spans="2:4" x14ac:dyDescent="0.25">
      <c r="B24" s="1" t="s">
        <v>5</v>
      </c>
      <c r="C24" s="26">
        <v>1080</v>
      </c>
      <c r="D24" s="28">
        <v>3733</v>
      </c>
    </row>
    <row r="25" spans="2:4" x14ac:dyDescent="0.25">
      <c r="B25" s="5" t="s">
        <v>10</v>
      </c>
      <c r="C25" s="26">
        <v>0</v>
      </c>
      <c r="D25" s="11">
        <v>0</v>
      </c>
    </row>
    <row r="26" spans="2:4" x14ac:dyDescent="0.25">
      <c r="B26" s="1" t="s">
        <v>6</v>
      </c>
      <c r="C26" s="26">
        <v>304</v>
      </c>
      <c r="D26" s="28">
        <v>5811</v>
      </c>
    </row>
    <row r="27" spans="2:4" x14ac:dyDescent="0.25">
      <c r="B27" s="3" t="s">
        <v>7</v>
      </c>
      <c r="C27" s="8">
        <f>SUM(C22:C26)</f>
        <v>3673</v>
      </c>
      <c r="D27" s="4">
        <f>SUM(D22:D26)</f>
        <v>45542.720000000001</v>
      </c>
    </row>
    <row r="29" spans="2:4" x14ac:dyDescent="0.25">
      <c r="B29" s="29" t="s">
        <v>28</v>
      </c>
      <c r="C29" s="29"/>
      <c r="D29" s="29"/>
    </row>
    <row r="30" spans="2:4" x14ac:dyDescent="0.25">
      <c r="B30" s="2" t="s">
        <v>0</v>
      </c>
      <c r="C30" s="2" t="s">
        <v>1</v>
      </c>
      <c r="D30" s="2" t="s">
        <v>2</v>
      </c>
    </row>
    <row r="31" spans="2:4" x14ac:dyDescent="0.25">
      <c r="B31" s="9" t="s">
        <v>3</v>
      </c>
      <c r="C31" s="26">
        <v>2</v>
      </c>
      <c r="D31" s="28">
        <v>1764</v>
      </c>
    </row>
    <row r="32" spans="2:4" x14ac:dyDescent="0.25">
      <c r="B32" s="1" t="s">
        <v>6</v>
      </c>
      <c r="C32" s="26">
        <v>64</v>
      </c>
      <c r="D32" s="28">
        <v>557</v>
      </c>
    </row>
    <row r="33" spans="2:4" x14ac:dyDescent="0.25">
      <c r="B33" s="3" t="s">
        <v>7</v>
      </c>
      <c r="C33" s="8">
        <f>SUM(C31:C32)</f>
        <v>66</v>
      </c>
      <c r="D33" s="4">
        <f>SUM(D31:D32)</f>
        <v>2321</v>
      </c>
    </row>
    <row r="35" spans="2:4" x14ac:dyDescent="0.25">
      <c r="B35" s="29" t="s">
        <v>33</v>
      </c>
      <c r="C35" s="29"/>
      <c r="D35" s="29"/>
    </row>
    <row r="36" spans="2:4" x14ac:dyDescent="0.25">
      <c r="B36" s="2" t="s">
        <v>0</v>
      </c>
      <c r="C36" s="2" t="s">
        <v>1</v>
      </c>
      <c r="D36" s="2" t="s">
        <v>2</v>
      </c>
    </row>
    <row r="37" spans="2:4" x14ac:dyDescent="0.25">
      <c r="B37" s="9" t="s">
        <v>3</v>
      </c>
      <c r="C37" s="26">
        <v>2</v>
      </c>
      <c r="D37" s="28">
        <v>743</v>
      </c>
    </row>
    <row r="38" spans="2:4" x14ac:dyDescent="0.25">
      <c r="B38" s="1" t="s">
        <v>4</v>
      </c>
      <c r="C38" s="11">
        <v>0</v>
      </c>
      <c r="D38" s="25">
        <v>0</v>
      </c>
    </row>
    <row r="39" spans="2:4" x14ac:dyDescent="0.25">
      <c r="B39" s="1" t="s">
        <v>5</v>
      </c>
      <c r="C39" s="26">
        <v>1</v>
      </c>
      <c r="D39" s="25">
        <v>0</v>
      </c>
    </row>
    <row r="40" spans="2:4" x14ac:dyDescent="0.25">
      <c r="B40" s="1" t="s">
        <v>6</v>
      </c>
      <c r="C40" s="26">
        <v>330</v>
      </c>
      <c r="D40" s="28">
        <v>936</v>
      </c>
    </row>
    <row r="41" spans="2:4" x14ac:dyDescent="0.25">
      <c r="B41" s="3" t="s">
        <v>7</v>
      </c>
      <c r="C41" s="8">
        <f>SUM(C37:C40)</f>
        <v>333</v>
      </c>
      <c r="D41" s="4">
        <f>SUM(D37:D40)</f>
        <v>1679</v>
      </c>
    </row>
    <row r="43" spans="2:4" x14ac:dyDescent="0.25">
      <c r="B43" s="30" t="s">
        <v>8</v>
      </c>
      <c r="C43" s="30"/>
      <c r="D43" s="30"/>
    </row>
    <row r="44" spans="2:4" x14ac:dyDescent="0.25">
      <c r="B44" s="4" t="s">
        <v>0</v>
      </c>
      <c r="C44" s="4" t="s">
        <v>1</v>
      </c>
      <c r="D44" s="4" t="s">
        <v>2</v>
      </c>
    </row>
    <row r="45" spans="2:4" x14ac:dyDescent="0.25">
      <c r="B45" s="9" t="s">
        <v>3</v>
      </c>
      <c r="C45" s="26">
        <v>2</v>
      </c>
      <c r="D45" s="25">
        <v>0</v>
      </c>
    </row>
    <row r="46" spans="2:4" x14ac:dyDescent="0.25">
      <c r="B46" s="9" t="s">
        <v>4</v>
      </c>
      <c r="C46" s="26">
        <v>1</v>
      </c>
      <c r="D46" s="25">
        <v>0</v>
      </c>
    </row>
    <row r="47" spans="2:4" x14ac:dyDescent="0.25">
      <c r="B47" s="9" t="s">
        <v>6</v>
      </c>
      <c r="C47" s="26">
        <v>176</v>
      </c>
      <c r="D47" s="28">
        <v>744</v>
      </c>
    </row>
    <row r="48" spans="2:4" x14ac:dyDescent="0.25">
      <c r="B48" s="10" t="s">
        <v>7</v>
      </c>
      <c r="C48" s="8">
        <f>SUM(C45:C47)</f>
        <v>179</v>
      </c>
      <c r="D48" s="4">
        <f>SUM(D45:D47)</f>
        <v>744</v>
      </c>
    </row>
    <row r="50" spans="2:4" x14ac:dyDescent="0.25">
      <c r="B50" s="12" t="s">
        <v>11</v>
      </c>
      <c r="C50" s="13">
        <f>SUMIF(B:B, "Total general", C:C)</f>
        <v>49578</v>
      </c>
      <c r="D50" s="13">
        <f>SUMIF(B:B, "Total general", D:D)</f>
        <v>555397.69000000006</v>
      </c>
    </row>
  </sheetData>
  <mergeCells count="7">
    <mergeCell ref="B43:D43"/>
    <mergeCell ref="B29:D29"/>
    <mergeCell ref="B12:D12"/>
    <mergeCell ref="B35:D35"/>
    <mergeCell ref="B1:D1"/>
    <mergeCell ref="B3:D3"/>
    <mergeCell ref="B20:D20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B1" sqref="B1:D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29" t="s">
        <v>35</v>
      </c>
      <c r="C1" s="29"/>
      <c r="D1" s="29"/>
    </row>
    <row r="2" spans="2:6" x14ac:dyDescent="0.25">
      <c r="B2" s="2" t="s">
        <v>0</v>
      </c>
      <c r="C2" s="2" t="s">
        <v>1</v>
      </c>
      <c r="D2" s="2" t="s">
        <v>2</v>
      </c>
    </row>
    <row r="3" spans="2:6" x14ac:dyDescent="0.25">
      <c r="B3" s="1" t="s">
        <v>3</v>
      </c>
      <c r="C3" s="6">
        <f>SUMIF('CDC-OLGUIN'!B:B, "Extrajudicial - 0 a 28 semanas de atraso", 'CDC-OLGUIN'!C:C)</f>
        <v>12671</v>
      </c>
      <c r="D3" s="14">
        <f>SUMIF('CDC-OLGUIN'!B:B, "Extrajudicial - 0 a 28 semanas de atraso", 'CDC-OLGUIN'!D:D)</f>
        <v>350542.98</v>
      </c>
    </row>
    <row r="4" spans="2:6" x14ac:dyDescent="0.25">
      <c r="B4" s="1" t="s">
        <v>4</v>
      </c>
      <c r="C4" s="6">
        <f>SUMIF('CDC-OLGUIN'!B:B, "Extrajudicial - 29 a 39 semanas de atraso", 'CDC-OLGUIN'!C:C)</f>
        <v>10203</v>
      </c>
      <c r="D4" s="14">
        <f>SUMIF('CDC-OLGUIN'!B:B, "Extrajudicial - 29 a 39 semanas de atraso", 'CDC-OLGUIN'!D:D)</f>
        <v>116533.33</v>
      </c>
    </row>
    <row r="5" spans="2:6" x14ac:dyDescent="0.25">
      <c r="B5" s="1" t="s">
        <v>5</v>
      </c>
      <c r="C5" s="6">
        <f>SUMIF('CDC-OLGUIN'!B:B, "Extrajudicial - 40 a 55 semanas de atraso", 'CDC-OLGUIN'!C:C)</f>
        <v>11824</v>
      </c>
      <c r="D5" s="14">
        <f>SUMIF('CDC-OLGUIN'!B:B, "Extrajudicial - 40 a 55 semanas de atraso", 'CDC-OLGUIN'!D:D)</f>
        <v>70425.38</v>
      </c>
    </row>
    <row r="6" spans="2:6" x14ac:dyDescent="0.25">
      <c r="B6" s="5" t="s">
        <v>10</v>
      </c>
      <c r="C6" s="6">
        <f>SUMIF('CDC-OLGUIN'!B:B, "JUDICIAL", 'CDC-OLGUIN'!C:C)</f>
        <v>2737</v>
      </c>
      <c r="D6" s="14">
        <f>SUMIF('CDC-OLGUIN'!B:B, "JUDICIAL", 'CDC-OLGUIN'!D:D)</f>
        <v>400</v>
      </c>
    </row>
    <row r="7" spans="2:6" x14ac:dyDescent="0.25">
      <c r="B7" s="1" t="s">
        <v>6</v>
      </c>
      <c r="C7" s="6">
        <f>SUMIF('CDC-OLGUIN'!B:B, "Mas 55 semanas de atraso", 'CDC-OLGUIN'!C:C)</f>
        <v>12143</v>
      </c>
      <c r="D7" s="6">
        <f>SUMIF('CDC-OLGUIN'!B:B, "Mas 55 semanas de atraso", 'CDC-OLGUIN'!D:D)</f>
        <v>17496</v>
      </c>
      <c r="E7" s="14"/>
      <c r="F7" s="7"/>
    </row>
    <row r="8" spans="2:6" x14ac:dyDescent="0.25">
      <c r="B8" s="3" t="s">
        <v>7</v>
      </c>
      <c r="C8" s="8">
        <f>SUM(C3:C7)</f>
        <v>49578</v>
      </c>
      <c r="D8" s="4">
        <f>SUM(D3:D7)</f>
        <v>555397.68999999994</v>
      </c>
      <c r="E8" s="11" t="s">
        <v>12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19</v>
      </c>
    </row>
    <row r="3" spans="2:12" x14ac:dyDescent="0.25">
      <c r="B3" s="17" t="s">
        <v>32</v>
      </c>
    </row>
    <row r="5" spans="2:12" x14ac:dyDescent="0.25">
      <c r="B5" t="s">
        <v>25</v>
      </c>
      <c r="C5" t="s">
        <v>26</v>
      </c>
      <c r="D5" s="17" t="s">
        <v>13</v>
      </c>
      <c r="E5" s="17" t="s">
        <v>24</v>
      </c>
      <c r="F5" s="17" t="s">
        <v>17</v>
      </c>
      <c r="G5" s="17" t="s">
        <v>18</v>
      </c>
      <c r="H5" s="17" t="s">
        <v>20</v>
      </c>
      <c r="I5" s="17" t="s">
        <v>14</v>
      </c>
      <c r="J5" s="17" t="s">
        <v>16</v>
      </c>
      <c r="K5" s="17" t="s">
        <v>21</v>
      </c>
      <c r="L5" s="15"/>
    </row>
    <row r="6" spans="2:12" x14ac:dyDescent="0.25">
      <c r="B6" s="16" t="s">
        <v>30</v>
      </c>
      <c r="C6" s="16" t="s">
        <v>3</v>
      </c>
      <c r="D6" s="23">
        <f>SUMIF('REPORTE DIARIO'!B:B,'EPR 26 JUN'!C6, 'REPORTE DIARIO'!C:C)</f>
        <v>12734</v>
      </c>
      <c r="E6" s="16">
        <f>SUMIF('REPORTE DIARIO'!B:B,'EPR 26 JUN'!C6, 'REPORTE DIARIO'!D:D)</f>
        <v>961908.78000000014</v>
      </c>
      <c r="F6" s="16">
        <f>J6*D6</f>
        <v>800422.85714285716</v>
      </c>
      <c r="G6" s="16">
        <f>+E6-F6</f>
        <v>161485.92285714298</v>
      </c>
      <c r="H6" s="15">
        <f>ABS(G6/F6)</f>
        <v>0.20175076388194826</v>
      </c>
      <c r="I6" s="16">
        <f>E6/D6</f>
        <v>75.538619444008177</v>
      </c>
      <c r="J6" s="16">
        <f>(220/7)*2</f>
        <v>62.857142857142854</v>
      </c>
      <c r="K6" s="16">
        <f>+I6-J6</f>
        <v>12.681476586865323</v>
      </c>
      <c r="L6" s="15"/>
    </row>
    <row r="7" spans="2:12" x14ac:dyDescent="0.25">
      <c r="B7" s="16" t="s">
        <v>27</v>
      </c>
      <c r="C7" s="16" t="s">
        <v>4</v>
      </c>
      <c r="D7" s="23">
        <f>SUMIF('REPORTE DIARIO'!B:B,'EPR 26 JUN'!C7, 'REPORTE DIARIO'!C:C)</f>
        <v>9626</v>
      </c>
      <c r="E7" s="16">
        <f>SUMIF('REPORTE DIARIO'!B:B,'EPR 26 JUN'!C7, 'REPORTE DIARIO'!D:D)</f>
        <v>563091.91999999993</v>
      </c>
      <c r="F7" s="16">
        <f>J7*D7</f>
        <v>302531.42857142858</v>
      </c>
      <c r="G7" s="16">
        <f>+E7-F7</f>
        <v>260560.49142857135</v>
      </c>
      <c r="H7" s="15">
        <f>ABS(G7/F7)</f>
        <v>0.86126751411895786</v>
      </c>
      <c r="I7" s="16">
        <f>E7/D7</f>
        <v>58.496979015167248</v>
      </c>
      <c r="J7" s="16">
        <f>(110/7)*2</f>
        <v>31.428571428571427</v>
      </c>
      <c r="K7" s="16">
        <f t="shared" ref="K7:K9" si="0">+I7-J7</f>
        <v>27.068407586595821</v>
      </c>
      <c r="L7" s="15"/>
    </row>
    <row r="8" spans="2:12" x14ac:dyDescent="0.25">
      <c r="B8" s="16" t="s">
        <v>27</v>
      </c>
      <c r="C8" s="16" t="s">
        <v>5</v>
      </c>
      <c r="D8" s="23">
        <f>SUMIF('REPORTE DIARIO'!B:B,'EPR 26 JUN'!C8, 'REPORTE DIARIO'!C:C)</f>
        <v>15230</v>
      </c>
      <c r="E8" s="16">
        <f>SUMIF('REPORTE DIARIO'!B:B,'EPR 26 JUN'!C8, 'REPORTE DIARIO'!D:D)</f>
        <v>420338.94000000006</v>
      </c>
      <c r="F8" s="16">
        <f>J8*D8</f>
        <v>195814.28571428571</v>
      </c>
      <c r="G8" s="16">
        <f>+E8-F8</f>
        <v>224524.65428571435</v>
      </c>
      <c r="H8" s="15">
        <f>ABS(G8/F8)</f>
        <v>1.1466203983366168</v>
      </c>
      <c r="I8" s="16">
        <f>E8/D8</f>
        <v>27.599405121470785</v>
      </c>
      <c r="J8" s="16">
        <f>(45/7)*2</f>
        <v>12.857142857142858</v>
      </c>
      <c r="K8" s="16">
        <f t="shared" si="0"/>
        <v>14.742262264327927</v>
      </c>
      <c r="L8" s="15"/>
    </row>
    <row r="9" spans="2:12" x14ac:dyDescent="0.25">
      <c r="B9" s="16" t="s">
        <v>31</v>
      </c>
      <c r="C9" s="16" t="s">
        <v>6</v>
      </c>
      <c r="D9" s="23">
        <f>SUMIF('REPORTE DIARIO'!B:B,'EPR 26 JUN'!C9, 'REPORTE DIARIO'!C:C)</f>
        <v>56410</v>
      </c>
      <c r="E9" s="16">
        <f>SUMIF('REPORTE DIARIO'!B:B,'EPR 26 JUN'!C9, 'REPORTE DIARIO'!D:D)</f>
        <v>537749.30000000005</v>
      </c>
      <c r="F9" s="16">
        <f>J9*D9</f>
        <v>241757.14285714284</v>
      </c>
      <c r="G9" s="16">
        <f>+E9-F9</f>
        <v>295992.15714285721</v>
      </c>
      <c r="H9" s="15">
        <f>ABS(G9/F9)</f>
        <v>1.2243367606216395</v>
      </c>
      <c r="I9" s="16">
        <f>E9/D9</f>
        <v>9.5328718312355978</v>
      </c>
      <c r="J9" s="16">
        <f>(15/7)*2</f>
        <v>4.2857142857142856</v>
      </c>
      <c r="K9" s="16">
        <f t="shared" si="0"/>
        <v>5.2471575455213122</v>
      </c>
    </row>
    <row r="10" spans="2:12" x14ac:dyDescent="0.25">
      <c r="B10" s="16"/>
      <c r="C10" s="19" t="s">
        <v>15</v>
      </c>
      <c r="D10" s="24">
        <f>SUM(D6:D9)</f>
        <v>94000</v>
      </c>
      <c r="E10" s="20">
        <f>SUM(E6:E9)</f>
        <v>2483088.9400000004</v>
      </c>
      <c r="F10" s="20">
        <f>SUM(F6:F9)</f>
        <v>1540525.7142857141</v>
      </c>
      <c r="G10" s="20">
        <f>+E10-F10</f>
        <v>942563.22571428632</v>
      </c>
      <c r="H10" s="21">
        <f>ABS(G10/F10)</f>
        <v>0.61184517530193827</v>
      </c>
      <c r="I10" s="20">
        <f>E10/D10</f>
        <v>26.415839787234049</v>
      </c>
      <c r="J10" s="20">
        <f>F10/D10</f>
        <v>16.388571428571428</v>
      </c>
      <c r="K10" s="20">
        <f>I10-J10</f>
        <v>10.027268358662621</v>
      </c>
    </row>
    <row r="12" spans="2:12" x14ac:dyDescent="0.25">
      <c r="B12" s="22" t="s">
        <v>22</v>
      </c>
      <c r="I12" s="14"/>
    </row>
    <row r="13" spans="2:12" x14ac:dyDescent="0.25">
      <c r="B13" t="s">
        <v>23</v>
      </c>
    </row>
    <row r="14" spans="2:12" x14ac:dyDescent="0.25">
      <c r="B14" t="s">
        <v>29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2025-11-16T03:28:45Z</cp:lastPrinted>
  <dcterms:created xsi:type="dcterms:W3CDTF">2025-01-27T15:11:28Z</dcterms:created>
  <dcterms:modified xsi:type="dcterms:W3CDTF">2025-11-16T03:33:25Z</dcterms:modified>
</cp:coreProperties>
</file>