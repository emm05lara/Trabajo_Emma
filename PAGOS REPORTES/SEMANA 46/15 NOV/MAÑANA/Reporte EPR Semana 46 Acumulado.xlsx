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5 NOV\MAÑANA\"/>
    </mc:Choice>
  </mc:AlternateContent>
  <xr:revisionPtr revIDLastSave="0" documentId="13_ncr:1_{653E12C4-2D73-45F3-8E4D-5ACD0AA0C17E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33" i="5"/>
  <c r="D18" i="1"/>
  <c r="D41" i="5"/>
  <c r="C18" i="1"/>
  <c r="C34" i="1"/>
  <c r="D34" i="1"/>
  <c r="C41" i="5"/>
  <c r="D48" i="5"/>
  <c r="C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<sst xmlns="http://schemas.openxmlformats.org/spreadsheetml/2006/main" count="139" uniqueCount="37">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</sst>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7235</v>
      </c>
      <c r="D5" s="28">
        <v>528621.09000000008</v>
      </c>
    </row>
    <row r="6" spans="2:8" x14ac:dyDescent="0.25">
      <c r="B6" s="1" t="s">
        <v>4</v>
      </c>
      <c r="C6" s="6">
        <v>7503</v>
      </c>
      <c r="D6" s="28">
        <v>358568.25</v>
      </c>
    </row>
    <row r="7" spans="2:8" x14ac:dyDescent="0.25">
      <c r="B7" s="1" t="s">
        <v>5</v>
      </c>
      <c r="C7" s="6">
        <v>5998</v>
      </c>
      <c r="D7" s="28">
        <v>123487.71000000002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35952</v>
      </c>
      <c r="D9" s="28">
        <v>283307.17</v>
      </c>
      <c r="E9" s="14"/>
      <c r="F9" s="7"/>
    </row>
    <row r="10" spans="2:8" x14ac:dyDescent="0.25">
      <c r="B10" s="3" t="s">
        <v>7</v>
      </c>
      <c r="C10" s="8">
        <f>SUM(C5:C9)</f>
        <v>57190</v>
      </c>
      <c r="D10" s="4">
        <f>SUM(D5:D9)</f>
        <v>1294984.22</v>
      </c>
      <c r="E10" s="11" t="s">
        <v>12</v>
      </c>
    </row>
    <row r="12" spans="2:8" x14ac:dyDescent="0.25">
      <c r="B12" s="30" t="s">
        <v>33</v>
      </c>
      <c r="C12" s="30"/>
      <c r="D12" s="3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86</v>
      </c>
      <c r="D14" s="28">
        <v>26882.68</v>
      </c>
    </row>
    <row r="15" spans="2:8" x14ac:dyDescent="0.25">
      <c r="B15" s="1" t="s">
        <v>4</v>
      </c>
      <c r="C15" s="6">
        <v>124</v>
      </c>
      <c r="D15" s="28">
        <v>40666.03</v>
      </c>
    </row>
    <row r="16" spans="2:8" x14ac:dyDescent="0.25">
      <c r="B16" s="1" t="s">
        <v>5</v>
      </c>
      <c r="C16" s="6">
        <v>2010</v>
      </c>
      <c r="D16" s="28">
        <v>124473</v>
      </c>
    </row>
    <row r="17" spans="2:4" x14ac:dyDescent="0.25">
      <c r="B17" s="1" t="s">
        <v>6</v>
      </c>
      <c r="C17" s="7">
        <v>14355</v>
      </c>
      <c r="D17" s="28">
        <v>94331</v>
      </c>
    </row>
    <row r="18" spans="2:4" x14ac:dyDescent="0.25">
      <c r="B18" s="3" t="s">
        <v>7</v>
      </c>
      <c r="C18" s="8">
        <f>SUM(C14:C17)</f>
        <v>16575</v>
      </c>
      <c r="D18" s="4">
        <f>SUM(D14:D17)</f>
        <v>286352.70999999996</v>
      </c>
    </row>
    <row r="20" spans="2:4" x14ac:dyDescent="0.25">
      <c r="B20" s="31" t="s">
        <v>8</v>
      </c>
      <c r="C20" s="31"/>
      <c r="D20" s="3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560</v>
      </c>
      <c r="D22" s="28">
        <v>33247.29</v>
      </c>
    </row>
    <row r="23" spans="2:4" x14ac:dyDescent="0.25">
      <c r="B23" s="9" t="s">
        <v>4</v>
      </c>
      <c r="C23" s="6">
        <v>1247</v>
      </c>
      <c r="D23" s="28">
        <v>38906.080000000002</v>
      </c>
    </row>
    <row r="24" spans="2:4" x14ac:dyDescent="0.25">
      <c r="B24" s="9" t="s">
        <v>5</v>
      </c>
      <c r="C24" s="6">
        <v>3630</v>
      </c>
      <c r="D24" s="28">
        <v>100796.85</v>
      </c>
    </row>
    <row r="25" spans="2:4" x14ac:dyDescent="0.25">
      <c r="B25" s="9" t="s">
        <v>6</v>
      </c>
      <c r="C25" s="6">
        <v>4457</v>
      </c>
      <c r="D25" s="28">
        <v>37678.239999999998</v>
      </c>
    </row>
    <row r="26" spans="2:4" x14ac:dyDescent="0.25">
      <c r="B26" s="10" t="s">
        <v>7</v>
      </c>
      <c r="C26" s="8">
        <f>SUM(C22:C25)</f>
        <v>9894</v>
      </c>
      <c r="D26" s="4">
        <f>SUM(D22:D25)</f>
        <v>210628.46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4813</v>
      </c>
      <c r="D30" s="28">
        <v>141004.22</v>
      </c>
    </row>
    <row r="31" spans="2:4" x14ac:dyDescent="0.25">
      <c r="B31" s="1" t="s">
        <v>4</v>
      </c>
      <c r="C31" s="6">
        <v>796</v>
      </c>
      <c r="D31" s="28">
        <v>23678</v>
      </c>
    </row>
    <row r="32" spans="2:4" x14ac:dyDescent="0.25">
      <c r="B32" s="1" t="s">
        <v>5</v>
      </c>
      <c r="C32" s="6">
        <v>3581</v>
      </c>
      <c r="D32" s="28">
        <v>20933.38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10198</v>
      </c>
      <c r="D34" s="4">
        <f>SUM(D30:D33)</f>
        <v>186214.6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2888</v>
      </c>
    </row>
    <row r="39" spans="2:4" x14ac:dyDescent="0.25">
      <c r="B39" s="1" t="s">
        <v>4</v>
      </c>
      <c r="C39" s="6">
        <v>11</v>
      </c>
      <c r="D39" s="29">
        <v>0</v>
      </c>
    </row>
    <row r="40" spans="2:4" x14ac:dyDescent="0.25">
      <c r="B40" s="1" t="s">
        <v>5</v>
      </c>
      <c r="C40" s="6">
        <v>6</v>
      </c>
      <c r="D40" s="28">
        <v>3485</v>
      </c>
    </row>
    <row r="41" spans="2:4" x14ac:dyDescent="0.25">
      <c r="B41" s="1" t="s">
        <v>6</v>
      </c>
      <c r="C41" s="6">
        <v>687</v>
      </c>
      <c r="D41" s="28">
        <v>4649</v>
      </c>
    </row>
    <row r="42" spans="2:4" x14ac:dyDescent="0.25">
      <c r="B42" s="3" t="s">
        <v>7</v>
      </c>
      <c r="C42" s="8">
        <f>SUM(C38:C41)</f>
        <v>717</v>
      </c>
      <c r="D42" s="4">
        <f>SUM(D38:D41)</f>
        <v>11022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94574</v>
      </c>
      <c r="D50" s="13">
        <f>SUMIF(B:B, "Total general", D:D)</f>
        <v>1989201.99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6544</v>
      </c>
      <c r="D5" s="28">
        <v>133118.29</v>
      </c>
      <c r="E5" s="11"/>
    </row>
    <row r="6" spans="2:8" x14ac:dyDescent="0.25">
      <c r="B6" s="1" t="s">
        <v>4</v>
      </c>
      <c r="C6" s="27">
        <v>8617</v>
      </c>
      <c r="D6" s="28">
        <v>75658.33</v>
      </c>
    </row>
    <row r="7" spans="2:8" x14ac:dyDescent="0.25">
      <c r="B7" s="1" t="s">
        <v>5</v>
      </c>
      <c r="C7" s="27">
        <v>8346</v>
      </c>
      <c r="D7" s="28">
        <v>37831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7889</v>
      </c>
      <c r="E9" s="14"/>
      <c r="F9" s="7"/>
    </row>
    <row r="10" spans="2:8" x14ac:dyDescent="0.25">
      <c r="B10" s="3" t="s">
        <v>7</v>
      </c>
      <c r="C10" s="8">
        <f>SUM(C5:C9)</f>
        <v>37486</v>
      </c>
      <c r="D10" s="4">
        <f>SUM(D5:D9)</f>
        <v>254896.62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4800</v>
      </c>
      <c r="D14" s="28">
        <v>130826.21999999999</v>
      </c>
    </row>
    <row r="15" spans="2:8" x14ac:dyDescent="0.25">
      <c r="B15" s="1" t="s">
        <v>4</v>
      </c>
      <c r="C15" s="26">
        <v>549</v>
      </c>
      <c r="D15" s="28">
        <v>18617</v>
      </c>
    </row>
    <row r="16" spans="2:8" x14ac:dyDescent="0.25">
      <c r="B16" s="1" t="s">
        <v>5</v>
      </c>
      <c r="C16" s="26">
        <v>3486</v>
      </c>
      <c r="D16" s="28">
        <v>17715.379999999997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8862</v>
      </c>
      <c r="D18" s="4">
        <f>SUM(D14:D17)</f>
        <v>167757.59999999998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32261.72</v>
      </c>
    </row>
    <row r="23" spans="2:4" x14ac:dyDescent="0.25">
      <c r="B23" s="1" t="s">
        <v>4</v>
      </c>
      <c r="C23" s="26">
        <v>1034</v>
      </c>
      <c r="D23" s="28">
        <v>1583</v>
      </c>
    </row>
    <row r="24" spans="2:4" x14ac:dyDescent="0.25">
      <c r="B24" s="1" t="s">
        <v>5</v>
      </c>
      <c r="C24" s="26">
        <v>1080</v>
      </c>
      <c r="D24" s="28">
        <v>3733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4811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42388.72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743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200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200</v>
      </c>
    </row>
    <row r="50" spans="2:4" x14ac:dyDescent="0.25">
      <c r="B50" s="12" t="s">
        <v>11</v>
      </c>
      <c r="C50" s="13">
        <f>SUMIF(B:B, "Total general", C:C)</f>
        <v>50599</v>
      </c>
      <c r="D50" s="13">
        <f>SUMIF(B:B, "Total general", D:D)</f>
        <v>468306.93999999994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12605</v>
      </c>
      <c r="D3" s="14">
        <f>SUMIF('CDC-OLGUIN'!B:B, "Extrajudicial - 0 a 28 semanas de atraso", 'CDC-OLGUIN'!D:D)</f>
        <v>298713.23</v>
      </c>
    </row>
    <row r="4" spans="2:6" x14ac:dyDescent="0.25">
      <c r="B4" s="1" t="s">
        <v>4</v>
      </c>
      <c r="C4" s="6">
        <f>SUMIF('CDC-OLGUIN'!B:B, "Extrajudicial - 29 a 39 semanas de atraso", 'CDC-OLGUIN'!C:C)</f>
        <v>10201</v>
      </c>
      <c r="D4" s="14">
        <f>SUMIF('CDC-OLGUIN'!B:B, "Extrajudicial - 29 a 39 semanas de atraso", 'CDC-OLGUIN'!D:D)</f>
        <v>95858.33</v>
      </c>
    </row>
    <row r="5" spans="2:6" x14ac:dyDescent="0.25">
      <c r="B5" s="1" t="s">
        <v>5</v>
      </c>
      <c r="C5" s="6">
        <f>SUMIF('CDC-OLGUIN'!B:B, "Extrajudicial - 40 a 55 semanas de atraso", 'CDC-OLGUIN'!C:C)</f>
        <v>12913</v>
      </c>
      <c r="D5" s="14">
        <f>SUMIF('CDC-OLGUIN'!B:B, "Extrajudicial - 40 a 55 semanas de atraso", 'CDC-OLGUIN'!D:D)</f>
        <v>59279.38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14056</v>
      </c>
      <c r="E7" s="14"/>
      <c r="F7" s="7"/>
    </row>
    <row r="8" spans="2:6" x14ac:dyDescent="0.25">
      <c r="B8" s="3" t="s">
        <v>7</v>
      </c>
      <c r="C8" s="8">
        <f>SUM(C3:C7)</f>
        <v>50599</v>
      </c>
      <c r="D8" s="4">
        <f>SUM(D3:D7)</f>
        <v>468306.94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12707</v>
      </c>
      <c r="E6" s="16">
        <f>SUMIF('REPORTE DIARIO'!B:B,'EPR 26 JUN'!C6, 'REPORTE DIARIO'!D:D)</f>
        <v>732643.28000000014</v>
      </c>
      <c r="F6" s="16">
        <f>J6*D6</f>
        <v>798725.7142857142</v>
      </c>
      <c r="G6" s="16">
        <f>+E6-F6</f>
        <v>-66082.434285714058</v>
      </c>
      <c r="H6" s="15">
        <f>ABS(G6/F6)</f>
        <v>8.2734827618277412E-2</v>
      </c>
      <c r="I6" s="16">
        <f>E6/D6</f>
        <v>57.6566679782797</v>
      </c>
      <c r="J6" s="16">
        <f>(220/7)*2</f>
        <v>62.857142857142854</v>
      </c>
      <c r="K6" s="16">
        <f>+I6-J6</f>
        <v>-5.2004748788631545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9681</v>
      </c>
      <c r="E7" s="16">
        <f>SUMIF('REPORTE DIARIO'!B:B,'EPR 26 JUN'!C7, 'REPORTE DIARIO'!D:D)</f>
        <v>461818.36000000004</v>
      </c>
      <c r="F7" s="16">
        <f>J7*D7</f>
        <v>304260</v>
      </c>
      <c r="G7" s="16">
        <f>+E7-F7</f>
        <v>157558.36000000004</v>
      </c>
      <c r="H7" s="15">
        <f>ABS(G7/F7)</f>
        <v>0.5178411884572407</v>
      </c>
      <c r="I7" s="16">
        <f>E7/D7</f>
        <v>47.703580208656135</v>
      </c>
      <c r="J7" s="16">
        <f>(110/7)*2</f>
        <v>31.428571428571427</v>
      </c>
      <c r="K7" s="16">
        <f t="shared" ref="K7:K9" si="0">+I7-J7</f>
        <v>16.275008780084708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15225</v>
      </c>
      <c r="E8" s="16">
        <f>SUMIF('REPORTE DIARIO'!B:B,'EPR 26 JUN'!C8, 'REPORTE DIARIO'!D:D)</f>
        <v>373175.94000000006</v>
      </c>
      <c r="F8" s="16">
        <f>J8*D8</f>
        <v>195750</v>
      </c>
      <c r="G8" s="16">
        <f>+E8-F8</f>
        <v>177425.94000000006</v>
      </c>
      <c r="H8" s="15">
        <f>ABS(G8/F8)</f>
        <v>0.90639049808429151</v>
      </c>
      <c r="I8" s="16">
        <f>E8/D8</f>
        <v>24.510734975369463</v>
      </c>
      <c r="J8" s="16">
        <f>(45/7)*2</f>
        <v>12.857142857142858</v>
      </c>
      <c r="K8" s="16">
        <f t="shared" si="0"/>
        <v>11.653592118226605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56459</v>
      </c>
      <c r="E9" s="16">
        <f>SUMIF('REPORTE DIARIO'!B:B,'EPR 26 JUN'!C9, 'REPORTE DIARIO'!D:D)</f>
        <v>420564.41</v>
      </c>
      <c r="F9" s="16">
        <f>J9*D9</f>
        <v>241967.14285714284</v>
      </c>
      <c r="G9" s="16">
        <f>+E9-F9</f>
        <v>178597.26714285713</v>
      </c>
      <c r="H9" s="15">
        <f>ABS(G9/F9)</f>
        <v>0.73810545115334436</v>
      </c>
      <c r="I9" s="16">
        <f>E9/D9</f>
        <v>7.4490233620857609</v>
      </c>
      <c r="J9" s="16">
        <f>(15/7)*2</f>
        <v>4.2857142857142856</v>
      </c>
      <c r="K9" s="16">
        <f t="shared" si="0"/>
        <v>3.1633090763714753</v>
      </c>
    </row>
    <row r="10" spans="2:12" x14ac:dyDescent="0.25">
      <c r="B10" s="16"/>
      <c r="C10" s="19" t="s">
        <v>15</v>
      </c>
      <c r="D10" s="24">
        <f>SUM(D6:D9)</f>
        <v>94072</v>
      </c>
      <c r="E10" s="20">
        <f>SUM(E6:E9)</f>
        <v>1988201.99</v>
      </c>
      <c r="F10" s="20">
        <f>SUM(F6:F9)</f>
        <v>1540702.8571428568</v>
      </c>
      <c r="G10" s="20">
        <f>+E10-F10</f>
        <v>447499.13285714318</v>
      </c>
      <c r="H10" s="21">
        <f>ABS(G10/F10)</f>
        <v>0.29045129032018807</v>
      </c>
      <c r="I10" s="20">
        <f>E10/D10</f>
        <v>21.134896568585763</v>
      </c>
      <c r="J10" s="20">
        <f>F10/D10</f>
        <v>16.377911144047715</v>
      </c>
      <c r="K10" s="20">
        <f>I10-J10</f>
        <v>4.7569854245380476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2025-11-15T17:15:24Z</cp:lastPrinted>
  <dcterms:created xsi:type="dcterms:W3CDTF">2025-01-27T15:11:28Z</dcterms:created>
  <dcterms:modified xsi:type="dcterms:W3CDTF">2025-11-15T17:17:39Z</dcterms:modified>
</cp:coreProperties>
</file>