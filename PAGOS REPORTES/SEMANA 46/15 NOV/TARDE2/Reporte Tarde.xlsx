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5 NOV\TARDE2\"/>
    </mc:Choice>
  </mc:AlternateContent>
  <xr:revisionPtr revIDLastSave="0" documentId="13_ncr:1_{8552A149-CEC7-4867-A7A3-D5DB6D8C633D}" xr6:coauthVersionLast="47" xr6:coauthVersionMax="47" xr10:uidLastSave="{00000000-0000-0000-0000-000000000000}"/>
  <bookViews>
    <workbookView xWindow="-120" yWindow="-120" windowWidth="51840" windowHeight="21120" activeTab="2" xr2:uid="{8AC5D899-3F21-45FF-94BC-4AA1977BF44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D11" i="2" s="1"/>
  <c r="B2" i="3"/>
  <c r="D9" i="3" s="1"/>
  <c r="B2" i="1"/>
  <c r="D9" i="1" s="1"/>
</calcChain>
</file>

<file path=xl/sharedStrings.xml><?xml version="1.0" encoding="utf-8"?>
<sst xmlns="http://schemas.openxmlformats.org/spreadsheetml/2006/main" count="111" uniqueCount="23">
  <si>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</si>
  <si>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</si>
  <si>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</si>
  <si>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</si>
  <si>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</si>
  <si>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</si>
  <si>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</si>
  <si>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</si>
  <si>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</si>
  <si>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</si>
  <si>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</si>
  <si>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</si>
  <si>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</si>
  <si>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</si>
  <si>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</si>
  <si>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OTROS</t>
  </si>
  <si>
    <t>REESTRUCTURA</t>
  </si>
  <si>
    <t>TAZ</t>
  </si>
  <si>
    <t>TOR</t>
  </si>
  <si>
    <t>ITALIKA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</si>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</sst>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5200-D365-48B8-B893-DB3003AEC675}">
  <dimension ref="B2:D39"/>
  <sheetViews>
    <sheetView workbookViewId="0">
      <selection activeCell="B2" sqref="B2:D3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15/11/2025  17:28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66745</v>
      </c>
    </row>
    <row r="6" spans="2:4" x14ac:dyDescent="0.25">
      <c r="B6" s="2" t="s">
        <v>2</v>
      </c>
      <c r="C6" s="3">
        <v>112439</v>
      </c>
    </row>
    <row r="7" spans="2:4" x14ac:dyDescent="0.25">
      <c r="B7" s="2" t="s">
        <v>3</v>
      </c>
      <c r="C7" s="3">
        <v>17419.489999999998</v>
      </c>
    </row>
    <row r="8" spans="2:4" ht="15.75" thickBot="1" x14ac:dyDescent="0.3">
      <c r="B8" s="2" t="s">
        <v>4</v>
      </c>
      <c r="C8" s="3">
        <v>65597.89</v>
      </c>
      <c r="D8" s="1" t="s">
        <v>11</v>
      </c>
    </row>
    <row r="9" spans="2:4" ht="15.75" thickTop="1" x14ac:dyDescent="0.25">
      <c r="B9" s="4" t="s">
        <v>5</v>
      </c>
      <c r="C9" s="5">
        <v>262201.38</v>
      </c>
      <c r="D9" s="5">
        <f ca="1">SUMIF(B:B, "Total general", C:C)</f>
        <v>370459.66000000003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5100</v>
      </c>
    </row>
    <row r="14" spans="2:4" x14ac:dyDescent="0.25">
      <c r="B14" s="2" t="s">
        <v>2</v>
      </c>
      <c r="C14" s="3">
        <v>8306</v>
      </c>
    </row>
    <row r="15" spans="2:4" x14ac:dyDescent="0.25">
      <c r="B15" s="2" t="s">
        <v>3</v>
      </c>
      <c r="C15" s="3">
        <v>8338</v>
      </c>
    </row>
    <row r="16" spans="2:4" ht="15.75" thickBot="1" x14ac:dyDescent="0.3">
      <c r="B16" s="2" t="s">
        <v>4</v>
      </c>
      <c r="C16" s="3">
        <v>43757</v>
      </c>
    </row>
    <row r="17" spans="2:3" ht="15.75" thickTop="1" x14ac:dyDescent="0.25">
      <c r="B17" s="4" t="s">
        <v>5</v>
      </c>
      <c r="C17" s="5">
        <v>65501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3248</v>
      </c>
    </row>
    <row r="22" spans="2:3" x14ac:dyDescent="0.25">
      <c r="B22" s="2" t="s">
        <v>2</v>
      </c>
      <c r="C22" s="3">
        <v>5783</v>
      </c>
    </row>
    <row r="23" spans="2:3" x14ac:dyDescent="0.25">
      <c r="B23" s="2" t="s">
        <v>3</v>
      </c>
      <c r="C23" s="3">
        <v>3132</v>
      </c>
    </row>
    <row r="24" spans="2:3" ht="15.75" thickBot="1" x14ac:dyDescent="0.3">
      <c r="B24" s="2" t="s">
        <v>4</v>
      </c>
      <c r="C24" s="3">
        <v>7570</v>
      </c>
    </row>
    <row r="25" spans="2:3" ht="15.75" thickTop="1" x14ac:dyDescent="0.25">
      <c r="B25" s="4" t="s">
        <v>5</v>
      </c>
      <c r="C25" s="5">
        <v>19733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10171.9</v>
      </c>
    </row>
    <row r="30" spans="2:3" x14ac:dyDescent="0.25">
      <c r="B30" s="2" t="s">
        <v>2</v>
      </c>
      <c r="C30" s="3">
        <v>2443</v>
      </c>
    </row>
    <row r="31" spans="2:3" ht="15.75" thickBot="1" x14ac:dyDescent="0.3">
      <c r="B31" s="2" t="s">
        <v>3</v>
      </c>
      <c r="C31" s="3">
        <v>3498.38</v>
      </c>
    </row>
    <row r="32" spans="2:3" ht="15.75" thickTop="1" x14ac:dyDescent="0.25">
      <c r="B32" s="4" t="s">
        <v>5</v>
      </c>
      <c r="C32" s="5">
        <v>16113.279999999999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x14ac:dyDescent="0.25">
      <c r="B36" s="2" t="s">
        <v>2</v>
      </c>
      <c r="C36" s="3">
        <v>1580</v>
      </c>
    </row>
    <row r="37" spans="2:3" x14ac:dyDescent="0.25">
      <c r="B37" s="2" t="s">
        <v>3</v>
      </c>
      <c r="C37" s="3">
        <v>2515</v>
      </c>
    </row>
    <row r="38" spans="2:3" ht="15.75" thickBot="1" x14ac:dyDescent="0.3">
      <c r="B38" s="2" t="s">
        <v>4</v>
      </c>
      <c r="C38" s="3">
        <v>2816</v>
      </c>
    </row>
    <row r="39" spans="2:3" ht="15.75" thickTop="1" x14ac:dyDescent="0.25">
      <c r="B39" s="4" t="s">
        <v>5</v>
      </c>
      <c r="C39" s="5">
        <v>6911</v>
      </c>
    </row>
  </sheetData>
  <mergeCells count="6">
    <mergeCell ref="B3:C3"/>
    <mergeCell ref="B11:C11"/>
    <mergeCell ref="B19:C19"/>
    <mergeCell ref="B34:C34"/>
    <mergeCell ref="B27:C27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3FFC-8402-4B70-998B-2B79E5449263}">
  <dimension ref="B2:D44"/>
  <sheetViews>
    <sheetView workbookViewId="0">
      <selection activeCell="B2" sqref="B2:D4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15/11/2025  17:28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21</v>
      </c>
      <c r="C4" s="1" t="s">
        <v>0</v>
      </c>
    </row>
    <row r="5" spans="2:4" x14ac:dyDescent="0.25">
      <c r="B5" s="2" t="s">
        <v>13</v>
      </c>
      <c r="C5" s="3">
        <v>3203</v>
      </c>
    </row>
    <row r="6" spans="2:4" x14ac:dyDescent="0.25">
      <c r="B6" s="2" t="s">
        <v>14</v>
      </c>
      <c r="C6" s="3">
        <v>10907</v>
      </c>
    </row>
    <row r="7" spans="2:4" x14ac:dyDescent="0.25">
      <c r="B7" s="2" t="s">
        <v>15</v>
      </c>
      <c r="C7" s="3">
        <v>121</v>
      </c>
    </row>
    <row r="8" spans="2:4" x14ac:dyDescent="0.25">
      <c r="B8" s="2" t="s">
        <v>16</v>
      </c>
      <c r="C8" s="3">
        <v>27478</v>
      </c>
    </row>
    <row r="9" spans="2:4" x14ac:dyDescent="0.25">
      <c r="B9" s="2" t="s">
        <v>17</v>
      </c>
      <c r="C9" s="3">
        <v>1373</v>
      </c>
    </row>
    <row r="10" spans="2:4" ht="15.75" thickBot="1" x14ac:dyDescent="0.3">
      <c r="B10" s="2" t="s">
        <v>18</v>
      </c>
      <c r="C10" s="3">
        <v>219119.38</v>
      </c>
      <c r="D10" s="1" t="s">
        <v>11</v>
      </c>
    </row>
    <row r="11" spans="2:4" ht="15.75" thickTop="1" x14ac:dyDescent="0.25">
      <c r="B11" s="4" t="s">
        <v>5</v>
      </c>
      <c r="C11" s="5">
        <v>262201.38</v>
      </c>
      <c r="D11" s="5">
        <f ca="1">SUMIF(B:B, "Total general", C:C)</f>
        <v>370459.66000000003</v>
      </c>
    </row>
    <row r="13" spans="2:4" x14ac:dyDescent="0.25">
      <c r="B13" s="6" t="s">
        <v>7</v>
      </c>
      <c r="C13" s="6"/>
    </row>
    <row r="14" spans="2:4" x14ac:dyDescent="0.25">
      <c r="B14" s="1" t="s">
        <v>21</v>
      </c>
      <c r="C14" s="1" t="s">
        <v>0</v>
      </c>
    </row>
    <row r="15" spans="2:4" x14ac:dyDescent="0.25">
      <c r="B15" s="2" t="s">
        <v>13</v>
      </c>
      <c r="C15" s="3">
        <v>20287</v>
      </c>
    </row>
    <row r="16" spans="2:4" x14ac:dyDescent="0.25">
      <c r="B16" s="2" t="s">
        <v>14</v>
      </c>
      <c r="C16" s="3">
        <v>14011</v>
      </c>
    </row>
    <row r="17" spans="2:3" x14ac:dyDescent="0.25">
      <c r="B17" s="2" t="s">
        <v>19</v>
      </c>
      <c r="C17" s="3">
        <v>314</v>
      </c>
    </row>
    <row r="18" spans="2:3" x14ac:dyDescent="0.25">
      <c r="B18" s="2" t="s">
        <v>20</v>
      </c>
      <c r="C18" s="3">
        <v>1063</v>
      </c>
    </row>
    <row r="19" spans="2:3" x14ac:dyDescent="0.25">
      <c r="B19" s="2" t="s">
        <v>16</v>
      </c>
      <c r="C19" s="3">
        <v>10241</v>
      </c>
    </row>
    <row r="20" spans="2:3" ht="15.75" thickBot="1" x14ac:dyDescent="0.3">
      <c r="B20" s="2" t="s">
        <v>18</v>
      </c>
      <c r="C20" s="3">
        <v>19585</v>
      </c>
    </row>
    <row r="21" spans="2:3" ht="15.75" thickTop="1" x14ac:dyDescent="0.25">
      <c r="B21" s="4" t="s">
        <v>5</v>
      </c>
      <c r="C21" s="5">
        <v>65501</v>
      </c>
    </row>
    <row r="23" spans="2:3" x14ac:dyDescent="0.25">
      <c r="B23" s="6" t="s">
        <v>8</v>
      </c>
      <c r="C23" s="6"/>
    </row>
    <row r="24" spans="2:3" x14ac:dyDescent="0.25">
      <c r="B24" s="1" t="s">
        <v>21</v>
      </c>
      <c r="C24" s="1" t="s">
        <v>0</v>
      </c>
    </row>
    <row r="25" spans="2:3" x14ac:dyDescent="0.25">
      <c r="B25" s="2" t="s">
        <v>13</v>
      </c>
      <c r="C25" s="3">
        <v>1000</v>
      </c>
    </row>
    <row r="26" spans="2:3" x14ac:dyDescent="0.25">
      <c r="B26" s="2" t="s">
        <v>14</v>
      </c>
      <c r="C26" s="3">
        <v>2610</v>
      </c>
    </row>
    <row r="27" spans="2:3" x14ac:dyDescent="0.25">
      <c r="B27" s="2" t="s">
        <v>16</v>
      </c>
      <c r="C27" s="3">
        <v>750</v>
      </c>
    </row>
    <row r="28" spans="2:3" ht="15.75" thickBot="1" x14ac:dyDescent="0.3">
      <c r="B28" s="2" t="s">
        <v>18</v>
      </c>
      <c r="C28" s="3">
        <v>15373</v>
      </c>
    </row>
    <row r="29" spans="2:3" ht="15.75" thickTop="1" x14ac:dyDescent="0.25">
      <c r="B29" s="4" t="s">
        <v>5</v>
      </c>
      <c r="C29" s="5">
        <v>19733</v>
      </c>
    </row>
    <row r="31" spans="2:3" x14ac:dyDescent="0.25">
      <c r="B31" s="6" t="s">
        <v>10</v>
      </c>
      <c r="C31" s="6"/>
    </row>
    <row r="32" spans="2:3" x14ac:dyDescent="0.25">
      <c r="B32" s="1" t="s">
        <v>21</v>
      </c>
      <c r="C32" s="1" t="s">
        <v>0</v>
      </c>
    </row>
    <row r="33" spans="2:3" x14ac:dyDescent="0.25">
      <c r="B33" s="2" t="s">
        <v>13</v>
      </c>
      <c r="C33" s="3">
        <v>5791</v>
      </c>
    </row>
    <row r="34" spans="2:3" x14ac:dyDescent="0.25">
      <c r="B34" s="2" t="s">
        <v>14</v>
      </c>
      <c r="C34" s="3">
        <v>2243</v>
      </c>
    </row>
    <row r="35" spans="2:3" x14ac:dyDescent="0.25">
      <c r="B35" s="2" t="s">
        <v>16</v>
      </c>
      <c r="C35" s="3">
        <v>850</v>
      </c>
    </row>
    <row r="36" spans="2:3" ht="15.75" thickBot="1" x14ac:dyDescent="0.3">
      <c r="B36" s="2" t="s">
        <v>18</v>
      </c>
      <c r="C36" s="3">
        <v>7229.28</v>
      </c>
    </row>
    <row r="37" spans="2:3" ht="15.75" thickTop="1" x14ac:dyDescent="0.25">
      <c r="B37" s="4" t="s">
        <v>5</v>
      </c>
      <c r="C37" s="5">
        <v>16113.279999999999</v>
      </c>
    </row>
    <row r="39" spans="2:3" x14ac:dyDescent="0.25">
      <c r="B39" s="6" t="s">
        <v>9</v>
      </c>
      <c r="C39" s="6"/>
    </row>
    <row r="40" spans="2:3" x14ac:dyDescent="0.25">
      <c r="B40" s="1" t="s">
        <v>21</v>
      </c>
      <c r="C40" s="1" t="s">
        <v>0</v>
      </c>
    </row>
    <row r="41" spans="2:3" x14ac:dyDescent="0.25">
      <c r="B41" s="2" t="s">
        <v>13</v>
      </c>
      <c r="C41" s="3">
        <v>2195</v>
      </c>
    </row>
    <row r="42" spans="2:3" x14ac:dyDescent="0.25">
      <c r="B42" s="2" t="s">
        <v>16</v>
      </c>
      <c r="C42" s="3">
        <v>4396</v>
      </c>
    </row>
    <row r="43" spans="2:3" ht="15.75" thickBot="1" x14ac:dyDescent="0.3">
      <c r="B43" s="2" t="s">
        <v>18</v>
      </c>
      <c r="C43" s="3">
        <v>320</v>
      </c>
    </row>
    <row r="44" spans="2:3" ht="15.75" thickTop="1" x14ac:dyDescent="0.25">
      <c r="B44" s="4" t="s">
        <v>5</v>
      </c>
      <c r="C44" s="5">
        <v>6911</v>
      </c>
    </row>
  </sheetData>
  <mergeCells count="6">
    <mergeCell ref="B2:C2"/>
    <mergeCell ref="B3:C3"/>
    <mergeCell ref="B13:C13"/>
    <mergeCell ref="B23:C23"/>
    <mergeCell ref="B31:C31"/>
    <mergeCell ref="B39:C3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8AD6-4E0C-4246-A7D8-A2CA085CA0A0}">
  <dimension ref="B2:D28"/>
  <sheetViews>
    <sheetView tabSelected="1" workbookViewId="0">
      <selection activeCell="B2" sqref="B2:D2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15/11/2025  17:28 </v>
      </c>
      <c r="C2" s="6"/>
    </row>
    <row r="3" spans="2:4" x14ac:dyDescent="0.25">
      <c r="B3" s="6" t="s">
        <v>22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35142.67</v>
      </c>
    </row>
    <row r="6" spans="2:4" x14ac:dyDescent="0.25">
      <c r="B6" s="2" t="s">
        <v>2</v>
      </c>
      <c r="C6" s="3">
        <v>10177</v>
      </c>
    </row>
    <row r="7" spans="2:4" x14ac:dyDescent="0.25">
      <c r="B7" s="2" t="s">
        <v>3</v>
      </c>
      <c r="C7" s="3">
        <v>9100</v>
      </c>
    </row>
    <row r="8" spans="2:4" ht="15.75" thickBot="1" x14ac:dyDescent="0.3">
      <c r="B8" s="2" t="s">
        <v>4</v>
      </c>
      <c r="C8" s="3">
        <v>600</v>
      </c>
      <c r="D8" s="1" t="s">
        <v>11</v>
      </c>
    </row>
    <row r="9" spans="2:4" ht="15.75" thickTop="1" x14ac:dyDescent="0.25">
      <c r="B9" s="4" t="s">
        <v>5</v>
      </c>
      <c r="C9" s="5">
        <v>55019.67</v>
      </c>
      <c r="D9" s="5">
        <f ca="1">SUMIF(B:B, "Total general", C:C)</f>
        <v>75262.95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10171.9</v>
      </c>
    </row>
    <row r="14" spans="2:4" x14ac:dyDescent="0.25">
      <c r="B14" s="2" t="s">
        <v>2</v>
      </c>
      <c r="C14" s="3">
        <v>2443</v>
      </c>
    </row>
    <row r="15" spans="2:4" ht="15.75" thickBot="1" x14ac:dyDescent="0.3">
      <c r="B15" s="2" t="s">
        <v>3</v>
      </c>
      <c r="C15" s="3">
        <v>3498.38</v>
      </c>
    </row>
    <row r="16" spans="2:4" ht="15.75" thickTop="1" x14ac:dyDescent="0.25">
      <c r="B16" s="4" t="s">
        <v>5</v>
      </c>
      <c r="C16" s="5">
        <v>16113.279999999999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259</v>
      </c>
    </row>
    <row r="21" spans="2:3" x14ac:dyDescent="0.25">
      <c r="B21" s="2" t="s">
        <v>2</v>
      </c>
      <c r="C21" s="3">
        <v>1935</v>
      </c>
    </row>
    <row r="22" spans="2:3" ht="15.75" thickBot="1" x14ac:dyDescent="0.3">
      <c r="B22" s="2" t="s">
        <v>4</v>
      </c>
      <c r="C22" s="3">
        <v>1000</v>
      </c>
    </row>
    <row r="23" spans="2:3" ht="15.75" thickTop="1" x14ac:dyDescent="0.25">
      <c r="B23" s="4" t="s">
        <v>5</v>
      </c>
      <c r="C23" s="5">
        <v>3194</v>
      </c>
    </row>
    <row r="25" spans="2:3" x14ac:dyDescent="0.25">
      <c r="B25" s="6" t="s">
        <v>7</v>
      </c>
      <c r="C25" s="6"/>
    </row>
    <row r="26" spans="2:3" x14ac:dyDescent="0.25">
      <c r="B26" s="1" t="s">
        <v>12</v>
      </c>
      <c r="C26" s="1" t="s">
        <v>0</v>
      </c>
    </row>
    <row r="27" spans="2:3" ht="15.75" thickBot="1" x14ac:dyDescent="0.3">
      <c r="B27" s="2" t="s">
        <v>4</v>
      </c>
      <c r="C27" s="3">
        <v>936</v>
      </c>
    </row>
    <row r="28" spans="2:3" ht="15.75" thickTop="1" x14ac:dyDescent="0.25">
      <c r="B28" s="4" t="s">
        <v>5</v>
      </c>
      <c r="C28" s="5">
        <v>936</v>
      </c>
    </row>
  </sheetData>
  <mergeCells count="5">
    <mergeCell ref="B2:C2"/>
    <mergeCell ref="B3:C3"/>
    <mergeCell ref="B25:C25"/>
    <mergeCell ref="B11:C11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2025-11-15T23:28:37Z</cp:lastPrinted>
  <dcterms:created xsi:type="dcterms:W3CDTF">2025-11-15T23:21:35Z</dcterms:created>
  <dcterms:modified xsi:type="dcterms:W3CDTF">2025-11-15T23:28:38Z</dcterms:modified>
</cp:coreProperties>
</file>