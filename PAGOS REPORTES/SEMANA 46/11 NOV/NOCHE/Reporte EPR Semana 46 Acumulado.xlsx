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1 NOV\NOCHE\"/>
    </mc:Choice>
  </mc:AlternateContent>
  <xr:revisionPtr revIDLastSave="0" documentId="13_ncr:1_{AE3CA22A-2C23-4164-A2E3-77DED8CDB7CD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<sst xmlns="http://schemas.openxmlformats.org/spreadsheetml/2006/main" count="139" uniqueCount="37">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</sst>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7886</v>
      </c>
      <c r="D5" s="28">
        <v>129467.09</v>
      </c>
    </row>
    <row r="6" spans="2:8" x14ac:dyDescent="0.25">
      <c r="B6" s="1" t="s">
        <v>4</v>
      </c>
      <c r="C6" s="6">
        <v>7372</v>
      </c>
      <c r="D6" s="28">
        <v>38728.230000000003</v>
      </c>
    </row>
    <row r="7" spans="2:8" x14ac:dyDescent="0.25">
      <c r="B7" s="1" t="s">
        <v>5</v>
      </c>
      <c r="C7" s="6">
        <v>7463</v>
      </c>
      <c r="D7" s="28">
        <v>30965</v>
      </c>
    </row>
    <row r="8" spans="2:8" x14ac:dyDescent="0.25">
      <c r="B8" s="5" t="s">
        <v>10</v>
      </c>
      <c r="C8" s="7">
        <v>506</v>
      </c>
      <c r="D8" s="29">
        <v>0</v>
      </c>
    </row>
    <row r="9" spans="2:8" x14ac:dyDescent="0.25">
      <c r="B9" s="1" t="s">
        <v>6</v>
      </c>
      <c r="C9" s="6">
        <v>36515</v>
      </c>
      <c r="D9" s="28">
        <v>60018.42</v>
      </c>
      <c r="E9" s="14"/>
      <c r="F9" s="7"/>
    </row>
    <row r="10" spans="2:8" x14ac:dyDescent="0.25">
      <c r="B10" s="3" t="s">
        <v>7</v>
      </c>
      <c r="C10" s="8">
        <f>SUM(C5:C9)</f>
        <v>59742</v>
      </c>
      <c r="D10" s="4">
        <f>SUM(D5:D9)</f>
        <v>259178.74</v>
      </c>
      <c r="E10" s="11" t="s">
        <v>12</v>
      </c>
    </row>
    <row r="12" spans="2:8" x14ac:dyDescent="0.25">
      <c r="B12" s="31" t="s">
        <v>8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571</v>
      </c>
      <c r="D14" s="28">
        <v>8661</v>
      </c>
    </row>
    <row r="15" spans="2:8" x14ac:dyDescent="0.25">
      <c r="B15" s="9" t="s">
        <v>4</v>
      </c>
      <c r="C15" s="6">
        <v>1312</v>
      </c>
      <c r="D15" s="28">
        <v>7018</v>
      </c>
    </row>
    <row r="16" spans="2:8" x14ac:dyDescent="0.25">
      <c r="B16" s="9" t="s">
        <v>5</v>
      </c>
      <c r="C16" s="6">
        <v>3703</v>
      </c>
      <c r="D16" s="28">
        <v>62029</v>
      </c>
    </row>
    <row r="17" spans="2:4" x14ac:dyDescent="0.25">
      <c r="B17" s="9" t="s">
        <v>6</v>
      </c>
      <c r="C17" s="6">
        <v>4304</v>
      </c>
      <c r="D17" s="28">
        <v>17120.239999999998</v>
      </c>
    </row>
    <row r="18" spans="2:4" x14ac:dyDescent="0.25">
      <c r="B18" s="10" t="s">
        <v>7</v>
      </c>
      <c r="C18" s="8">
        <f>SUM(C14:C17)</f>
        <v>9890</v>
      </c>
      <c r="D18" s="4">
        <f>SUM(D14:D17)</f>
        <v>94828.239999999991</v>
      </c>
    </row>
    <row r="20" spans="2:4" x14ac:dyDescent="0.25">
      <c r="B20" s="30" t="s">
        <v>33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88</v>
      </c>
      <c r="D22" s="28">
        <v>8717</v>
      </c>
    </row>
    <row r="23" spans="2:4" x14ac:dyDescent="0.25">
      <c r="B23" s="1" t="s">
        <v>4</v>
      </c>
      <c r="C23" s="6">
        <v>137</v>
      </c>
      <c r="D23" s="28">
        <v>14903.03</v>
      </c>
    </row>
    <row r="24" spans="2:4" x14ac:dyDescent="0.25">
      <c r="B24" s="1" t="s">
        <v>5</v>
      </c>
      <c r="C24" s="6">
        <v>2036</v>
      </c>
      <c r="D24" s="28">
        <v>17458</v>
      </c>
    </row>
    <row r="25" spans="2:4" x14ac:dyDescent="0.25">
      <c r="B25" s="1" t="s">
        <v>6</v>
      </c>
      <c r="C25" s="7">
        <v>14521</v>
      </c>
      <c r="D25" s="28">
        <v>24483</v>
      </c>
    </row>
    <row r="26" spans="2:4" x14ac:dyDescent="0.25">
      <c r="B26" s="3" t="s">
        <v>7</v>
      </c>
      <c r="C26" s="8">
        <f>SUM(C22:C25)</f>
        <v>16782</v>
      </c>
      <c r="D26" s="4">
        <f>SUM(D22:D25)</f>
        <v>65561.03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4882</v>
      </c>
      <c r="D30" s="28">
        <v>33947.919999999998</v>
      </c>
    </row>
    <row r="31" spans="2:4" x14ac:dyDescent="0.25">
      <c r="B31" s="1" t="s">
        <v>4</v>
      </c>
      <c r="C31" s="6">
        <v>848</v>
      </c>
      <c r="D31" s="28">
        <v>12489</v>
      </c>
    </row>
    <row r="32" spans="2:4" x14ac:dyDescent="0.25">
      <c r="B32" s="1" t="s">
        <v>5</v>
      </c>
      <c r="C32" s="6">
        <v>3598</v>
      </c>
      <c r="D32" s="28">
        <v>7587</v>
      </c>
    </row>
    <row r="33" spans="2:4" x14ac:dyDescent="0.25">
      <c r="B33" s="1" t="s">
        <v>6</v>
      </c>
      <c r="C33" s="6">
        <v>1028</v>
      </c>
      <c r="D33" s="28">
        <v>500</v>
      </c>
    </row>
    <row r="34" spans="2:4" x14ac:dyDescent="0.25">
      <c r="B34" s="10" t="s">
        <v>7</v>
      </c>
      <c r="C34" s="8">
        <f>SUM(C30:C33)</f>
        <v>10356</v>
      </c>
      <c r="D34" s="4">
        <f>SUM(D30:D33)</f>
        <v>54523.92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1507</v>
      </c>
    </row>
    <row r="39" spans="2:4" x14ac:dyDescent="0.25">
      <c r="B39" s="1" t="s">
        <v>4</v>
      </c>
      <c r="C39" s="6">
        <v>12</v>
      </c>
      <c r="D39" s="29">
        <v>0</v>
      </c>
    </row>
    <row r="40" spans="2:4" x14ac:dyDescent="0.25">
      <c r="B40" s="1" t="s">
        <v>5</v>
      </c>
      <c r="C40" s="6">
        <v>6</v>
      </c>
      <c r="D40" s="29">
        <v>0</v>
      </c>
    </row>
    <row r="41" spans="2:4" x14ac:dyDescent="0.25">
      <c r="B41" s="1" t="s">
        <v>6</v>
      </c>
      <c r="C41" s="6">
        <v>690</v>
      </c>
      <c r="D41" s="28">
        <v>1478</v>
      </c>
    </row>
    <row r="42" spans="2:4" x14ac:dyDescent="0.25">
      <c r="B42" s="3" t="s">
        <v>7</v>
      </c>
      <c r="C42" s="8">
        <f>SUM(C38:C41)</f>
        <v>721</v>
      </c>
      <c r="D42" s="4">
        <f>SUM(D38:D41)</f>
        <v>2985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97491</v>
      </c>
      <c r="D50" s="13">
        <f>SUMIF(B:B, "Total general", D:D)</f>
        <v>477076.93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20" sqref="B20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6759</v>
      </c>
      <c r="D5" s="28">
        <v>38401</v>
      </c>
      <c r="E5" s="11"/>
    </row>
    <row r="6" spans="2:8" x14ac:dyDescent="0.25">
      <c r="B6" s="1" t="s">
        <v>4</v>
      </c>
      <c r="C6" s="27">
        <v>8556</v>
      </c>
      <c r="D6" s="28">
        <v>24512</v>
      </c>
    </row>
    <row r="7" spans="2:8" x14ac:dyDescent="0.25">
      <c r="B7" s="1" t="s">
        <v>5</v>
      </c>
      <c r="C7" s="27">
        <v>8533</v>
      </c>
      <c r="D7" s="28">
        <v>12865</v>
      </c>
    </row>
    <row r="8" spans="2:8" x14ac:dyDescent="0.25">
      <c r="B8" s="5" t="s">
        <v>10</v>
      </c>
      <c r="C8" s="27">
        <v>2738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999</v>
      </c>
      <c r="E9" s="14"/>
      <c r="F9" s="7"/>
    </row>
    <row r="10" spans="2:8" x14ac:dyDescent="0.25">
      <c r="B10" s="3" t="s">
        <v>7</v>
      </c>
      <c r="C10" s="8">
        <f>SUM(C5:C9)</f>
        <v>37828</v>
      </c>
      <c r="D10" s="4">
        <f>SUM(D5:D9)</f>
        <v>77177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4869</v>
      </c>
      <c r="D14" s="28">
        <v>33769.919999999998</v>
      </c>
    </row>
    <row r="15" spans="2:8" x14ac:dyDescent="0.25">
      <c r="B15" s="1" t="s">
        <v>4</v>
      </c>
      <c r="C15" s="26">
        <v>557</v>
      </c>
      <c r="D15" s="28">
        <v>10703</v>
      </c>
    </row>
    <row r="16" spans="2:8" x14ac:dyDescent="0.25">
      <c r="B16" s="1" t="s">
        <v>5</v>
      </c>
      <c r="C16" s="26">
        <v>3491</v>
      </c>
      <c r="D16" s="28">
        <v>6753</v>
      </c>
    </row>
    <row r="17" spans="2:4" x14ac:dyDescent="0.25">
      <c r="B17" s="9" t="s">
        <v>6</v>
      </c>
      <c r="C17" s="26">
        <v>27</v>
      </c>
      <c r="D17" s="28">
        <v>500</v>
      </c>
    </row>
    <row r="18" spans="2:4" x14ac:dyDescent="0.25">
      <c r="B18" s="10" t="s">
        <v>7</v>
      </c>
      <c r="C18" s="8">
        <f>SUM(C14:C17)</f>
        <v>8944</v>
      </c>
      <c r="D18" s="4">
        <f>SUM(D14:D17)</f>
        <v>51725.919999999998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1257</v>
      </c>
      <c r="D22" s="28">
        <v>6371</v>
      </c>
    </row>
    <row r="23" spans="2:4" x14ac:dyDescent="0.25">
      <c r="B23" s="1" t="s">
        <v>4</v>
      </c>
      <c r="C23" s="26">
        <v>1034</v>
      </c>
      <c r="D23" s="28">
        <v>1053</v>
      </c>
    </row>
    <row r="24" spans="2:4" x14ac:dyDescent="0.25">
      <c r="B24" s="1" t="s">
        <v>5</v>
      </c>
      <c r="C24" s="26">
        <v>1080</v>
      </c>
      <c r="D24" s="29">
        <v>0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2266</v>
      </c>
    </row>
    <row r="27" spans="2:4" x14ac:dyDescent="0.25">
      <c r="B27" s="3" t="s">
        <v>7</v>
      </c>
      <c r="C27" s="8">
        <f>SUM(C22:C26)</f>
        <v>3675</v>
      </c>
      <c r="D27" s="4">
        <f>SUM(D22:D26)</f>
        <v>9690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882</v>
      </c>
    </row>
    <row r="32" spans="2:4" x14ac:dyDescent="0.25">
      <c r="B32" s="1" t="s">
        <v>6</v>
      </c>
      <c r="C32" s="26">
        <v>64</v>
      </c>
      <c r="D32" s="29">
        <v>0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882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5">
        <v>0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0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5">
        <v>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0</v>
      </c>
    </row>
    <row r="50" spans="2:4" x14ac:dyDescent="0.25">
      <c r="B50" s="12" t="s">
        <v>11</v>
      </c>
      <c r="C50" s="13">
        <f>SUMIF(B:B, "Total general", C:C)</f>
        <v>51025</v>
      </c>
      <c r="D50" s="13">
        <f>SUMIF(B:B, "Total general", D:D)</f>
        <v>139474.91999999998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12891</v>
      </c>
      <c r="D3" s="14">
        <f>SUMIF('CDC-OLGUIN'!B:B, "Extrajudicial - 0 a 28 semanas de atraso", 'CDC-OLGUIN'!D:D)</f>
        <v>79423.92</v>
      </c>
    </row>
    <row r="4" spans="2:6" x14ac:dyDescent="0.25">
      <c r="B4" s="1" t="s">
        <v>4</v>
      </c>
      <c r="C4" s="6">
        <f>SUMIF('CDC-OLGUIN'!B:B, "Extrajudicial - 29 a 39 semanas de atraso", 'CDC-OLGUIN'!C:C)</f>
        <v>10148</v>
      </c>
      <c r="D4" s="14">
        <f>SUMIF('CDC-OLGUIN'!B:B, "Extrajudicial - 29 a 39 semanas de atraso", 'CDC-OLGUIN'!D:D)</f>
        <v>36268</v>
      </c>
    </row>
    <row r="5" spans="2:6" x14ac:dyDescent="0.25">
      <c r="B5" s="1" t="s">
        <v>5</v>
      </c>
      <c r="C5" s="6">
        <f>SUMIF('CDC-OLGUIN'!B:B, "Extrajudicial - 40 a 55 semanas de atraso", 'CDC-OLGUIN'!C:C)</f>
        <v>13105</v>
      </c>
      <c r="D5" s="14">
        <f>SUMIF('CDC-OLGUIN'!B:B, "Extrajudicial - 40 a 55 semanas de atraso", 'CDC-OLGUIN'!D:D)</f>
        <v>19618</v>
      </c>
    </row>
    <row r="6" spans="2:6" x14ac:dyDescent="0.25">
      <c r="B6" s="5" t="s">
        <v>10</v>
      </c>
      <c r="C6" s="6">
        <f>SUMIF('CDC-OLGUIN'!B:B, "JUDICIAL", 'CDC-OLGUIN'!C:C)</f>
        <v>2738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3765</v>
      </c>
      <c r="E7" s="14"/>
      <c r="F7" s="7"/>
    </row>
    <row r="8" spans="2:6" x14ac:dyDescent="0.25">
      <c r="B8" s="3" t="s">
        <v>7</v>
      </c>
      <c r="C8" s="8">
        <f>SUM(C3:C7)</f>
        <v>51025</v>
      </c>
      <c r="D8" s="4">
        <f>SUM(D3:D7)</f>
        <v>139474.91999999998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13440</v>
      </c>
      <c r="E6" s="16">
        <f>SUMIF('REPORTE DIARIO'!B:B,'EPR 26 JUN'!C6, 'REPORTE DIARIO'!D:D)</f>
        <v>182300.01</v>
      </c>
      <c r="F6" s="16">
        <f>J6*D6</f>
        <v>844800</v>
      </c>
      <c r="G6" s="16">
        <f>+E6-F6</f>
        <v>-662499.99</v>
      </c>
      <c r="H6" s="15">
        <f>ABS(G6/F6)</f>
        <v>0.7842092684659091</v>
      </c>
      <c r="I6" s="16">
        <f>E6/D6</f>
        <v>13.563988839285715</v>
      </c>
      <c r="J6" s="16">
        <f>(220/7)*2</f>
        <v>62.857142857142854</v>
      </c>
      <c r="K6" s="16">
        <f>+I6-J6</f>
        <v>-49.293154017857141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9681</v>
      </c>
      <c r="E7" s="16">
        <f>SUMIF('REPORTE DIARIO'!B:B,'EPR 26 JUN'!C7, 'REPORTE DIARIO'!D:D)</f>
        <v>73138.260000000009</v>
      </c>
      <c r="F7" s="16">
        <f>J7*D7</f>
        <v>304260</v>
      </c>
      <c r="G7" s="16">
        <f>+E7-F7</f>
        <v>-231121.74</v>
      </c>
      <c r="H7" s="15">
        <f>ABS(G7/F7)</f>
        <v>0.75961920725695131</v>
      </c>
      <c r="I7" s="16">
        <f>E7/D7</f>
        <v>7.5548249147815314</v>
      </c>
      <c r="J7" s="16">
        <f>(110/7)*2</f>
        <v>31.428571428571427</v>
      </c>
      <c r="K7" s="16">
        <f t="shared" ref="K7:K9" si="0">+I7-J7</f>
        <v>-23.873746513789897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16806</v>
      </c>
      <c r="E8" s="16">
        <f>SUMIF('REPORTE DIARIO'!B:B,'EPR 26 JUN'!C8, 'REPORTE DIARIO'!D:D)</f>
        <v>118039</v>
      </c>
      <c r="F8" s="16">
        <f>J8*D8</f>
        <v>216077.14285714287</v>
      </c>
      <c r="G8" s="16">
        <f>+E8-F8</f>
        <v>-98038.14285714287</v>
      </c>
      <c r="H8" s="15">
        <f>ABS(G8/F8)</f>
        <v>0.45371824877358619</v>
      </c>
      <c r="I8" s="16">
        <f>E8/D8</f>
        <v>7.023622515768178</v>
      </c>
      <c r="J8" s="16">
        <f>(45/7)*2</f>
        <v>12.857142857142858</v>
      </c>
      <c r="K8" s="16">
        <f t="shared" si="0"/>
        <v>-5.8335203413746797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57058</v>
      </c>
      <c r="E9" s="16">
        <f>SUMIF('REPORTE DIARIO'!B:B,'EPR 26 JUN'!C9, 'REPORTE DIARIO'!D:D)</f>
        <v>103599.66</v>
      </c>
      <c r="F9" s="16">
        <f>J9*D9</f>
        <v>244534.28571428571</v>
      </c>
      <c r="G9" s="16">
        <f>+E9-F9</f>
        <v>-140934.62571428571</v>
      </c>
      <c r="H9" s="15">
        <f>ABS(G9/F9)</f>
        <v>0.57633891829366612</v>
      </c>
      <c r="I9" s="16">
        <f>E9/D9</f>
        <v>1.8156903501700026</v>
      </c>
      <c r="J9" s="16">
        <f>(15/7)*2</f>
        <v>4.2857142857142856</v>
      </c>
      <c r="K9" s="16">
        <f t="shared" si="0"/>
        <v>-2.4700239355442832</v>
      </c>
    </row>
    <row r="10" spans="2:12" x14ac:dyDescent="0.25">
      <c r="B10" s="16"/>
      <c r="C10" s="19" t="s">
        <v>15</v>
      </c>
      <c r="D10" s="24">
        <f>SUM(D6:D9)</f>
        <v>96985</v>
      </c>
      <c r="E10" s="20">
        <f>SUM(E6:E9)</f>
        <v>477076.93000000005</v>
      </c>
      <c r="F10" s="20">
        <f>SUM(F6:F9)</f>
        <v>1609671.4285714286</v>
      </c>
      <c r="G10" s="20">
        <f>+E10-F10</f>
        <v>-1132594.4985714285</v>
      </c>
      <c r="H10" s="21">
        <f>ABS(G10/F10)</f>
        <v>0.70361843943306968</v>
      </c>
      <c r="I10" s="20">
        <f>E10/D10</f>
        <v>4.9190795483837713</v>
      </c>
      <c r="J10" s="20">
        <f>F10/D10</f>
        <v>16.597117374557186</v>
      </c>
      <c r="K10" s="20">
        <f>I10-J10</f>
        <v>-11.678037826173416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2025-11-12T02:35:48Z</cp:lastPrinted>
  <dcterms:created xsi:type="dcterms:W3CDTF">2025-01-27T15:11:28Z</dcterms:created>
  <dcterms:modified xsi:type="dcterms:W3CDTF">2025-11-12T02:40:44Z</dcterms:modified>
</cp:coreProperties>
</file>