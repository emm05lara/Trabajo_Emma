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2 NOV\MAÑANA\"/>
    </mc:Choice>
  </mc:AlternateContent>
  <xr:revisionPtr revIDLastSave="0" documentId="13_ncr:1_{6B4BBFE8-C256-432B-9322-181F2F908675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<sst xmlns="http://schemas.openxmlformats.org/spreadsheetml/2006/main" count="139" uniqueCount="37">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</sst>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36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7924</v>
      </c>
      <c r="D5" s="28">
        <v>172623.43</v>
      </c>
    </row>
    <row r="6" spans="2:8" x14ac:dyDescent="0.25">
      <c r="B6" s="1" t="s">
        <v>4</v>
      </c>
      <c r="C6" s="6">
        <v>7387</v>
      </c>
      <c r="D6" s="28">
        <v>79716.23</v>
      </c>
    </row>
    <row r="7" spans="2:8" x14ac:dyDescent="0.25">
      <c r="B7" s="1" t="s">
        <v>5</v>
      </c>
      <c r="C7" s="6">
        <v>7242</v>
      </c>
      <c r="D7" s="28">
        <v>53336.83</v>
      </c>
    </row>
    <row r="8" spans="2:8" x14ac:dyDescent="0.25">
      <c r="B8" s="5" t="s">
        <v>10</v>
      </c>
      <c r="C8" s="7">
        <v>506</v>
      </c>
      <c r="D8" s="29">
        <v>0</v>
      </c>
    </row>
    <row r="9" spans="2:8" x14ac:dyDescent="0.25">
      <c r="B9" s="1" t="s">
        <v>6</v>
      </c>
      <c r="C9" s="6">
        <v>36516</v>
      </c>
      <c r="D9" s="28">
        <v>102046.02</v>
      </c>
      <c r="E9" s="14"/>
      <c r="F9" s="7"/>
    </row>
    <row r="10" spans="2:8" x14ac:dyDescent="0.25">
      <c r="B10" s="3" t="s">
        <v>7</v>
      </c>
      <c r="C10" s="8">
        <f>SUM(C5:C9)</f>
        <v>59575</v>
      </c>
      <c r="D10" s="4">
        <f>SUM(D5:D9)</f>
        <v>407722.51</v>
      </c>
      <c r="E10" s="11" t="s">
        <v>12</v>
      </c>
    </row>
    <row r="12" spans="2:8" x14ac:dyDescent="0.25">
      <c r="B12" s="31" t="s">
        <v>8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571</v>
      </c>
      <c r="D14" s="28">
        <v>10265</v>
      </c>
    </row>
    <row r="15" spans="2:8" x14ac:dyDescent="0.25">
      <c r="B15" s="9" t="s">
        <v>4</v>
      </c>
      <c r="C15" s="6">
        <v>1307</v>
      </c>
      <c r="D15" s="28">
        <v>7617</v>
      </c>
    </row>
    <row r="16" spans="2:8" x14ac:dyDescent="0.25">
      <c r="B16" s="9" t="s">
        <v>5</v>
      </c>
      <c r="C16" s="6">
        <v>3714</v>
      </c>
      <c r="D16" s="28">
        <v>63029</v>
      </c>
    </row>
    <row r="17" spans="2:4" x14ac:dyDescent="0.25">
      <c r="B17" s="9" t="s">
        <v>6</v>
      </c>
      <c r="C17" s="6">
        <v>4567</v>
      </c>
      <c r="D17" s="28">
        <v>18152.240000000002</v>
      </c>
    </row>
    <row r="18" spans="2:4" x14ac:dyDescent="0.25">
      <c r="B18" s="10" t="s">
        <v>7</v>
      </c>
      <c r="C18" s="8">
        <f>SUM(C14:C17)</f>
        <v>10159</v>
      </c>
      <c r="D18" s="4">
        <f>SUM(D14:D17)</f>
        <v>99063.24</v>
      </c>
    </row>
    <row r="20" spans="2:4" x14ac:dyDescent="0.25">
      <c r="B20" s="30" t="s">
        <v>33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88</v>
      </c>
      <c r="D22" s="28">
        <v>13699</v>
      </c>
    </row>
    <row r="23" spans="2:4" x14ac:dyDescent="0.25">
      <c r="B23" s="1" t="s">
        <v>4</v>
      </c>
      <c r="C23" s="6">
        <v>134</v>
      </c>
      <c r="D23" s="28">
        <v>16810.03</v>
      </c>
    </row>
    <row r="24" spans="2:4" x14ac:dyDescent="0.25">
      <c r="B24" s="1" t="s">
        <v>5</v>
      </c>
      <c r="C24" s="6">
        <v>2017</v>
      </c>
      <c r="D24" s="28">
        <v>18008</v>
      </c>
    </row>
    <row r="25" spans="2:4" x14ac:dyDescent="0.25">
      <c r="B25" s="1" t="s">
        <v>6</v>
      </c>
      <c r="C25" s="7">
        <v>14518</v>
      </c>
      <c r="D25" s="28">
        <v>27970</v>
      </c>
    </row>
    <row r="26" spans="2:4" x14ac:dyDescent="0.25">
      <c r="B26" s="3" t="s">
        <v>7</v>
      </c>
      <c r="C26" s="8">
        <f>SUM(C22:C25)</f>
        <v>16757</v>
      </c>
      <c r="D26" s="4">
        <f>SUM(D22:D25)</f>
        <v>76487.03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4881</v>
      </c>
      <c r="D30" s="28">
        <v>35751.4</v>
      </c>
    </row>
    <row r="31" spans="2:4" x14ac:dyDescent="0.25">
      <c r="B31" s="1" t="s">
        <v>4</v>
      </c>
      <c r="C31" s="6">
        <v>848</v>
      </c>
      <c r="D31" s="28">
        <v>12489</v>
      </c>
    </row>
    <row r="32" spans="2:4" x14ac:dyDescent="0.25">
      <c r="B32" s="1" t="s">
        <v>5</v>
      </c>
      <c r="C32" s="6">
        <v>3585</v>
      </c>
      <c r="D32" s="28">
        <v>8980</v>
      </c>
    </row>
    <row r="33" spans="2:4" x14ac:dyDescent="0.25">
      <c r="B33" s="1" t="s">
        <v>6</v>
      </c>
      <c r="C33" s="6">
        <v>1028</v>
      </c>
      <c r="D33" s="28">
        <v>500</v>
      </c>
    </row>
    <row r="34" spans="2:4" x14ac:dyDescent="0.25">
      <c r="B34" s="10" t="s">
        <v>7</v>
      </c>
      <c r="C34" s="8">
        <f>SUM(C30:C33)</f>
        <v>10342</v>
      </c>
      <c r="D34" s="4">
        <f>SUM(D30:D33)</f>
        <v>57720.4</v>
      </c>
    </row>
    <row r="36" spans="2:4" x14ac:dyDescent="0.25">
      <c r="B36" s="30" t="s">
        <v>28</v>
      </c>
      <c r="C36" s="30"/>
      <c r="D36" s="3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2505</v>
      </c>
    </row>
    <row r="39" spans="2:4" x14ac:dyDescent="0.25">
      <c r="B39" s="1" t="s">
        <v>4</v>
      </c>
      <c r="C39" s="6">
        <v>12</v>
      </c>
      <c r="D39" s="29">
        <v>0</v>
      </c>
    </row>
    <row r="40" spans="2:4" x14ac:dyDescent="0.25">
      <c r="B40" s="1" t="s">
        <v>5</v>
      </c>
      <c r="C40" s="6">
        <v>6</v>
      </c>
      <c r="D40" s="29">
        <v>0</v>
      </c>
    </row>
    <row r="41" spans="2:4" x14ac:dyDescent="0.25">
      <c r="B41" s="1" t="s">
        <v>6</v>
      </c>
      <c r="C41" s="6">
        <v>690</v>
      </c>
      <c r="D41" s="28">
        <v>1171</v>
      </c>
    </row>
    <row r="42" spans="2:4" x14ac:dyDescent="0.25">
      <c r="B42" s="3" t="s">
        <v>7</v>
      </c>
      <c r="C42" s="8">
        <f>SUM(C38:C41)</f>
        <v>721</v>
      </c>
      <c r="D42" s="4">
        <f>SUM(D38:D41)</f>
        <v>3676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97554</v>
      </c>
      <c r="D50" s="13">
        <f>SUMIF(B:B, "Total general", D:D)</f>
        <v>644669.18000000005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16" zoomScaleNormal="100" workbookViewId="0">
      <selection activeCell="D34" sqref="D3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35</v>
      </c>
      <c r="C1" s="30"/>
      <c r="D1" s="30"/>
    </row>
    <row r="3" spans="2:8" x14ac:dyDescent="0.25">
      <c r="B3" s="30" t="s">
        <v>34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6759</v>
      </c>
      <c r="D5" s="28">
        <v>40617.880000000005</v>
      </c>
      <c r="E5" s="11"/>
    </row>
    <row r="6" spans="2:8" x14ac:dyDescent="0.25">
      <c r="B6" s="1" t="s">
        <v>4</v>
      </c>
      <c r="C6" s="27">
        <v>8556</v>
      </c>
      <c r="D6" s="28">
        <v>30138.33</v>
      </c>
    </row>
    <row r="7" spans="2:8" x14ac:dyDescent="0.25">
      <c r="B7" s="1" t="s">
        <v>5</v>
      </c>
      <c r="C7" s="27">
        <v>8533</v>
      </c>
      <c r="D7" s="28">
        <v>14138</v>
      </c>
    </row>
    <row r="8" spans="2:8" x14ac:dyDescent="0.25">
      <c r="B8" s="5" t="s">
        <v>10</v>
      </c>
      <c r="C8" s="27">
        <v>2738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2013</v>
      </c>
      <c r="E9" s="14"/>
      <c r="F9" s="7"/>
    </row>
    <row r="10" spans="2:8" x14ac:dyDescent="0.25">
      <c r="B10" s="3" t="s">
        <v>7</v>
      </c>
      <c r="C10" s="8">
        <f>SUM(C5:C9)</f>
        <v>37828</v>
      </c>
      <c r="D10" s="4">
        <f>SUM(D5:D9)</f>
        <v>87307.21</v>
      </c>
      <c r="E10" s="11" t="s">
        <v>12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4869</v>
      </c>
      <c r="D14" s="28">
        <v>35573.4</v>
      </c>
    </row>
    <row r="15" spans="2:8" x14ac:dyDescent="0.25">
      <c r="B15" s="1" t="s">
        <v>4</v>
      </c>
      <c r="C15" s="26">
        <v>557</v>
      </c>
      <c r="D15" s="28">
        <v>10703</v>
      </c>
    </row>
    <row r="16" spans="2:8" x14ac:dyDescent="0.25">
      <c r="B16" s="1" t="s">
        <v>5</v>
      </c>
      <c r="C16" s="26">
        <v>3491</v>
      </c>
      <c r="D16" s="28">
        <v>8146</v>
      </c>
    </row>
    <row r="17" spans="2:4" x14ac:dyDescent="0.25">
      <c r="B17" s="9" t="s">
        <v>6</v>
      </c>
      <c r="C17" s="26">
        <v>27</v>
      </c>
      <c r="D17" s="28">
        <v>500</v>
      </c>
    </row>
    <row r="18" spans="2:4" x14ac:dyDescent="0.25">
      <c r="B18" s="10" t="s">
        <v>7</v>
      </c>
      <c r="C18" s="8">
        <f>SUM(C14:C17)</f>
        <v>8944</v>
      </c>
      <c r="D18" s="4">
        <f>SUM(D14:D17)</f>
        <v>54922.400000000001</v>
      </c>
    </row>
    <row r="20" spans="2:4" x14ac:dyDescent="0.25">
      <c r="B20" s="30" t="s">
        <v>36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1257</v>
      </c>
      <c r="D22" s="28">
        <v>10184</v>
      </c>
    </row>
    <row r="23" spans="2:4" x14ac:dyDescent="0.25">
      <c r="B23" s="1" t="s">
        <v>4</v>
      </c>
      <c r="C23" s="26">
        <v>1034</v>
      </c>
      <c r="D23" s="28">
        <v>1053</v>
      </c>
    </row>
    <row r="24" spans="2:4" x14ac:dyDescent="0.25">
      <c r="B24" s="1" t="s">
        <v>5</v>
      </c>
      <c r="C24" s="26">
        <v>1080</v>
      </c>
      <c r="D24" s="28">
        <v>221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2919</v>
      </c>
    </row>
    <row r="27" spans="2:4" x14ac:dyDescent="0.25">
      <c r="B27" s="3" t="s">
        <v>7</v>
      </c>
      <c r="C27" s="8">
        <f>SUM(C22:C26)</f>
        <v>3675</v>
      </c>
      <c r="D27" s="4">
        <f>SUM(D22:D26)</f>
        <v>14377</v>
      </c>
    </row>
    <row r="29" spans="2:4" x14ac:dyDescent="0.25">
      <c r="B29" s="30" t="s">
        <v>28</v>
      </c>
      <c r="C29" s="30"/>
      <c r="D29" s="30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882</v>
      </c>
    </row>
    <row r="32" spans="2:4" x14ac:dyDescent="0.25">
      <c r="B32" s="1" t="s">
        <v>6</v>
      </c>
      <c r="C32" s="26">
        <v>64</v>
      </c>
      <c r="D32" s="29">
        <v>0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882</v>
      </c>
    </row>
    <row r="35" spans="2:4" x14ac:dyDescent="0.25">
      <c r="B35" s="30" t="s">
        <v>33</v>
      </c>
      <c r="C35" s="30"/>
      <c r="D35" s="30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5">
        <v>0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5">
        <v>0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0</v>
      </c>
    </row>
    <row r="43" spans="2:4" x14ac:dyDescent="0.25">
      <c r="B43" s="31" t="s">
        <v>8</v>
      </c>
      <c r="C43" s="31"/>
      <c r="D43" s="31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5">
        <v>0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0</v>
      </c>
    </row>
    <row r="50" spans="2:4" x14ac:dyDescent="0.25">
      <c r="B50" s="12" t="s">
        <v>11</v>
      </c>
      <c r="C50" s="13">
        <f>SUMIF(B:B, "Total general", C:C)</f>
        <v>51025</v>
      </c>
      <c r="D50" s="13">
        <f>SUMIF(B:B, "Total general", D:D)</f>
        <v>157488.61000000002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35</v>
      </c>
      <c r="C1" s="30"/>
      <c r="D1" s="3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12891</v>
      </c>
      <c r="D3" s="14">
        <f>SUMIF('CDC-OLGUIN'!B:B, "Extrajudicial - 0 a 28 semanas de atraso", 'CDC-OLGUIN'!D:D)</f>
        <v>87257.279999999999</v>
      </c>
    </row>
    <row r="4" spans="2:6" x14ac:dyDescent="0.25">
      <c r="B4" s="1" t="s">
        <v>4</v>
      </c>
      <c r="C4" s="6">
        <f>SUMIF('CDC-OLGUIN'!B:B, "Extrajudicial - 29 a 39 semanas de atraso", 'CDC-OLGUIN'!C:C)</f>
        <v>10148</v>
      </c>
      <c r="D4" s="14">
        <f>SUMIF('CDC-OLGUIN'!B:B, "Extrajudicial - 29 a 39 semanas de atraso", 'CDC-OLGUIN'!D:D)</f>
        <v>41894.33</v>
      </c>
    </row>
    <row r="5" spans="2:6" x14ac:dyDescent="0.25">
      <c r="B5" s="1" t="s">
        <v>5</v>
      </c>
      <c r="C5" s="6">
        <f>SUMIF('CDC-OLGUIN'!B:B, "Extrajudicial - 40 a 55 semanas de atraso", 'CDC-OLGUIN'!C:C)</f>
        <v>13105</v>
      </c>
      <c r="D5" s="14">
        <f>SUMIF('CDC-OLGUIN'!B:B, "Extrajudicial - 40 a 55 semanas de atraso", 'CDC-OLGUIN'!D:D)</f>
        <v>22505</v>
      </c>
    </row>
    <row r="6" spans="2:6" x14ac:dyDescent="0.25">
      <c r="B6" s="5" t="s">
        <v>10</v>
      </c>
      <c r="C6" s="6">
        <f>SUMIF('CDC-OLGUIN'!B:B, "JUDICIAL", 'CDC-OLGUIN'!C:C)</f>
        <v>2738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5432</v>
      </c>
      <c r="E7" s="14"/>
      <c r="F7" s="7"/>
    </row>
    <row r="8" spans="2:6" x14ac:dyDescent="0.25">
      <c r="B8" s="3" t="s">
        <v>7</v>
      </c>
      <c r="C8" s="8">
        <f>SUM(C3:C7)</f>
        <v>51025</v>
      </c>
      <c r="D8" s="4">
        <f>SUM(D3:D7)</f>
        <v>157488.60999999999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13477</v>
      </c>
      <c r="E6" s="16">
        <f>SUMIF('REPORTE DIARIO'!B:B,'EPR 26 JUN'!C6, 'REPORTE DIARIO'!D:D)</f>
        <v>234843.83</v>
      </c>
      <c r="F6" s="16">
        <f>J6*D6</f>
        <v>847125.7142857142</v>
      </c>
      <c r="G6" s="16">
        <f>+E6-F6</f>
        <v>-612281.88428571424</v>
      </c>
      <c r="H6" s="15">
        <f>ABS(G6/F6)</f>
        <v>0.72277570372419009</v>
      </c>
      <c r="I6" s="16">
        <f>E6/D6</f>
        <v>17.425527194479482</v>
      </c>
      <c r="J6" s="16">
        <f>(220/7)*2</f>
        <v>62.857142857142854</v>
      </c>
      <c r="K6" s="16">
        <f>+I6-J6</f>
        <v>-45.431615662663376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9688</v>
      </c>
      <c r="E7" s="16">
        <f>SUMIF('REPORTE DIARIO'!B:B,'EPR 26 JUN'!C7, 'REPORTE DIARIO'!D:D)</f>
        <v>116632.26</v>
      </c>
      <c r="F7" s="16">
        <f>J7*D7</f>
        <v>304480</v>
      </c>
      <c r="G7" s="16">
        <f>+E7-F7</f>
        <v>-187847.74</v>
      </c>
      <c r="H7" s="15">
        <f>ABS(G7/F7)</f>
        <v>0.61694607199159224</v>
      </c>
      <c r="I7" s="16">
        <f>E7/D7</f>
        <v>12.038837737407102</v>
      </c>
      <c r="J7" s="16">
        <f>(110/7)*2</f>
        <v>31.428571428571427</v>
      </c>
      <c r="K7" s="16">
        <f t="shared" ref="K7:K9" si="0">+I7-J7</f>
        <v>-19.389733691164324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16564</v>
      </c>
      <c r="E8" s="16">
        <f>SUMIF('REPORTE DIARIO'!B:B,'EPR 26 JUN'!C8, 'REPORTE DIARIO'!D:D)</f>
        <v>143353.83000000002</v>
      </c>
      <c r="F8" s="16">
        <f>J8*D8</f>
        <v>212965.71428571429</v>
      </c>
      <c r="G8" s="16">
        <f>+E8-F8</f>
        <v>-69611.884285714274</v>
      </c>
      <c r="H8" s="15">
        <f>ABS(G8/F8)</f>
        <v>0.32686897287289696</v>
      </c>
      <c r="I8" s="16">
        <f>E8/D8</f>
        <v>8.6545417773484683</v>
      </c>
      <c r="J8" s="16">
        <f>(45/7)*2</f>
        <v>12.857142857142858</v>
      </c>
      <c r="K8" s="16">
        <f t="shared" si="0"/>
        <v>-4.2026010797943893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57319</v>
      </c>
      <c r="E9" s="16">
        <f>SUMIF('REPORTE DIARIO'!B:B,'EPR 26 JUN'!C9, 'REPORTE DIARIO'!D:D)</f>
        <v>149839.26</v>
      </c>
      <c r="F9" s="16">
        <f>J9*D9</f>
        <v>245652.85714285713</v>
      </c>
      <c r="G9" s="16">
        <f>+E9-F9</f>
        <v>-95813.597142857121</v>
      </c>
      <c r="H9" s="15">
        <f>ABS(G9/F9)</f>
        <v>0.39003656728135516</v>
      </c>
      <c r="I9" s="16">
        <f>E9/D9</f>
        <v>2.6141289973656208</v>
      </c>
      <c r="J9" s="16">
        <f>(15/7)*2</f>
        <v>4.2857142857142856</v>
      </c>
      <c r="K9" s="16">
        <f t="shared" si="0"/>
        <v>-1.6715852883486648</v>
      </c>
    </row>
    <row r="10" spans="2:12" x14ac:dyDescent="0.25">
      <c r="B10" s="16"/>
      <c r="C10" s="19" t="s">
        <v>15</v>
      </c>
      <c r="D10" s="24">
        <f>SUM(D6:D9)</f>
        <v>97048</v>
      </c>
      <c r="E10" s="20">
        <f>SUM(E6:E9)</f>
        <v>644669.17999999993</v>
      </c>
      <c r="F10" s="20">
        <f>SUM(F6:F9)</f>
        <v>1610224.2857142854</v>
      </c>
      <c r="G10" s="20">
        <f>+E10-F10</f>
        <v>-965555.10571428551</v>
      </c>
      <c r="H10" s="21">
        <f>ABS(G10/F10)</f>
        <v>0.59964013353951573</v>
      </c>
      <c r="I10" s="20">
        <f>E10/D10</f>
        <v>6.6427868683538041</v>
      </c>
      <c r="J10" s="20">
        <f>F10/D10</f>
        <v>16.592039874230128</v>
      </c>
      <c r="K10" s="20">
        <f>I10-J10</f>
        <v>-9.949253005876324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2025-11-12T17:33:40Z</cp:lastPrinted>
  <dcterms:created xsi:type="dcterms:W3CDTF">2025-01-27T15:11:28Z</dcterms:created>
  <dcterms:modified xsi:type="dcterms:W3CDTF">2025-11-12T17:35:46Z</dcterms:modified>
</cp:coreProperties>
</file>