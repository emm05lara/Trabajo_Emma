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2 NOV\NOCHE\"/>
    </mc:Choice>
  </mc:AlternateContent>
  <xr:revisionPtr revIDLastSave="0" documentId="13_ncr:1_{9499DEC1-26DE-4C76-B7DA-4478DF5629F6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34" i="1"/>
  <c r="D41" i="5"/>
  <c r="C34" i="1"/>
  <c r="C26" i="1"/>
  <c r="D26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<sst xmlns="http://schemas.openxmlformats.org/spreadsheetml/2006/main" count="139" uniqueCount="37">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</sst>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7322</v>
      </c>
      <c r="D5" s="28">
        <v>254519.43</v>
      </c>
    </row>
    <row r="6" spans="2:8" x14ac:dyDescent="0.25">
      <c r="B6" s="1" t="s">
        <v>4</v>
      </c>
      <c r="C6" s="6">
        <v>7281</v>
      </c>
      <c r="D6" s="28">
        <v>99536.23</v>
      </c>
    </row>
    <row r="7" spans="2:8" x14ac:dyDescent="0.25">
      <c r="B7" s="1" t="s">
        <v>5</v>
      </c>
      <c r="C7" s="6">
        <v>6127</v>
      </c>
      <c r="D7" s="28">
        <v>61458.83</v>
      </c>
    </row>
    <row r="8" spans="2:8" x14ac:dyDescent="0.25">
      <c r="B8" s="5" t="s">
        <v>10</v>
      </c>
      <c r="C8" s="7">
        <v>506</v>
      </c>
      <c r="D8" s="28">
        <v>1000</v>
      </c>
    </row>
    <row r="9" spans="2:8" x14ac:dyDescent="0.25">
      <c r="B9" s="1" t="s">
        <v>6</v>
      </c>
      <c r="C9" s="6">
        <v>36516</v>
      </c>
      <c r="D9" s="28">
        <v>121366.26</v>
      </c>
      <c r="E9" s="14"/>
      <c r="F9" s="7"/>
    </row>
    <row r="10" spans="2:8" x14ac:dyDescent="0.25">
      <c r="B10" s="3" t="s">
        <v>7</v>
      </c>
      <c r="C10" s="8">
        <f>SUM(C5:C9)</f>
        <v>57752</v>
      </c>
      <c r="D10" s="4">
        <f>SUM(D5:D9)</f>
        <v>537880.75</v>
      </c>
      <c r="E10" s="11" t="s">
        <v>12</v>
      </c>
    </row>
    <row r="12" spans="2:8" x14ac:dyDescent="0.25">
      <c r="B12" s="31" t="s">
        <v>8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571</v>
      </c>
      <c r="D14" s="28">
        <v>12845</v>
      </c>
    </row>
    <row r="15" spans="2:8" x14ac:dyDescent="0.25">
      <c r="B15" s="9" t="s">
        <v>4</v>
      </c>
      <c r="C15" s="6">
        <v>1306</v>
      </c>
      <c r="D15" s="28">
        <v>14446</v>
      </c>
    </row>
    <row r="16" spans="2:8" x14ac:dyDescent="0.25">
      <c r="B16" s="9" t="s">
        <v>5</v>
      </c>
      <c r="C16" s="6">
        <v>3601</v>
      </c>
      <c r="D16" s="28">
        <v>70148</v>
      </c>
    </row>
    <row r="17" spans="2:4" x14ac:dyDescent="0.25">
      <c r="B17" s="9" t="s">
        <v>6</v>
      </c>
      <c r="C17" s="6">
        <v>4482</v>
      </c>
      <c r="D17" s="28">
        <v>21627.24</v>
      </c>
    </row>
    <row r="18" spans="2:4" x14ac:dyDescent="0.25">
      <c r="B18" s="10" t="s">
        <v>7</v>
      </c>
      <c r="C18" s="8">
        <f>SUM(C14:C17)</f>
        <v>9960</v>
      </c>
      <c r="D18" s="4">
        <f>SUM(D14:D17)</f>
        <v>119066.24000000001</v>
      </c>
    </row>
    <row r="20" spans="2:4" x14ac:dyDescent="0.25">
      <c r="B20" s="31" t="s">
        <v>9</v>
      </c>
      <c r="C20" s="31"/>
      <c r="D20" s="3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4881</v>
      </c>
      <c r="D22" s="28">
        <v>82217.399999999994</v>
      </c>
    </row>
    <row r="23" spans="2:4" x14ac:dyDescent="0.25">
      <c r="B23" s="1" t="s">
        <v>4</v>
      </c>
      <c r="C23" s="6">
        <v>846</v>
      </c>
      <c r="D23" s="28">
        <v>13670</v>
      </c>
    </row>
    <row r="24" spans="2:4" x14ac:dyDescent="0.25">
      <c r="B24" s="1" t="s">
        <v>5</v>
      </c>
      <c r="C24" s="6">
        <v>3585</v>
      </c>
      <c r="D24" s="28">
        <v>8980</v>
      </c>
    </row>
    <row r="25" spans="2:4" x14ac:dyDescent="0.25">
      <c r="B25" s="1" t="s">
        <v>6</v>
      </c>
      <c r="C25" s="6">
        <v>1028</v>
      </c>
      <c r="D25" s="28">
        <v>500</v>
      </c>
    </row>
    <row r="26" spans="2:4" x14ac:dyDescent="0.25">
      <c r="B26" s="10" t="s">
        <v>7</v>
      </c>
      <c r="C26" s="8">
        <f>SUM(C22:C25)</f>
        <v>10340</v>
      </c>
      <c r="D26" s="4">
        <f>SUM(D22:D25)</f>
        <v>105367.4</v>
      </c>
    </row>
    <row r="28" spans="2:4" x14ac:dyDescent="0.25">
      <c r="B28" s="30" t="s">
        <v>33</v>
      </c>
      <c r="C28" s="30"/>
      <c r="D28" s="3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>
        <v>88</v>
      </c>
      <c r="D30" s="28">
        <v>14168</v>
      </c>
    </row>
    <row r="31" spans="2:4" x14ac:dyDescent="0.25">
      <c r="B31" s="1" t="s">
        <v>4</v>
      </c>
      <c r="C31" s="6">
        <v>131</v>
      </c>
      <c r="D31" s="28">
        <v>18240.03</v>
      </c>
    </row>
    <row r="32" spans="2:4" x14ac:dyDescent="0.25">
      <c r="B32" s="1" t="s">
        <v>5</v>
      </c>
      <c r="C32" s="6">
        <v>1958</v>
      </c>
      <c r="D32" s="28">
        <v>19028</v>
      </c>
    </row>
    <row r="33" spans="2:4" x14ac:dyDescent="0.25">
      <c r="B33" s="1" t="s">
        <v>6</v>
      </c>
      <c r="C33" s="7">
        <v>14497</v>
      </c>
      <c r="D33" s="28">
        <v>32523</v>
      </c>
    </row>
    <row r="34" spans="2:4" x14ac:dyDescent="0.25">
      <c r="B34" s="3" t="s">
        <v>7</v>
      </c>
      <c r="C34" s="8">
        <f>SUM(C30:C33)</f>
        <v>16674</v>
      </c>
      <c r="D34" s="4">
        <f>SUM(D30:D33)</f>
        <v>83959.03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2505</v>
      </c>
    </row>
    <row r="39" spans="2:4" x14ac:dyDescent="0.25">
      <c r="B39" s="1" t="s">
        <v>4</v>
      </c>
      <c r="C39" s="6">
        <v>12</v>
      </c>
      <c r="D39" s="29">
        <v>0</v>
      </c>
    </row>
    <row r="40" spans="2:4" x14ac:dyDescent="0.25">
      <c r="B40" s="1" t="s">
        <v>5</v>
      </c>
      <c r="C40" s="6">
        <v>6</v>
      </c>
      <c r="D40" s="29">
        <v>0</v>
      </c>
    </row>
    <row r="41" spans="2:4" x14ac:dyDescent="0.25">
      <c r="B41" s="1" t="s">
        <v>6</v>
      </c>
      <c r="C41" s="6">
        <v>690</v>
      </c>
      <c r="D41" s="28">
        <v>1171</v>
      </c>
    </row>
    <row r="42" spans="2:4" x14ac:dyDescent="0.25">
      <c r="B42" s="3" t="s">
        <v>7</v>
      </c>
      <c r="C42" s="8">
        <f>SUM(C38:C41)</f>
        <v>721</v>
      </c>
      <c r="D42" s="4">
        <f>SUM(D38:D41)</f>
        <v>3676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95447</v>
      </c>
      <c r="D50" s="13">
        <f>SUMIF(B:B, "Total general", D:D)</f>
        <v>849949.42</v>
      </c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10" sqref="C1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6780</v>
      </c>
      <c r="D5" s="28">
        <v>52639.880000000005</v>
      </c>
      <c r="E5" s="11"/>
    </row>
    <row r="6" spans="2:8" x14ac:dyDescent="0.25">
      <c r="B6" s="1" t="s">
        <v>4</v>
      </c>
      <c r="C6" s="27">
        <v>8556</v>
      </c>
      <c r="D6" s="28">
        <v>33635.33</v>
      </c>
    </row>
    <row r="7" spans="2:8" x14ac:dyDescent="0.25">
      <c r="B7" s="1" t="s">
        <v>5</v>
      </c>
      <c r="C7" s="27">
        <v>8292</v>
      </c>
      <c r="D7" s="28">
        <v>17689</v>
      </c>
    </row>
    <row r="8" spans="2:8" x14ac:dyDescent="0.25">
      <c r="B8" s="5" t="s">
        <v>10</v>
      </c>
      <c r="C8" s="27">
        <v>2738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2147</v>
      </c>
      <c r="E9" s="14"/>
      <c r="F9" s="7"/>
    </row>
    <row r="10" spans="2:8" x14ac:dyDescent="0.25">
      <c r="B10" s="3" t="s">
        <v>7</v>
      </c>
      <c r="C10" s="8">
        <f>SUM(C5:C9)</f>
        <v>37608</v>
      </c>
      <c r="D10" s="4">
        <f>SUM(D5:D9)</f>
        <v>106511.21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4866</v>
      </c>
      <c r="D14" s="28">
        <v>82039.399999999994</v>
      </c>
    </row>
    <row r="15" spans="2:8" x14ac:dyDescent="0.25">
      <c r="B15" s="1" t="s">
        <v>4</v>
      </c>
      <c r="C15" s="26">
        <v>557</v>
      </c>
      <c r="D15" s="28">
        <v>11203</v>
      </c>
    </row>
    <row r="16" spans="2:8" x14ac:dyDescent="0.25">
      <c r="B16" s="1" t="s">
        <v>5</v>
      </c>
      <c r="C16" s="26">
        <v>3486</v>
      </c>
      <c r="D16" s="28">
        <v>8146</v>
      </c>
    </row>
    <row r="17" spans="2:4" x14ac:dyDescent="0.25">
      <c r="B17" s="9" t="s">
        <v>6</v>
      </c>
      <c r="C17" s="26">
        <v>27</v>
      </c>
      <c r="D17" s="28">
        <v>500</v>
      </c>
    </row>
    <row r="18" spans="2:4" x14ac:dyDescent="0.25">
      <c r="B18" s="10" t="s">
        <v>7</v>
      </c>
      <c r="C18" s="8">
        <f>SUM(C14:C17)</f>
        <v>8936</v>
      </c>
      <c r="D18" s="4">
        <f>SUM(D14:D17)</f>
        <v>101888.4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1256</v>
      </c>
      <c r="D22" s="28">
        <v>14834</v>
      </c>
    </row>
    <row r="23" spans="2:4" x14ac:dyDescent="0.25">
      <c r="B23" s="1" t="s">
        <v>4</v>
      </c>
      <c r="C23" s="26">
        <v>1034</v>
      </c>
      <c r="D23" s="28">
        <v>1053</v>
      </c>
    </row>
    <row r="24" spans="2:4" x14ac:dyDescent="0.25">
      <c r="B24" s="1" t="s">
        <v>5</v>
      </c>
      <c r="C24" s="26">
        <v>1080</v>
      </c>
      <c r="D24" s="28">
        <v>221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2919</v>
      </c>
    </row>
    <row r="27" spans="2:4" x14ac:dyDescent="0.25">
      <c r="B27" s="3" t="s">
        <v>7</v>
      </c>
      <c r="C27" s="8">
        <f>SUM(C22:C26)</f>
        <v>3674</v>
      </c>
      <c r="D27" s="4">
        <f>SUM(D22:D26)</f>
        <v>19027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882</v>
      </c>
    </row>
    <row r="32" spans="2:4" x14ac:dyDescent="0.25">
      <c r="B32" s="1" t="s">
        <v>6</v>
      </c>
      <c r="C32" s="26">
        <v>64</v>
      </c>
      <c r="D32" s="29">
        <v>0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882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5">
        <v>0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0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5">
        <v>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0</v>
      </c>
    </row>
    <row r="50" spans="2:4" x14ac:dyDescent="0.25">
      <c r="B50" s="12" t="s">
        <v>11</v>
      </c>
      <c r="C50" s="13">
        <f>SUMIF(B:B, "Total general", C:C)</f>
        <v>50796</v>
      </c>
      <c r="D50" s="13">
        <f>SUMIF(B:B, "Total general", D:D)</f>
        <v>228308.61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12908</v>
      </c>
      <c r="D3" s="14">
        <f>SUMIF('CDC-OLGUIN'!B:B, "Extrajudicial - 0 a 28 semanas de atraso", 'CDC-OLGUIN'!D:D)</f>
        <v>150395.28</v>
      </c>
    </row>
    <row r="4" spans="2:6" x14ac:dyDescent="0.25">
      <c r="B4" s="1" t="s">
        <v>4</v>
      </c>
      <c r="C4" s="6">
        <f>SUMIF('CDC-OLGUIN'!B:B, "Extrajudicial - 29 a 39 semanas de atraso", 'CDC-OLGUIN'!C:C)</f>
        <v>10148</v>
      </c>
      <c r="D4" s="14">
        <f>SUMIF('CDC-OLGUIN'!B:B, "Extrajudicial - 29 a 39 semanas de atraso", 'CDC-OLGUIN'!D:D)</f>
        <v>45891.33</v>
      </c>
    </row>
    <row r="5" spans="2:6" x14ac:dyDescent="0.25">
      <c r="B5" s="1" t="s">
        <v>5</v>
      </c>
      <c r="C5" s="6">
        <f>SUMIF('CDC-OLGUIN'!B:B, "Extrajudicial - 40 a 55 semanas de atraso", 'CDC-OLGUIN'!C:C)</f>
        <v>12859</v>
      </c>
      <c r="D5" s="14">
        <f>SUMIF('CDC-OLGUIN'!B:B, "Extrajudicial - 40 a 55 semanas de atraso", 'CDC-OLGUIN'!D:D)</f>
        <v>26056</v>
      </c>
    </row>
    <row r="6" spans="2:6" x14ac:dyDescent="0.25">
      <c r="B6" s="5" t="s">
        <v>10</v>
      </c>
      <c r="C6" s="6">
        <f>SUMIF('CDC-OLGUIN'!B:B, "JUDICIAL", 'CDC-OLGUIN'!C:C)</f>
        <v>2738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5566</v>
      </c>
      <c r="E7" s="14"/>
      <c r="F7" s="7"/>
    </row>
    <row r="8" spans="2:6" x14ac:dyDescent="0.25">
      <c r="B8" s="3" t="s">
        <v>7</v>
      </c>
      <c r="C8" s="8">
        <f>SUM(C3:C7)</f>
        <v>50796</v>
      </c>
      <c r="D8" s="4">
        <f>SUM(D3:D7)</f>
        <v>228308.61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12875</v>
      </c>
      <c r="E6" s="16">
        <f>SUMIF('REPORTE DIARIO'!B:B,'EPR 26 JUN'!C6, 'REPORTE DIARIO'!D:D)</f>
        <v>366254.82999999996</v>
      </c>
      <c r="F6" s="16">
        <f>J6*D6</f>
        <v>809285.7142857142</v>
      </c>
      <c r="G6" s="16">
        <f>+E6-F6</f>
        <v>-443030.88428571424</v>
      </c>
      <c r="H6" s="15">
        <f>ABS(G6/F6)</f>
        <v>0.54743445542806712</v>
      </c>
      <c r="I6" s="16">
        <f>E6/D6</f>
        <v>28.446977087378638</v>
      </c>
      <c r="J6" s="16">
        <f>(220/7)*2</f>
        <v>62.857142857142854</v>
      </c>
      <c r="K6" s="16">
        <f>+I6-J6</f>
        <v>-34.41016576976422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9576</v>
      </c>
      <c r="E7" s="16">
        <f>SUMIF('REPORTE DIARIO'!B:B,'EPR 26 JUN'!C7, 'REPORTE DIARIO'!D:D)</f>
        <v>145892.26</v>
      </c>
      <c r="F7" s="16">
        <f>J7*D7</f>
        <v>300960</v>
      </c>
      <c r="G7" s="16">
        <f>+E7-F7</f>
        <v>-155067.74</v>
      </c>
      <c r="H7" s="15">
        <f>ABS(G7/F7)</f>
        <v>0.51524368686868682</v>
      </c>
      <c r="I7" s="16">
        <f>E7/D7</f>
        <v>15.235198412698413</v>
      </c>
      <c r="J7" s="16">
        <f>(110/7)*2</f>
        <v>31.428571428571427</v>
      </c>
      <c r="K7" s="16">
        <f t="shared" ref="K7:K9" si="0">+I7-J7</f>
        <v>-16.193373015873014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15277</v>
      </c>
      <c r="E8" s="16">
        <f>SUMIF('REPORTE DIARIO'!B:B,'EPR 26 JUN'!C8, 'REPORTE DIARIO'!D:D)</f>
        <v>159614.83000000002</v>
      </c>
      <c r="F8" s="16">
        <f>J8*D8</f>
        <v>196418.57142857145</v>
      </c>
      <c r="G8" s="16">
        <f>+E8-F8</f>
        <v>-36803.741428571433</v>
      </c>
      <c r="H8" s="15">
        <f>ABS(G8/F8)</f>
        <v>0.18737404086026199</v>
      </c>
      <c r="I8" s="16">
        <f>E8/D8</f>
        <v>10.448048046082347</v>
      </c>
      <c r="J8" s="16">
        <f>(45/7)*2</f>
        <v>12.857142857142858</v>
      </c>
      <c r="K8" s="16">
        <f t="shared" si="0"/>
        <v>-2.4090948110605108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57213</v>
      </c>
      <c r="E9" s="16">
        <f>SUMIF('REPORTE DIARIO'!B:B,'EPR 26 JUN'!C9, 'REPORTE DIARIO'!D:D)</f>
        <v>177187.5</v>
      </c>
      <c r="F9" s="16">
        <f>J9*D9</f>
        <v>245198.57142857142</v>
      </c>
      <c r="G9" s="16">
        <f>+E9-F9</f>
        <v>-68011.07142857142</v>
      </c>
      <c r="H9" s="15">
        <f>ABS(G9/F9)</f>
        <v>0.27737140160453039</v>
      </c>
      <c r="I9" s="16">
        <f>E9/D9</f>
        <v>3.0969797074091554</v>
      </c>
      <c r="J9" s="16">
        <f>(15/7)*2</f>
        <v>4.2857142857142856</v>
      </c>
      <c r="K9" s="16">
        <f t="shared" si="0"/>
        <v>-1.1887345783051302</v>
      </c>
    </row>
    <row r="10" spans="2:12" x14ac:dyDescent="0.25">
      <c r="B10" s="16"/>
      <c r="C10" s="19" t="s">
        <v>15</v>
      </c>
      <c r="D10" s="24">
        <f>SUM(D6:D9)</f>
        <v>94941</v>
      </c>
      <c r="E10" s="20">
        <f>SUM(E6:E9)</f>
        <v>848949.41999999993</v>
      </c>
      <c r="F10" s="20">
        <f>SUM(F6:F9)</f>
        <v>1551862.8571428568</v>
      </c>
      <c r="G10" s="20">
        <f>+E10-F10</f>
        <v>-702913.43714285688</v>
      </c>
      <c r="H10" s="21">
        <f>ABS(G10/F10)</f>
        <v>0.45294816736383181</v>
      </c>
      <c r="I10" s="20">
        <f>E10/D10</f>
        <v>8.9418630517900581</v>
      </c>
      <c r="J10" s="20">
        <f>F10/D10</f>
        <v>16.345549943047331</v>
      </c>
      <c r="K10" s="20">
        <f>I10-J10</f>
        <v>-7.4036868912572729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2025-11-13T02:39:34Z</cp:lastPrinted>
  <dcterms:created xsi:type="dcterms:W3CDTF">2025-01-27T15:11:28Z</dcterms:created>
  <dcterms:modified xsi:type="dcterms:W3CDTF">2025-11-13T02:43:19Z</dcterms:modified>
</cp:coreProperties>
</file>