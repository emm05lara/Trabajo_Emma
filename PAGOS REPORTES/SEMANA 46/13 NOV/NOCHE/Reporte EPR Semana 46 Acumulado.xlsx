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3 NOV\NOCHE\"/>
    </mc:Choice>
  </mc:AlternateContent>
  <xr:revisionPtr revIDLastSave="0" documentId="13_ncr:1_{93AAD6E1-86F0-4EA8-874C-E6C4E28CBBE7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C33" i="5"/>
  <c r="D26" i="1"/>
  <c r="D41" i="5"/>
  <c r="C26" i="1"/>
  <c r="C34" i="1"/>
  <c r="D34" i="1"/>
  <c r="C41" i="5"/>
  <c r="D48" i="5"/>
  <c r="C48" i="5"/>
  <c r="D27" i="5"/>
  <c r="C27" i="5"/>
  <c r="C42" i="1"/>
  <c r="D42" i="1"/>
  <c r="C18" i="1"/>
  <c r="D18" i="5"/>
  <c r="C18" i="5"/>
  <c r="D10" i="5"/>
  <c r="D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18" i="1"/>
  <c r="D6" i="3"/>
  <c r="D50" i="1" l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<sst xmlns="http://schemas.openxmlformats.org/spreadsheetml/2006/main" count="139" uniqueCount="37">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</sst>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30" t="s">
        <v>36</v>
      </c>
      <c r="C3" s="30"/>
      <c r="D3" s="3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7207</v>
      </c>
      <c r="D5" s="28">
        <v>296870.53999999998</v>
      </c>
    </row>
    <row r="6" spans="2:8" x14ac:dyDescent="0.25">
      <c r="B6" s="1" t="s">
        <v>4</v>
      </c>
      <c r="C6" s="6">
        <v>7461</v>
      </c>
      <c r="D6" s="28">
        <v>199956.25</v>
      </c>
    </row>
    <row r="7" spans="2:8" x14ac:dyDescent="0.25">
      <c r="B7" s="1" t="s">
        <v>5</v>
      </c>
      <c r="C7" s="6">
        <v>6007</v>
      </c>
      <c r="D7" s="28">
        <v>83075.83</v>
      </c>
    </row>
    <row r="8" spans="2:8" x14ac:dyDescent="0.25">
      <c r="B8" s="5" t="s">
        <v>10</v>
      </c>
      <c r="C8" s="7">
        <v>502</v>
      </c>
      <c r="D8" s="28">
        <v>1000</v>
      </c>
    </row>
    <row r="9" spans="2:8" x14ac:dyDescent="0.25">
      <c r="B9" s="1" t="s">
        <v>6</v>
      </c>
      <c r="C9" s="6">
        <v>35952</v>
      </c>
      <c r="D9" s="28">
        <v>174932.45</v>
      </c>
      <c r="E9" s="14"/>
      <c r="F9" s="7"/>
    </row>
    <row r="10" spans="2:8" x14ac:dyDescent="0.25">
      <c r="B10" s="3" t="s">
        <v>7</v>
      </c>
      <c r="C10" s="8">
        <f>SUM(C5:C9)</f>
        <v>57129</v>
      </c>
      <c r="D10" s="4">
        <f>SUM(D5:D9)</f>
        <v>755835.07000000007</v>
      </c>
      <c r="E10" s="11" t="s">
        <v>12</v>
      </c>
    </row>
    <row r="12" spans="2:8" x14ac:dyDescent="0.25">
      <c r="B12" s="31" t="s">
        <v>8</v>
      </c>
      <c r="C12" s="31"/>
      <c r="D12" s="3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6">
        <v>559</v>
      </c>
      <c r="D14" s="28">
        <v>14213</v>
      </c>
    </row>
    <row r="15" spans="2:8" x14ac:dyDescent="0.25">
      <c r="B15" s="9" t="s">
        <v>4</v>
      </c>
      <c r="C15" s="6">
        <v>1263</v>
      </c>
      <c r="D15" s="28">
        <v>28845.47</v>
      </c>
    </row>
    <row r="16" spans="2:8" x14ac:dyDescent="0.25">
      <c r="B16" s="9" t="s">
        <v>5</v>
      </c>
      <c r="C16" s="6">
        <v>3601</v>
      </c>
      <c r="D16" s="28">
        <v>84901.85</v>
      </c>
    </row>
    <row r="17" spans="2:4" x14ac:dyDescent="0.25">
      <c r="B17" s="9" t="s">
        <v>6</v>
      </c>
      <c r="C17" s="6">
        <v>4428</v>
      </c>
      <c r="D17" s="28">
        <v>29062.240000000002</v>
      </c>
    </row>
    <row r="18" spans="2:4" x14ac:dyDescent="0.25">
      <c r="B18" s="10" t="s">
        <v>7</v>
      </c>
      <c r="C18" s="8">
        <f>SUM(C14:C17)</f>
        <v>9851</v>
      </c>
      <c r="D18" s="4">
        <f>SUM(D14:D17)</f>
        <v>157022.56</v>
      </c>
    </row>
    <row r="20" spans="2:4" x14ac:dyDescent="0.25">
      <c r="B20" s="30" t="s">
        <v>33</v>
      </c>
      <c r="C20" s="30"/>
      <c r="D20" s="30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>
        <v>86</v>
      </c>
      <c r="D22" s="28">
        <v>16061</v>
      </c>
    </row>
    <row r="23" spans="2:4" x14ac:dyDescent="0.25">
      <c r="B23" s="1" t="s">
        <v>4</v>
      </c>
      <c r="C23" s="6">
        <v>126</v>
      </c>
      <c r="D23" s="28">
        <v>28505.03</v>
      </c>
    </row>
    <row r="24" spans="2:4" x14ac:dyDescent="0.25">
      <c r="B24" s="1" t="s">
        <v>5</v>
      </c>
      <c r="C24" s="6">
        <v>1981</v>
      </c>
      <c r="D24" s="28">
        <v>28130</v>
      </c>
    </row>
    <row r="25" spans="2:4" x14ac:dyDescent="0.25">
      <c r="B25" s="1" t="s">
        <v>6</v>
      </c>
      <c r="C25" s="7">
        <v>14355</v>
      </c>
      <c r="D25" s="28">
        <v>55131</v>
      </c>
    </row>
    <row r="26" spans="2:4" x14ac:dyDescent="0.25">
      <c r="B26" s="3" t="s">
        <v>7</v>
      </c>
      <c r="C26" s="8">
        <f>SUM(C22:C25)</f>
        <v>16548</v>
      </c>
      <c r="D26" s="4">
        <f>SUM(D22:D25)</f>
        <v>127827.03</v>
      </c>
    </row>
    <row r="28" spans="2:4" x14ac:dyDescent="0.25">
      <c r="B28" s="31" t="s">
        <v>9</v>
      </c>
      <c r="C28" s="31"/>
      <c r="D28" s="31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4843</v>
      </c>
      <c r="D30" s="28">
        <v>84301.09</v>
      </c>
    </row>
    <row r="31" spans="2:4" x14ac:dyDescent="0.25">
      <c r="B31" s="1" t="s">
        <v>4</v>
      </c>
      <c r="C31" s="6">
        <v>812</v>
      </c>
      <c r="D31" s="28">
        <v>14455</v>
      </c>
    </row>
    <row r="32" spans="2:4" x14ac:dyDescent="0.25">
      <c r="B32" s="1" t="s">
        <v>5</v>
      </c>
      <c r="C32" s="6">
        <v>3583</v>
      </c>
      <c r="D32" s="28">
        <v>12833</v>
      </c>
    </row>
    <row r="33" spans="2:4" x14ac:dyDescent="0.25">
      <c r="B33" s="1" t="s">
        <v>6</v>
      </c>
      <c r="C33" s="6">
        <v>1008</v>
      </c>
      <c r="D33" s="28">
        <v>599</v>
      </c>
    </row>
    <row r="34" spans="2:4" x14ac:dyDescent="0.25">
      <c r="B34" s="10" t="s">
        <v>7</v>
      </c>
      <c r="C34" s="8">
        <f>SUM(C30:C33)</f>
        <v>10246</v>
      </c>
      <c r="D34" s="4">
        <f>SUM(D30:D33)</f>
        <v>112188.09</v>
      </c>
    </row>
    <row r="36" spans="2:4" x14ac:dyDescent="0.25">
      <c r="B36" s="30" t="s">
        <v>28</v>
      </c>
      <c r="C36" s="30"/>
      <c r="D36" s="3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28">
        <v>2006</v>
      </c>
    </row>
    <row r="39" spans="2:4" x14ac:dyDescent="0.25">
      <c r="B39" s="1" t="s">
        <v>4</v>
      </c>
      <c r="C39" s="6">
        <v>11</v>
      </c>
      <c r="D39" s="29">
        <v>0</v>
      </c>
    </row>
    <row r="40" spans="2:4" x14ac:dyDescent="0.25">
      <c r="B40" s="1" t="s">
        <v>5</v>
      </c>
      <c r="C40" s="6">
        <v>6</v>
      </c>
      <c r="D40" s="28">
        <v>1940</v>
      </c>
    </row>
    <row r="41" spans="2:4" x14ac:dyDescent="0.25">
      <c r="B41" s="1" t="s">
        <v>6</v>
      </c>
      <c r="C41" s="6">
        <v>687</v>
      </c>
      <c r="D41" s="28">
        <v>1171</v>
      </c>
    </row>
    <row r="42" spans="2:4" x14ac:dyDescent="0.25">
      <c r="B42" s="3" t="s">
        <v>7</v>
      </c>
      <c r="C42" s="8">
        <f>SUM(C38:C41)</f>
        <v>717</v>
      </c>
      <c r="D42" s="4">
        <f>SUM(D38:D41)</f>
        <v>5117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94491</v>
      </c>
      <c r="D50" s="13">
        <f>SUMIF(B:B, "Total general", D:D)</f>
        <v>1157989.7500000002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C10" sqref="C1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35</v>
      </c>
      <c r="C1" s="30"/>
      <c r="D1" s="30"/>
    </row>
    <row r="3" spans="2:8" x14ac:dyDescent="0.25">
      <c r="B3" s="30" t="s">
        <v>34</v>
      </c>
      <c r="C3" s="30"/>
      <c r="D3" s="3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27">
        <v>6508</v>
      </c>
      <c r="D5" s="28">
        <v>75003.88</v>
      </c>
      <c r="E5" s="11"/>
    </row>
    <row r="6" spans="2:8" x14ac:dyDescent="0.25">
      <c r="B6" s="1" t="s">
        <v>4</v>
      </c>
      <c r="C6" s="27">
        <v>8624</v>
      </c>
      <c r="D6" s="28">
        <v>43465.33</v>
      </c>
    </row>
    <row r="7" spans="2:8" x14ac:dyDescent="0.25">
      <c r="B7" s="1" t="s">
        <v>5</v>
      </c>
      <c r="C7" s="27">
        <v>8338</v>
      </c>
      <c r="D7" s="28">
        <v>20716</v>
      </c>
    </row>
    <row r="8" spans="2:8" x14ac:dyDescent="0.25">
      <c r="B8" s="5" t="s">
        <v>10</v>
      </c>
      <c r="C8" s="27">
        <v>2738</v>
      </c>
      <c r="D8" s="28">
        <v>400</v>
      </c>
    </row>
    <row r="9" spans="2:8" x14ac:dyDescent="0.25">
      <c r="B9" s="1" t="s">
        <v>6</v>
      </c>
      <c r="C9" s="27">
        <v>11242</v>
      </c>
      <c r="D9" s="28">
        <v>1640</v>
      </c>
      <c r="E9" s="14"/>
      <c r="F9" s="7"/>
    </row>
    <row r="10" spans="2:8" x14ac:dyDescent="0.25">
      <c r="B10" s="3" t="s">
        <v>7</v>
      </c>
      <c r="C10" s="8">
        <f>SUM(C5:C9)</f>
        <v>37450</v>
      </c>
      <c r="D10" s="4">
        <f>SUM(D5:D9)</f>
        <v>141225.21000000002</v>
      </c>
      <c r="E10" s="11" t="s">
        <v>12</v>
      </c>
    </row>
    <row r="12" spans="2:8" x14ac:dyDescent="0.25">
      <c r="B12" s="31" t="s">
        <v>9</v>
      </c>
      <c r="C12" s="31"/>
      <c r="D12" s="3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26">
        <v>4829</v>
      </c>
      <c r="D14" s="28">
        <v>84123.09</v>
      </c>
    </row>
    <row r="15" spans="2:8" x14ac:dyDescent="0.25">
      <c r="B15" s="1" t="s">
        <v>4</v>
      </c>
      <c r="C15" s="26">
        <v>551</v>
      </c>
      <c r="D15" s="28">
        <v>11988</v>
      </c>
    </row>
    <row r="16" spans="2:8" x14ac:dyDescent="0.25">
      <c r="B16" s="1" t="s">
        <v>5</v>
      </c>
      <c r="C16" s="26">
        <v>3486</v>
      </c>
      <c r="D16" s="28">
        <v>11999</v>
      </c>
    </row>
    <row r="17" spans="2:4" x14ac:dyDescent="0.25">
      <c r="B17" s="9" t="s">
        <v>6</v>
      </c>
      <c r="C17" s="26">
        <v>27</v>
      </c>
      <c r="D17" s="28">
        <v>599</v>
      </c>
    </row>
    <row r="18" spans="2:4" x14ac:dyDescent="0.25">
      <c r="B18" s="10" t="s">
        <v>7</v>
      </c>
      <c r="C18" s="8">
        <f>SUM(C14:C17)</f>
        <v>8893</v>
      </c>
      <c r="D18" s="4">
        <f>SUM(D14:D17)</f>
        <v>108709.09</v>
      </c>
    </row>
    <row r="20" spans="2:4" x14ac:dyDescent="0.25">
      <c r="B20" s="30" t="s">
        <v>36</v>
      </c>
      <c r="C20" s="30"/>
      <c r="D20" s="30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 s="26">
        <v>1255</v>
      </c>
      <c r="D22" s="28">
        <v>16953</v>
      </c>
    </row>
    <row r="23" spans="2:4" x14ac:dyDescent="0.25">
      <c r="B23" s="1" t="s">
        <v>4</v>
      </c>
      <c r="C23" s="26">
        <v>1034</v>
      </c>
      <c r="D23" s="28">
        <v>1053</v>
      </c>
    </row>
    <row r="24" spans="2:4" x14ac:dyDescent="0.25">
      <c r="B24" s="1" t="s">
        <v>5</v>
      </c>
      <c r="C24" s="26">
        <v>1080</v>
      </c>
      <c r="D24" s="28">
        <v>221</v>
      </c>
    </row>
    <row r="25" spans="2:4" x14ac:dyDescent="0.25">
      <c r="B25" s="5" t="s">
        <v>10</v>
      </c>
      <c r="C25" s="26">
        <v>0</v>
      </c>
      <c r="D25" s="11">
        <v>0</v>
      </c>
    </row>
    <row r="26" spans="2:4" x14ac:dyDescent="0.25">
      <c r="B26" s="1" t="s">
        <v>6</v>
      </c>
      <c r="C26" s="26">
        <v>304</v>
      </c>
      <c r="D26" s="28">
        <v>2919</v>
      </c>
    </row>
    <row r="27" spans="2:4" x14ac:dyDescent="0.25">
      <c r="B27" s="3" t="s">
        <v>7</v>
      </c>
      <c r="C27" s="8">
        <f>SUM(C22:C26)</f>
        <v>3673</v>
      </c>
      <c r="D27" s="4">
        <f>SUM(D22:D26)</f>
        <v>21146</v>
      </c>
    </row>
    <row r="29" spans="2:4" x14ac:dyDescent="0.25">
      <c r="B29" s="30" t="s">
        <v>28</v>
      </c>
      <c r="C29" s="30"/>
      <c r="D29" s="30"/>
    </row>
    <row r="30" spans="2:4" x14ac:dyDescent="0.25">
      <c r="B30" s="2" t="s">
        <v>0</v>
      </c>
      <c r="C30" s="2" t="s">
        <v>1</v>
      </c>
      <c r="D30" s="2" t="s">
        <v>2</v>
      </c>
    </row>
    <row r="31" spans="2:4" x14ac:dyDescent="0.25">
      <c r="B31" s="9" t="s">
        <v>3</v>
      </c>
      <c r="C31" s="26">
        <v>2</v>
      </c>
      <c r="D31" s="28">
        <v>882</v>
      </c>
    </row>
    <row r="32" spans="2:4" x14ac:dyDescent="0.25">
      <c r="B32" s="1" t="s">
        <v>6</v>
      </c>
      <c r="C32" s="26">
        <v>64</v>
      </c>
      <c r="D32" s="29">
        <v>0</v>
      </c>
    </row>
    <row r="33" spans="2:4" x14ac:dyDescent="0.25">
      <c r="B33" s="3" t="s">
        <v>7</v>
      </c>
      <c r="C33" s="8">
        <f>SUM(C31:C32)</f>
        <v>66</v>
      </c>
      <c r="D33" s="4">
        <f>SUM(D31:D32)</f>
        <v>882</v>
      </c>
    </row>
    <row r="35" spans="2:4" x14ac:dyDescent="0.25">
      <c r="B35" s="30" t="s">
        <v>33</v>
      </c>
      <c r="C35" s="30"/>
      <c r="D35" s="30"/>
    </row>
    <row r="36" spans="2:4" x14ac:dyDescent="0.25">
      <c r="B36" s="2" t="s">
        <v>0</v>
      </c>
      <c r="C36" s="2" t="s">
        <v>1</v>
      </c>
      <c r="D36" s="2" t="s">
        <v>2</v>
      </c>
    </row>
    <row r="37" spans="2:4" x14ac:dyDescent="0.25">
      <c r="B37" s="9" t="s">
        <v>3</v>
      </c>
      <c r="C37" s="26">
        <v>2</v>
      </c>
      <c r="D37" s="28">
        <v>743</v>
      </c>
    </row>
    <row r="38" spans="2:4" x14ac:dyDescent="0.25">
      <c r="B38" s="1" t="s">
        <v>4</v>
      </c>
      <c r="C38" s="11">
        <v>0</v>
      </c>
      <c r="D38" s="25">
        <v>0</v>
      </c>
    </row>
    <row r="39" spans="2:4" x14ac:dyDescent="0.25">
      <c r="B39" s="1" t="s">
        <v>5</v>
      </c>
      <c r="C39" s="26">
        <v>1</v>
      </c>
      <c r="D39" s="25">
        <v>0</v>
      </c>
    </row>
    <row r="40" spans="2:4" x14ac:dyDescent="0.25">
      <c r="B40" s="1" t="s">
        <v>6</v>
      </c>
      <c r="C40" s="26">
        <v>330</v>
      </c>
      <c r="D40" s="25">
        <v>0</v>
      </c>
    </row>
    <row r="41" spans="2:4" x14ac:dyDescent="0.25">
      <c r="B41" s="3" t="s">
        <v>7</v>
      </c>
      <c r="C41" s="8">
        <f>SUM(C37:C40)</f>
        <v>333</v>
      </c>
      <c r="D41" s="4">
        <f>SUM(D37:D40)</f>
        <v>743</v>
      </c>
    </row>
    <row r="43" spans="2:4" x14ac:dyDescent="0.25">
      <c r="B43" s="31" t="s">
        <v>8</v>
      </c>
      <c r="C43" s="31"/>
      <c r="D43" s="31"/>
    </row>
    <row r="44" spans="2:4" x14ac:dyDescent="0.25">
      <c r="B44" s="4" t="s">
        <v>0</v>
      </c>
      <c r="C44" s="4" t="s">
        <v>1</v>
      </c>
      <c r="D44" s="4" t="s">
        <v>2</v>
      </c>
    </row>
    <row r="45" spans="2:4" x14ac:dyDescent="0.25">
      <c r="B45" s="9" t="s">
        <v>3</v>
      </c>
      <c r="C45" s="26">
        <v>2</v>
      </c>
      <c r="D45" s="25">
        <v>0</v>
      </c>
    </row>
    <row r="46" spans="2:4" x14ac:dyDescent="0.25">
      <c r="B46" s="9" t="s">
        <v>4</v>
      </c>
      <c r="C46" s="26">
        <v>1</v>
      </c>
      <c r="D46" s="25">
        <v>0</v>
      </c>
    </row>
    <row r="47" spans="2:4" x14ac:dyDescent="0.25">
      <c r="B47" s="9" t="s">
        <v>6</v>
      </c>
      <c r="C47" s="26">
        <v>176</v>
      </c>
      <c r="D47" s="28">
        <v>200</v>
      </c>
    </row>
    <row r="48" spans="2:4" x14ac:dyDescent="0.25">
      <c r="B48" s="10" t="s">
        <v>7</v>
      </c>
      <c r="C48" s="8">
        <f>SUM(C45:C47)</f>
        <v>179</v>
      </c>
      <c r="D48" s="4">
        <f>SUM(D45:D47)</f>
        <v>200</v>
      </c>
    </row>
    <row r="50" spans="2:4" x14ac:dyDescent="0.25">
      <c r="B50" s="12" t="s">
        <v>11</v>
      </c>
      <c r="C50" s="13">
        <f>SUMIF(B:B, "Total general", C:C)</f>
        <v>50594</v>
      </c>
      <c r="D50" s="13">
        <f>SUMIF(B:B, "Total general", D:D)</f>
        <v>272905.30000000005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35</v>
      </c>
      <c r="C1" s="30"/>
      <c r="D1" s="3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SUMIF('CDC-OLGUIN'!B:B, "Extrajudicial - 0 a 28 semanas de atraso", 'CDC-OLGUIN'!C:C)</f>
        <v>12598</v>
      </c>
      <c r="D3" s="14">
        <f>SUMIF('CDC-OLGUIN'!B:B, "Extrajudicial - 0 a 28 semanas de atraso", 'CDC-OLGUIN'!D:D)</f>
        <v>177704.97</v>
      </c>
    </row>
    <row r="4" spans="2:6" x14ac:dyDescent="0.25">
      <c r="B4" s="1" t="s">
        <v>4</v>
      </c>
      <c r="C4" s="6">
        <f>SUMIF('CDC-OLGUIN'!B:B, "Extrajudicial - 29 a 39 semanas de atraso", 'CDC-OLGUIN'!C:C)</f>
        <v>10210</v>
      </c>
      <c r="D4" s="14">
        <f>SUMIF('CDC-OLGUIN'!B:B, "Extrajudicial - 29 a 39 semanas de atraso", 'CDC-OLGUIN'!D:D)</f>
        <v>56506.33</v>
      </c>
    </row>
    <row r="5" spans="2:6" x14ac:dyDescent="0.25">
      <c r="B5" s="1" t="s">
        <v>5</v>
      </c>
      <c r="C5" s="6">
        <f>SUMIF('CDC-OLGUIN'!B:B, "Extrajudicial - 40 a 55 semanas de atraso", 'CDC-OLGUIN'!C:C)</f>
        <v>12905</v>
      </c>
      <c r="D5" s="14">
        <f>SUMIF('CDC-OLGUIN'!B:B, "Extrajudicial - 40 a 55 semanas de atraso", 'CDC-OLGUIN'!D:D)</f>
        <v>32936</v>
      </c>
    </row>
    <row r="6" spans="2:6" x14ac:dyDescent="0.25">
      <c r="B6" s="5" t="s">
        <v>10</v>
      </c>
      <c r="C6" s="6">
        <f>SUMIF('CDC-OLGUIN'!B:B, "JUDICIAL", 'CDC-OLGUIN'!C:C)</f>
        <v>2738</v>
      </c>
      <c r="D6" s="14">
        <f>SUMIF('CDC-OLGUIN'!B:B, "JUDICIAL", 'CDC-OLGUIN'!D:D)</f>
        <v>400</v>
      </c>
    </row>
    <row r="7" spans="2:6" x14ac:dyDescent="0.25">
      <c r="B7" s="1" t="s">
        <v>6</v>
      </c>
      <c r="C7" s="6">
        <f>SUMIF('CDC-OLGUIN'!B:B, "Mas 55 semanas de atraso", 'CDC-OLGUIN'!C:C)</f>
        <v>12143</v>
      </c>
      <c r="D7" s="6">
        <f>SUMIF('CDC-OLGUIN'!B:B, "Mas 55 semanas de atraso", 'CDC-OLGUIN'!D:D)</f>
        <v>5358</v>
      </c>
      <c r="E7" s="14"/>
      <c r="F7" s="7"/>
    </row>
    <row r="8" spans="2:6" x14ac:dyDescent="0.25">
      <c r="B8" s="3" t="s">
        <v>7</v>
      </c>
      <c r="C8" s="8">
        <f>SUM(C3:C7)</f>
        <v>50594</v>
      </c>
      <c r="D8" s="4">
        <f>SUM(D3:D7)</f>
        <v>272905.3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19</v>
      </c>
    </row>
    <row r="3" spans="2:12" x14ac:dyDescent="0.25">
      <c r="B3" s="17" t="s">
        <v>32</v>
      </c>
    </row>
    <row r="5" spans="2:12" x14ac:dyDescent="0.25">
      <c r="B5" t="s">
        <v>25</v>
      </c>
      <c r="C5" t="s">
        <v>26</v>
      </c>
      <c r="D5" s="17" t="s">
        <v>13</v>
      </c>
      <c r="E5" s="17" t="s">
        <v>24</v>
      </c>
      <c r="F5" s="17" t="s">
        <v>17</v>
      </c>
      <c r="G5" s="17" t="s">
        <v>18</v>
      </c>
      <c r="H5" s="17" t="s">
        <v>20</v>
      </c>
      <c r="I5" s="17" t="s">
        <v>14</v>
      </c>
      <c r="J5" s="17" t="s">
        <v>16</v>
      </c>
      <c r="K5" s="17" t="s">
        <v>21</v>
      </c>
      <c r="L5" s="15"/>
    </row>
    <row r="6" spans="2:12" x14ac:dyDescent="0.25">
      <c r="B6" s="16" t="s">
        <v>30</v>
      </c>
      <c r="C6" s="16" t="s">
        <v>3</v>
      </c>
      <c r="D6" s="23">
        <f>SUMIF('REPORTE DIARIO'!B:B,'EPR 26 JUN'!C6, 'REPORTE DIARIO'!C:C)</f>
        <v>12708</v>
      </c>
      <c r="E6" s="16">
        <f>SUMIF('REPORTE DIARIO'!B:B,'EPR 26 JUN'!C6, 'REPORTE DIARIO'!D:D)</f>
        <v>413451.63</v>
      </c>
      <c r="F6" s="16">
        <f>J6*D6</f>
        <v>798788.57142857136</v>
      </c>
      <c r="G6" s="16">
        <f>+E6-F6</f>
        <v>-385336.94142857136</v>
      </c>
      <c r="H6" s="15">
        <f>ABS(G6/F6)</f>
        <v>0.48240167074426987</v>
      </c>
      <c r="I6" s="16">
        <f>E6/D6</f>
        <v>32.534752124645891</v>
      </c>
      <c r="J6" s="16">
        <f>(220/7)*2</f>
        <v>62.857142857142854</v>
      </c>
      <c r="K6" s="16">
        <f>+I6-J6</f>
        <v>-30.322390732496963</v>
      </c>
      <c r="L6" s="15"/>
    </row>
    <row r="7" spans="2:12" x14ac:dyDescent="0.25">
      <c r="B7" s="16" t="s">
        <v>27</v>
      </c>
      <c r="C7" s="16" t="s">
        <v>4</v>
      </c>
      <c r="D7" s="23">
        <f>SUMIF('REPORTE DIARIO'!B:B,'EPR 26 JUN'!C7, 'REPORTE DIARIO'!C:C)</f>
        <v>9673</v>
      </c>
      <c r="E7" s="16">
        <f>SUMIF('REPORTE DIARIO'!B:B,'EPR 26 JUN'!C7, 'REPORTE DIARIO'!D:D)</f>
        <v>271761.75</v>
      </c>
      <c r="F7" s="16">
        <f>J7*D7</f>
        <v>304008.57142857142</v>
      </c>
      <c r="G7" s="16">
        <f>+E7-F7</f>
        <v>-32246.82142857142</v>
      </c>
      <c r="H7" s="15">
        <f>ABS(G7/F7)</f>
        <v>0.10607207973459393</v>
      </c>
      <c r="I7" s="16">
        <f>E7/D7</f>
        <v>28.09487749405562</v>
      </c>
      <c r="J7" s="16">
        <f>(110/7)*2</f>
        <v>31.428571428571427</v>
      </c>
      <c r="K7" s="16">
        <f t="shared" ref="K7:K9" si="0">+I7-J7</f>
        <v>-3.3336939345158072</v>
      </c>
      <c r="L7" s="15"/>
    </row>
    <row r="8" spans="2:12" x14ac:dyDescent="0.25">
      <c r="B8" s="16" t="s">
        <v>27</v>
      </c>
      <c r="C8" s="16" t="s">
        <v>5</v>
      </c>
      <c r="D8" s="23">
        <f>SUMIF('REPORTE DIARIO'!B:B,'EPR 26 JUN'!C8, 'REPORTE DIARIO'!C:C)</f>
        <v>15178</v>
      </c>
      <c r="E8" s="16">
        <f>SUMIF('REPORTE DIARIO'!B:B,'EPR 26 JUN'!C8, 'REPORTE DIARIO'!D:D)</f>
        <v>210880.68</v>
      </c>
      <c r="F8" s="16">
        <f>J8*D8</f>
        <v>195145.71428571429</v>
      </c>
      <c r="G8" s="16">
        <f>+E8-F8</f>
        <v>15734.965714285703</v>
      </c>
      <c r="H8" s="15">
        <f>ABS(G8/F8)</f>
        <v>8.0631879474678203E-2</v>
      </c>
      <c r="I8" s="16">
        <f>E8/D8</f>
        <v>13.893838450388721</v>
      </c>
      <c r="J8" s="16">
        <f>(45/7)*2</f>
        <v>12.857142857142858</v>
      </c>
      <c r="K8" s="16">
        <f t="shared" si="0"/>
        <v>1.036695593245863</v>
      </c>
      <c r="L8" s="15"/>
    </row>
    <row r="9" spans="2:12" x14ac:dyDescent="0.25">
      <c r="B9" s="16" t="s">
        <v>31</v>
      </c>
      <c r="C9" s="16" t="s">
        <v>6</v>
      </c>
      <c r="D9" s="23">
        <f>SUMIF('REPORTE DIARIO'!B:B,'EPR 26 JUN'!C9, 'REPORTE DIARIO'!C:C)</f>
        <v>56430</v>
      </c>
      <c r="E9" s="16">
        <f>SUMIF('REPORTE DIARIO'!B:B,'EPR 26 JUN'!C9, 'REPORTE DIARIO'!D:D)</f>
        <v>260895.69</v>
      </c>
      <c r="F9" s="16">
        <f>J9*D9</f>
        <v>241842.85714285713</v>
      </c>
      <c r="G9" s="16">
        <f>+E9-F9</f>
        <v>19052.832857142872</v>
      </c>
      <c r="H9" s="15">
        <f>ABS(G9/F9)</f>
        <v>7.87818713450293E-2</v>
      </c>
      <c r="I9" s="16">
        <f>E9/D9</f>
        <v>4.6233508771929825</v>
      </c>
      <c r="J9" s="16">
        <f>(15/7)*2</f>
        <v>4.2857142857142856</v>
      </c>
      <c r="K9" s="16">
        <f t="shared" si="0"/>
        <v>0.33763659147869696</v>
      </c>
    </row>
    <row r="10" spans="2:12" x14ac:dyDescent="0.25">
      <c r="B10" s="16"/>
      <c r="C10" s="19" t="s">
        <v>15</v>
      </c>
      <c r="D10" s="24">
        <f>SUM(D6:D9)</f>
        <v>93989</v>
      </c>
      <c r="E10" s="20">
        <f>SUM(E6:E9)</f>
        <v>1156989.75</v>
      </c>
      <c r="F10" s="20">
        <f>SUM(F6:F9)</f>
        <v>1539785.7142857141</v>
      </c>
      <c r="G10" s="20">
        <f>+E10-F10</f>
        <v>-382795.96428571409</v>
      </c>
      <c r="H10" s="21">
        <f>ABS(G10/F10)</f>
        <v>0.24860340028760949</v>
      </c>
      <c r="I10" s="20">
        <f>E10/D10</f>
        <v>12.309842109182989</v>
      </c>
      <c r="J10" s="20">
        <f>F10/D10</f>
        <v>16.382616202807924</v>
      </c>
      <c r="K10" s="20">
        <f>I10-J10</f>
        <v>-4.0727740936249344</v>
      </c>
    </row>
    <row r="12" spans="2:12" x14ac:dyDescent="0.25">
      <c r="B12" s="22" t="s">
        <v>22</v>
      </c>
      <c r="I12" s="14"/>
    </row>
    <row r="13" spans="2:12" x14ac:dyDescent="0.25">
      <c r="B13" t="s">
        <v>23</v>
      </c>
    </row>
    <row r="14" spans="2:12" x14ac:dyDescent="0.25">
      <c r="B14" t="s">
        <v>29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2025-11-14T01:36:15Z</cp:lastPrinted>
  <dcterms:created xsi:type="dcterms:W3CDTF">2025-01-27T15:11:28Z</dcterms:created>
  <dcterms:modified xsi:type="dcterms:W3CDTF">2025-11-14T01:40:25Z</dcterms:modified>
</cp:coreProperties>
</file>