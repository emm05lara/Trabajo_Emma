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PAGOS REPORTES\SEMANA 46\13 NOV\MAÑANA\"/>
    </mc:Choice>
  </mc:AlternateContent>
  <xr:revisionPtr revIDLastSave="0" documentId="13_ncr:1_{C0CC2E6B-A028-45E7-941E-A8297F4C118C}" xr6:coauthVersionLast="47" xr6:coauthVersionMax="47" xr10:uidLastSave="{00000000-0000-0000-0000-000000000000}"/>
  <bookViews>
    <workbookView xWindow="-105" yWindow="0" windowWidth="26010" windowHeight="20985" activeTab="1" xr2:uid="{4DC6C92A-CD8A-4966-829B-0B6A986E825B}"/>
  </bookViews>
  <sheets>
    <sheet name="REPORTE DIARIO" sheetId="1" r:id="rId1"/>
    <sheet name="CDC-OLGUIN" sheetId="5" r:id="rId2"/>
    <sheet name="COBRANZA CDC" sheetId="6" r:id="rId3"/>
    <sheet name="EPR 26 JU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C33" i="5"/>
  <c r="D34" i="1"/>
  <c r="D41" i="5"/>
  <c r="C34" i="1"/>
  <c r="C26" i="1"/>
  <c r="D26" i="1"/>
  <c r="C41" i="5"/>
  <c r="D48" i="5"/>
  <c r="C48" i="5"/>
  <c r="D27" i="5"/>
  <c r="C27" i="5"/>
  <c r="C42" i="1"/>
  <c r="D42" i="1"/>
  <c r="C18" i="1"/>
  <c r="D18" i="5"/>
  <c r="C18" i="5"/>
  <c r="D10" i="5"/>
  <c r="D33" i="5"/>
  <c r="D7" i="6"/>
  <c r="D6" i="6"/>
  <c r="D5" i="6"/>
  <c r="D4" i="6"/>
  <c r="D3" i="6"/>
  <c r="C7" i="6"/>
  <c r="C6" i="6"/>
  <c r="C5" i="6"/>
  <c r="C4" i="6"/>
  <c r="C3" i="6"/>
  <c r="C10" i="5"/>
  <c r="J9" i="3"/>
  <c r="J8" i="3"/>
  <c r="J7" i="3"/>
  <c r="J6" i="3"/>
  <c r="C50" i="5" l="1"/>
  <c r="D8" i="6"/>
  <c r="C8" i="6"/>
  <c r="D50" i="5"/>
  <c r="D18" i="1"/>
  <c r="D6" i="3"/>
  <c r="D50" i="1" l="1"/>
  <c r="C10" i="1"/>
  <c r="F6" i="3"/>
  <c r="E7" i="3"/>
  <c r="E8" i="3"/>
  <c r="E9" i="3"/>
  <c r="E6" i="3"/>
  <c r="D7" i="3"/>
  <c r="F7" i="3" s="1"/>
  <c r="D8" i="3"/>
  <c r="F8" i="3" s="1"/>
  <c r="D9" i="3"/>
  <c r="F9" i="3" s="1"/>
  <c r="C50" i="1" l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<sst xmlns="http://schemas.openxmlformats.org/spreadsheetml/2006/main" count="139" uniqueCount="37">
  <si>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</si>
  <si>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</si>
  <si>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</si>
  <si>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</si>
  <si>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</si>
  <si>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</si>
  <si>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</si>
  <si>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</si>
  <si>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</si>
  <si>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</si>
  <si>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</si>
  <si>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</si>
  <si>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</si>
  <si>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</si>
  <si>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</si>
  <si>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</si>
  <si>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</si>
  <si>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</si>
  <si>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</si>
  <si>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</si>
  <si>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</si>
  <si>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</si>
  <si>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</si>
  <si>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</si>
  <si>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</si>
  <si>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</si>
  <si>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</si>
  <si>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</si>
  <si>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FEDERICO</t>
  </si>
  <si>
    <t>Samantha, Samantha 2, Sofia, Edith, Fernando, Olguin y Federico</t>
  </si>
  <si>
    <t>Zareth</t>
  </si>
  <si>
    <t>Fernando (Naucalpan)</t>
  </si>
  <si>
    <t>SALDO ACUMULADO SEMANA 26</t>
  </si>
  <si>
    <t>COBRANZA GENERAL  ANDREA</t>
  </si>
  <si>
    <t>COBRANZA GENERAL  CDC 100</t>
  </si>
  <si>
    <t>ETIQUETA PROYECTO CDC</t>
  </si>
  <si>
    <t>COBRANZA GENERAL  SKIC COBRO SOLUTION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</si>
</sst>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\-&quot;$&quot;#,##0"/>
    <numFmt numFmtId="41" formatCode="_-* #,##0_-;\-* #,##0_-;_-* &quot;-&quot;_-;_-@_-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3" fontId="0" fillId="0" borderId="1" xfId="0" applyNumberFormat="1" applyBorder="1"/>
    <xf numFmtId="41" fontId="0" fillId="0" borderId="0" xfId="0" applyNumberFormat="1"/>
    <xf numFmtId="3" fontId="0" fillId="0" borderId="0" xfId="0" applyNumberFormat="1"/>
    <xf numFmtId="4" fontId="0" fillId="0" borderId="2" xfId="0" applyNumberFormat="1" applyBorder="1"/>
    <xf numFmtId="43" fontId="0" fillId="0" borderId="2" xfId="0" applyNumberFormat="1" applyBorder="1"/>
    <xf numFmtId="0" fontId="4" fillId="2" borderId="0" xfId="0" applyFont="1" applyFill="1" applyAlignment="1">
      <alignment horizontal="center"/>
    </xf>
    <xf numFmtId="43" fontId="4" fillId="2" borderId="0" xfId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sheetPr codeName="Hoja1"/>
  <dimension ref="B3:H50"/>
  <sheetViews>
    <sheetView showGridLines="0" zoomScaleNormal="100" workbookViewId="0">
      <selection activeCell="B3" sqref="B3:D50"/>
    </sheetView>
  </sheetViews>
  <sheetFormatPr baseColWidth="10" defaultRowHeight="15" x14ac:dyDescent="0.25"/>
  <cols>
    <col min="2" max="2" width="36.85546875" customWidth="1"/>
    <col min="4" max="4" width="13.140625" bestFit="1" customWidth="1"/>
    <col min="5" max="5" width="11.85546875" bestFit="1" customWidth="1"/>
    <col min="6" max="6" width="13.140625" bestFit="1" customWidth="1"/>
  </cols>
  <sheetData>
    <row r="3" spans="2:8" x14ac:dyDescent="0.25">
      <c r="B3" s="30" t="s">
        <v>36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6">
        <v>7322</v>
      </c>
      <c r="D5" s="28">
        <v>262867.43</v>
      </c>
    </row>
    <row r="6" spans="2:8" x14ac:dyDescent="0.25">
      <c r="B6" s="1" t="s">
        <v>4</v>
      </c>
      <c r="C6" s="6">
        <v>7281</v>
      </c>
      <c r="D6" s="28">
        <v>105344.25</v>
      </c>
    </row>
    <row r="7" spans="2:8" x14ac:dyDescent="0.25">
      <c r="B7" s="1" t="s">
        <v>5</v>
      </c>
      <c r="C7" s="6">
        <v>6127</v>
      </c>
      <c r="D7" s="28">
        <v>68805.83</v>
      </c>
    </row>
    <row r="8" spans="2:8" x14ac:dyDescent="0.25">
      <c r="B8" s="5" t="s">
        <v>10</v>
      </c>
      <c r="C8" s="7">
        <v>506</v>
      </c>
      <c r="D8" s="28">
        <v>1000</v>
      </c>
    </row>
    <row r="9" spans="2:8" x14ac:dyDescent="0.25">
      <c r="B9" s="1" t="s">
        <v>6</v>
      </c>
      <c r="C9" s="6">
        <v>36516</v>
      </c>
      <c r="D9" s="28">
        <v>139132.34999999998</v>
      </c>
      <c r="E9" s="14"/>
      <c r="F9" s="7"/>
    </row>
    <row r="10" spans="2:8" x14ac:dyDescent="0.25">
      <c r="B10" s="3" t="s">
        <v>7</v>
      </c>
      <c r="C10" s="8">
        <f>SUM(C5:C9)</f>
        <v>57752</v>
      </c>
      <c r="D10" s="4">
        <f>SUM(D5:D9)</f>
        <v>577149.86</v>
      </c>
      <c r="E10" s="11" t="s">
        <v>12</v>
      </c>
    </row>
    <row r="12" spans="2:8" x14ac:dyDescent="0.25">
      <c r="B12" s="31" t="s">
        <v>8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6">
        <v>571</v>
      </c>
      <c r="D14" s="28">
        <v>12993</v>
      </c>
    </row>
    <row r="15" spans="2:8" x14ac:dyDescent="0.25">
      <c r="B15" s="9" t="s">
        <v>4</v>
      </c>
      <c r="C15" s="6">
        <v>1306</v>
      </c>
      <c r="D15" s="28">
        <v>27908.47</v>
      </c>
    </row>
    <row r="16" spans="2:8" x14ac:dyDescent="0.25">
      <c r="B16" s="9" t="s">
        <v>5</v>
      </c>
      <c r="C16" s="6">
        <v>3601</v>
      </c>
      <c r="D16" s="28">
        <v>70655</v>
      </c>
    </row>
    <row r="17" spans="2:4" x14ac:dyDescent="0.25">
      <c r="B17" s="9" t="s">
        <v>6</v>
      </c>
      <c r="C17" s="6">
        <v>4482</v>
      </c>
      <c r="D17" s="28">
        <v>25669.24</v>
      </c>
    </row>
    <row r="18" spans="2:4" x14ac:dyDescent="0.25">
      <c r="B18" s="10" t="s">
        <v>7</v>
      </c>
      <c r="C18" s="8">
        <f>SUM(C14:C17)</f>
        <v>9960</v>
      </c>
      <c r="D18" s="4">
        <f>SUM(D14:D17)</f>
        <v>137225.71</v>
      </c>
    </row>
    <row r="20" spans="2:4" x14ac:dyDescent="0.25">
      <c r="B20" s="31" t="s">
        <v>9</v>
      </c>
      <c r="C20" s="31"/>
      <c r="D20" s="31"/>
    </row>
    <row r="21" spans="2:4" x14ac:dyDescent="0.25">
      <c r="B21" s="4" t="s">
        <v>0</v>
      </c>
      <c r="C21" s="4" t="s">
        <v>1</v>
      </c>
      <c r="D21" s="4" t="s">
        <v>2</v>
      </c>
    </row>
    <row r="22" spans="2:4" x14ac:dyDescent="0.25">
      <c r="B22" s="9" t="s">
        <v>3</v>
      </c>
      <c r="C22" s="6">
        <v>4881</v>
      </c>
      <c r="D22" s="28">
        <v>82114.399999999994</v>
      </c>
    </row>
    <row r="23" spans="2:4" x14ac:dyDescent="0.25">
      <c r="B23" s="1" t="s">
        <v>4</v>
      </c>
      <c r="C23" s="6">
        <v>846</v>
      </c>
      <c r="D23" s="28">
        <v>13670</v>
      </c>
    </row>
    <row r="24" spans="2:4" x14ac:dyDescent="0.25">
      <c r="B24" s="1" t="s">
        <v>5</v>
      </c>
      <c r="C24" s="6">
        <v>3585</v>
      </c>
      <c r="D24" s="28">
        <v>8520</v>
      </c>
    </row>
    <row r="25" spans="2:4" x14ac:dyDescent="0.25">
      <c r="B25" s="1" t="s">
        <v>6</v>
      </c>
      <c r="C25" s="6">
        <v>1028</v>
      </c>
      <c r="D25" s="28">
        <v>500</v>
      </c>
    </row>
    <row r="26" spans="2:4" x14ac:dyDescent="0.25">
      <c r="B26" s="10" t="s">
        <v>7</v>
      </c>
      <c r="C26" s="8">
        <f>SUM(C22:C25)</f>
        <v>10340</v>
      </c>
      <c r="D26" s="4">
        <f>SUM(D22:D25)</f>
        <v>104804.4</v>
      </c>
    </row>
    <row r="28" spans="2:4" x14ac:dyDescent="0.25">
      <c r="B28" s="30" t="s">
        <v>33</v>
      </c>
      <c r="C28" s="30"/>
      <c r="D28" s="30"/>
    </row>
    <row r="29" spans="2:4" x14ac:dyDescent="0.25">
      <c r="B29" s="2" t="s">
        <v>0</v>
      </c>
      <c r="C29" s="2" t="s">
        <v>1</v>
      </c>
      <c r="D29" s="2" t="s">
        <v>2</v>
      </c>
    </row>
    <row r="30" spans="2:4" x14ac:dyDescent="0.25">
      <c r="B30" s="9" t="s">
        <v>3</v>
      </c>
      <c r="C30">
        <v>88</v>
      </c>
      <c r="D30" s="28">
        <v>15318</v>
      </c>
    </row>
    <row r="31" spans="2:4" x14ac:dyDescent="0.25">
      <c r="B31" s="1" t="s">
        <v>4</v>
      </c>
      <c r="C31" s="6">
        <v>131</v>
      </c>
      <c r="D31" s="28">
        <v>19704.03</v>
      </c>
    </row>
    <row r="32" spans="2:4" x14ac:dyDescent="0.25">
      <c r="B32" s="1" t="s">
        <v>5</v>
      </c>
      <c r="C32" s="6">
        <v>1958</v>
      </c>
      <c r="D32" s="28">
        <v>20401</v>
      </c>
    </row>
    <row r="33" spans="2:4" x14ac:dyDescent="0.25">
      <c r="B33" s="1" t="s">
        <v>6</v>
      </c>
      <c r="C33" s="7">
        <v>14497</v>
      </c>
      <c r="D33" s="28">
        <v>34120</v>
      </c>
    </row>
    <row r="34" spans="2:4" x14ac:dyDescent="0.25">
      <c r="B34" s="3" t="s">
        <v>7</v>
      </c>
      <c r="C34" s="8">
        <f>SUM(C30:C33)</f>
        <v>16674</v>
      </c>
      <c r="D34" s="4">
        <f>SUM(D30:D33)</f>
        <v>89543.03</v>
      </c>
    </row>
    <row r="36" spans="2:4" x14ac:dyDescent="0.25">
      <c r="B36" s="30" t="s">
        <v>28</v>
      </c>
      <c r="C36" s="30"/>
      <c r="D36" s="30"/>
    </row>
    <row r="37" spans="2:4" x14ac:dyDescent="0.25">
      <c r="B37" s="2" t="s">
        <v>0</v>
      </c>
      <c r="C37" s="2" t="s">
        <v>1</v>
      </c>
      <c r="D37" s="2" t="s">
        <v>2</v>
      </c>
    </row>
    <row r="38" spans="2:4" x14ac:dyDescent="0.25">
      <c r="B38" s="9" t="s">
        <v>3</v>
      </c>
      <c r="C38" s="6">
        <v>13</v>
      </c>
      <c r="D38" s="28">
        <v>2006</v>
      </c>
    </row>
    <row r="39" spans="2:4" x14ac:dyDescent="0.25">
      <c r="B39" s="1" t="s">
        <v>4</v>
      </c>
      <c r="C39" s="6">
        <v>12</v>
      </c>
      <c r="D39" s="29">
        <v>0</v>
      </c>
    </row>
    <row r="40" spans="2:4" x14ac:dyDescent="0.25">
      <c r="B40" s="1" t="s">
        <v>5</v>
      </c>
      <c r="C40" s="6">
        <v>6</v>
      </c>
      <c r="D40" s="28">
        <v>1940</v>
      </c>
    </row>
    <row r="41" spans="2:4" x14ac:dyDescent="0.25">
      <c r="B41" s="1" t="s">
        <v>6</v>
      </c>
      <c r="C41" s="6">
        <v>690</v>
      </c>
      <c r="D41" s="28">
        <v>1171</v>
      </c>
    </row>
    <row r="42" spans="2:4" x14ac:dyDescent="0.25">
      <c r="B42" s="3" t="s">
        <v>7</v>
      </c>
      <c r="C42" s="8">
        <f>SUM(C38:C41)</f>
        <v>721</v>
      </c>
      <c r="D42" s="4">
        <f>SUM(D38:D41)</f>
        <v>5117</v>
      </c>
    </row>
    <row r="43" spans="2:4" hidden="1" x14ac:dyDescent="0.25"/>
    <row r="44" spans="2:4" hidden="1" x14ac:dyDescent="0.25"/>
    <row r="45" spans="2:4" hidden="1" x14ac:dyDescent="0.25"/>
    <row r="46" spans="2:4" hidden="1" x14ac:dyDescent="0.25"/>
    <row r="47" spans="2:4" hidden="1" x14ac:dyDescent="0.25"/>
    <row r="48" spans="2:4" hidden="1" x14ac:dyDescent="0.25"/>
    <row r="50" spans="2:4" x14ac:dyDescent="0.25">
      <c r="B50" s="12" t="s">
        <v>11</v>
      </c>
      <c r="C50" s="13">
        <f>SUMIF(B:B, "Total general", C:C)</f>
        <v>95447</v>
      </c>
      <c r="D50" s="13">
        <f>SUMIF(B:B, "Total general", D:D)</f>
        <v>913840</v>
      </c>
    </row>
  </sheetData>
  <mergeCells count="5">
    <mergeCell ref="B3:D3"/>
    <mergeCell ref="B12:D12"/>
    <mergeCell ref="B20:D20"/>
    <mergeCell ref="B28:D28"/>
    <mergeCell ref="B36:D3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AD579-ABE3-47BF-9C80-EABF3E3D7F80}">
  <sheetPr codeName="Hoja2"/>
  <dimension ref="B1:H50"/>
  <sheetViews>
    <sheetView showGridLines="0" tabSelected="1" topLeftCell="A16" zoomScaleNormal="100" workbookViewId="0">
      <selection activeCell="D37" sqref="D3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8" x14ac:dyDescent="0.25">
      <c r="B1" s="30" t="s">
        <v>35</v>
      </c>
      <c r="C1" s="30"/>
      <c r="D1" s="30"/>
    </row>
    <row r="3" spans="2:8" x14ac:dyDescent="0.25">
      <c r="B3" s="30" t="s">
        <v>34</v>
      </c>
      <c r="C3" s="30"/>
      <c r="D3" s="30"/>
      <c r="H3" s="8"/>
    </row>
    <row r="4" spans="2:8" x14ac:dyDescent="0.25">
      <c r="B4" s="2" t="s">
        <v>0</v>
      </c>
      <c r="C4" s="2" t="s">
        <v>1</v>
      </c>
      <c r="D4" s="2" t="s">
        <v>2</v>
      </c>
    </row>
    <row r="5" spans="2:8" x14ac:dyDescent="0.25">
      <c r="B5" s="1" t="s">
        <v>3</v>
      </c>
      <c r="C5" s="27">
        <v>6780</v>
      </c>
      <c r="D5" s="28">
        <v>62499.88</v>
      </c>
      <c r="E5" s="11"/>
    </row>
    <row r="6" spans="2:8" x14ac:dyDescent="0.25">
      <c r="B6" s="1" t="s">
        <v>4</v>
      </c>
      <c r="C6" s="27">
        <v>8556</v>
      </c>
      <c r="D6" s="28">
        <v>39298.33</v>
      </c>
    </row>
    <row r="7" spans="2:8" x14ac:dyDescent="0.25">
      <c r="B7" s="1" t="s">
        <v>5</v>
      </c>
      <c r="C7" s="27">
        <v>8292</v>
      </c>
      <c r="D7" s="28">
        <v>18364</v>
      </c>
    </row>
    <row r="8" spans="2:8" x14ac:dyDescent="0.25">
      <c r="B8" s="5" t="s">
        <v>10</v>
      </c>
      <c r="C8" s="27">
        <v>2738</v>
      </c>
      <c r="D8" s="28">
        <v>400</v>
      </c>
    </row>
    <row r="9" spans="2:8" x14ac:dyDescent="0.25">
      <c r="B9" s="1" t="s">
        <v>6</v>
      </c>
      <c r="C9" s="27">
        <v>11242</v>
      </c>
      <c r="D9" s="28">
        <v>1640</v>
      </c>
      <c r="E9" s="14"/>
      <c r="F9" s="7"/>
    </row>
    <row r="10" spans="2:8" x14ac:dyDescent="0.25">
      <c r="B10" s="3" t="s">
        <v>7</v>
      </c>
      <c r="C10" s="8">
        <f>SUM(C5:C9)</f>
        <v>37608</v>
      </c>
      <c r="D10" s="4">
        <f>SUM(D5:D9)</f>
        <v>122202.20999999999</v>
      </c>
      <c r="E10" s="11" t="s">
        <v>12</v>
      </c>
    </row>
    <row r="12" spans="2:8" x14ac:dyDescent="0.25">
      <c r="B12" s="31" t="s">
        <v>9</v>
      </c>
      <c r="C12" s="31"/>
      <c r="D12" s="31"/>
    </row>
    <row r="13" spans="2:8" x14ac:dyDescent="0.25">
      <c r="B13" s="4" t="s">
        <v>0</v>
      </c>
      <c r="C13" s="4" t="s">
        <v>1</v>
      </c>
      <c r="D13" s="4" t="s">
        <v>2</v>
      </c>
    </row>
    <row r="14" spans="2:8" x14ac:dyDescent="0.25">
      <c r="B14" s="9" t="s">
        <v>3</v>
      </c>
      <c r="C14" s="26">
        <v>4866</v>
      </c>
      <c r="D14" s="28">
        <v>81936.399999999994</v>
      </c>
    </row>
    <row r="15" spans="2:8" x14ac:dyDescent="0.25">
      <c r="B15" s="1" t="s">
        <v>4</v>
      </c>
      <c r="C15" s="26">
        <v>557</v>
      </c>
      <c r="D15" s="28">
        <v>11203</v>
      </c>
    </row>
    <row r="16" spans="2:8" x14ac:dyDescent="0.25">
      <c r="B16" s="1" t="s">
        <v>5</v>
      </c>
      <c r="C16" s="26">
        <v>3486</v>
      </c>
      <c r="D16" s="28">
        <v>7686</v>
      </c>
    </row>
    <row r="17" spans="2:4" x14ac:dyDescent="0.25">
      <c r="B17" s="9" t="s">
        <v>6</v>
      </c>
      <c r="C17" s="26">
        <v>27</v>
      </c>
      <c r="D17" s="28">
        <v>500</v>
      </c>
    </row>
    <row r="18" spans="2:4" x14ac:dyDescent="0.25">
      <c r="B18" s="10" t="s">
        <v>7</v>
      </c>
      <c r="C18" s="8">
        <f>SUM(C14:C17)</f>
        <v>8936</v>
      </c>
      <c r="D18" s="4">
        <f>SUM(D14:D17)</f>
        <v>101325.4</v>
      </c>
    </row>
    <row r="20" spans="2:4" x14ac:dyDescent="0.25">
      <c r="B20" s="30" t="s">
        <v>36</v>
      </c>
      <c r="C20" s="30"/>
      <c r="D20" s="30"/>
    </row>
    <row r="21" spans="2:4" x14ac:dyDescent="0.25">
      <c r="B21" s="2" t="s">
        <v>0</v>
      </c>
      <c r="C21" s="2" t="s">
        <v>1</v>
      </c>
      <c r="D21" s="2" t="s">
        <v>2</v>
      </c>
    </row>
    <row r="22" spans="2:4" x14ac:dyDescent="0.25">
      <c r="B22" s="9" t="s">
        <v>3</v>
      </c>
      <c r="C22" s="26">
        <v>1256</v>
      </c>
      <c r="D22" s="28">
        <v>15299</v>
      </c>
    </row>
    <row r="23" spans="2:4" x14ac:dyDescent="0.25">
      <c r="B23" s="1" t="s">
        <v>4</v>
      </c>
      <c r="C23" s="26">
        <v>1034</v>
      </c>
      <c r="D23" s="28">
        <v>1053</v>
      </c>
    </row>
    <row r="24" spans="2:4" x14ac:dyDescent="0.25">
      <c r="B24" s="1" t="s">
        <v>5</v>
      </c>
      <c r="C24" s="26">
        <v>1080</v>
      </c>
      <c r="D24" s="28">
        <v>221</v>
      </c>
    </row>
    <row r="25" spans="2:4" x14ac:dyDescent="0.25">
      <c r="B25" s="5" t="s">
        <v>10</v>
      </c>
      <c r="C25" s="26">
        <v>0</v>
      </c>
      <c r="D25" s="11">
        <v>0</v>
      </c>
    </row>
    <row r="26" spans="2:4" x14ac:dyDescent="0.25">
      <c r="B26" s="1" t="s">
        <v>6</v>
      </c>
      <c r="C26" s="26">
        <v>304</v>
      </c>
      <c r="D26" s="28">
        <v>2919</v>
      </c>
    </row>
    <row r="27" spans="2:4" x14ac:dyDescent="0.25">
      <c r="B27" s="3" t="s">
        <v>7</v>
      </c>
      <c r="C27" s="8">
        <f>SUM(C22:C26)</f>
        <v>3674</v>
      </c>
      <c r="D27" s="4">
        <f>SUM(D22:D26)</f>
        <v>19492</v>
      </c>
    </row>
    <row r="29" spans="2:4" x14ac:dyDescent="0.25">
      <c r="B29" s="30" t="s">
        <v>28</v>
      </c>
      <c r="C29" s="30"/>
      <c r="D29" s="30"/>
    </row>
    <row r="30" spans="2:4" x14ac:dyDescent="0.25">
      <c r="B30" s="2" t="s">
        <v>0</v>
      </c>
      <c r="C30" s="2" t="s">
        <v>1</v>
      </c>
      <c r="D30" s="2" t="s">
        <v>2</v>
      </c>
    </row>
    <row r="31" spans="2:4" x14ac:dyDescent="0.25">
      <c r="B31" s="9" t="s">
        <v>3</v>
      </c>
      <c r="C31" s="26">
        <v>2</v>
      </c>
      <c r="D31" s="28">
        <v>882</v>
      </c>
    </row>
    <row r="32" spans="2:4" x14ac:dyDescent="0.25">
      <c r="B32" s="1" t="s">
        <v>6</v>
      </c>
      <c r="C32" s="26">
        <v>64</v>
      </c>
      <c r="D32" s="29">
        <v>0</v>
      </c>
    </row>
    <row r="33" spans="2:4" x14ac:dyDescent="0.25">
      <c r="B33" s="3" t="s">
        <v>7</v>
      </c>
      <c r="C33" s="8">
        <f>SUM(C31:C32)</f>
        <v>66</v>
      </c>
      <c r="D33" s="4">
        <f>SUM(D31:D32)</f>
        <v>882</v>
      </c>
    </row>
    <row r="35" spans="2:4" x14ac:dyDescent="0.25">
      <c r="B35" s="30" t="s">
        <v>33</v>
      </c>
      <c r="C35" s="30"/>
      <c r="D35" s="30"/>
    </row>
    <row r="36" spans="2:4" x14ac:dyDescent="0.25">
      <c r="B36" s="2" t="s">
        <v>0</v>
      </c>
      <c r="C36" s="2" t="s">
        <v>1</v>
      </c>
      <c r="D36" s="2" t="s">
        <v>2</v>
      </c>
    </row>
    <row r="37" spans="2:4" x14ac:dyDescent="0.25">
      <c r="B37" s="9" t="s">
        <v>3</v>
      </c>
      <c r="C37" s="26">
        <v>2</v>
      </c>
      <c r="D37" s="25">
        <v>0</v>
      </c>
    </row>
    <row r="38" spans="2:4" x14ac:dyDescent="0.25">
      <c r="B38" s="1" t="s">
        <v>4</v>
      </c>
      <c r="C38" s="11">
        <v>0</v>
      </c>
      <c r="D38" s="25">
        <v>0</v>
      </c>
    </row>
    <row r="39" spans="2:4" x14ac:dyDescent="0.25">
      <c r="B39" s="1" t="s">
        <v>5</v>
      </c>
      <c r="C39" s="26">
        <v>1</v>
      </c>
      <c r="D39" s="25">
        <v>0</v>
      </c>
    </row>
    <row r="40" spans="2:4" x14ac:dyDescent="0.25">
      <c r="B40" s="1" t="s">
        <v>6</v>
      </c>
      <c r="C40" s="26">
        <v>330</v>
      </c>
      <c r="D40" s="25">
        <v>0</v>
      </c>
    </row>
    <row r="41" spans="2:4" x14ac:dyDescent="0.25">
      <c r="B41" s="3" t="s">
        <v>7</v>
      </c>
      <c r="C41" s="8">
        <f>SUM(C37:C40)</f>
        <v>333</v>
      </c>
      <c r="D41" s="4">
        <f>SUM(D37:D40)</f>
        <v>0</v>
      </c>
    </row>
    <row r="43" spans="2:4" x14ac:dyDescent="0.25">
      <c r="B43" s="31" t="s">
        <v>8</v>
      </c>
      <c r="C43" s="31"/>
      <c r="D43" s="31"/>
    </row>
    <row r="44" spans="2:4" x14ac:dyDescent="0.25">
      <c r="B44" s="4" t="s">
        <v>0</v>
      </c>
      <c r="C44" s="4" t="s">
        <v>1</v>
      </c>
      <c r="D44" s="4" t="s">
        <v>2</v>
      </c>
    </row>
    <row r="45" spans="2:4" x14ac:dyDescent="0.25">
      <c r="B45" s="9" t="s">
        <v>3</v>
      </c>
      <c r="C45" s="26">
        <v>2</v>
      </c>
      <c r="D45" s="25">
        <v>0</v>
      </c>
    </row>
    <row r="46" spans="2:4" x14ac:dyDescent="0.25">
      <c r="B46" s="9" t="s">
        <v>4</v>
      </c>
      <c r="C46" s="26">
        <v>1</v>
      </c>
      <c r="D46" s="25">
        <v>0</v>
      </c>
    </row>
    <row r="47" spans="2:4" x14ac:dyDescent="0.25">
      <c r="B47" s="9" t="s">
        <v>6</v>
      </c>
      <c r="C47" s="26">
        <v>176</v>
      </c>
      <c r="D47" s="25">
        <v>0</v>
      </c>
    </row>
    <row r="48" spans="2:4" x14ac:dyDescent="0.25">
      <c r="B48" s="10" t="s">
        <v>7</v>
      </c>
      <c r="C48" s="8">
        <f>SUM(C45:C47)</f>
        <v>179</v>
      </c>
      <c r="D48" s="4">
        <f>SUM(D45:D47)</f>
        <v>0</v>
      </c>
    </row>
    <row r="50" spans="2:4" x14ac:dyDescent="0.25">
      <c r="B50" s="12" t="s">
        <v>11</v>
      </c>
      <c r="C50" s="13">
        <f>SUMIF(B:B, "Total general", C:C)</f>
        <v>50796</v>
      </c>
      <c r="D50" s="13">
        <f>SUMIF(B:B, "Total general", D:D)</f>
        <v>243901.61</v>
      </c>
    </row>
  </sheetData>
  <mergeCells count="7">
    <mergeCell ref="B43:D43"/>
    <mergeCell ref="B29:D29"/>
    <mergeCell ref="B12:D12"/>
    <mergeCell ref="B35:D35"/>
    <mergeCell ref="B1:D1"/>
    <mergeCell ref="B3:D3"/>
    <mergeCell ref="B20:D20"/>
  </mergeCells>
  <pageMargins left="0.7" right="0.7" top="0.75" bottom="0.75" header="0.3" footer="0.3"/>
  <pageSetup paperSize="9" scale="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52228-8078-469B-9DC2-6E814BA99770}">
  <sheetPr codeName="Hoja3"/>
  <dimension ref="B1:F8"/>
  <sheetViews>
    <sheetView showGridLines="0" zoomScaleNormal="100" workbookViewId="0">
      <selection activeCell="B1" sqref="B1:D8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1" spans="2:6" x14ac:dyDescent="0.25">
      <c r="B1" s="30" t="s">
        <v>35</v>
      </c>
      <c r="C1" s="30"/>
      <c r="D1" s="30"/>
    </row>
    <row r="2" spans="2:6" x14ac:dyDescent="0.25">
      <c r="B2" s="2" t="s">
        <v>0</v>
      </c>
      <c r="C2" s="2" t="s">
        <v>1</v>
      </c>
      <c r="D2" s="2" t="s">
        <v>2</v>
      </c>
    </row>
    <row r="3" spans="2:6" x14ac:dyDescent="0.25">
      <c r="B3" s="1" t="s">
        <v>3</v>
      </c>
      <c r="C3" s="6">
        <f>SUMIF('CDC-OLGUIN'!B:B, "Extrajudicial - 0 a 28 semanas de atraso", 'CDC-OLGUIN'!C:C)</f>
        <v>12908</v>
      </c>
      <c r="D3" s="14">
        <f>SUMIF('CDC-OLGUIN'!B:B, "Extrajudicial - 0 a 28 semanas de atraso", 'CDC-OLGUIN'!D:D)</f>
        <v>160617.28</v>
      </c>
    </row>
    <row r="4" spans="2:6" x14ac:dyDescent="0.25">
      <c r="B4" s="1" t="s">
        <v>4</v>
      </c>
      <c r="C4" s="6">
        <f>SUMIF('CDC-OLGUIN'!B:B, "Extrajudicial - 29 a 39 semanas de atraso", 'CDC-OLGUIN'!C:C)</f>
        <v>10148</v>
      </c>
      <c r="D4" s="14">
        <f>SUMIF('CDC-OLGUIN'!B:B, "Extrajudicial - 29 a 39 semanas de atraso", 'CDC-OLGUIN'!D:D)</f>
        <v>51554.33</v>
      </c>
    </row>
    <row r="5" spans="2:6" x14ac:dyDescent="0.25">
      <c r="B5" s="1" t="s">
        <v>5</v>
      </c>
      <c r="C5" s="6">
        <f>SUMIF('CDC-OLGUIN'!B:B, "Extrajudicial - 40 a 55 semanas de atraso", 'CDC-OLGUIN'!C:C)</f>
        <v>12859</v>
      </c>
      <c r="D5" s="14">
        <f>SUMIF('CDC-OLGUIN'!B:B, "Extrajudicial - 40 a 55 semanas de atraso", 'CDC-OLGUIN'!D:D)</f>
        <v>26271</v>
      </c>
    </row>
    <row r="6" spans="2:6" x14ac:dyDescent="0.25">
      <c r="B6" s="5" t="s">
        <v>10</v>
      </c>
      <c r="C6" s="6">
        <f>SUMIF('CDC-OLGUIN'!B:B, "JUDICIAL", 'CDC-OLGUIN'!C:C)</f>
        <v>2738</v>
      </c>
      <c r="D6" s="14">
        <f>SUMIF('CDC-OLGUIN'!B:B, "JUDICIAL", 'CDC-OLGUIN'!D:D)</f>
        <v>400</v>
      </c>
    </row>
    <row r="7" spans="2:6" x14ac:dyDescent="0.25">
      <c r="B7" s="1" t="s">
        <v>6</v>
      </c>
      <c r="C7" s="6">
        <f>SUMIF('CDC-OLGUIN'!B:B, "Mas 55 semanas de atraso", 'CDC-OLGUIN'!C:C)</f>
        <v>12143</v>
      </c>
      <c r="D7" s="6">
        <f>SUMIF('CDC-OLGUIN'!B:B, "Mas 55 semanas de atraso", 'CDC-OLGUIN'!D:D)</f>
        <v>5059</v>
      </c>
      <c r="E7" s="14"/>
      <c r="F7" s="7"/>
    </row>
    <row r="8" spans="2:6" x14ac:dyDescent="0.25">
      <c r="B8" s="3" t="s">
        <v>7</v>
      </c>
      <c r="C8" s="8">
        <f>SUM(C3:C7)</f>
        <v>50796</v>
      </c>
      <c r="D8" s="4">
        <f>SUM(D3:D7)</f>
        <v>243901.61</v>
      </c>
      <c r="E8" s="11" t="s">
        <v>12</v>
      </c>
    </row>
  </sheetData>
  <mergeCells count="1">
    <mergeCell ref="B1:D1"/>
  </mergeCells>
  <pageMargins left="0.7" right="0.7" top="0.75" bottom="0.75" header="0.3" footer="0.3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sheetPr codeName="Hoja4"/>
  <dimension ref="B2:L14"/>
  <sheetViews>
    <sheetView showGridLines="0" zoomScale="145" zoomScaleNormal="145" workbookViewId="0">
      <selection activeCell="B2" sqref="B2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19</v>
      </c>
    </row>
    <row r="3" spans="2:12" x14ac:dyDescent="0.25">
      <c r="B3" s="17" t="s">
        <v>32</v>
      </c>
    </row>
    <row r="5" spans="2:12" x14ac:dyDescent="0.25">
      <c r="B5" t="s">
        <v>25</v>
      </c>
      <c r="C5" t="s">
        <v>26</v>
      </c>
      <c r="D5" s="17" t="s">
        <v>13</v>
      </c>
      <c r="E5" s="17" t="s">
        <v>24</v>
      </c>
      <c r="F5" s="17" t="s">
        <v>17</v>
      </c>
      <c r="G5" s="17" t="s">
        <v>18</v>
      </c>
      <c r="H5" s="17" t="s">
        <v>20</v>
      </c>
      <c r="I5" s="17" t="s">
        <v>14</v>
      </c>
      <c r="J5" s="17" t="s">
        <v>16</v>
      </c>
      <c r="K5" s="17" t="s">
        <v>21</v>
      </c>
      <c r="L5" s="15"/>
    </row>
    <row r="6" spans="2:12" x14ac:dyDescent="0.25">
      <c r="B6" s="16" t="s">
        <v>30</v>
      </c>
      <c r="C6" s="16" t="s">
        <v>3</v>
      </c>
      <c r="D6" s="23">
        <f>SUMIF('REPORTE DIARIO'!B:B,'EPR 26 JUN'!C6, 'REPORTE DIARIO'!C:C)</f>
        <v>12875</v>
      </c>
      <c r="E6" s="16">
        <f>SUMIF('REPORTE DIARIO'!B:B,'EPR 26 JUN'!C6, 'REPORTE DIARIO'!D:D)</f>
        <v>375298.82999999996</v>
      </c>
      <c r="F6" s="16">
        <f>J6*D6</f>
        <v>809285.7142857142</v>
      </c>
      <c r="G6" s="16">
        <f>+E6-F6</f>
        <v>-433986.88428571424</v>
      </c>
      <c r="H6" s="15">
        <f>ABS(G6/F6)</f>
        <v>0.53625916857899381</v>
      </c>
      <c r="I6" s="16">
        <f>E6/D6</f>
        <v>29.149423689320386</v>
      </c>
      <c r="J6" s="16">
        <f>(220/7)*2</f>
        <v>62.857142857142854</v>
      </c>
      <c r="K6" s="16">
        <f>+I6-J6</f>
        <v>-33.707719167822468</v>
      </c>
      <c r="L6" s="15"/>
    </row>
    <row r="7" spans="2:12" x14ac:dyDescent="0.25">
      <c r="B7" s="16" t="s">
        <v>27</v>
      </c>
      <c r="C7" s="16" t="s">
        <v>4</v>
      </c>
      <c r="D7" s="23">
        <f>SUMIF('REPORTE DIARIO'!B:B,'EPR 26 JUN'!C7, 'REPORTE DIARIO'!C:C)</f>
        <v>9576</v>
      </c>
      <c r="E7" s="16">
        <f>SUMIF('REPORTE DIARIO'!B:B,'EPR 26 JUN'!C7, 'REPORTE DIARIO'!D:D)</f>
        <v>166626.75</v>
      </c>
      <c r="F7" s="16">
        <f>J7*D7</f>
        <v>300960</v>
      </c>
      <c r="G7" s="16">
        <f>+E7-F7</f>
        <v>-134333.25</v>
      </c>
      <c r="H7" s="15">
        <f>ABS(G7/F7)</f>
        <v>0.44634918261563</v>
      </c>
      <c r="I7" s="16">
        <f>E7/D7</f>
        <v>17.400454260651628</v>
      </c>
      <c r="J7" s="16">
        <f>(110/7)*2</f>
        <v>31.428571428571427</v>
      </c>
      <c r="K7" s="16">
        <f t="shared" ref="K7:K9" si="0">+I7-J7</f>
        <v>-14.028117167919799</v>
      </c>
      <c r="L7" s="15"/>
    </row>
    <row r="8" spans="2:12" x14ac:dyDescent="0.25">
      <c r="B8" s="16" t="s">
        <v>27</v>
      </c>
      <c r="C8" s="16" t="s">
        <v>5</v>
      </c>
      <c r="D8" s="23">
        <f>SUMIF('REPORTE DIARIO'!B:B,'EPR 26 JUN'!C8, 'REPORTE DIARIO'!C:C)</f>
        <v>15277</v>
      </c>
      <c r="E8" s="16">
        <f>SUMIF('REPORTE DIARIO'!B:B,'EPR 26 JUN'!C8, 'REPORTE DIARIO'!D:D)</f>
        <v>170321.83000000002</v>
      </c>
      <c r="F8" s="16">
        <f>J8*D8</f>
        <v>196418.57142857145</v>
      </c>
      <c r="G8" s="16">
        <f>+E8-F8</f>
        <v>-26096.741428571433</v>
      </c>
      <c r="H8" s="15">
        <f>ABS(G8/F8)</f>
        <v>0.13286290211138022</v>
      </c>
      <c r="I8" s="16">
        <f>E8/D8</f>
        <v>11.148905544282256</v>
      </c>
      <c r="J8" s="16">
        <f>(45/7)*2</f>
        <v>12.857142857142858</v>
      </c>
      <c r="K8" s="16">
        <f t="shared" si="0"/>
        <v>-1.7082373128606019</v>
      </c>
      <c r="L8" s="15"/>
    </row>
    <row r="9" spans="2:12" x14ac:dyDescent="0.25">
      <c r="B9" s="16" t="s">
        <v>31</v>
      </c>
      <c r="C9" s="16" t="s">
        <v>6</v>
      </c>
      <c r="D9" s="23">
        <f>SUMIF('REPORTE DIARIO'!B:B,'EPR 26 JUN'!C9, 'REPORTE DIARIO'!C:C)</f>
        <v>57213</v>
      </c>
      <c r="E9" s="16">
        <f>SUMIF('REPORTE DIARIO'!B:B,'EPR 26 JUN'!C9, 'REPORTE DIARIO'!D:D)</f>
        <v>200592.58999999997</v>
      </c>
      <c r="F9" s="16">
        <f>J9*D9</f>
        <v>245198.57142857142</v>
      </c>
      <c r="G9" s="16">
        <f>+E9-F9</f>
        <v>-44605.981428571453</v>
      </c>
      <c r="H9" s="15">
        <f>ABS(G9/F9)</f>
        <v>0.1819177867500977</v>
      </c>
      <c r="I9" s="16">
        <f>E9/D9</f>
        <v>3.5060666282138668</v>
      </c>
      <c r="J9" s="16">
        <f>(15/7)*2</f>
        <v>4.2857142857142856</v>
      </c>
      <c r="K9" s="16">
        <f t="shared" si="0"/>
        <v>-0.77964765750041876</v>
      </c>
    </row>
    <row r="10" spans="2:12" x14ac:dyDescent="0.25">
      <c r="B10" s="16"/>
      <c r="C10" s="19" t="s">
        <v>15</v>
      </c>
      <c r="D10" s="24">
        <f>SUM(D6:D9)</f>
        <v>94941</v>
      </c>
      <c r="E10" s="20">
        <f>SUM(E6:E9)</f>
        <v>912839.99999999988</v>
      </c>
      <c r="F10" s="20">
        <f>SUM(F6:F9)</f>
        <v>1551862.8571428568</v>
      </c>
      <c r="G10" s="20">
        <f>+E10-F10</f>
        <v>-639022.85714285693</v>
      </c>
      <c r="H10" s="21">
        <f>ABS(G10/F10)</f>
        <v>0.41177791852004592</v>
      </c>
      <c r="I10" s="20">
        <f>E10/D10</f>
        <v>9.6148134104338467</v>
      </c>
      <c r="J10" s="20">
        <f>F10/D10</f>
        <v>16.345549943047331</v>
      </c>
      <c r="K10" s="20">
        <f>I10-J10</f>
        <v>-6.7307365326134843</v>
      </c>
    </row>
    <row r="12" spans="2:12" x14ac:dyDescent="0.25">
      <c r="B12" s="22" t="s">
        <v>22</v>
      </c>
      <c r="I12" s="14"/>
    </row>
    <row r="13" spans="2:12" x14ac:dyDescent="0.25">
      <c r="B13" t="s">
        <v>23</v>
      </c>
    </row>
    <row r="14" spans="2:12" x14ac:dyDescent="0.25">
      <c r="B14" t="s">
        <v>29</v>
      </c>
    </row>
  </sheetData>
  <pageMargins left="0.7" right="0.7" top="0.75" bottom="0.75" header="0.3" footer="0.3"/>
  <pageSetup scale="6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REPORTE DIARIO</vt:lpstr>
      <vt:lpstr>CDC-OLGUIN</vt:lpstr>
      <vt:lpstr>COBRANZA CDC</vt:lpstr>
      <vt:lpstr>EPR 26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2025-11-13T15:31:21Z</cp:lastPrinted>
  <dcterms:created xsi:type="dcterms:W3CDTF">2025-01-27T15:11:28Z</dcterms:created>
  <dcterms:modified xsi:type="dcterms:W3CDTF">2025-11-13T15:33:20Z</dcterms:modified>
</cp:coreProperties>
</file>