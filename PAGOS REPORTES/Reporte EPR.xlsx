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"/>
    </mc:Choice>
  </mc:AlternateContent>
  <xr:revisionPtr revIDLastSave="0" documentId="13_ncr:1_{CB475D38-0672-47E4-9C41-929C9A4BC910}" xr6:coauthVersionLast="47" xr6:coauthVersionMax="47" xr10:uidLastSave="{00000000-0000-0000-0000-000000000000}"/>
  <bookViews>
    <workbookView xWindow="-120" yWindow="-120" windowWidth="51840" windowHeight="21120" activeTab="1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<sst xmlns="http://schemas.openxmlformats.org/spreadsheetml/2006/main" count="70" uniqueCount="35">
  <si>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</si>
  <si>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</si>
  <si>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</si>
  <si>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</si>
  <si>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</si>
  <si>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</si>
  <si>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</si>
  <si>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</si>
  <si>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</si>
  <si>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</si>
  <si>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</si>
  <si>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</si>
  <si>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</si>
  <si>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</si>
  <si>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</si>
  <si>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</si>
  <si>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</si>
  <si>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</si>
  <si>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</si>
  <si>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</si>
  <si>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</si>
  <si>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</si>
  <si>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</si>
  <si>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</si>
  <si>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</si>
  <si>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</si>
  <si>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</si>
  <si>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</si>
  <si>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</si>
  <si>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</si>
  <si>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</si>
  <si>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</si>
  <si>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</si>
  <si>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Erik, Edith, Fernando e Itzayana</t>
  </si>
  <si>
    <t>SALDO ACUMULADO SEMANA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</si>
</sst>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6604</v>
      </c>
      <c r="D5" s="27">
        <v>594760.4</v>
      </c>
    </row>
    <row r="6" spans="2:8" x14ac:dyDescent="0.25">
      <c r="B6" s="1" t="s">
        <v>5</v>
      </c>
      <c r="C6" s="6">
        <v>8339</v>
      </c>
      <c r="D6" s="27">
        <v>308067.89</v>
      </c>
    </row>
    <row r="7" spans="2:8" x14ac:dyDescent="0.25">
      <c r="B7" s="1" t="s">
        <v>6</v>
      </c>
      <c r="C7" s="6">
        <v>8649</v>
      </c>
      <c r="D7" s="27">
        <v>108215.14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49164</v>
      </c>
      <c r="D9" s="27">
        <v>233515.91999999998</v>
      </c>
      <c r="F9" s="7"/>
    </row>
    <row r="10" spans="2:8" x14ac:dyDescent="0.25">
      <c r="B10" s="3" t="s">
        <v>8</v>
      </c>
      <c r="C10" s="8">
        <f>SUM(C5:C9)</f>
        <v>72777</v>
      </c>
      <c r="D10" s="4">
        <f>SUM(D5:D9)</f>
        <v>1244559.3500000001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1189</v>
      </c>
      <c r="D14" s="27">
        <v>177112.56000000003</v>
      </c>
    </row>
    <row r="15" spans="2:8" x14ac:dyDescent="0.25">
      <c r="B15" s="9" t="s">
        <v>5</v>
      </c>
      <c r="C15" s="6">
        <v>2476</v>
      </c>
      <c r="D15" s="27">
        <v>47514.150000000009</v>
      </c>
    </row>
    <row r="16" spans="2:8" x14ac:dyDescent="0.25">
      <c r="B16" s="9" t="s">
        <v>6</v>
      </c>
      <c r="C16" s="6">
        <v>2770</v>
      </c>
      <c r="D16" s="29">
        <v>0</v>
      </c>
    </row>
    <row r="17" spans="2:11" x14ac:dyDescent="0.25">
      <c r="B17" s="9" t="s">
        <v>7</v>
      </c>
      <c r="C17" s="6">
        <v>13832</v>
      </c>
      <c r="D17" s="27">
        <v>1701</v>
      </c>
    </row>
    <row r="18" spans="2:11" x14ac:dyDescent="0.25">
      <c r="B18" s="10" t="s">
        <v>8</v>
      </c>
      <c r="C18" s="8">
        <f>SUM(C14:C17)</f>
        <v>20267</v>
      </c>
      <c r="D18" s="4">
        <f>SUM(D14:D17)</f>
        <v>226327.71000000002</v>
      </c>
    </row>
    <row r="20" spans="2:11" x14ac:dyDescent="0.25">
      <c r="B20" s="31" t="s">
        <v>9</v>
      </c>
      <c r="C20" s="31"/>
      <c r="D20" s="31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1665</v>
      </c>
      <c r="D22" s="27">
        <v>200409.47000000006</v>
      </c>
    </row>
    <row r="23" spans="2:11" x14ac:dyDescent="0.25">
      <c r="B23" s="9" t="s">
        <v>5</v>
      </c>
      <c r="C23" s="6">
        <v>657</v>
      </c>
      <c r="D23" s="27">
        <v>38951.980000000003</v>
      </c>
    </row>
    <row r="24" spans="2:11" x14ac:dyDescent="0.25">
      <c r="B24" s="9" t="s">
        <v>6</v>
      </c>
      <c r="C24" s="6">
        <v>600</v>
      </c>
      <c r="D24" s="27">
        <v>13839</v>
      </c>
    </row>
    <row r="25" spans="2:11" x14ac:dyDescent="0.25">
      <c r="B25" s="9" t="s">
        <v>7</v>
      </c>
      <c r="C25" s="6">
        <v>1816</v>
      </c>
      <c r="D25" s="27">
        <v>2133</v>
      </c>
    </row>
    <row r="26" spans="2:11" x14ac:dyDescent="0.25">
      <c r="B26" s="10" t="s">
        <v>8</v>
      </c>
      <c r="C26" s="8">
        <f>SUM(C22:C25)</f>
        <v>4738</v>
      </c>
      <c r="D26" s="4">
        <f>SUM(D22:D25)</f>
        <v>255333.45000000007</v>
      </c>
    </row>
    <row r="27" spans="2:11" x14ac:dyDescent="0.25">
      <c r="K27" s="7"/>
    </row>
    <row r="28" spans="2:11" x14ac:dyDescent="0.25">
      <c r="B28" s="30" t="s">
        <v>15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1189</v>
      </c>
      <c r="D30" s="27">
        <v>88409.85</v>
      </c>
    </row>
    <row r="31" spans="2:11" x14ac:dyDescent="0.25">
      <c r="B31" s="9" t="s">
        <v>5</v>
      </c>
      <c r="C31" s="6">
        <v>2476</v>
      </c>
      <c r="D31" s="27">
        <v>12956.06</v>
      </c>
    </row>
    <row r="32" spans="2:11" x14ac:dyDescent="0.25">
      <c r="B32" s="9" t="s">
        <v>6</v>
      </c>
      <c r="C32" s="6">
        <v>2770</v>
      </c>
      <c r="D32" s="27">
        <v>24934</v>
      </c>
    </row>
    <row r="33" spans="2:4" x14ac:dyDescent="0.25">
      <c r="B33" s="14" t="s">
        <v>12</v>
      </c>
      <c r="C33" s="6">
        <v>1</v>
      </c>
      <c r="D33" s="28">
        <v>0</v>
      </c>
    </row>
    <row r="34" spans="2:4" x14ac:dyDescent="0.25">
      <c r="B34" s="9" t="s">
        <v>7</v>
      </c>
      <c r="C34" s="6">
        <v>13832</v>
      </c>
      <c r="D34" s="27">
        <v>43549.88</v>
      </c>
    </row>
    <row r="35" spans="2:4" x14ac:dyDescent="0.25">
      <c r="B35" s="10" t="s">
        <v>8</v>
      </c>
      <c r="C35" s="8">
        <f>SUM(C30:C34)</f>
        <v>20268</v>
      </c>
      <c r="D35" s="4">
        <f>SUM(D30:D34)</f>
        <v>169849.79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5501</v>
      </c>
      <c r="D39" s="27">
        <v>89900.68</v>
      </c>
    </row>
    <row r="40" spans="2:4" x14ac:dyDescent="0.25">
      <c r="B40" s="10" t="s">
        <v>8</v>
      </c>
      <c r="C40" s="8">
        <f>SUM(C39:C39)</f>
        <v>5501</v>
      </c>
      <c r="D40" s="4">
        <f>SUM(D39:D39)</f>
        <v>89900.68</v>
      </c>
    </row>
    <row r="41" spans="2:4" x14ac:dyDescent="0.25">
      <c r="B41" s="26"/>
      <c r="C41" s="26"/>
      <c r="D41" s="26"/>
    </row>
    <row r="43" spans="2:4" x14ac:dyDescent="0.25">
      <c r="B43" s="12" t="s">
        <v>13</v>
      </c>
      <c r="C43" s="13">
        <f>SUM(C10+C26+C18+C35+C40)</f>
        <v>123551</v>
      </c>
      <c r="D43" s="13">
        <f>SUM(D10+D26+D18+D35+D40)</f>
        <v>1985970.9800000002</v>
      </c>
    </row>
  </sheetData>
  <mergeCells count="5">
    <mergeCell ref="B12:D12"/>
    <mergeCell ref="B3:D3"/>
    <mergeCell ref="B20:D20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B3" sqref="B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34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1 MAR'!C6, 'REPORTE DIARIO'!C:C)</f>
        <v>16148</v>
      </c>
      <c r="E6" s="17">
        <f>SUMIF('REPORTE DIARIO'!B:B,'EPR 1 MAR'!C6, 'REPORTE DIARIO'!D:D)</f>
        <v>1150592.9600000002</v>
      </c>
      <c r="F6" s="17">
        <f>J6*D6</f>
        <v>3229600</v>
      </c>
      <c r="G6" s="17">
        <f>+E6-F6</f>
        <v>-2079007.0399999998</v>
      </c>
      <c r="H6" s="16">
        <f>ABS(G6/F6)</f>
        <v>0.64373514986376013</v>
      </c>
      <c r="I6" s="17">
        <f>E6/D6</f>
        <v>71.252970027247969</v>
      </c>
      <c r="J6" s="17">
        <v>200</v>
      </c>
      <c r="K6" s="17">
        <f>+I6-J6</f>
        <v>-128.74702997275205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1 MAR'!C7, 'REPORTE DIARIO'!C:C)</f>
        <v>13948</v>
      </c>
      <c r="E7" s="17">
        <f>SUMIF('REPORTE DIARIO'!B:B,'EPR 1 MAR'!C7, 'REPORTE DIARIO'!D:D)</f>
        <v>407490.08</v>
      </c>
      <c r="F7" s="17">
        <f>J7*D7</f>
        <v>1534280</v>
      </c>
      <c r="G7" s="17">
        <f>+E7-F7</f>
        <v>-1126789.92</v>
      </c>
      <c r="H7" s="16">
        <f>ABS(G7/F7)</f>
        <v>0.73440957322001199</v>
      </c>
      <c r="I7" s="17">
        <f>E7/D7</f>
        <v>29.214946945798683</v>
      </c>
      <c r="J7" s="17">
        <v>110</v>
      </c>
      <c r="K7" s="17">
        <f t="shared" ref="K7:K9" si="0">+I7-J7</f>
        <v>-80.785053054201313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1 MAR'!C8, 'REPORTE DIARIO'!C:C)</f>
        <v>14789</v>
      </c>
      <c r="E8" s="17">
        <f>SUMIF('REPORTE DIARIO'!B:B,'EPR 1 MAR'!C8, 'REPORTE DIARIO'!D:D)</f>
        <v>146988.14000000001</v>
      </c>
      <c r="F8" s="17">
        <f>J8*D8</f>
        <v>665505</v>
      </c>
      <c r="G8" s="17">
        <f>+E8-F8</f>
        <v>-518516.86</v>
      </c>
      <c r="H8" s="16">
        <f>ABS(G8/F8)</f>
        <v>0.77913292912900722</v>
      </c>
      <c r="I8" s="17">
        <f>E8/D8</f>
        <v>9.9390181891946732</v>
      </c>
      <c r="J8" s="17">
        <v>45</v>
      </c>
      <c r="K8" s="17">
        <f t="shared" si="0"/>
        <v>-35.06098181080533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1 MAR'!C9, 'REPORTE DIARIO'!C:C)</f>
        <v>78644</v>
      </c>
      <c r="E9" s="17">
        <f>SUMIF('REPORTE DIARIO'!B:B,'EPR 1 MAR'!C9, 'REPORTE DIARIO'!D:D)</f>
        <v>280899.8</v>
      </c>
      <c r="F9" s="17">
        <f>J9*D9</f>
        <v>1179660</v>
      </c>
      <c r="G9" s="17">
        <f>+E9-F9</f>
        <v>-898760.2</v>
      </c>
      <c r="H9" s="16">
        <f>ABS(G9/F9)</f>
        <v>0.76188071139141778</v>
      </c>
      <c r="I9" s="17">
        <f>E9/D9</f>
        <v>3.5717893291287317</v>
      </c>
      <c r="J9" s="17">
        <v>15</v>
      </c>
      <c r="K9" s="17">
        <f t="shared" si="0"/>
        <v>-11.428210670871268</v>
      </c>
    </row>
    <row r="10" spans="2:12" x14ac:dyDescent="0.25">
      <c r="B10" s="17"/>
      <c r="C10" s="20" t="s">
        <v>18</v>
      </c>
      <c r="D10" s="25">
        <f>SUM(D6:D9)</f>
        <v>123529</v>
      </c>
      <c r="E10" s="21">
        <f>SUM(E6:E9)</f>
        <v>1985970.9800000002</v>
      </c>
      <c r="F10" s="21">
        <f>SUM(F6:F9)</f>
        <v>6609045</v>
      </c>
      <c r="G10" s="21">
        <f>+E10-F10</f>
        <v>-4623074.0199999996</v>
      </c>
      <c r="H10" s="22">
        <f>ABS(G10/F10)</f>
        <v>0.69950711789676112</v>
      </c>
      <c r="I10" s="21">
        <f>E10/D10</f>
        <v>16.076961523205078</v>
      </c>
      <c r="J10" s="21">
        <f>F10/D10</f>
        <v>53.501971197046849</v>
      </c>
      <c r="K10" s="21">
        <f>I10-J10</f>
        <v>-37.425009673841771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2025-03-06T03:31:10Z</dcterms:modified>
</cp:coreProperties>
</file>